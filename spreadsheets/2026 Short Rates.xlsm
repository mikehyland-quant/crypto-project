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EE5F60B6-15B9-4E5A-90B1-B4111DA46E11}" xr6:coauthVersionLast="47" xr6:coauthVersionMax="47" xr10:uidLastSave="{00000000-0000-0000-0000-000000000000}"/>
  <bookViews>
    <workbookView xWindow="29820" yWindow="1920" windowWidth="25965" windowHeight="12585" tabRatio="628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5" i="1"/>
  <c r="A2462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67" i="1"/>
  <c r="N2442" i="1"/>
  <c r="C68" i="10" s="1"/>
  <c r="N2439" i="1"/>
  <c r="C65" i="10" s="1"/>
  <c r="B2466" i="1"/>
  <c r="N2441" i="1"/>
  <c r="C67" i="10" s="1"/>
  <c r="N2444" i="1"/>
  <c r="C70" i="10" s="1"/>
  <c r="B2464" i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<sst xmlns="http://schemas.openxmlformats.org/spreadsheetml/2006/main" count="2473" uniqueCount="260">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</sst>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2">
                  <c:v>3.6429166666666339</c:v>
                </c:pt>
                <c:pt idx="13">
                  <c:v>3.6429166666666339</c:v>
                </c:pt>
                <c:pt idx="14">
                  <c:v>3.6429166666666339</c:v>
                </c:pt>
                <c:pt idx="15">
                  <c:v>3.6429166666666339</c:v>
                </c:pt>
                <c:pt idx="16">
                  <c:v>3.6429166666666339</c:v>
                </c:pt>
                <c:pt idx="17">
                  <c:v>3.6429166666666339</c:v>
                </c:pt>
                <c:pt idx="18">
                  <c:v>3.6320312499999901</c:v>
                </c:pt>
                <c:pt idx="19">
                  <c:v>3.6320312499999901</c:v>
                </c:pt>
                <c:pt idx="20">
                  <c:v>3.6320312499999901</c:v>
                </c:pt>
                <c:pt idx="21">
                  <c:v>3.6320312499999901</c:v>
                </c:pt>
                <c:pt idx="22">
                  <c:v>3.6320312499999901</c:v>
                </c:pt>
                <c:pt idx="23">
                  <c:v>3.6320312499999901</c:v>
                </c:pt>
                <c:pt idx="24">
                  <c:v>3.6320312499999901</c:v>
                </c:pt>
                <c:pt idx="25">
                  <c:v>3.6320312499999901</c:v>
                </c:pt>
                <c:pt idx="26">
                  <c:v>3.6320312499999901</c:v>
                </c:pt>
                <c:pt idx="27">
                  <c:v>3.6320312499999901</c:v>
                </c:pt>
                <c:pt idx="28">
                  <c:v>3.6320312499999901</c:v>
                </c:pt>
                <c:pt idx="29">
                  <c:v>3.6320312499999901</c:v>
                </c:pt>
                <c:pt idx="30">
                  <c:v>3.6320312499999901</c:v>
                </c:pt>
                <c:pt idx="31">
                  <c:v>3.6320312499999901</c:v>
                </c:pt>
                <c:pt idx="32">
                  <c:v>3.6320312499999901</c:v>
                </c:pt>
                <c:pt idx="33">
                  <c:v>3.6320312499999901</c:v>
                </c:pt>
                <c:pt idx="34">
                  <c:v>3.7241071428571475</c:v>
                </c:pt>
                <c:pt idx="35">
                  <c:v>3.7241071428571475</c:v>
                </c:pt>
                <c:pt idx="36">
                  <c:v>3.7241071428571475</c:v>
                </c:pt>
                <c:pt idx="37">
                  <c:v>3.7241071428571475</c:v>
                </c:pt>
                <c:pt idx="38">
                  <c:v>3.7241071428571475</c:v>
                </c:pt>
                <c:pt idx="39">
                  <c:v>3.7241071428571475</c:v>
                </c:pt>
                <c:pt idx="40">
                  <c:v>3.7241071428571475</c:v>
                </c:pt>
                <c:pt idx="41">
                  <c:v>3.7241071428571475</c:v>
                </c:pt>
                <c:pt idx="42">
                  <c:v>3.7241071428571475</c:v>
                </c:pt>
                <c:pt idx="43">
                  <c:v>3.7241071428571475</c:v>
                </c:pt>
                <c:pt idx="44">
                  <c:v>3.7241071428571475</c:v>
                </c:pt>
                <c:pt idx="45">
                  <c:v>3.7241071428571475</c:v>
                </c:pt>
                <c:pt idx="46">
                  <c:v>3.7241071428571475</c:v>
                </c:pt>
                <c:pt idx="47">
                  <c:v>3.7241071428571475</c:v>
                </c:pt>
                <c:pt idx="48">
                  <c:v>3.7241071428571475</c:v>
                </c:pt>
                <c:pt idx="49">
                  <c:v>3.7241071428571475</c:v>
                </c:pt>
                <c:pt idx="50">
                  <c:v>3.7241071428571475</c:v>
                </c:pt>
                <c:pt idx="51">
                  <c:v>3.7241071428571475</c:v>
                </c:pt>
                <c:pt idx="52">
                  <c:v>3.7241071428571475</c:v>
                </c:pt>
                <c:pt idx="53">
                  <c:v>3.7241071428571475</c:v>
                </c:pt>
                <c:pt idx="54">
                  <c:v>3.7241071428571475</c:v>
                </c:pt>
                <c:pt idx="55">
                  <c:v>3.7241071428571475</c:v>
                </c:pt>
                <c:pt idx="56">
                  <c:v>3.7241071428571475</c:v>
                </c:pt>
                <c:pt idx="57">
                  <c:v>3.7241071428571475</c:v>
                </c:pt>
                <c:pt idx="58">
                  <c:v>3.7241071428571475</c:v>
                </c:pt>
                <c:pt idx="59">
                  <c:v>3.7241071428571475</c:v>
                </c:pt>
                <c:pt idx="60">
                  <c:v>3.7241071428571475</c:v>
                </c:pt>
                <c:pt idx="61">
                  <c:v>3.7241071428571475</c:v>
                </c:pt>
                <c:pt idx="62">
                  <c:v>3.7241071428571475</c:v>
                </c:pt>
                <c:pt idx="63">
                  <c:v>3.7241071428571475</c:v>
                </c:pt>
                <c:pt idx="64">
                  <c:v>3.7241071428571475</c:v>
                </c:pt>
                <c:pt idx="65">
                  <c:v>3.7241071428571475</c:v>
                </c:pt>
                <c:pt idx="66">
                  <c:v>3.7241071428571475</c:v>
                </c:pt>
                <c:pt idx="67">
                  <c:v>3.7241071428571475</c:v>
                </c:pt>
                <c:pt idx="68">
                  <c:v>3.7241071428571475</c:v>
                </c:pt>
                <c:pt idx="69">
                  <c:v>3.7241071428571475</c:v>
                </c:pt>
                <c:pt idx="70">
                  <c:v>3.7241071428571475</c:v>
                </c:pt>
                <c:pt idx="71">
                  <c:v>3.7241071428571475</c:v>
                </c:pt>
                <c:pt idx="72">
                  <c:v>3.7241071428571475</c:v>
                </c:pt>
                <c:pt idx="73">
                  <c:v>3.7241071428571475</c:v>
                </c:pt>
                <c:pt idx="74">
                  <c:v>3.7241071428571475</c:v>
                </c:pt>
                <c:pt idx="75">
                  <c:v>3.7241071428571475</c:v>
                </c:pt>
                <c:pt idx="76">
                  <c:v>3.7849999999999966</c:v>
                </c:pt>
                <c:pt idx="77">
                  <c:v>3.7849999999999966</c:v>
                </c:pt>
                <c:pt idx="78">
                  <c:v>3.7849999999999966</c:v>
                </c:pt>
                <c:pt idx="79">
                  <c:v>3.7849999999999966</c:v>
                </c:pt>
                <c:pt idx="80">
                  <c:v>3.7849999999999966</c:v>
                </c:pt>
                <c:pt idx="81">
                  <c:v>3.7849999999999966</c:v>
                </c:pt>
                <c:pt idx="82">
                  <c:v>3.7849999999999966</c:v>
                </c:pt>
                <c:pt idx="83">
                  <c:v>3.7849999999999966</c:v>
                </c:pt>
                <c:pt idx="84">
                  <c:v>3.7849999999999966</c:v>
                </c:pt>
                <c:pt idx="85">
                  <c:v>3.7849999999999966</c:v>
                </c:pt>
                <c:pt idx="86">
                  <c:v>3.7849999999999966</c:v>
                </c:pt>
                <c:pt idx="87">
                  <c:v>3.7849999999999966</c:v>
                </c:pt>
                <c:pt idx="88">
                  <c:v>3.7849999999999966</c:v>
                </c:pt>
                <c:pt idx="89">
                  <c:v>3.7849999999999966</c:v>
                </c:pt>
                <c:pt idx="90">
                  <c:v>3.7849999999999966</c:v>
                </c:pt>
                <c:pt idx="91">
                  <c:v>3.7849999999999966</c:v>
                </c:pt>
                <c:pt idx="92">
                  <c:v>3.7849999999999966</c:v>
                </c:pt>
                <c:pt idx="93">
                  <c:v>3.7849999999999966</c:v>
                </c:pt>
                <c:pt idx="94">
                  <c:v>3.7849999999999966</c:v>
                </c:pt>
                <c:pt idx="95">
                  <c:v>3.7849999999999966</c:v>
                </c:pt>
                <c:pt idx="96">
                  <c:v>3.7849999999999966</c:v>
                </c:pt>
                <c:pt idx="97">
                  <c:v>3.7849999999999966</c:v>
                </c:pt>
                <c:pt idx="98">
                  <c:v>3.7849999999999966</c:v>
                </c:pt>
                <c:pt idx="99">
                  <c:v>3.7849999999999966</c:v>
                </c:pt>
                <c:pt idx="100">
                  <c:v>3.7849999999999966</c:v>
                </c:pt>
                <c:pt idx="101">
                  <c:v>3.7849999999999966</c:v>
                </c:pt>
                <c:pt idx="102">
                  <c:v>3.7849999999999966</c:v>
                </c:pt>
                <c:pt idx="103">
                  <c:v>3.7849999999999966</c:v>
                </c:pt>
                <c:pt idx="104">
                  <c:v>3.7849999999999966</c:v>
                </c:pt>
                <c:pt idx="105">
                  <c:v>3.7849999999999966</c:v>
                </c:pt>
                <c:pt idx="106">
                  <c:v>3.7849999999999966</c:v>
                </c:pt>
                <c:pt idx="107">
                  <c:v>3.7849999999999966</c:v>
                </c:pt>
                <c:pt idx="108">
                  <c:v>3.7849999999999966</c:v>
                </c:pt>
                <c:pt idx="109">
                  <c:v>3.7849999999999966</c:v>
                </c:pt>
                <c:pt idx="110">
                  <c:v>3.7849999999999966</c:v>
                </c:pt>
                <c:pt idx="111">
                  <c:v>3.7849999999999966</c:v>
                </c:pt>
                <c:pt idx="112">
                  <c:v>3.7849999999999966</c:v>
                </c:pt>
                <c:pt idx="113">
                  <c:v>3.7849999999999966</c:v>
                </c:pt>
                <c:pt idx="114">
                  <c:v>3.7849999999999966</c:v>
                </c:pt>
                <c:pt idx="115">
                  <c:v>3.7849999999999966</c:v>
                </c:pt>
                <c:pt idx="116">
                  <c:v>3.7849999999999966</c:v>
                </c:pt>
                <c:pt idx="117">
                  <c:v>3.7849999999999966</c:v>
                </c:pt>
                <c:pt idx="118">
                  <c:v>3.8977272727272667</c:v>
                </c:pt>
                <c:pt idx="119">
                  <c:v>3.8977272727272667</c:v>
                </c:pt>
                <c:pt idx="120">
                  <c:v>3.8977272727272667</c:v>
                </c:pt>
                <c:pt idx="121">
                  <c:v>3.8977272727272667</c:v>
                </c:pt>
                <c:pt idx="122">
                  <c:v>3.8977272727272667</c:v>
                </c:pt>
                <c:pt idx="123">
                  <c:v>3.8977272727272667</c:v>
                </c:pt>
                <c:pt idx="124">
                  <c:v>3.8977272727272667</c:v>
                </c:pt>
                <c:pt idx="125">
                  <c:v>3.8977272727272667</c:v>
                </c:pt>
                <c:pt idx="126">
                  <c:v>3.8977272727272667</c:v>
                </c:pt>
                <c:pt idx="127">
                  <c:v>3.8977272727272667</c:v>
                </c:pt>
                <c:pt idx="128">
                  <c:v>3.8977272727272667</c:v>
                </c:pt>
                <c:pt idx="129">
                  <c:v>3.8977272727272667</c:v>
                </c:pt>
                <c:pt idx="130">
                  <c:v>3.8977272727272667</c:v>
                </c:pt>
                <c:pt idx="131">
                  <c:v>3.8977272727272667</c:v>
                </c:pt>
                <c:pt idx="132">
                  <c:v>3.8977272727272667</c:v>
                </c:pt>
                <c:pt idx="133">
                  <c:v>3.8977272727272667</c:v>
                </c:pt>
                <c:pt idx="134">
                  <c:v>3.8977272727272667</c:v>
                </c:pt>
                <c:pt idx="135">
                  <c:v>3.8977272727272667</c:v>
                </c:pt>
                <c:pt idx="136">
                  <c:v>3.8977272727272667</c:v>
                </c:pt>
                <c:pt idx="137">
                  <c:v>3.8977272727272667</c:v>
                </c:pt>
                <c:pt idx="138">
                  <c:v>3.8977272727272667</c:v>
                </c:pt>
                <c:pt idx="139">
                  <c:v>3.8977272727272667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2">
                  <c:v>3.6450000000000009</c:v>
                </c:pt>
                <c:pt idx="13">
                  <c:v>3.6450000000000009</c:v>
                </c:pt>
                <c:pt idx="14">
                  <c:v>3.6450000000000009</c:v>
                </c:pt>
                <c:pt idx="15">
                  <c:v>3.6450000000000009</c:v>
                </c:pt>
                <c:pt idx="16">
                  <c:v>3.6450000000000009</c:v>
                </c:pt>
                <c:pt idx="17">
                  <c:v>3.6450000000000009</c:v>
                </c:pt>
                <c:pt idx="18">
                  <c:v>3.628750000000009</c:v>
                </c:pt>
                <c:pt idx="19">
                  <c:v>3.628750000000009</c:v>
                </c:pt>
                <c:pt idx="20">
                  <c:v>3.628750000000009</c:v>
                </c:pt>
                <c:pt idx="21">
                  <c:v>3.628750000000009</c:v>
                </c:pt>
                <c:pt idx="22">
                  <c:v>3.628750000000009</c:v>
                </c:pt>
                <c:pt idx="23">
                  <c:v>3.628750000000009</c:v>
                </c:pt>
                <c:pt idx="24">
                  <c:v>3.628750000000009</c:v>
                </c:pt>
                <c:pt idx="25">
                  <c:v>3.628750000000009</c:v>
                </c:pt>
                <c:pt idx="26">
                  <c:v>3.628750000000009</c:v>
                </c:pt>
                <c:pt idx="27">
                  <c:v>3.628750000000009</c:v>
                </c:pt>
                <c:pt idx="28">
                  <c:v>3.628750000000009</c:v>
                </c:pt>
                <c:pt idx="29">
                  <c:v>3.628750000000009</c:v>
                </c:pt>
                <c:pt idx="30">
                  <c:v>3.628750000000009</c:v>
                </c:pt>
                <c:pt idx="31">
                  <c:v>3.628750000000009</c:v>
                </c:pt>
                <c:pt idx="32">
                  <c:v>3.628750000000009</c:v>
                </c:pt>
                <c:pt idx="33">
                  <c:v>3.628750000000009</c:v>
                </c:pt>
                <c:pt idx="34">
                  <c:v>3.7385714285714329</c:v>
                </c:pt>
                <c:pt idx="35">
                  <c:v>3.7385714285714329</c:v>
                </c:pt>
                <c:pt idx="36">
                  <c:v>3.7385714285714329</c:v>
                </c:pt>
                <c:pt idx="37">
                  <c:v>3.7385714285714329</c:v>
                </c:pt>
                <c:pt idx="38">
                  <c:v>3.7385714285714329</c:v>
                </c:pt>
                <c:pt idx="39">
                  <c:v>3.7385714285714329</c:v>
                </c:pt>
                <c:pt idx="40">
                  <c:v>3.7385714285714329</c:v>
                </c:pt>
                <c:pt idx="41">
                  <c:v>3.7385714285714329</c:v>
                </c:pt>
                <c:pt idx="42">
                  <c:v>3.7385714285714329</c:v>
                </c:pt>
                <c:pt idx="43">
                  <c:v>3.7385714285714329</c:v>
                </c:pt>
                <c:pt idx="44">
                  <c:v>3.7385714285714329</c:v>
                </c:pt>
                <c:pt idx="45">
                  <c:v>3.7385714285714329</c:v>
                </c:pt>
                <c:pt idx="46">
                  <c:v>3.7385714285714329</c:v>
                </c:pt>
                <c:pt idx="47">
                  <c:v>3.7385714285714329</c:v>
                </c:pt>
                <c:pt idx="48">
                  <c:v>3.7385714285714329</c:v>
                </c:pt>
                <c:pt idx="49">
                  <c:v>3.7385714285714329</c:v>
                </c:pt>
                <c:pt idx="50">
                  <c:v>3.7385714285714329</c:v>
                </c:pt>
                <c:pt idx="51">
                  <c:v>3.7385714285714329</c:v>
                </c:pt>
                <c:pt idx="52">
                  <c:v>3.7385714285714329</c:v>
                </c:pt>
                <c:pt idx="53">
                  <c:v>3.7385714285714329</c:v>
                </c:pt>
                <c:pt idx="54">
                  <c:v>3.7385714285714329</c:v>
                </c:pt>
                <c:pt idx="55">
                  <c:v>3.7385714285714329</c:v>
                </c:pt>
                <c:pt idx="56">
                  <c:v>3.7385714285714329</c:v>
                </c:pt>
                <c:pt idx="57">
                  <c:v>3.7385714285714329</c:v>
                </c:pt>
                <c:pt idx="58">
                  <c:v>3.7385714285714329</c:v>
                </c:pt>
                <c:pt idx="59">
                  <c:v>3.7385714285714329</c:v>
                </c:pt>
                <c:pt idx="60">
                  <c:v>3.7385714285714329</c:v>
                </c:pt>
                <c:pt idx="61">
                  <c:v>3.7385714285714329</c:v>
                </c:pt>
                <c:pt idx="62">
                  <c:v>3.7385714285714329</c:v>
                </c:pt>
                <c:pt idx="63">
                  <c:v>3.7385714285714329</c:v>
                </c:pt>
                <c:pt idx="64">
                  <c:v>3.7385714285714329</c:v>
                </c:pt>
                <c:pt idx="65">
                  <c:v>3.7385714285714329</c:v>
                </c:pt>
                <c:pt idx="66">
                  <c:v>3.7385714285714329</c:v>
                </c:pt>
                <c:pt idx="67">
                  <c:v>3.7385714285714329</c:v>
                </c:pt>
                <c:pt idx="68">
                  <c:v>3.7385714285714329</c:v>
                </c:pt>
                <c:pt idx="69">
                  <c:v>3.7385714285714329</c:v>
                </c:pt>
                <c:pt idx="70">
                  <c:v>3.7385714285714329</c:v>
                </c:pt>
                <c:pt idx="71">
                  <c:v>3.7385714285714329</c:v>
                </c:pt>
                <c:pt idx="72">
                  <c:v>3.7385714285714329</c:v>
                </c:pt>
                <c:pt idx="73">
                  <c:v>3.7385714285714329</c:v>
                </c:pt>
                <c:pt idx="74">
                  <c:v>3.7385714285714329</c:v>
                </c:pt>
                <c:pt idx="75">
                  <c:v>3.7385714285714329</c:v>
                </c:pt>
                <c:pt idx="76">
                  <c:v>3.8050000000000068</c:v>
                </c:pt>
                <c:pt idx="77">
                  <c:v>3.8050000000000068</c:v>
                </c:pt>
                <c:pt idx="78">
                  <c:v>3.8050000000000068</c:v>
                </c:pt>
                <c:pt idx="79">
                  <c:v>3.8050000000000068</c:v>
                </c:pt>
                <c:pt idx="80">
                  <c:v>3.8050000000000068</c:v>
                </c:pt>
                <c:pt idx="81">
                  <c:v>3.8050000000000068</c:v>
                </c:pt>
                <c:pt idx="82">
                  <c:v>3.8050000000000068</c:v>
                </c:pt>
                <c:pt idx="83">
                  <c:v>3.8050000000000068</c:v>
                </c:pt>
                <c:pt idx="84">
                  <c:v>3.8050000000000068</c:v>
                </c:pt>
                <c:pt idx="85">
                  <c:v>3.8050000000000068</c:v>
                </c:pt>
                <c:pt idx="86">
                  <c:v>3.8050000000000068</c:v>
                </c:pt>
                <c:pt idx="87">
                  <c:v>3.8050000000000068</c:v>
                </c:pt>
                <c:pt idx="88">
                  <c:v>3.8050000000000068</c:v>
                </c:pt>
                <c:pt idx="89">
                  <c:v>3.8050000000000068</c:v>
                </c:pt>
                <c:pt idx="90">
                  <c:v>3.8050000000000068</c:v>
                </c:pt>
                <c:pt idx="91">
                  <c:v>3.8050000000000068</c:v>
                </c:pt>
                <c:pt idx="92">
                  <c:v>3.8050000000000068</c:v>
                </c:pt>
                <c:pt idx="93">
                  <c:v>3.8050000000000068</c:v>
                </c:pt>
                <c:pt idx="94">
                  <c:v>3.8050000000000068</c:v>
                </c:pt>
                <c:pt idx="95">
                  <c:v>3.8050000000000068</c:v>
                </c:pt>
                <c:pt idx="96">
                  <c:v>3.8050000000000068</c:v>
                </c:pt>
                <c:pt idx="97">
                  <c:v>3.8050000000000068</c:v>
                </c:pt>
                <c:pt idx="98">
                  <c:v>3.8050000000000068</c:v>
                </c:pt>
                <c:pt idx="99">
                  <c:v>3.8050000000000068</c:v>
                </c:pt>
                <c:pt idx="100">
                  <c:v>3.8050000000000068</c:v>
                </c:pt>
                <c:pt idx="101">
                  <c:v>3.8050000000000068</c:v>
                </c:pt>
                <c:pt idx="102">
                  <c:v>3.8050000000000068</c:v>
                </c:pt>
                <c:pt idx="103">
                  <c:v>3.8050000000000068</c:v>
                </c:pt>
                <c:pt idx="104">
                  <c:v>3.8050000000000068</c:v>
                </c:pt>
                <c:pt idx="105">
                  <c:v>3.8050000000000068</c:v>
                </c:pt>
                <c:pt idx="106">
                  <c:v>3.8050000000000068</c:v>
                </c:pt>
                <c:pt idx="107">
                  <c:v>3.8050000000000068</c:v>
                </c:pt>
                <c:pt idx="108">
                  <c:v>3.8050000000000068</c:v>
                </c:pt>
                <c:pt idx="109">
                  <c:v>3.8050000000000068</c:v>
                </c:pt>
                <c:pt idx="110">
                  <c:v>3.8050000000000068</c:v>
                </c:pt>
                <c:pt idx="111">
                  <c:v>3.8050000000000068</c:v>
                </c:pt>
                <c:pt idx="112">
                  <c:v>3.8050000000000068</c:v>
                </c:pt>
                <c:pt idx="113">
                  <c:v>3.8050000000000068</c:v>
                </c:pt>
                <c:pt idx="114">
                  <c:v>3.8050000000000068</c:v>
                </c:pt>
                <c:pt idx="115">
                  <c:v>3.8050000000000068</c:v>
                </c:pt>
                <c:pt idx="116">
                  <c:v>3.8050000000000068</c:v>
                </c:pt>
                <c:pt idx="117">
                  <c:v>3.8050000000000068</c:v>
                </c:pt>
                <c:pt idx="118">
                  <c:v>3.9388636363636418</c:v>
                </c:pt>
                <c:pt idx="119">
                  <c:v>3.9388636363636418</c:v>
                </c:pt>
                <c:pt idx="120">
                  <c:v>3.9388636363636418</c:v>
                </c:pt>
                <c:pt idx="121">
                  <c:v>3.9388636363636418</c:v>
                </c:pt>
                <c:pt idx="122">
                  <c:v>3.9388636363636418</c:v>
                </c:pt>
                <c:pt idx="123">
                  <c:v>3.9388636363636418</c:v>
                </c:pt>
                <c:pt idx="124">
                  <c:v>3.9388636363636418</c:v>
                </c:pt>
                <c:pt idx="125">
                  <c:v>3.9388636363636418</c:v>
                </c:pt>
                <c:pt idx="126">
                  <c:v>3.9388636363636418</c:v>
                </c:pt>
                <c:pt idx="127">
                  <c:v>3.9388636363636418</c:v>
                </c:pt>
                <c:pt idx="128">
                  <c:v>3.9388636363636418</c:v>
                </c:pt>
                <c:pt idx="129">
                  <c:v>3.9388636363636418</c:v>
                </c:pt>
                <c:pt idx="130">
                  <c:v>3.9388636363636418</c:v>
                </c:pt>
                <c:pt idx="131">
                  <c:v>3.9388636363636418</c:v>
                </c:pt>
                <c:pt idx="132">
                  <c:v>3.9388636363636418</c:v>
                </c:pt>
                <c:pt idx="133">
                  <c:v>3.9388636363636418</c:v>
                </c:pt>
                <c:pt idx="134">
                  <c:v>3.9388636363636418</c:v>
                </c:pt>
                <c:pt idx="135">
                  <c:v>3.9388636363636418</c:v>
                </c:pt>
                <c:pt idx="136">
                  <c:v>3.9388636363636418</c:v>
                </c:pt>
                <c:pt idx="137">
                  <c:v>3.9388636363636418</c:v>
                </c:pt>
                <c:pt idx="138">
                  <c:v>3.9388636363636418</c:v>
                </c:pt>
                <c:pt idx="139">
                  <c:v>3.9388636363636418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3.6427657924781268E-2</c:v>
                </c:pt>
                <c:pt idx="86">
                  <c:v>3.6431558199860173E-2</c:v>
                </c:pt>
                <c:pt idx="87">
                  <c:v>3.7261808282453818E-2</c:v>
                </c:pt>
                <c:pt idx="88">
                  <c:v>3.6847788190426556E-2</c:v>
                </c:pt>
                <c:pt idx="89">
                  <c:v>3.644286744108121E-2</c:v>
                </c:pt>
                <c:pt idx="90">
                  <c:v>3.6446594702263885E-2</c:v>
                </c:pt>
                <c:pt idx="91">
                  <c:v>3.644851826980474E-2</c:v>
                </c:pt>
                <c:pt idx="92">
                  <c:v>3.6450440184825017E-2</c:v>
                </c:pt>
                <c:pt idx="93">
                  <c:v>3.6452360503426443E-2</c:v>
                </c:pt>
                <c:pt idx="94">
                  <c:v>3.7599171872952919E-2</c:v>
                </c:pt>
                <c:pt idx="95">
                  <c:v>3.7211551544365777E-2</c:v>
                </c:pt>
                <c:pt idx="96">
                  <c:v>3.6831841834729387E-2</c:v>
                </c:pt>
                <c:pt idx="97">
                  <c:v>3.6459803028317979E-2</c:v>
                </c:pt>
                <c:pt idx="98">
                  <c:v>3.6461718344565686E-2</c:v>
                </c:pt>
                <c:pt idx="99">
                  <c:v>3.6463632312013071E-2</c:v>
                </c:pt>
                <c:pt idx="100">
                  <c:v>3.6465544973981141E-2</c:v>
                </c:pt>
                <c:pt idx="101">
                  <c:v>3.7179348002813473E-2</c:v>
                </c:pt>
                <c:pt idx="102">
                  <c:v>3.6821854272017188E-2</c:v>
                </c:pt>
                <c:pt idx="103">
                  <c:v>3.647116994561702E-2</c:v>
                </c:pt>
                <c:pt idx="104">
                  <c:v>3.6473078772016596E-2</c:v>
                </c:pt>
                <c:pt idx="105">
                  <c:v>3.6474986467440802E-2</c:v>
                </c:pt>
                <c:pt idx="106">
                  <c:v>3.6476893066755466E-2</c:v>
                </c:pt>
                <c:pt idx="107">
                  <c:v>3.6488984219320848E-2</c:v>
                </c:pt>
                <c:pt idx="108">
                  <c:v>3.7188141280763858E-2</c:v>
                </c:pt>
                <c:pt idx="109">
                  <c:v>3.6853112980937151E-2</c:v>
                </c:pt>
                <c:pt idx="110">
                  <c:v>3.652406732932164E-2</c:v>
                </c:pt>
                <c:pt idx="111">
                  <c:v>3.6535451952699881E-2</c:v>
                </c:pt>
                <c:pt idx="112">
                  <c:v>3.6546671289646317E-2</c:v>
                </c:pt>
                <c:pt idx="113">
                  <c:v>3.6557729655526588E-2</c:v>
                </c:pt>
                <c:pt idx="114">
                  <c:v>3.6568631216900627E-2</c:v>
                </c:pt>
                <c:pt idx="115">
                  <c:v>3.7225982366975677E-2</c:v>
                </c:pt>
                <c:pt idx="116">
                  <c:v>3.6910507940136901E-2</c:v>
                </c:pt>
                <c:pt idx="117">
                  <c:v>3.6600335604505499E-2</c:v>
                </c:pt>
                <c:pt idx="118">
                  <c:v>3.6610649668355144E-2</c:v>
                </c:pt>
                <c:pt idx="119">
                  <c:v>3.6620825726593115E-2</c:v>
                </c:pt>
                <c:pt idx="120">
                  <c:v>3.6630867176144888E-2</c:v>
                </c:pt>
                <c:pt idx="121">
                  <c:v>3.6640777303466827E-2</c:v>
                </c:pt>
                <c:pt idx="122">
                  <c:v>3.7261103539160088E-2</c:v>
                </c:pt>
                <c:pt idx="123">
                  <c:v>3.6963014710846807E-2</c:v>
                </c:pt>
                <c:pt idx="124">
                  <c:v>3.666965745123691E-2</c:v>
                </c:pt>
                <c:pt idx="125">
                  <c:v>3.6679073823695452E-2</c:v>
                </c:pt>
                <c:pt idx="126">
                  <c:v>3.668837378647434E-2</c:v>
                </c:pt>
                <c:pt idx="127">
                  <c:v>3.6697560049941264E-2</c:v>
                </c:pt>
                <c:pt idx="128">
                  <c:v>3.6706635241067979E-2</c:v>
                </c:pt>
                <c:pt idx="129">
                  <c:v>3.7583111870604723E-2</c:v>
                </c:pt>
                <c:pt idx="130">
                  <c:v>3.7298391326130442E-2</c:v>
                </c:pt>
                <c:pt idx="131">
                  <c:v>3.7017952293603149E-2</c:v>
                </c:pt>
                <c:pt idx="132">
                  <c:v>3.6741698918277749E-2</c:v>
                </c:pt>
                <c:pt idx="133">
                  <c:v>3.6750256735077258E-2</c:v>
                </c:pt>
                <c:pt idx="134">
                  <c:v>3.6758717639672853E-2</c:v>
                </c:pt>
                <c:pt idx="135">
                  <c:v>3.6767083757212306E-2</c:v>
                </c:pt>
                <c:pt idx="136">
                  <c:v>3.7324760225648838E-2</c:v>
                </c:pt>
                <c:pt idx="137">
                  <c:v>3.7056236770788058E-2</c:v>
                </c:pt>
                <c:pt idx="138">
                  <c:v>3.6791549365282429E-2</c:v>
                </c:pt>
                <c:pt idx="139">
                  <c:v>3.6799556976407861E-2</c:v>
                </c:pt>
                <c:pt idx="140">
                  <c:v>3.6807479536859311E-2</c:v>
                </c:pt>
                <c:pt idx="141">
                  <c:v>3.6815318833777019E-2</c:v>
                </c:pt>
                <c:pt idx="142">
                  <c:v>3.6823076604657334E-2</c:v>
                </c:pt>
                <c:pt idx="143">
                  <c:v>3.7354014912779669E-2</c:v>
                </c:pt>
                <c:pt idx="144">
                  <c:v>3.7098165495568852E-2</c:v>
                </c:pt>
                <c:pt idx="145">
                  <c:v>3.6845797022809879E-2</c:v>
                </c:pt>
                <c:pt idx="146">
                  <c:v>3.6853245665102612E-2</c:v>
                </c:pt>
                <c:pt idx="147">
                  <c:v>3.6860620774545869E-2</c:v>
                </c:pt>
                <c:pt idx="148">
                  <c:v>3.6867923824525126E-2</c:v>
                </c:pt>
                <c:pt idx="149">
                  <c:v>3.6879623072104059E-2</c:v>
                </c:pt>
                <c:pt idx="150">
                  <c:v>3.7399597795222568E-2</c:v>
                </c:pt>
                <c:pt idx="151">
                  <c:v>3.715515597956752E-2</c:v>
                </c:pt>
                <c:pt idx="152">
                  <c:v>3.6913888732946952E-2</c:v>
                </c:pt>
                <c:pt idx="153">
                  <c:v>3.692509490445136E-2</c:v>
                </c:pt>
                <c:pt idx="154">
                  <c:v>3.693618359413927E-2</c:v>
                </c:pt>
                <c:pt idx="155">
                  <c:v>3.6947157049636054E-2</c:v>
                </c:pt>
                <c:pt idx="156">
                  <c:v>3.6958017461666194E-2</c:v>
                </c:pt>
                <c:pt idx="157">
                  <c:v>3.745514669697917E-2</c:v>
                </c:pt>
                <c:pt idx="158">
                  <c:v>3.7221052030123047E-2</c:v>
                </c:pt>
                <c:pt idx="159">
                  <c:v>3.6989865371550856E-2</c:v>
                </c:pt>
                <c:pt idx="160">
                  <c:v>3.7000294902260755E-2</c:v>
                </c:pt>
                <c:pt idx="161">
                  <c:v>3.724794386052236E-2</c:v>
                </c:pt>
                <c:pt idx="162">
                  <c:v>3.7020822251616736E-2</c:v>
                </c:pt>
                <c:pt idx="163">
                  <c:v>3.7030948873240342E-2</c:v>
                </c:pt>
                <c:pt idx="164">
                  <c:v>3.7507192632777173E-2</c:v>
                </c:pt>
                <c:pt idx="165">
                  <c:v>3.7282598664916226E-2</c:v>
                </c:pt>
                <c:pt idx="166">
                  <c:v>3.7060678434767916E-2</c:v>
                </c:pt>
                <c:pt idx="167">
                  <c:v>3.7070426338191964E-2</c:v>
                </c:pt>
                <c:pt idx="168">
                  <c:v>3.7080083626448171E-2</c:v>
                </c:pt>
                <c:pt idx="169">
                  <c:v>3.7089651891805776E-2</c:v>
                </c:pt>
                <c:pt idx="170">
                  <c:v>3.7099132689504009E-2</c:v>
                </c:pt>
                <c:pt idx="171">
                  <c:v>3.7556208944853585E-2</c:v>
                </c:pt>
                <c:pt idx="172">
                  <c:v>3.7340368663561323E-2</c:v>
                </c:pt>
                <c:pt idx="173">
                  <c:v>3.7126995128340973E-2</c:v>
                </c:pt>
                <c:pt idx="174">
                  <c:v>3.7136141295206634E-2</c:v>
                </c:pt>
                <c:pt idx="175">
                  <c:v>3.7145207246944624E-2</c:v>
                </c:pt>
                <c:pt idx="176">
                  <c:v>3.7371862368498182E-2</c:v>
                </c:pt>
                <c:pt idx="177">
                  <c:v>3.7163081014484227E-2</c:v>
                </c:pt>
                <c:pt idx="178">
                  <c:v>3.7602504448043916E-2</c:v>
                </c:pt>
                <c:pt idx="179">
                  <c:v>3.7394755804684557E-2</c:v>
                </c:pt>
                <c:pt idx="180">
                  <c:v>3.7189290113450027E-2</c:v>
                </c:pt>
                <c:pt idx="181">
                  <c:v>3.7197902668278771E-2</c:v>
                </c:pt>
                <c:pt idx="182">
                  <c:v>3.7206443876240412E-2</c:v>
                </c:pt>
                <c:pt idx="183">
                  <c:v>3.7214914896652226E-2</c:v>
                </c:pt>
                <c:pt idx="184">
                  <c:v>3.7223316863899486E-2</c:v>
                </c:pt>
                <c:pt idx="185">
                  <c:v>3.7646429277302912E-2</c:v>
                </c:pt>
                <c:pt idx="186">
                  <c:v>3.7446182313061939E-2</c:v>
                </c:pt>
                <c:pt idx="187">
                  <c:v>3.724805436431558E-2</c:v>
                </c:pt>
                <c:pt idx="188">
                  <c:v>3.7256191322640062E-2</c:v>
                </c:pt>
                <c:pt idx="189">
                  <c:v>3.7264264544848082E-2</c:v>
                </c:pt>
                <c:pt idx="190">
                  <c:v>3.7272275029073404E-2</c:v>
                </c:pt>
                <c:pt idx="191">
                  <c:v>3.7287297568872946E-2</c:v>
                </c:pt>
                <c:pt idx="192">
                  <c:v>3.7716373671664867E-2</c:v>
                </c:pt>
                <c:pt idx="193">
                  <c:v>3.7522956370784538E-2</c:v>
                </c:pt>
                <c:pt idx="194">
                  <c:v>3.7331512715831551E-2</c:v>
                </c:pt>
                <c:pt idx="195">
                  <c:v>3.7346018782379357E-2</c:v>
                </c:pt>
                <c:pt idx="196">
                  <c:v>3.7360400531168653E-2</c:v>
                </c:pt>
                <c:pt idx="197">
                  <c:v>3.7374659838754265E-2</c:v>
                </c:pt>
                <c:pt idx="198">
                  <c:v>3.7388798544159926E-2</c:v>
                </c:pt>
                <c:pt idx="199">
                  <c:v>3.7802886107327127E-2</c:v>
                </c:pt>
                <c:pt idx="200">
                  <c:v>3.7615743106795808E-2</c:v>
                </c:pt>
                <c:pt idx="201">
                  <c:v>3.7430443879668734E-2</c:v>
                </c:pt>
                <c:pt idx="202">
                  <c:v>3.7444118159696609E-2</c:v>
                </c:pt>
                <c:pt idx="203">
                  <c:v>3.7457680498385951E-2</c:v>
                </c:pt>
                <c:pt idx="204">
                  <c:v>3.7471132528287578E-2</c:v>
                </c:pt>
                <c:pt idx="205">
                  <c:v>3.8067565708475318E-2</c:v>
                </c:pt>
                <c:pt idx="206">
                  <c:v>3.788454856564611E-2</c:v>
                </c:pt>
                <c:pt idx="207">
                  <c:v>3.7703282783035363E-2</c:v>
                </c:pt>
                <c:pt idx="208">
                  <c:v>3.7523743341211384E-2</c:v>
                </c:pt>
                <c:pt idx="209">
                  <c:v>3.7536667819821228E-2</c:v>
                </c:pt>
                <c:pt idx="210">
                  <c:v>3.7549491142768711E-2</c:v>
                </c:pt>
                <c:pt idx="211">
                  <c:v>3.75622147370437E-2</c:v>
                </c:pt>
                <c:pt idx="212">
                  <c:v>3.8139288904512653E-2</c:v>
                </c:pt>
                <c:pt idx="213">
                  <c:v>3.7961896863096319E-2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zoomScale="75" zoomScaleNormal="75" workbookViewId="0">
      <selection activeCell="J38" sqref="J38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46261.392455092595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46261.392455092595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8.7774329166734333E-4</v>
      </c>
      <c r="H3" s="33">
        <f>INPUT!H37</f>
        <v>96.355000000000004</v>
      </c>
      <c r="I3" s="34">
        <f t="shared" ref="I3:I9" si="0">100-H3</f>
        <v>3.644999999999996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-2.9313495516163357E-3</v>
      </c>
      <c r="H4" s="44">
        <f>INPUT!H38</f>
        <v>96.314999999999998</v>
      </c>
      <c r="I4" s="45">
        <f t="shared" si="0"/>
        <v>3.6850000000000023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96.367500000000007</v>
      </c>
      <c r="C5" s="45">
        <f t="shared" ref="C5:C9" si="3">100-B5</f>
        <v>3.6324999999999932</v>
      </c>
      <c r="D5" s="145">
        <f t="shared" ref="D5:D9" si="4">B5-E5</f>
        <v>7.5000000000073896E-3</v>
      </c>
      <c r="E5" s="44">
        <f>INPUT!H19</f>
        <v>96.36</v>
      </c>
      <c r="F5" s="45">
        <f t="shared" ref="F5:F9" si="5">100-E5</f>
        <v>3.6400000000000006</v>
      </c>
      <c r="G5" s="326">
        <f ca="1">'3M SOFR CALCS'!F38</f>
        <v>2.4013512182676777E-3</v>
      </c>
      <c r="H5" s="44">
        <f>INPUT!H39</f>
        <v>96.26</v>
      </c>
      <c r="I5" s="45">
        <f>100-H5</f>
        <v>3.7399999999999949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3.6324999999999932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96.325000000000003</v>
      </c>
      <c r="C6" s="34">
        <f t="shared" si="3"/>
        <v>3.6749999999999972</v>
      </c>
      <c r="D6" s="286">
        <f t="shared" si="4"/>
        <v>5.0000000000096634E-3</v>
      </c>
      <c r="E6" s="33">
        <f>INPUT!H20</f>
        <v>96.32</v>
      </c>
      <c r="F6" s="34">
        <f t="shared" si="5"/>
        <v>3.6800000000000068</v>
      </c>
      <c r="G6" s="325">
        <f ca="1">'3M SOFR CALCS'!F39</f>
        <v>-3.9639405673312922E-3</v>
      </c>
      <c r="H6" s="33">
        <f>INPUT!H40</f>
        <v>96.204999999999998</v>
      </c>
      <c r="I6" s="34">
        <f>100-H6</f>
        <v>3.7950000000000017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3.6320312499999901</v>
      </c>
      <c r="Q6" s="414"/>
      <c r="R6" s="409">
        <f ca="1">'DAILY EXTRAPOLATION'!K2477</f>
        <v>3.7241071428571475</v>
      </c>
      <c r="S6" s="36">
        <f ca="1">R6-Q5</f>
        <v>9.1607142857154322E-2</v>
      </c>
      <c r="T6" s="37">
        <f t="shared" ca="1" si="6"/>
        <v>9.1607142857154322E-2</v>
      </c>
      <c r="U6" s="40">
        <v>0.21196428571408532</v>
      </c>
      <c r="V6" s="40">
        <f t="shared" ca="1" si="2"/>
        <v>0.120357142856931</v>
      </c>
      <c r="W6" s="18"/>
    </row>
    <row r="7" spans="1:24">
      <c r="A7" s="38">
        <v>46296</v>
      </c>
      <c r="B7" s="44">
        <f>INPUT!H4</f>
        <v>96.27</v>
      </c>
      <c r="C7" s="45">
        <f>100-B7</f>
        <v>3.730000000000004</v>
      </c>
      <c r="D7" s="145">
        <f>B7-E7</f>
        <v>1.5000000000000568E-2</v>
      </c>
      <c r="E7" s="44">
        <f>INPUT!H21</f>
        <v>96.254999999999995</v>
      </c>
      <c r="F7" s="45">
        <f>100-E7</f>
        <v>3.7450000000000045</v>
      </c>
      <c r="G7" s="391">
        <v>2027</v>
      </c>
      <c r="H7" s="44">
        <f>INPUT!H41</f>
        <v>96.12</v>
      </c>
      <c r="I7" s="45">
        <f t="shared" si="0"/>
        <v>3.8799999999999955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3.7241071428571475</v>
      </c>
      <c r="Q7" s="40"/>
      <c r="R7" s="372">
        <f>'DAILY EXTRAPOLATION'!K2507</f>
        <v>3.7849999999999966</v>
      </c>
      <c r="S7" s="40">
        <f ca="1">R7-P7</f>
        <v>6.0892857142849088E-2</v>
      </c>
      <c r="T7" s="41">
        <f t="shared" ca="1" si="6"/>
        <v>0.15250000000000341</v>
      </c>
      <c r="U7" s="40">
        <v>0.29499999999980275</v>
      </c>
      <c r="V7" s="40">
        <f t="shared" ca="1" si="2"/>
        <v>0.14249999999979934</v>
      </c>
      <c r="W7" s="18"/>
    </row>
    <row r="8" spans="1:24">
      <c r="A8" s="38">
        <v>46327</v>
      </c>
      <c r="B8" s="44">
        <f>INPUT!H5</f>
        <v>96.215000000000003</v>
      </c>
      <c r="C8" s="45">
        <f>100-B8</f>
        <v>3.7849999999999966</v>
      </c>
      <c r="D8" s="145">
        <f>B8-E8</f>
        <v>2.0000000000010232E-2</v>
      </c>
      <c r="E8" s="44">
        <f>INPUT!H22</f>
        <v>96.194999999999993</v>
      </c>
      <c r="F8" s="45">
        <f>100-E8</f>
        <v>3.8050000000000068</v>
      </c>
      <c r="G8" s="391">
        <v>2027</v>
      </c>
      <c r="H8" s="44">
        <f>INPUT!H42</f>
        <v>96.08</v>
      </c>
      <c r="I8" s="45">
        <f t="shared" ref="I8" si="7">100-H8</f>
        <v>3.9200000000000017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3.7849999999999966</v>
      </c>
      <c r="R8" s="40"/>
      <c r="S8" s="40"/>
      <c r="T8" s="41">
        <f t="shared" ca="1" si="6"/>
        <v>0.15250000000000341</v>
      </c>
      <c r="U8" s="40">
        <v>0.29499999999980275</v>
      </c>
      <c r="V8" s="40">
        <f t="shared" ca="1" si="2"/>
        <v>0.14249999999979934</v>
      </c>
    </row>
    <row r="9" spans="1:24" ht="15.75" thickBot="1">
      <c r="A9" s="43">
        <v>46357</v>
      </c>
      <c r="B9" s="50">
        <f>INPUT!H6</f>
        <v>96.135000000000005</v>
      </c>
      <c r="C9" s="51">
        <f t="shared" si="3"/>
        <v>3.8649999999999949</v>
      </c>
      <c r="D9" s="399">
        <f t="shared" si="4"/>
        <v>3.50000000000108E-2</v>
      </c>
      <c r="E9" s="50">
        <f>INPUT!H23</f>
        <v>96.1</v>
      </c>
      <c r="F9" s="51">
        <f t="shared" si="5"/>
        <v>3.9000000000000057</v>
      </c>
      <c r="G9" s="392">
        <v>2027</v>
      </c>
      <c r="H9" s="50">
        <f>INPUT!H43</f>
        <v>96.04</v>
      </c>
      <c r="I9" s="51">
        <f t="shared" si="0"/>
        <v>3.9599999999999937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3.7849999999999966</v>
      </c>
      <c r="Q9" s="410"/>
      <c r="R9" s="410">
        <f ca="1">'DAILY EXTRAPOLATION'!K2586</f>
        <v>3.8977272727272667</v>
      </c>
      <c r="S9" s="47">
        <f ca="1">R9-P9</f>
        <v>0.11272727272727012</v>
      </c>
      <c r="T9" s="48">
        <f t="shared" ca="1" si="6"/>
        <v>0.26522727272727353</v>
      </c>
      <c r="U9" s="40">
        <v>0.38659090909070848</v>
      </c>
      <c r="V9" s="40">
        <f t="shared" ca="1" si="2"/>
        <v>0.12136363636343495</v>
      </c>
    </row>
    <row r="10" spans="1:24">
      <c r="R10" s="177" t="s">
        <v>246</v>
      </c>
      <c r="S10" s="420">
        <v>0.25</v>
      </c>
      <c r="T10" s="423">
        <f ca="1">T9/S10</f>
        <v>1.0609090909090941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tabSelected="1" zoomScale="75" zoomScaleNormal="75" workbookViewId="0">
      <pane ySplit="1" topLeftCell="A2434" activePane="bottomLeft" state="frozen"/>
      <selection pane="bottomLeft" activeCell="E2459" sqref="E2459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3.6324999999999932</v>
      </c>
      <c r="L2446" s="194">
        <f>L2448</f>
        <v>3.6400000000000006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46260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3.6324999999999932</v>
      </c>
      <c r="L2448" s="180">
        <f>OUTPUT!F5</f>
        <v>3.6400000000000006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46260</v>
      </c>
      <c r="R2448" s="466">
        <v>3.64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112.60749999999979</v>
      </c>
      <c r="L2450" s="178">
        <f>L2448*L2438</f>
        <v>112.84000000000002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112.60749999999979</v>
      </c>
      <c r="L2452" s="192">
        <f>L2450</f>
        <v>112.84000000000002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90.749999999999986</v>
      </c>
      <c r="L2453" s="192">
        <f ca="1">SUM(INDIRECT(L2442))</f>
        <v>90.970000000000013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21.857499999999803</v>
      </c>
      <c r="L2455" s="201">
        <f ca="1">L2450-L2453-L2454</f>
        <v>21.870000000000005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25</v>
      </c>
      <c r="L2458" s="179">
        <f ca="1">COUNTA(INDIRECT(L2442))</f>
        <v>25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6</v>
      </c>
      <c r="L2460" s="202">
        <f ca="1">L2457-L2458-L2459</f>
        <v>6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>
        <f t="shared" ref="A2462:A2467" ca="1" si="227">K$2464</f>
        <v>3.6429166666666339</v>
      </c>
      <c r="B2462" s="228">
        <f t="shared" ref="B2462:B2467" ca="1" si="228">L$2464</f>
        <v>3.6450000000000009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21.857499999999803</v>
      </c>
      <c r="L2462" s="192">
        <f ca="1">L2455</f>
        <v>21.870000000000005</v>
      </c>
      <c r="M2462" s="113">
        <f t="shared" si="225"/>
        <v>1</v>
      </c>
      <c r="N2462" s="64">
        <f t="shared" ca="1" si="226"/>
        <v>1.0001012499999999</v>
      </c>
    </row>
    <row r="2463" spans="1:14">
      <c r="A2463" s="84">
        <f t="shared" ca="1" si="227"/>
        <v>3.6429166666666339</v>
      </c>
      <c r="B2463" s="228">
        <f t="shared" ca="1" si="228"/>
        <v>3.6450000000000009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6</v>
      </c>
      <c r="L2463" s="223">
        <f ca="1">L2460</f>
        <v>6</v>
      </c>
      <c r="M2463" s="113">
        <f t="shared" si="225"/>
        <v>1</v>
      </c>
      <c r="N2463" s="64">
        <f t="shared" ca="1" si="226"/>
        <v>1.0001012499999999</v>
      </c>
    </row>
    <row r="2464" spans="1:14">
      <c r="A2464" s="84">
        <f t="shared" ca="1" si="227"/>
        <v>3.6429166666666339</v>
      </c>
      <c r="B2464" s="228">
        <f t="shared" ca="1" si="228"/>
        <v>3.6450000000000009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3.6429166666666339</v>
      </c>
      <c r="L2464" s="192">
        <f ca="1">L2462/L2463</f>
        <v>3.6450000000000009</v>
      </c>
      <c r="M2464" s="113">
        <f t="shared" si="225"/>
        <v>3</v>
      </c>
      <c r="N2464" s="64">
        <f t="shared" ca="1" si="226"/>
        <v>1.00030375</v>
      </c>
    </row>
    <row r="2465" spans="1:14">
      <c r="A2465" s="84">
        <f t="shared" ca="1" si="227"/>
        <v>3.6429166666666339</v>
      </c>
      <c r="B2465" s="228">
        <f t="shared" ca="1" si="228"/>
        <v>3.6450000000000009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3.6429166666666339</v>
      </c>
      <c r="B2466" s="228">
        <f t="shared" ca="1" si="228"/>
        <v>3.6450000000000009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3.6429166666666339</v>
      </c>
      <c r="B2467" s="408">
        <f t="shared" ca="1" si="228"/>
        <v>3.6450000000000009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1.0001012499999999</v>
      </c>
    </row>
    <row r="2468" spans="1:14">
      <c r="A2468" s="39">
        <f ca="1">K$2495</f>
        <v>3.6320312499999901</v>
      </c>
      <c r="B2468" s="41">
        <f t="shared" ref="B2468:B2483" ca="1" si="229">L$2495</f>
        <v>3.628750000000009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1.000100798611111</v>
      </c>
    </row>
    <row r="2469" spans="1:14">
      <c r="A2469" s="39">
        <f t="shared" ref="A2469:A2483" ca="1" si="230">K$2495</f>
        <v>3.6320312499999901</v>
      </c>
      <c r="B2469" s="41">
        <f t="shared" ca="1" si="229"/>
        <v>3.628750000000009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1.000100798611111</v>
      </c>
    </row>
    <row r="2470" spans="1:14">
      <c r="A2470" s="39">
        <f t="shared" ca="1" si="230"/>
        <v>3.6320312499999901</v>
      </c>
      <c r="B2470" s="41">
        <f t="shared" ca="1" si="229"/>
        <v>3.628750000000009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1.000100798611111</v>
      </c>
    </row>
    <row r="2471" spans="1:14">
      <c r="A2471" s="39">
        <f t="shared" ca="1" si="230"/>
        <v>3.6320312499999901</v>
      </c>
      <c r="B2471" s="41">
        <f t="shared" ca="1" si="229"/>
        <v>3.628750000000009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1.0004031944444445</v>
      </c>
    </row>
    <row r="2472" spans="1:14">
      <c r="A2472" s="39">
        <f t="shared" ca="1" si="230"/>
        <v>3.6320312499999901</v>
      </c>
      <c r="B2472" s="41">
        <f t="shared" ca="1" si="229"/>
        <v>3.628750000000009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3.6320312499999901</v>
      </c>
      <c r="B2473" s="41">
        <f t="shared" ca="1" si="229"/>
        <v>3.628750000000009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3.6320312499999901</v>
      </c>
      <c r="B2474" s="41">
        <f t="shared" ca="1" si="229"/>
        <v>3.628750000000009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3.6320312499999901</v>
      </c>
      <c r="B2475" s="41">
        <f t="shared" ca="1" si="229"/>
        <v>3.628750000000009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1.000100798611111</v>
      </c>
    </row>
    <row r="2476" spans="1:14">
      <c r="A2476" s="39">
        <f t="shared" ca="1" si="230"/>
        <v>3.6320312499999901</v>
      </c>
      <c r="B2476" s="41">
        <f t="shared" ca="1" si="229"/>
        <v>3.628750000000009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1.000100798611111</v>
      </c>
    </row>
    <row r="2477" spans="1:14">
      <c r="A2477" s="39">
        <f t="shared" ca="1" si="230"/>
        <v>3.6320312499999901</v>
      </c>
      <c r="B2477" s="41">
        <f t="shared" ca="1" si="229"/>
        <v>3.628750000000009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3.7241071428571475</v>
      </c>
      <c r="L2477" s="194">
        <f ca="1">B2499+H2499</f>
        <v>3.7385714285714329</v>
      </c>
      <c r="M2477" s="113">
        <f t="shared" si="231"/>
        <v>1</v>
      </c>
      <c r="N2477" s="64">
        <f t="shared" ca="1" si="226"/>
        <v>1.000100798611111</v>
      </c>
    </row>
    <row r="2478" spans="1:14">
      <c r="A2478" s="39">
        <f t="shared" ca="1" si="230"/>
        <v>3.6320312499999901</v>
      </c>
      <c r="B2478" s="41">
        <f t="shared" ca="1" si="229"/>
        <v>3.628750000000009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1.0003023958333332</v>
      </c>
    </row>
    <row r="2479" spans="1:14">
      <c r="A2479" s="39">
        <f t="shared" ca="1" si="230"/>
        <v>3.6320312499999901</v>
      </c>
      <c r="B2479" s="41">
        <f t="shared" ca="1" si="229"/>
        <v>3.628750000000009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3.6749999999999972</v>
      </c>
      <c r="L2479" s="193">
        <f>OUTPUT!F6</f>
        <v>3.6800000000000068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3.6320312499999901</v>
      </c>
      <c r="B2480" s="41">
        <f t="shared" ca="1" si="229"/>
        <v>3.628750000000009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3.6320312499999901</v>
      </c>
      <c r="B2481" s="41">
        <f t="shared" ca="1" si="229"/>
        <v>3.628750000000009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110.24999999999991</v>
      </c>
      <c r="L2481" s="192">
        <f>L2479*L2469</f>
        <v>110.4000000000002</v>
      </c>
      <c r="M2481" s="113">
        <f t="shared" si="231"/>
        <v>1</v>
      </c>
      <c r="N2481" s="64">
        <f t="shared" ca="1" si="226"/>
        <v>1.000100798611111</v>
      </c>
    </row>
    <row r="2482" spans="1:14">
      <c r="A2482" s="39">
        <f t="shared" ca="1" si="230"/>
        <v>3.6320312499999901</v>
      </c>
      <c r="B2482" s="41">
        <f t="shared" ca="1" si="229"/>
        <v>3.628750000000009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1.000100798611111</v>
      </c>
    </row>
    <row r="2483" spans="1:14">
      <c r="A2483" s="39">
        <f t="shared" ca="1" si="230"/>
        <v>3.6320312499999901</v>
      </c>
      <c r="B2483" s="41">
        <f t="shared" ca="1" si="229"/>
        <v>3.628750000000009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110.24999999999991</v>
      </c>
      <c r="L2483" s="192">
        <f>L2481</f>
        <v>110.4000000000002</v>
      </c>
      <c r="M2483" s="113">
        <f t="shared" si="231"/>
        <v>1</v>
      </c>
      <c r="N2483" s="64">
        <f t="shared" ca="1" si="226"/>
        <v>1.000100798611111</v>
      </c>
    </row>
    <row r="2484" spans="1:14">
      <c r="A2484" s="304">
        <f ca="1">K$2477</f>
        <v>3.7241071428571475</v>
      </c>
      <c r="B2484" s="305">
        <f t="shared" ref="B2484:B2497" ca="1" si="232">L$2477</f>
        <v>3.7385714285714329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1.0001038492063492</v>
      </c>
    </row>
    <row r="2485" spans="1:14">
      <c r="A2485" s="304">
        <f t="shared" ref="A2485:A2497" ca="1" si="233">K$2477</f>
        <v>3.7241071428571475</v>
      </c>
      <c r="B2485" s="305">
        <f t="shared" ca="1" si="232"/>
        <v>3.7385714285714329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52.137500000000074</v>
      </c>
      <c r="L2485" s="401">
        <f ca="1">SUM(INDIRECT(L2475))</f>
        <v>52.34000000000006</v>
      </c>
      <c r="M2485" s="113">
        <f t="shared" si="231"/>
        <v>3</v>
      </c>
      <c r="N2485" s="64">
        <f t="shared" ca="1" si="226"/>
        <v>1.0003115476190476</v>
      </c>
    </row>
    <row r="2486" spans="1:14">
      <c r="A2486" s="304">
        <f t="shared" ca="1" si="233"/>
        <v>3.7241071428571475</v>
      </c>
      <c r="B2486" s="305">
        <f t="shared" ca="1" si="232"/>
        <v>3.7385714285714329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58.112499999999841</v>
      </c>
      <c r="L2486" s="201">
        <f ca="1">L2481-L2484-L2485</f>
        <v>58.060000000000144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3.7241071428571475</v>
      </c>
      <c r="B2487" s="305">
        <f t="shared" ca="1" si="232"/>
        <v>3.7385714285714329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3.7241071428571475</v>
      </c>
      <c r="B2488" s="305">
        <f t="shared" ca="1" si="232"/>
        <v>3.7385714285714329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1.0001038492063492</v>
      </c>
    </row>
    <row r="2489" spans="1:14">
      <c r="A2489" s="304">
        <f t="shared" ca="1" si="233"/>
        <v>3.7241071428571475</v>
      </c>
      <c r="B2489" s="305">
        <f t="shared" ca="1" si="232"/>
        <v>3.7385714285714329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1.0001038492063492</v>
      </c>
    </row>
    <row r="2490" spans="1:14">
      <c r="A2490" s="304">
        <f t="shared" ca="1" si="233"/>
        <v>3.7241071428571475</v>
      </c>
      <c r="B2490" s="305">
        <f t="shared" ca="1" si="232"/>
        <v>3.7385714285714329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1.0001038492063492</v>
      </c>
    </row>
    <row r="2491" spans="1:14">
      <c r="A2491" s="304">
        <f t="shared" ca="1" si="233"/>
        <v>3.7241071428571475</v>
      </c>
      <c r="B2491" s="305">
        <f t="shared" ca="1" si="232"/>
        <v>3.7385714285714329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1.0001038492063492</v>
      </c>
    </row>
    <row r="2492" spans="1:14">
      <c r="A2492" s="304">
        <f t="shared" ca="1" si="233"/>
        <v>3.7241071428571475</v>
      </c>
      <c r="B2492" s="305">
        <f t="shared" ca="1" si="232"/>
        <v>3.7385714285714329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1.0003115476190476</v>
      </c>
    </row>
    <row r="2493" spans="1:14">
      <c r="A2493" s="304">
        <f t="shared" ca="1" si="233"/>
        <v>3.7241071428571475</v>
      </c>
      <c r="B2493" s="305">
        <f t="shared" ca="1" si="232"/>
        <v>3.7385714285714329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58.112499999999841</v>
      </c>
      <c r="L2493" s="192">
        <f ca="1">L2486</f>
        <v>58.060000000000144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3.7241071428571475</v>
      </c>
      <c r="B2494" s="305">
        <f t="shared" ca="1" si="232"/>
        <v>3.7385714285714329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3.7241071428571475</v>
      </c>
      <c r="B2495" s="305">
        <f t="shared" ca="1" si="232"/>
        <v>3.7385714285714329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3.6320312499999901</v>
      </c>
      <c r="L2495" s="192">
        <f ca="1">L2493/L2494</f>
        <v>3.628750000000009</v>
      </c>
      <c r="M2495" s="113">
        <f t="shared" si="231"/>
        <v>1</v>
      </c>
      <c r="N2495" s="64">
        <f t="shared" ca="1" si="226"/>
        <v>1.0001038492063492</v>
      </c>
    </row>
    <row r="2496" spans="1:14">
      <c r="A2496" s="304">
        <f t="shared" ca="1" si="233"/>
        <v>3.7241071428571475</v>
      </c>
      <c r="B2496" s="305">
        <f t="shared" ca="1" si="232"/>
        <v>3.7385714285714329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1.0001038492063492</v>
      </c>
    </row>
    <row r="2497" spans="1:14" ht="15.75" thickBot="1">
      <c r="A2497" s="405">
        <f t="shared" ca="1" si="233"/>
        <v>3.7241071428571475</v>
      </c>
      <c r="B2497" s="406">
        <f t="shared" ca="1" si="232"/>
        <v>3.7385714285714329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1.0001038492063492</v>
      </c>
    </row>
    <row r="2498" spans="1:14">
      <c r="A2498" s="39">
        <f t="shared" ref="A2498:A2524" ca="1" si="234">K$2525</f>
        <v>3.7241071428571475</v>
      </c>
      <c r="B2498" s="41">
        <f t="shared" ref="B2498:B2525" ca="1" si="235">L$2525</f>
        <v>3.7385714285714329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1.0001038492063492</v>
      </c>
    </row>
    <row r="2499" spans="1:14">
      <c r="A2499" s="39">
        <f t="shared" ca="1" si="234"/>
        <v>3.7241071428571475</v>
      </c>
      <c r="B2499" s="41">
        <f t="shared" ca="1" si="235"/>
        <v>3.7385714285714329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1.0003115476190476</v>
      </c>
    </row>
    <row r="2500" spans="1:14">
      <c r="A2500" s="39">
        <f t="shared" ca="1" si="234"/>
        <v>3.7241071428571475</v>
      </c>
      <c r="B2500" s="41">
        <f t="shared" ca="1" si="235"/>
        <v>3.7385714285714329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3.7241071428571475</v>
      </c>
      <c r="B2501" s="41">
        <f t="shared" ca="1" si="235"/>
        <v>3.7385714285714329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3.7241071428571475</v>
      </c>
      <c r="B2502" s="41">
        <f t="shared" ca="1" si="235"/>
        <v>3.7385714285714329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1.0001038492063492</v>
      </c>
    </row>
    <row r="2503" spans="1:14">
      <c r="A2503" s="39">
        <f t="shared" ca="1" si="234"/>
        <v>3.7241071428571475</v>
      </c>
      <c r="B2503" s="41">
        <f t="shared" ca="1" si="235"/>
        <v>3.7385714285714329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1.0001038492063492</v>
      </c>
    </row>
    <row r="2504" spans="1:14">
      <c r="A2504" s="39">
        <f t="shared" ca="1" si="234"/>
        <v>3.7241071428571475</v>
      </c>
      <c r="B2504" s="41">
        <f t="shared" ca="1" si="235"/>
        <v>3.7385714285714329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1.0001038492063492</v>
      </c>
    </row>
    <row r="2505" spans="1:14">
      <c r="A2505" s="39">
        <f t="shared" ca="1" si="234"/>
        <v>3.7241071428571475</v>
      </c>
      <c r="B2505" s="41">
        <f t="shared" ca="1" si="235"/>
        <v>3.7385714285714329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1.0001038492063492</v>
      </c>
    </row>
    <row r="2506" spans="1:14">
      <c r="A2506" s="39">
        <f t="shared" ca="1" si="234"/>
        <v>3.7241071428571475</v>
      </c>
      <c r="B2506" s="41">
        <f t="shared" ca="1" si="235"/>
        <v>3.7385714285714329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1.0004153968253968</v>
      </c>
    </row>
    <row r="2507" spans="1:14">
      <c r="A2507" s="39">
        <f t="shared" ca="1" si="234"/>
        <v>3.7241071428571475</v>
      </c>
      <c r="B2507" s="41">
        <f t="shared" ca="1" si="235"/>
        <v>3.7385714285714329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3.7849999999999966</v>
      </c>
      <c r="L2507" s="194">
        <f>B2529+H2529</f>
        <v>3.8050000000000068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3.7241071428571475</v>
      </c>
      <c r="B2508" s="41">
        <f t="shared" ca="1" si="235"/>
        <v>3.7385714285714329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3.7241071428571475</v>
      </c>
      <c r="B2509" s="41">
        <f t="shared" ca="1" si="235"/>
        <v>3.7385714285714329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3.730000000000004</v>
      </c>
      <c r="L2509" s="180">
        <f>OUTPUT!F7</f>
        <v>3.7450000000000045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3.7241071428571475</v>
      </c>
      <c r="B2510" s="41">
        <f t="shared" ca="1" si="235"/>
        <v>3.7385714285714329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1.0001038492063492</v>
      </c>
    </row>
    <row r="2511" spans="1:14">
      <c r="A2511" s="39">
        <f t="shared" ca="1" si="234"/>
        <v>3.7241071428571475</v>
      </c>
      <c r="B2511" s="41">
        <f t="shared" ca="1" si="235"/>
        <v>3.7385714285714329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115.63000000000012</v>
      </c>
      <c r="L2511" s="178">
        <f>L2509*L2499</f>
        <v>116.09500000000014</v>
      </c>
      <c r="M2511" s="113">
        <f t="shared" si="238"/>
        <v>1</v>
      </c>
      <c r="N2511" s="64">
        <f t="shared" ca="1" si="226"/>
        <v>1.0001038492063492</v>
      </c>
    </row>
    <row r="2512" spans="1:14">
      <c r="A2512" s="39">
        <f t="shared" ca="1" si="234"/>
        <v>3.7241071428571475</v>
      </c>
      <c r="B2512" s="41">
        <f t="shared" ca="1" si="235"/>
        <v>3.7385714285714329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1.0001038492063492</v>
      </c>
    </row>
    <row r="2513" spans="1:14">
      <c r="A2513" s="39">
        <f t="shared" ca="1" si="234"/>
        <v>3.7241071428571475</v>
      </c>
      <c r="B2513" s="41">
        <f t="shared" ca="1" si="235"/>
        <v>3.7385714285714329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115.63000000000012</v>
      </c>
      <c r="L2513" s="192">
        <f>L2511</f>
        <v>116.09500000000014</v>
      </c>
      <c r="M2513" s="113">
        <f t="shared" si="238"/>
        <v>3</v>
      </c>
      <c r="N2513" s="64">
        <f t="shared" ca="1" si="226"/>
        <v>1.0003115476190476</v>
      </c>
    </row>
    <row r="2514" spans="1:14">
      <c r="A2514" s="39">
        <f t="shared" ca="1" si="234"/>
        <v>3.7241071428571475</v>
      </c>
      <c r="B2514" s="41">
        <f t="shared" ca="1" si="235"/>
        <v>3.7385714285714329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3.7241071428571475</v>
      </c>
      <c r="B2515" s="41">
        <f t="shared" ca="1" si="235"/>
        <v>3.7385714285714329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11.35499999999999</v>
      </c>
      <c r="L2515" s="401">
        <f ca="1">SUM(INDIRECT(L2505))</f>
        <v>11.41500000000002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3.7241071428571475</v>
      </c>
      <c r="B2516" s="41">
        <f t="shared" ca="1" si="235"/>
        <v>3.7385714285714329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104.27500000000013</v>
      </c>
      <c r="L2516" s="201">
        <f ca="1">L2511-L2514-L2515</f>
        <v>104.68000000000012</v>
      </c>
      <c r="M2516" s="113">
        <f t="shared" si="238"/>
        <v>1</v>
      </c>
      <c r="N2516" s="64">
        <f t="shared" ca="1" si="239"/>
        <v>1.0001038492063492</v>
      </c>
    </row>
    <row r="2517" spans="1:14">
      <c r="A2517" s="39">
        <f t="shared" ca="1" si="234"/>
        <v>3.7241071428571475</v>
      </c>
      <c r="B2517" s="41">
        <f t="shared" ca="1" si="235"/>
        <v>3.7385714285714329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1.0001038492063492</v>
      </c>
    </row>
    <row r="2518" spans="1:14">
      <c r="A2518" s="39">
        <f t="shared" ca="1" si="234"/>
        <v>3.7241071428571475</v>
      </c>
      <c r="B2518" s="41">
        <f t="shared" ca="1" si="235"/>
        <v>3.7385714285714329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1.0001038492063492</v>
      </c>
    </row>
    <row r="2519" spans="1:14">
      <c r="A2519" s="39">
        <f t="shared" ca="1" si="234"/>
        <v>3.7241071428571475</v>
      </c>
      <c r="B2519" s="41">
        <f t="shared" ca="1" si="235"/>
        <v>3.7385714285714329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1.0001038492063492</v>
      </c>
    </row>
    <row r="2520" spans="1:14">
      <c r="A2520" s="39">
        <f t="shared" ca="1" si="234"/>
        <v>3.7241071428571475</v>
      </c>
      <c r="B2520" s="41">
        <f t="shared" ca="1" si="235"/>
        <v>3.7385714285714329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1.0003115476190476</v>
      </c>
    </row>
    <row r="2521" spans="1:14">
      <c r="A2521" s="39">
        <f t="shared" ca="1" si="234"/>
        <v>3.7241071428571475</v>
      </c>
      <c r="B2521" s="41">
        <f t="shared" ca="1" si="235"/>
        <v>3.7385714285714329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3.7241071428571475</v>
      </c>
      <c r="B2522" s="41">
        <f t="shared" ca="1" si="235"/>
        <v>3.7385714285714329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3.7241071428571475</v>
      </c>
      <c r="B2523" s="41">
        <f t="shared" ca="1" si="235"/>
        <v>3.7385714285714329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104.27500000000013</v>
      </c>
      <c r="L2523" s="192">
        <f ca="1">L2516</f>
        <v>104.68000000000012</v>
      </c>
      <c r="M2523" s="113">
        <f t="shared" si="238"/>
        <v>1</v>
      </c>
      <c r="N2523" s="64">
        <f t="shared" ca="1" si="239"/>
        <v>1.0001038492063492</v>
      </c>
    </row>
    <row r="2524" spans="1:14">
      <c r="A2524" s="39">
        <f t="shared" ca="1" si="234"/>
        <v>3.7241071428571475</v>
      </c>
      <c r="B2524" s="41">
        <f t="shared" ca="1" si="235"/>
        <v>3.7385714285714329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1.0001038492063492</v>
      </c>
    </row>
    <row r="2525" spans="1:14">
      <c r="A2525" s="39">
        <f ca="1">K$2525</f>
        <v>3.7241071428571475</v>
      </c>
      <c r="B2525" s="41">
        <f t="shared" ca="1" si="235"/>
        <v>3.7385714285714329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3.7241071428571475</v>
      </c>
      <c r="L2525" s="192">
        <f ca="1">L2523/L2524</f>
        <v>3.7385714285714329</v>
      </c>
      <c r="M2525" s="113">
        <f t="shared" si="238"/>
        <v>1</v>
      </c>
      <c r="N2525" s="64">
        <f t="shared" ca="1" si="239"/>
        <v>1.0001038492063492</v>
      </c>
    </row>
    <row r="2526" spans="1:14">
      <c r="A2526" s="304">
        <f t="shared" ref="A2526:B2528" si="240">K$2507</f>
        <v>3.7849999999999966</v>
      </c>
      <c r="B2526" s="305">
        <f t="shared" si="240"/>
        <v>3.8050000000000068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1.0001056944444444</v>
      </c>
    </row>
    <row r="2527" spans="1:14">
      <c r="A2527" s="304">
        <f t="shared" si="240"/>
        <v>3.7849999999999966</v>
      </c>
      <c r="B2527" s="305">
        <f t="shared" si="240"/>
        <v>3.8050000000000068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1.0003170833333332</v>
      </c>
    </row>
    <row r="2528" spans="1:14" ht="15.75" thickBot="1">
      <c r="A2528" s="405">
        <f t="shared" si="240"/>
        <v>3.7849999999999966</v>
      </c>
      <c r="B2528" s="406">
        <f t="shared" si="240"/>
        <v>3.8050000000000068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3.7849999999999966</v>
      </c>
      <c r="B2529" s="305">
        <f>L2538</f>
        <v>3.8050000000000068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3.7849999999999966</v>
      </c>
      <c r="B2530" s="41">
        <f t="shared" ref="B2530:B2558" ca="1" si="241">L$2556</f>
        <v>3.8050000000000068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1.0001056944444444</v>
      </c>
    </row>
    <row r="2531" spans="1:14">
      <c r="A2531" s="39">
        <f t="shared" ref="A2531:A2558" ca="1" si="242">K$2556</f>
        <v>3.7849999999999966</v>
      </c>
      <c r="B2531" s="41">
        <f t="shared" ca="1" si="241"/>
        <v>3.8050000000000068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1.0001056944444444</v>
      </c>
    </row>
    <row r="2532" spans="1:14">
      <c r="A2532" s="39">
        <f t="shared" ca="1" si="242"/>
        <v>3.7849999999999966</v>
      </c>
      <c r="B2532" s="41">
        <f t="shared" ca="1" si="241"/>
        <v>3.8050000000000068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1.0001056944444444</v>
      </c>
    </row>
    <row r="2533" spans="1:14">
      <c r="A2533" s="39">
        <f t="shared" ca="1" si="242"/>
        <v>3.7849999999999966</v>
      </c>
      <c r="B2533" s="41">
        <f t="shared" ca="1" si="241"/>
        <v>3.8050000000000068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1.0001056944444444</v>
      </c>
    </row>
    <row r="2534" spans="1:14">
      <c r="A2534" s="39">
        <f t="shared" ca="1" si="242"/>
        <v>3.7849999999999966</v>
      </c>
      <c r="B2534" s="41">
        <f t="shared" ca="1" si="241"/>
        <v>3.8050000000000068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1.0003170833333332</v>
      </c>
    </row>
    <row r="2535" spans="1:14">
      <c r="A2535" s="39">
        <f t="shared" ca="1" si="242"/>
        <v>3.7849999999999966</v>
      </c>
      <c r="B2535" s="41">
        <f t="shared" ca="1" si="241"/>
        <v>3.8050000000000068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3.7849999999999966</v>
      </c>
      <c r="B2536" s="41">
        <f t="shared" ca="1" si="241"/>
        <v>3.8050000000000068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3.7849999999999966</v>
      </c>
      <c r="B2537" s="41">
        <f t="shared" ca="1" si="241"/>
        <v>3.8050000000000068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1.0001056944444444</v>
      </c>
    </row>
    <row r="2538" spans="1:14">
      <c r="A2538" s="39">
        <f t="shared" ca="1" si="242"/>
        <v>3.7849999999999966</v>
      </c>
      <c r="B2538" s="41">
        <f t="shared" ca="1" si="241"/>
        <v>3.8050000000000068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3.7849999999999966</v>
      </c>
      <c r="L2538" s="194">
        <f>L2540</f>
        <v>3.8050000000000068</v>
      </c>
      <c r="M2538" s="117">
        <v>2</v>
      </c>
      <c r="N2538" s="64">
        <f t="shared" ca="1" si="239"/>
        <v>1.0002113888888888</v>
      </c>
    </row>
    <row r="2539" spans="1:14">
      <c r="A2539" s="39">
        <f t="shared" ca="1" si="242"/>
        <v>3.7849999999999966</v>
      </c>
      <c r="B2539" s="41">
        <f t="shared" ca="1" si="241"/>
        <v>3.8050000000000068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3.7849999999999966</v>
      </c>
      <c r="B2540" s="41">
        <f t="shared" ca="1" si="241"/>
        <v>3.8050000000000068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3.7849999999999966</v>
      </c>
      <c r="L2540" s="193">
        <f>OUTPUT!F8</f>
        <v>3.8050000000000068</v>
      </c>
      <c r="M2540" s="113">
        <f t="shared" ref="M2540:M2552" si="243">IF(MOD(C2540,7)&lt;2,0,IF(MOD(C2540,7)=6,3,1))</f>
        <v>1</v>
      </c>
      <c r="N2540" s="64">
        <f t="shared" ca="1" si="239"/>
        <v>1.0001056944444444</v>
      </c>
    </row>
    <row r="2541" spans="1:14">
      <c r="A2541" s="39">
        <f t="shared" ca="1" si="242"/>
        <v>3.7849999999999966</v>
      </c>
      <c r="B2541" s="41">
        <f t="shared" ca="1" si="241"/>
        <v>3.8050000000000068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1.0003170833333332</v>
      </c>
    </row>
    <row r="2542" spans="1:14">
      <c r="A2542" s="39">
        <f t="shared" ca="1" si="242"/>
        <v>3.7849999999999966</v>
      </c>
      <c r="B2542" s="41">
        <f t="shared" ca="1" si="241"/>
        <v>3.8050000000000068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113.5499999999999</v>
      </c>
      <c r="L2542" s="192">
        <f>L2540*L2530</f>
        <v>114.1500000000002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3.7849999999999966</v>
      </c>
      <c r="B2543" s="41">
        <f t="shared" ca="1" si="241"/>
        <v>3.8050000000000068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3.7849999999999966</v>
      </c>
      <c r="B2544" s="41">
        <f t="shared" ca="1" si="241"/>
        <v>3.8050000000000068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113.5499999999999</v>
      </c>
      <c r="L2544" s="192">
        <f>L2542</f>
        <v>114.1500000000002</v>
      </c>
      <c r="M2544" s="113">
        <f t="shared" si="243"/>
        <v>1</v>
      </c>
      <c r="N2544" s="64">
        <f t="shared" ca="1" si="239"/>
        <v>1.0001056944444444</v>
      </c>
    </row>
    <row r="2545" spans="1:14">
      <c r="A2545" s="39">
        <f t="shared" ca="1" si="242"/>
        <v>3.7849999999999966</v>
      </c>
      <c r="B2545" s="41">
        <f t="shared" ca="1" si="241"/>
        <v>3.8050000000000068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1.0001056944444444</v>
      </c>
    </row>
    <row r="2546" spans="1:14">
      <c r="A2546" s="39">
        <f t="shared" ca="1" si="242"/>
        <v>3.7849999999999966</v>
      </c>
      <c r="B2546" s="41">
        <f t="shared" ca="1" si="241"/>
        <v>3.8050000000000068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3.7849999999999966</v>
      </c>
      <c r="L2546" s="401">
        <f ca="1">SUM(INDIRECT(L2535))</f>
        <v>3.8050000000000068</v>
      </c>
      <c r="M2546" s="113">
        <f t="shared" si="243"/>
        <v>1</v>
      </c>
      <c r="N2546" s="64">
        <f t="shared" ca="1" si="239"/>
        <v>1.0001056944444444</v>
      </c>
    </row>
    <row r="2547" spans="1:14">
      <c r="A2547" s="39">
        <f t="shared" ca="1" si="242"/>
        <v>3.7849999999999966</v>
      </c>
      <c r="B2547" s="41">
        <f t="shared" ca="1" si="241"/>
        <v>3.8050000000000068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109.7649999999999</v>
      </c>
      <c r="L2547" s="201">
        <f ca="1">L2542-L2545-L2546</f>
        <v>110.3450000000002</v>
      </c>
      <c r="M2547" s="113">
        <f t="shared" si="243"/>
        <v>1</v>
      </c>
      <c r="N2547" s="64">
        <f t="shared" ca="1" si="239"/>
        <v>1.0001056944444444</v>
      </c>
    </row>
    <row r="2548" spans="1:14">
      <c r="A2548" s="39">
        <f t="shared" ca="1" si="242"/>
        <v>3.7849999999999966</v>
      </c>
      <c r="B2548" s="41">
        <f t="shared" ca="1" si="241"/>
        <v>3.8050000000000068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1.0003170833333332</v>
      </c>
    </row>
    <row r="2549" spans="1:14">
      <c r="A2549" s="39">
        <f t="shared" ca="1" si="242"/>
        <v>3.7849999999999966</v>
      </c>
      <c r="B2549" s="41">
        <f t="shared" ca="1" si="241"/>
        <v>3.8050000000000068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3.7849999999999966</v>
      </c>
      <c r="B2550" s="41">
        <f t="shared" ca="1" si="241"/>
        <v>3.8050000000000068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3.7849999999999966</v>
      </c>
      <c r="B2551" s="41">
        <f t="shared" ca="1" si="241"/>
        <v>3.8050000000000068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1.0001056944444444</v>
      </c>
    </row>
    <row r="2552" spans="1:14">
      <c r="A2552" s="39">
        <f t="shared" ca="1" si="242"/>
        <v>3.7849999999999966</v>
      </c>
      <c r="B2552" s="41">
        <f t="shared" ca="1" si="241"/>
        <v>3.8050000000000068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1.0001056944444444</v>
      </c>
    </row>
    <row r="2553" spans="1:14">
      <c r="A2553" s="39">
        <f t="shared" ca="1" si="242"/>
        <v>3.7849999999999966</v>
      </c>
      <c r="B2553" s="41">
        <f t="shared" ca="1" si="241"/>
        <v>3.8050000000000068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1.0002113888888888</v>
      </c>
    </row>
    <row r="2554" spans="1:14">
      <c r="A2554" s="39">
        <f t="shared" ca="1" si="242"/>
        <v>3.7849999999999966</v>
      </c>
      <c r="B2554" s="41">
        <f t="shared" ca="1" si="241"/>
        <v>3.8050000000000068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109.7649999999999</v>
      </c>
      <c r="L2554" s="192">
        <f ca="1">L2547</f>
        <v>110.3450000000002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3.7849999999999966</v>
      </c>
      <c r="B2555" s="41">
        <f t="shared" ca="1" si="241"/>
        <v>3.8050000000000068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1.0003170833333332</v>
      </c>
    </row>
    <row r="2556" spans="1:14">
      <c r="A2556" s="39">
        <f t="shared" ca="1" si="242"/>
        <v>3.7849999999999966</v>
      </c>
      <c r="B2556" s="41">
        <f t="shared" ca="1" si="241"/>
        <v>3.8050000000000068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3.7849999999999966</v>
      </c>
      <c r="L2556" s="192">
        <f ca="1">L2554/L2555</f>
        <v>3.8050000000000068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3.7849999999999966</v>
      </c>
      <c r="B2557" s="41">
        <f t="shared" ca="1" si="241"/>
        <v>3.8050000000000068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3.7849999999999966</v>
      </c>
      <c r="B2558" s="230">
        <f t="shared" ca="1" si="241"/>
        <v>3.8050000000000068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1.0001056944444444</v>
      </c>
    </row>
    <row r="2559" spans="1:14">
      <c r="A2559" s="304">
        <f ca="1">K$2568</f>
        <v>3.7849999999999966</v>
      </c>
      <c r="B2559" s="305">
        <f t="shared" ref="B2559:B2567" ca="1" si="245">L$2568</f>
        <v>3.8050000000000068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1.0001056944444444</v>
      </c>
    </row>
    <row r="2560" spans="1:14">
      <c r="A2560" s="304">
        <f t="shared" ref="A2560:A2567" ca="1" si="246">K$2568</f>
        <v>3.7849999999999966</v>
      </c>
      <c r="B2560" s="305">
        <f t="shared" ca="1" si="245"/>
        <v>3.8050000000000068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1.0001056944444444</v>
      </c>
    </row>
    <row r="2561" spans="1:14">
      <c r="A2561" s="304">
        <f t="shared" ca="1" si="246"/>
        <v>3.7849999999999966</v>
      </c>
      <c r="B2561" s="305">
        <f t="shared" ca="1" si="245"/>
        <v>3.8050000000000068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1.0001056944444444</v>
      </c>
    </row>
    <row r="2562" spans="1:14">
      <c r="A2562" s="304">
        <f t="shared" ca="1" si="246"/>
        <v>3.7849999999999966</v>
      </c>
      <c r="B2562" s="305">
        <f t="shared" ca="1" si="245"/>
        <v>3.8050000000000068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1.0003170833333332</v>
      </c>
    </row>
    <row r="2563" spans="1:14">
      <c r="A2563" s="304">
        <f t="shared" ca="1" si="246"/>
        <v>3.7849999999999966</v>
      </c>
      <c r="B2563" s="305">
        <f t="shared" ca="1" si="245"/>
        <v>3.8050000000000068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3.7849999999999966</v>
      </c>
      <c r="B2564" s="305">
        <f t="shared" ca="1" si="245"/>
        <v>3.8050000000000068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3.7849999999999966</v>
      </c>
      <c r="B2565" s="305">
        <f t="shared" ca="1" si="245"/>
        <v>3.8050000000000068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1.0001056944444444</v>
      </c>
    </row>
    <row r="2566" spans="1:14">
      <c r="A2566" s="304">
        <f t="shared" ca="1" si="246"/>
        <v>3.7849999999999966</v>
      </c>
      <c r="B2566" s="305">
        <f t="shared" ca="1" si="245"/>
        <v>3.8050000000000068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1.0001056944444444</v>
      </c>
    </row>
    <row r="2567" spans="1:14">
      <c r="A2567" s="304">
        <f t="shared" ca="1" si="246"/>
        <v>3.7849999999999966</v>
      </c>
      <c r="B2567" s="305">
        <f t="shared" ca="1" si="245"/>
        <v>3.8050000000000068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1.0001056944444444</v>
      </c>
    </row>
    <row r="2568" spans="1:14">
      <c r="A2568" s="39">
        <f ca="1">K$2586</f>
        <v>3.8977272727272667</v>
      </c>
      <c r="B2568" s="41">
        <f t="shared" ref="B2568:B2589" ca="1" si="249">L$2586</f>
        <v>3.9388636363636418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3.7849999999999966</v>
      </c>
      <c r="L2568" s="194">
        <f ca="1">B2558+H2558</f>
        <v>3.8050000000000068</v>
      </c>
      <c r="M2568" s="113">
        <f t="shared" si="244"/>
        <v>1</v>
      </c>
      <c r="N2568" s="64">
        <f t="shared" ca="1" si="239"/>
        <v>1.000109412878788</v>
      </c>
    </row>
    <row r="2569" spans="1:14">
      <c r="A2569" s="39">
        <f t="shared" ref="A2569:A2589" ca="1" si="250">K$2586</f>
        <v>3.8977272727272667</v>
      </c>
      <c r="B2569" s="41">
        <f t="shared" ca="1" si="249"/>
        <v>3.9388636363636418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1.0003282386363637</v>
      </c>
    </row>
    <row r="2570" spans="1:14">
      <c r="A2570" s="39">
        <f t="shared" ca="1" si="250"/>
        <v>3.8977272727272667</v>
      </c>
      <c r="B2570" s="41">
        <f t="shared" ca="1" si="249"/>
        <v>3.9388636363636418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3.8649999999999949</v>
      </c>
      <c r="L2570" s="180">
        <f>OUTPUT!F9</f>
        <v>3.9000000000000057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3.8977272727272667</v>
      </c>
      <c r="B2571" s="41">
        <f t="shared" ca="1" si="249"/>
        <v>3.9388636363636418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3.8977272727272667</v>
      </c>
      <c r="B2572" s="41">
        <f t="shared" ca="1" si="249"/>
        <v>3.9388636363636418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119.81499999999984</v>
      </c>
      <c r="L2572" s="178">
        <f>L2570*L2560</f>
        <v>120.90000000000018</v>
      </c>
      <c r="M2572" s="113">
        <f t="shared" si="244"/>
        <v>1</v>
      </c>
      <c r="N2572" s="64">
        <f t="shared" ca="1" si="239"/>
        <v>1.000109412878788</v>
      </c>
    </row>
    <row r="2573" spans="1:14">
      <c r="A2573" s="39">
        <f t="shared" ca="1" si="250"/>
        <v>3.8977272727272667</v>
      </c>
      <c r="B2573" s="41">
        <f t="shared" ca="1" si="249"/>
        <v>3.9388636363636418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1.000109412878788</v>
      </c>
    </row>
    <row r="2574" spans="1:14">
      <c r="A2574" s="39">
        <f t="shared" ca="1" si="250"/>
        <v>3.8977272727272667</v>
      </c>
      <c r="B2574" s="41">
        <f t="shared" ca="1" si="249"/>
        <v>3.9388636363636418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119.81499999999984</v>
      </c>
      <c r="L2574" s="192">
        <f>L2572</f>
        <v>120.90000000000018</v>
      </c>
      <c r="M2574" s="113">
        <f t="shared" si="244"/>
        <v>1</v>
      </c>
      <c r="N2574" s="64">
        <f t="shared" ca="1" si="239"/>
        <v>1.000109412878788</v>
      </c>
    </row>
    <row r="2575" spans="1:14">
      <c r="A2575" s="39">
        <f t="shared" ca="1" si="250"/>
        <v>3.8977272727272667</v>
      </c>
      <c r="B2575" s="41">
        <f t="shared" ca="1" si="249"/>
        <v>3.9388636363636418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1.000109412878788</v>
      </c>
    </row>
    <row r="2576" spans="1:14">
      <c r="A2576" s="39">
        <f t="shared" ca="1" si="250"/>
        <v>3.8977272727272667</v>
      </c>
      <c r="B2576" s="41">
        <f t="shared" ca="1" si="249"/>
        <v>3.9388636363636418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34.064999999999969</v>
      </c>
      <c r="L2576" s="401">
        <f ca="1">SUM(INDIRECT(L2565))</f>
        <v>34.245000000000061</v>
      </c>
      <c r="M2576" s="113">
        <f t="shared" si="244"/>
        <v>3</v>
      </c>
      <c r="N2576" s="64">
        <f t="shared" ca="1" si="239"/>
        <v>1.0003282386363637</v>
      </c>
    </row>
    <row r="2577" spans="1:14">
      <c r="A2577" s="39">
        <f t="shared" ca="1" si="250"/>
        <v>3.8977272727272667</v>
      </c>
      <c r="B2577" s="41">
        <f t="shared" ca="1" si="249"/>
        <v>3.9388636363636418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85.749999999999872</v>
      </c>
      <c r="L2577" s="201">
        <f ca="1">L2572-L2575-L2576</f>
        <v>86.655000000000115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3.8977272727272667</v>
      </c>
      <c r="B2578" s="41">
        <f t="shared" ca="1" si="249"/>
        <v>3.9388636363636418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3.8977272727272667</v>
      </c>
      <c r="B2579" s="41">
        <f t="shared" ca="1" si="249"/>
        <v>3.9388636363636418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1.000109412878788</v>
      </c>
    </row>
    <row r="2580" spans="1:14">
      <c r="A2580" s="39">
        <f t="shared" ca="1" si="250"/>
        <v>3.8977272727272667</v>
      </c>
      <c r="B2580" s="41">
        <f t="shared" ca="1" si="249"/>
        <v>3.9388636363636418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1.000109412878788</v>
      </c>
    </row>
    <row r="2581" spans="1:14">
      <c r="A2581" s="39">
        <f t="shared" ca="1" si="250"/>
        <v>3.8977272727272667</v>
      </c>
      <c r="B2581" s="41">
        <f t="shared" ca="1" si="249"/>
        <v>3.9388636363636418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1.000109412878788</v>
      </c>
    </row>
    <row r="2582" spans="1:14">
      <c r="A2582" s="39">
        <f t="shared" ca="1" si="250"/>
        <v>3.8977272727272667</v>
      </c>
      <c r="B2582" s="41">
        <f t="shared" ca="1" si="249"/>
        <v>3.9388636363636418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1.0004376515151514</v>
      </c>
    </row>
    <row r="2583" spans="1:14">
      <c r="A2583" s="39">
        <f t="shared" ca="1" si="250"/>
        <v>3.8977272727272667</v>
      </c>
      <c r="B2583" s="41">
        <f t="shared" ca="1" si="249"/>
        <v>3.9388636363636418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3.8977272727272667</v>
      </c>
      <c r="B2584" s="41">
        <f t="shared" ca="1" si="249"/>
        <v>3.9388636363636418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85.749999999999872</v>
      </c>
      <c r="L2584" s="192">
        <f ca="1">L2577</f>
        <v>86.655000000000115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3.8977272727272667</v>
      </c>
      <c r="B2585" s="41">
        <f t="shared" ca="1" si="249"/>
        <v>3.9388636363636418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3.8977272727272667</v>
      </c>
      <c r="B2586" s="41">
        <f t="shared" ca="1" si="249"/>
        <v>3.9388636363636418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3.8977272727272667</v>
      </c>
      <c r="L2586" s="192">
        <f ca="1">L2584/L2585</f>
        <v>3.9388636363636418</v>
      </c>
      <c r="M2586" s="113">
        <f>IF(MOD(C2586,7)&lt;2,0,IF(MOD(C2586,7)=6,3,1))</f>
        <v>1</v>
      </c>
      <c r="N2586" s="64">
        <f t="shared" ca="1" si="251"/>
        <v>1.000109412878788</v>
      </c>
    </row>
    <row r="2587" spans="1:14">
      <c r="A2587" s="39">
        <f t="shared" ca="1" si="250"/>
        <v>3.8977272727272667</v>
      </c>
      <c r="B2587" s="41">
        <f t="shared" ca="1" si="249"/>
        <v>3.9388636363636418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1.000109412878788</v>
      </c>
    </row>
    <row r="2588" spans="1:14">
      <c r="A2588" s="39">
        <f t="shared" ca="1" si="250"/>
        <v>3.8977272727272667</v>
      </c>
      <c r="B2588" s="41">
        <f t="shared" ca="1" si="249"/>
        <v>3.9388636363636418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1.000109412878788</v>
      </c>
    </row>
    <row r="2589" spans="1:14" ht="15.75" thickBot="1">
      <c r="A2589" s="98">
        <f t="shared" ca="1" si="250"/>
        <v>3.8977272727272667</v>
      </c>
      <c r="B2589" s="230">
        <f t="shared" ca="1" si="249"/>
        <v>3.9388636363636418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1.0004376515151514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96.355000000000004</v>
      </c>
      <c r="C36" s="34">
        <f>OUTPUT!I3</f>
        <v>3.644999999999996</v>
      </c>
      <c r="D36" s="33">
        <f t="shared" ca="1" si="13"/>
        <v>96.355877743291671</v>
      </c>
      <c r="E36" s="34">
        <f t="shared" ca="1" si="14"/>
        <v>3.6441222567083322</v>
      </c>
      <c r="F36" s="319">
        <f t="shared" ca="1" si="15"/>
        <v>8.7774329166734333E-4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1.0092115312600127</v>
      </c>
    </row>
    <row r="37" spans="1:13">
      <c r="A37" s="38">
        <f>+OUTPUT!A4</f>
        <v>46204</v>
      </c>
      <c r="B37" s="40">
        <f>OUTPUT!H4</f>
        <v>96.314999999999998</v>
      </c>
      <c r="C37" s="41">
        <f>OUTPUT!I4</f>
        <v>3.6850000000000023</v>
      </c>
      <c r="D37" s="44">
        <f t="shared" ca="1" si="13"/>
        <v>96.312068650448381</v>
      </c>
      <c r="E37" s="45">
        <f t="shared" ca="1" si="14"/>
        <v>3.6879313495516217</v>
      </c>
      <c r="F37" s="318">
        <f t="shared" ca="1" si="15"/>
        <v>-2.9313495516163357E-3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1.0100393686737794</v>
      </c>
    </row>
    <row r="38" spans="1:13">
      <c r="A38" s="38">
        <f>+OUTPUT!A5</f>
        <v>46235</v>
      </c>
      <c r="B38" s="40">
        <f>OUTPUT!H5</f>
        <v>96.26</v>
      </c>
      <c r="C38" s="41">
        <f>OUTPUT!I5</f>
        <v>3.7399999999999949</v>
      </c>
      <c r="D38" s="44">
        <f t="shared" ca="1" si="13"/>
        <v>96.262401351218273</v>
      </c>
      <c r="E38" s="45">
        <f t="shared" ca="1" si="14"/>
        <v>3.737598648781725</v>
      </c>
      <c r="F38" s="318">
        <f t="shared" ca="1" si="15"/>
        <v>2.4013512182676777E-3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1.0094478188066427</v>
      </c>
    </row>
    <row r="39" spans="1:13">
      <c r="A39" s="32">
        <f>+OUTPUT!A6</f>
        <v>46266</v>
      </c>
      <c r="B39" s="33">
        <f>OUTPUT!H6</f>
        <v>96.204999999999998</v>
      </c>
      <c r="C39" s="34">
        <f>OUTPUT!I6</f>
        <v>3.7950000000000017</v>
      </c>
      <c r="D39" s="33">
        <f t="shared" ca="1" si="13"/>
        <v>96.201036059432667</v>
      </c>
      <c r="E39" s="34">
        <f t="shared" ca="1" si="14"/>
        <v>3.7989639405673277</v>
      </c>
      <c r="F39" s="319">
        <f t="shared" ca="1" si="15"/>
        <v>-3.9639405673312922E-3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1.0096029366275452</v>
      </c>
    </row>
    <row r="40" spans="1:13">
      <c r="A40" s="38">
        <f>+OUTPUT!A7</f>
        <v>46296</v>
      </c>
      <c r="B40" s="40">
        <f>OUTPUT!H7</f>
        <v>96.12</v>
      </c>
      <c r="C40" s="41">
        <f>OUTPUT!I7</f>
        <v>3.8799999999999955</v>
      </c>
      <c r="D40" s="44">
        <f t="shared" ca="1" si="13"/>
        <v>96.8207234751263</v>
      </c>
      <c r="E40" s="45">
        <f t="shared" ca="1" si="14"/>
        <v>3.1792765248737016</v>
      </c>
      <c r="F40" s="318">
        <f t="shared" ca="1" si="15"/>
        <v>0.70072347512629563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1.0080365045489863</v>
      </c>
    </row>
    <row r="41" spans="1:13">
      <c r="A41" s="38">
        <f>+OUTPUT!A8</f>
        <v>46327</v>
      </c>
      <c r="B41" s="40">
        <f>OUTPUT!H8</f>
        <v>96.08</v>
      </c>
      <c r="C41" s="41">
        <f>OUTPUT!I8</f>
        <v>3.9200000000000017</v>
      </c>
      <c r="D41" s="44">
        <f t="shared" ca="1" si="13"/>
        <v>97.993168696398953</v>
      </c>
      <c r="E41" s="45">
        <f t="shared" ca="1" si="14"/>
        <v>2.0068313036010519</v>
      </c>
      <c r="F41" s="323">
        <f t="shared" ca="1" si="15"/>
        <v>1.9131686963989551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1.0050728235729915</v>
      </c>
    </row>
    <row r="42" spans="1:13">
      <c r="A42" s="43">
        <f>+OUTPUT!A9</f>
        <v>46357</v>
      </c>
      <c r="B42" s="50">
        <f>OUTPUT!H9</f>
        <v>96.04</v>
      </c>
      <c r="C42" s="51">
        <f>OUTPUT!I9</f>
        <v>3.9599999999999937</v>
      </c>
      <c r="D42" s="50">
        <f t="shared" ca="1" si="13"/>
        <v>99.176860727977953</v>
      </c>
      <c r="E42" s="51">
        <f t="shared" ca="1" si="14"/>
        <v>0.82313927202204062</v>
      </c>
      <c r="F42" s="320">
        <f t="shared" ca="1" si="15"/>
        <v>3.1368607279779468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1.0020807131598335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96.367500000000007</v>
      </c>
      <c r="H2" s="417">
        <f t="shared" ref="H2:H6" si="0">IF(F2&lt;G2,F2,IF(E2&gt;G2,E2,G2))</f>
        <v>96.367500000000007</v>
      </c>
      <c r="I2" s="148">
        <f t="shared" ref="I2:I5" si="1">100-H2</f>
        <v>3.6324999999999932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96.325000000000003</v>
      </c>
      <c r="F3" s="150">
        <v>96.33</v>
      </c>
      <c r="G3" s="151">
        <v>96.325000000000003</v>
      </c>
      <c r="H3" s="417">
        <f t="shared" si="0"/>
        <v>96.325000000000003</v>
      </c>
      <c r="I3" s="148">
        <f t="shared" si="1"/>
        <v>3.6749999999999972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96.27</v>
      </c>
      <c r="F4" s="150">
        <v>96.275000000000006</v>
      </c>
      <c r="G4" s="151">
        <v>96.27</v>
      </c>
      <c r="H4" s="417">
        <f t="shared" si="0"/>
        <v>96.27</v>
      </c>
      <c r="I4" s="148">
        <f t="shared" si="1"/>
        <v>3.730000000000004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96.215000000000003</v>
      </c>
      <c r="F5" s="150">
        <v>96.22</v>
      </c>
      <c r="G5" s="151">
        <v>96.215000000000003</v>
      </c>
      <c r="H5" s="417">
        <f t="shared" si="0"/>
        <v>96.215000000000003</v>
      </c>
      <c r="I5" s="148">
        <f t="shared" si="1"/>
        <v>3.7849999999999966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96.13</v>
      </c>
      <c r="F6" s="150">
        <v>96.14</v>
      </c>
      <c r="G6" s="151">
        <v>96.135000000000005</v>
      </c>
      <c r="H6" s="417">
        <f t="shared" si="0"/>
        <v>96.135000000000005</v>
      </c>
      <c r="I6" s="148">
        <f>100-H6</f>
        <v>3.8649999999999949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96.1</v>
      </c>
      <c r="F7" s="150">
        <v>96.105000000000004</v>
      </c>
      <c r="G7" s="151">
        <v>96.105000000000004</v>
      </c>
      <c r="H7" s="417">
        <f t="shared" ref="H7:H18" si="2">IF(F7&lt;G7,F7,IF(E7&gt;G7,E7,G7))</f>
        <v>96.105000000000004</v>
      </c>
      <c r="I7" s="148">
        <f t="shared" ref="I7:I18" si="3">100-H7</f>
        <v>3.894999999999996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96.06</v>
      </c>
      <c r="F8" s="150">
        <v>96.064999999999998</v>
      </c>
      <c r="G8" s="151">
        <v>96.06</v>
      </c>
      <c r="H8" s="417">
        <f t="shared" si="2"/>
        <v>96.06</v>
      </c>
      <c r="I8" s="148">
        <f t="shared" si="3"/>
        <v>3.9399999999999977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96.025000000000006</v>
      </c>
      <c r="F9" s="150">
        <v>96.03</v>
      </c>
      <c r="G9" s="151">
        <v>96.03</v>
      </c>
      <c r="H9" s="417">
        <f t="shared" si="2"/>
        <v>96.03</v>
      </c>
      <c r="I9" s="148">
        <f t="shared" si="3"/>
        <v>3.9699999999999989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95.99</v>
      </c>
      <c r="F10" s="150">
        <v>95.995000000000005</v>
      </c>
      <c r="G10" s="151">
        <v>95.995000000000005</v>
      </c>
      <c r="H10" s="417">
        <f t="shared" si="2"/>
        <v>95.995000000000005</v>
      </c>
      <c r="I10" s="148">
        <f t="shared" si="3"/>
        <v>4.0049999999999955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95.97</v>
      </c>
      <c r="F11" s="150">
        <v>95.974999999999994</v>
      </c>
      <c r="G11" s="151">
        <v>95.97</v>
      </c>
      <c r="H11" s="417">
        <f t="shared" si="2"/>
        <v>95.97</v>
      </c>
      <c r="I11" s="148">
        <f t="shared" si="3"/>
        <v>4.0300000000000011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95.954999999999998</v>
      </c>
      <c r="F12" s="150">
        <v>95.96</v>
      </c>
      <c r="G12" s="151">
        <v>95.954999999999998</v>
      </c>
      <c r="H12" s="417">
        <f t="shared" si="2"/>
        <v>95.954999999999998</v>
      </c>
      <c r="I12" s="148">
        <f t="shared" si="3"/>
        <v>4.0450000000000017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95.944999999999993</v>
      </c>
      <c r="F13" s="150">
        <v>95.95</v>
      </c>
      <c r="G13" s="151">
        <v>95.944999999999993</v>
      </c>
      <c r="H13" s="417">
        <f t="shared" si="2"/>
        <v>95.944999999999993</v>
      </c>
      <c r="I13" s="148">
        <f t="shared" si="3"/>
        <v>4.0550000000000068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95.944999999999993</v>
      </c>
      <c r="F14" s="150">
        <v>95.95</v>
      </c>
      <c r="G14" s="151">
        <v>95.944999999999993</v>
      </c>
      <c r="H14" s="417">
        <f t="shared" si="2"/>
        <v>95.944999999999993</v>
      </c>
      <c r="I14" s="148">
        <f t="shared" si="3"/>
        <v>4.0550000000000068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95.944999999999993</v>
      </c>
      <c r="F15" s="150">
        <v>95.95</v>
      </c>
      <c r="G15" s="151">
        <v>95.95</v>
      </c>
      <c r="H15" s="417">
        <f t="shared" si="2"/>
        <v>95.95</v>
      </c>
      <c r="I15" s="148">
        <f t="shared" si="3"/>
        <v>4.0499999999999972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95.95</v>
      </c>
      <c r="F16" s="150">
        <v>95.954999999999998</v>
      </c>
      <c r="G16" s="151">
        <v>95.944999999999993</v>
      </c>
      <c r="H16" s="417">
        <f t="shared" si="2"/>
        <v>95.95</v>
      </c>
      <c r="I16" s="148">
        <f t="shared" si="3"/>
        <v>4.0499999999999972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95.96</v>
      </c>
      <c r="F17" s="150">
        <v>95.965000000000003</v>
      </c>
      <c r="G17" s="151">
        <v>95.95</v>
      </c>
      <c r="H17" s="417">
        <f t="shared" si="2"/>
        <v>95.96</v>
      </c>
      <c r="I17" s="148">
        <f t="shared" si="3"/>
        <v>4.0400000000000063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95.974999999999994</v>
      </c>
      <c r="F18" s="150">
        <v>95.984999999999999</v>
      </c>
      <c r="G18" s="151" t="s">
        <v>231</v>
      </c>
      <c r="H18" s="417">
        <f t="shared" si="2"/>
        <v>95.984999999999999</v>
      </c>
      <c r="I18" s="148">
        <f t="shared" si="3"/>
        <v>4.0150000000000006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96.357500000000002</v>
      </c>
      <c r="F19" s="397">
        <v>96.36</v>
      </c>
      <c r="G19" s="398">
        <v>96.36</v>
      </c>
      <c r="H19" s="418">
        <f t="shared" ref="H19:H22" si="4">IF(F19&lt;G19,F19,IF(E19&gt;G19,E19,G19))</f>
        <v>96.36</v>
      </c>
      <c r="I19" s="353">
        <f t="shared" ref="I19:I22" si="5">100-H19</f>
        <v>3.6400000000000006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96.32</v>
      </c>
      <c r="F20" s="397">
        <v>96.325000000000003</v>
      </c>
      <c r="G20" s="398">
        <v>96.32</v>
      </c>
      <c r="H20" s="418">
        <f t="shared" si="4"/>
        <v>96.32</v>
      </c>
      <c r="I20" s="353">
        <f t="shared" si="5"/>
        <v>3.6800000000000068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96.25</v>
      </c>
      <c r="F21" s="397">
        <v>96.254999999999995</v>
      </c>
      <c r="G21" s="398">
        <v>96.254999999999995</v>
      </c>
      <c r="H21" s="418">
        <f t="shared" si="4"/>
        <v>96.254999999999995</v>
      </c>
      <c r="I21" s="353">
        <f t="shared" si="5"/>
        <v>3.7450000000000045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96.194999999999993</v>
      </c>
      <c r="F22" s="397">
        <v>96.2</v>
      </c>
      <c r="G22" s="398">
        <v>96.194999999999993</v>
      </c>
      <c r="H22" s="418">
        <f t="shared" si="4"/>
        <v>96.194999999999993</v>
      </c>
      <c r="I22" s="353">
        <f t="shared" si="5"/>
        <v>3.8050000000000068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96.094999999999999</v>
      </c>
      <c r="F23" s="397">
        <v>96.1</v>
      </c>
      <c r="G23" s="398">
        <v>96.1</v>
      </c>
      <c r="H23" s="418">
        <f t="shared" ref="H23:H35" si="6">IF(F23&lt;G23,F23,IF(E23&gt;G23,E23,G23))</f>
        <v>96.1</v>
      </c>
      <c r="I23" s="353">
        <f t="shared" ref="I23:I35" si="7">100-H23</f>
        <v>3.9000000000000057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96.07</v>
      </c>
      <c r="F24" s="397">
        <v>96.075000000000003</v>
      </c>
      <c r="G24" s="398">
        <v>96.07</v>
      </c>
      <c r="H24" s="418">
        <f t="shared" si="6"/>
        <v>96.07</v>
      </c>
      <c r="I24" s="353">
        <f t="shared" si="7"/>
        <v>3.9300000000000068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96.04</v>
      </c>
      <c r="F25" s="397">
        <v>96.045000000000002</v>
      </c>
      <c r="G25" s="398">
        <v>96.045000000000002</v>
      </c>
      <c r="H25" s="418">
        <f t="shared" si="6"/>
        <v>96.045000000000002</v>
      </c>
      <c r="I25" s="353">
        <f t="shared" si="7"/>
        <v>3.9549999999999983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96.004999999999995</v>
      </c>
      <c r="F26" s="397">
        <v>96.01</v>
      </c>
      <c r="G26" s="398">
        <v>96.01</v>
      </c>
      <c r="H26" s="418">
        <f t="shared" si="6"/>
        <v>96.01</v>
      </c>
      <c r="I26" s="353">
        <f t="shared" si="7"/>
        <v>3.9899999999999949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95.97</v>
      </c>
      <c r="F27" s="397">
        <v>95.98</v>
      </c>
      <c r="G27" s="398">
        <v>95.974999999999994</v>
      </c>
      <c r="H27" s="418">
        <f t="shared" si="6"/>
        <v>95.974999999999994</v>
      </c>
      <c r="I27" s="353">
        <f t="shared" si="7"/>
        <v>4.0250000000000057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95.95</v>
      </c>
      <c r="F28" s="397">
        <v>95.954999999999998</v>
      </c>
      <c r="G28" s="398">
        <v>95.95</v>
      </c>
      <c r="H28" s="418">
        <f t="shared" si="6"/>
        <v>95.95</v>
      </c>
      <c r="I28" s="353">
        <f t="shared" si="7"/>
        <v>4.0499999999999972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95.924999999999997</v>
      </c>
      <c r="F29" s="397">
        <v>95.935000000000002</v>
      </c>
      <c r="G29" s="398">
        <v>95.92</v>
      </c>
      <c r="H29" s="418">
        <f t="shared" si="6"/>
        <v>95.924999999999997</v>
      </c>
      <c r="I29" s="353">
        <f t="shared" si="7"/>
        <v>4.0750000000000028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95.92</v>
      </c>
      <c r="F30" s="397">
        <v>95.924999999999997</v>
      </c>
      <c r="G30" s="398">
        <v>95.915000000000006</v>
      </c>
      <c r="H30" s="418">
        <f t="shared" si="6"/>
        <v>95.92</v>
      </c>
      <c r="I30" s="353">
        <f t="shared" si="7"/>
        <v>4.0799999999999983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95.92</v>
      </c>
      <c r="F31" s="397">
        <v>95.924999999999997</v>
      </c>
      <c r="G31" s="398">
        <v>95.905000000000001</v>
      </c>
      <c r="H31" s="418">
        <f t="shared" si="6"/>
        <v>95.92</v>
      </c>
      <c r="I31" s="353">
        <f t="shared" si="7"/>
        <v>4.0799999999999983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95.91</v>
      </c>
      <c r="F32" s="397">
        <v>95.924999999999997</v>
      </c>
      <c r="G32" s="398">
        <v>95.91</v>
      </c>
      <c r="H32" s="418">
        <f t="shared" si="6"/>
        <v>95.91</v>
      </c>
      <c r="I32" s="353">
        <f t="shared" si="7"/>
        <v>4.0900000000000034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95.915000000000006</v>
      </c>
      <c r="F33" s="397">
        <v>95.93</v>
      </c>
      <c r="G33" s="398" t="s">
        <v>231</v>
      </c>
      <c r="H33" s="418">
        <f t="shared" si="6"/>
        <v>95.93</v>
      </c>
      <c r="I33" s="353">
        <f t="shared" si="7"/>
        <v>4.0699999999999932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95.915000000000006</v>
      </c>
      <c r="F34" s="397">
        <v>96.08</v>
      </c>
      <c r="G34" s="398" t="s">
        <v>231</v>
      </c>
      <c r="H34" s="418">
        <f t="shared" si="6"/>
        <v>96.08</v>
      </c>
      <c r="I34" s="353">
        <f t="shared" si="7"/>
        <v>3.9200000000000017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95.905000000000001</v>
      </c>
      <c r="F35" s="397">
        <v>95.96</v>
      </c>
      <c r="G35" s="398" t="s">
        <v>231</v>
      </c>
      <c r="H35" s="418">
        <f t="shared" si="6"/>
        <v>95.96</v>
      </c>
      <c r="I35" s="353">
        <f t="shared" si="7"/>
        <v>4.0400000000000063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96.355000000000004</v>
      </c>
      <c r="H37" s="419">
        <f t="shared" si="8"/>
        <v>96.355000000000004</v>
      </c>
      <c r="I37" s="145">
        <f t="shared" si="9"/>
        <v>3.644999999999996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96.314999999999998</v>
      </c>
      <c r="F38" s="143">
        <v>96.317499999999995</v>
      </c>
      <c r="G38" s="144">
        <v>96.314999999999998</v>
      </c>
      <c r="H38" s="419">
        <f t="shared" si="8"/>
        <v>96.314999999999998</v>
      </c>
      <c r="I38" s="145">
        <f t="shared" si="9"/>
        <v>3.6850000000000023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96.26</v>
      </c>
      <c r="F39" s="143">
        <v>96.27</v>
      </c>
      <c r="G39" s="144">
        <v>96.26</v>
      </c>
      <c r="H39" s="419">
        <f t="shared" si="8"/>
        <v>96.26</v>
      </c>
      <c r="I39" s="145">
        <f t="shared" si="9"/>
        <v>3.7399999999999949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96.202500000000001</v>
      </c>
      <c r="F40" s="143">
        <v>96.204999999999998</v>
      </c>
      <c r="G40" s="144">
        <v>96.204999999999998</v>
      </c>
      <c r="H40" s="419">
        <f t="shared" si="8"/>
        <v>96.204999999999998</v>
      </c>
      <c r="I40" s="145">
        <f t="shared" si="9"/>
        <v>3.7950000000000017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96.12</v>
      </c>
      <c r="F41" s="143">
        <v>96.13</v>
      </c>
      <c r="G41" s="144">
        <v>96.114999999999995</v>
      </c>
      <c r="H41" s="419">
        <f t="shared" si="8"/>
        <v>96.12</v>
      </c>
      <c r="I41" s="145">
        <f t="shared" si="9"/>
        <v>3.8799999999999955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96.07</v>
      </c>
      <c r="F42" s="143">
        <v>96.08</v>
      </c>
      <c r="G42" s="144" t="s">
        <v>231</v>
      </c>
      <c r="H42" s="419">
        <f t="shared" si="8"/>
        <v>96.08</v>
      </c>
      <c r="I42" s="145">
        <f t="shared" si="9"/>
        <v>3.9200000000000017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96.034999999999997</v>
      </c>
      <c r="F43" s="143">
        <v>96.04</v>
      </c>
      <c r="G43" s="144">
        <v>96.04</v>
      </c>
      <c r="H43" s="419">
        <f>IF(F43&lt;G43,F43,IF(E43&gt;G43,E43,G43))</f>
        <v>96.04</v>
      </c>
      <c r="I43" s="145">
        <f>100-H43</f>
        <v>3.9599999999999937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95.995000000000005</v>
      </c>
      <c r="F44" s="143">
        <v>96.004999999999995</v>
      </c>
      <c r="G44" s="144" t="s">
        <v>231</v>
      </c>
      <c r="H44" s="419">
        <f t="shared" ref="H44:H52" si="10">IF(F44&lt;G44,F44,IF(E44&gt;G44,E44,G44))</f>
        <v>96.004999999999995</v>
      </c>
      <c r="I44" s="145">
        <f t="shared" ref="I44:I52" si="11">100-H44</f>
        <v>3.9950000000000045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95.97</v>
      </c>
      <c r="F45" s="143">
        <v>95.98</v>
      </c>
      <c r="G45" s="144">
        <v>95.954999999999998</v>
      </c>
      <c r="H45" s="419">
        <f t="shared" si="10"/>
        <v>95.97</v>
      </c>
      <c r="I45" s="145">
        <f t="shared" si="11"/>
        <v>4.0300000000000011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95.944999999999993</v>
      </c>
      <c r="F46" s="143">
        <v>95.95</v>
      </c>
      <c r="G46" s="144">
        <v>95.95</v>
      </c>
      <c r="H46" s="419">
        <f t="shared" si="10"/>
        <v>95.95</v>
      </c>
      <c r="I46" s="145">
        <f t="shared" si="11"/>
        <v>4.0499999999999972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95.905000000000001</v>
      </c>
      <c r="F49" s="143">
        <v>95.91</v>
      </c>
      <c r="G49" s="144">
        <v>95.905000000000001</v>
      </c>
      <c r="H49" s="419">
        <f t="shared" si="10"/>
        <v>95.905000000000001</v>
      </c>
      <c r="I49" s="145">
        <f t="shared" si="11"/>
        <v>4.0949999999999989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95.905000000000001</v>
      </c>
      <c r="F52" s="143">
        <v>95.91</v>
      </c>
      <c r="G52" s="144">
        <v>95.91</v>
      </c>
      <c r="H52" s="419">
        <f t="shared" si="10"/>
        <v>95.91</v>
      </c>
      <c r="I52" s="145">
        <f t="shared" si="11"/>
        <v>4.0900000000000034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1.0001012499999999</v>
      </c>
      <c r="D88" s="454">
        <f t="shared" ca="1" si="4"/>
        <v>1.0088033506651555</v>
      </c>
      <c r="E88" s="450">
        <f t="shared" ca="1" si="5"/>
        <v>3.6427657924781268E-2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1.0001012499999999</v>
      </c>
      <c r="D89" s="454">
        <f t="shared" ca="1" si="4"/>
        <v>1.0089054920044103</v>
      </c>
      <c r="E89" s="450">
        <f t="shared" ca="1" si="5"/>
        <v>3.6431558199860173E-2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1.00030375</v>
      </c>
      <c r="D90" s="454">
        <f t="shared" ca="1" si="4"/>
        <v>1.0092119470476066</v>
      </c>
      <c r="E90" s="450">
        <f t="shared" ca="1" si="5"/>
        <v>3.7261808282453818E-2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1.0092119470476066</v>
      </c>
      <c r="E91" s="450">
        <f t="shared" ca="1" si="5"/>
        <v>3.6847788190426556E-2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1.0092119470476066</v>
      </c>
      <c r="E92" s="450">
        <f t="shared" ca="1" si="5"/>
        <v>3.644286744108121E-2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1.0001012499999999</v>
      </c>
      <c r="D93" s="454">
        <f t="shared" ca="1" si="4"/>
        <v>1.0093141297572452</v>
      </c>
      <c r="E93" s="450">
        <f t="shared" ca="1" si="5"/>
        <v>3.6446594702263885E-2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1.000100798611111</v>
      </c>
      <c r="D94" s="454">
        <f t="shared" ca="1" si="4"/>
        <v>1.0094158672196996</v>
      </c>
      <c r="E94" s="450">
        <f t="shared" ca="1" si="5"/>
        <v>3.644851826980474E-2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1.000100798611111</v>
      </c>
      <c r="D95" s="454">
        <f t="shared" ca="1" si="4"/>
        <v>1.0095176149371488</v>
      </c>
      <c r="E95" s="450">
        <f t="shared" ca="1" si="5"/>
        <v>3.6450440184825017E-2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1.000100798611111</v>
      </c>
      <c r="D96" s="454">
        <f t="shared" ca="1" si="4"/>
        <v>1.0096193729106264</v>
      </c>
      <c r="E96" s="450">
        <f t="shared" ca="1" si="5"/>
        <v>3.6452360503426443E-2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1.0004031944444445</v>
      </c>
      <c r="D97" s="454">
        <f t="shared" ca="1" si="4"/>
        <v>1.0100264458327874</v>
      </c>
      <c r="E97" s="450">
        <f t="shared" ca="1" si="5"/>
        <v>3.7599171872952919E-2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1.0100264458327874</v>
      </c>
      <c r="E98" s="450">
        <f t="shared" ca="1" si="5"/>
        <v>3.7211551544365777E-2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1.0100264458327874</v>
      </c>
      <c r="E99" s="450">
        <f t="shared" ca="1" si="5"/>
        <v>3.6831841834729387E-2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1.0100264458327874</v>
      </c>
      <c r="E100" s="450">
        <f t="shared" ca="1" si="5"/>
        <v>3.6459803028317979E-2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1.000100798611111</v>
      </c>
      <c r="D101" s="454">
        <f t="shared" ca="1" si="4"/>
        <v>1.0101282550957127</v>
      </c>
      <c r="E101" s="450">
        <f t="shared" ca="1" si="5"/>
        <v>3.6461718344565686E-2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1.000100798611111</v>
      </c>
      <c r="D102" s="454">
        <f t="shared" ca="1" si="4"/>
        <v>1.0102300746208703</v>
      </c>
      <c r="E102" s="450">
        <f t="shared" ca="1" si="5"/>
        <v>3.6463632312013071E-2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1.000100798611111</v>
      </c>
      <c r="D103" s="454">
        <f t="shared" ca="1" si="4"/>
        <v>1.0103319044092947</v>
      </c>
      <c r="E103" s="450">
        <f t="shared" ca="1" si="5"/>
        <v>3.6465544973981141E-2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1.0003023958333332</v>
      </c>
      <c r="D104" s="454">
        <f t="shared" ca="1" si="4"/>
        <v>1.0106374245674716</v>
      </c>
      <c r="E104" s="450">
        <f t="shared" ca="1" si="5"/>
        <v>3.7179348002813473E-2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1.0106374245674716</v>
      </c>
      <c r="E105" s="450">
        <f t="shared" ca="1" si="5"/>
        <v>3.6821854272017188E-2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1.0106374245674716</v>
      </c>
      <c r="E106" s="450">
        <f t="shared" ca="1" si="5"/>
        <v>3.647116994561702E-2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1.000100798611111</v>
      </c>
      <c r="D107" s="454">
        <f t="shared" ca="1" si="4"/>
        <v>1.0107392954162049</v>
      </c>
      <c r="E107" s="450">
        <f t="shared" ca="1" si="5"/>
        <v>3.6473078772016596E-2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1.000100798611111</v>
      </c>
      <c r="D108" s="454">
        <f t="shared" ca="1" si="4"/>
        <v>1.0108411765333782</v>
      </c>
      <c r="E108" s="450">
        <f t="shared" ca="1" si="5"/>
        <v>3.6474986467440802E-2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1.000100798611111</v>
      </c>
      <c r="D109" s="454">
        <f t="shared" ca="1" si="4"/>
        <v>1.0109430679200266</v>
      </c>
      <c r="E109" s="450">
        <f t="shared" ca="1" si="5"/>
        <v>3.6476893066755466E-2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1.0001038492063492</v>
      </c>
      <c r="D110" s="454">
        <f t="shared" ca="1" si="4"/>
        <v>1.0110480535552944</v>
      </c>
      <c r="E110" s="450">
        <f t="shared" ca="1" si="5"/>
        <v>3.6488984219320848E-2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1.0003115476190476</v>
      </c>
      <c r="D111" s="454">
        <f t="shared" ca="1" si="4"/>
        <v>1.0113630431691223</v>
      </c>
      <c r="E111" s="450">
        <f t="shared" ca="1" si="5"/>
        <v>3.7188141280763858E-2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1.0113630431691223</v>
      </c>
      <c r="E112" s="450">
        <f t="shared" ca="1" si="5"/>
        <v>3.6853112980937151E-2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1.0113630431691223</v>
      </c>
      <c r="E113" s="450">
        <f t="shared" ca="1" si="5"/>
        <v>3.652406732932164E-2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1.0001038492063492</v>
      </c>
      <c r="D114" s="454">
        <f t="shared" ca="1" si="4"/>
        <v>1.0114680724184864</v>
      </c>
      <c r="E114" s="450">
        <f t="shared" ca="1" si="5"/>
        <v>3.6535451952699881E-2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1.0001038492063492</v>
      </c>
      <c r="D115" s="454">
        <f t="shared" ca="1" si="4"/>
        <v>1.0115731125750547</v>
      </c>
      <c r="E115" s="450">
        <f t="shared" ca="1" si="5"/>
        <v>3.6546671289646317E-2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1.0001038492063492</v>
      </c>
      <c r="D116" s="454">
        <f t="shared" ca="1" si="4"/>
        <v>1.0116781636399599</v>
      </c>
      <c r="E116" s="450">
        <f t="shared" ca="1" si="5"/>
        <v>3.6557729655526588E-2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1.0001038492063492</v>
      </c>
      <c r="D117" s="454">
        <f t="shared" ca="1" si="4"/>
        <v>1.0117832256143346</v>
      </c>
      <c r="E117" s="450">
        <f t="shared" ca="1" si="5"/>
        <v>3.6568631216900627E-2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1.0003115476190476</v>
      </c>
      <c r="D118" s="454">
        <f t="shared" ca="1" si="4"/>
        <v>1.0120984442692671</v>
      </c>
      <c r="E118" s="450">
        <f t="shared" ca="1" si="5"/>
        <v>3.7225982366975677E-2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1.0120984442692671</v>
      </c>
      <c r="E119" s="450">
        <f t="shared" ca="1" si="5"/>
        <v>3.6910507940136901E-2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1.0120984442692671</v>
      </c>
      <c r="E120" s="450">
        <f t="shared" ca="1" si="5"/>
        <v>3.6600335604505499E-2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1.0001038492063492</v>
      </c>
      <c r="D121" s="454">
        <f t="shared" ca="1" si="4"/>
        <v>1.0122035498894517</v>
      </c>
      <c r="E121" s="450">
        <f t="shared" ca="1" si="5"/>
        <v>3.6610649668355144E-2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1.0001038492063492</v>
      </c>
      <c r="D122" s="454">
        <f t="shared" ca="1" si="4"/>
        <v>1.0123086664247716</v>
      </c>
      <c r="E122" s="450">
        <f t="shared" ca="1" si="5"/>
        <v>3.6620825726593115E-2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1.0001038492063492</v>
      </c>
      <c r="D123" s="454">
        <f t="shared" ca="1" si="4"/>
        <v>1.0124137938763602</v>
      </c>
      <c r="E123" s="450">
        <f t="shared" ca="1" si="5"/>
        <v>3.6630867176144888E-2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1.0001038492063492</v>
      </c>
      <c r="D124" s="454">
        <f t="shared" ca="1" si="4"/>
        <v>1.0125189322453512</v>
      </c>
      <c r="E124" s="450">
        <f t="shared" ca="1" si="5"/>
        <v>3.6640777303466827E-2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1.0003115476190476</v>
      </c>
      <c r="D125" s="454">
        <f t="shared" ca="1" si="4"/>
        <v>1.0128343801079329</v>
      </c>
      <c r="E125" s="450">
        <f t="shared" ca="1" si="5"/>
        <v>3.7261103539160088E-2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1.0128343801079329</v>
      </c>
      <c r="E126" s="450">
        <f t="shared" ca="1" si="5"/>
        <v>3.6963014710846807E-2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1.0128343801079329</v>
      </c>
      <c r="E127" s="450">
        <f t="shared" ca="1" si="5"/>
        <v>3.666965745123691E-2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1.0001038492063492</v>
      </c>
      <c r="D128" s="454">
        <f t="shared" ca="1" si="4"/>
        <v>1.0129395621544703</v>
      </c>
      <c r="E128" s="450">
        <f t="shared" ca="1" si="5"/>
        <v>3.6679073823695452E-2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1.0001038492063492</v>
      </c>
      <c r="D129" s="454">
        <f t="shared" ca="1" si="4"/>
        <v>1.0130447551240798</v>
      </c>
      <c r="E129" s="450">
        <f t="shared" ca="1" si="5"/>
        <v>3.668837378647434E-2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1.0001038492063492</v>
      </c>
      <c r="D130" s="454">
        <f t="shared" ca="1" si="4"/>
        <v>1.0131499590178956</v>
      </c>
      <c r="E130" s="450">
        <f t="shared" ca="1" si="5"/>
        <v>3.6697560049941264E-2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1.0001038492063492</v>
      </c>
      <c r="D131" s="454">
        <f t="shared" ca="1" si="4"/>
        <v>1.0132551738370523</v>
      </c>
      <c r="E131" s="450">
        <f t="shared" ca="1" si="5"/>
        <v>3.6706635241067979E-2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1.0004153968253968</v>
      </c>
      <c r="D132" s="454">
        <f t="shared" ref="D132:D195" ca="1" si="7">D131*C132</f>
        <v>1.0136760768195812</v>
      </c>
      <c r="E132" s="450">
        <f t="shared" ref="E132:E195" ca="1" si="8">(D132/1-1)*360/(B132-A$2)</f>
        <v>3.7583111870604723E-2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1.0136760768195812</v>
      </c>
      <c r="E133" s="450">
        <f t="shared" ca="1" si="8"/>
        <v>3.7298391326130442E-2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1.0136760768195812</v>
      </c>
      <c r="E134" s="450">
        <f t="shared" ca="1" si="8"/>
        <v>3.7017952293603149E-2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1.0136760768195812</v>
      </c>
      <c r="E135" s="450">
        <f t="shared" ca="1" si="8"/>
        <v>3.6741698918277749E-2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1.0001038492063492</v>
      </c>
      <c r="D136" s="454">
        <f t="shared" ca="1" si="7"/>
        <v>1.013781346275654</v>
      </c>
      <c r="E136" s="450">
        <f t="shared" ca="1" si="8"/>
        <v>3.6750256735077258E-2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1.0001038492063492</v>
      </c>
      <c r="D137" s="454">
        <f t="shared" ca="1" si="7"/>
        <v>1.0138866266638764</v>
      </c>
      <c r="E137" s="450">
        <f t="shared" ca="1" si="8"/>
        <v>3.6758717639672853E-2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1.0001038492063492</v>
      </c>
      <c r="D138" s="454">
        <f t="shared" ca="1" si="7"/>
        <v>1.0139919179853836</v>
      </c>
      <c r="E138" s="450">
        <f t="shared" ca="1" si="8"/>
        <v>3.6767083757212306E-2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1.0003115476190476</v>
      </c>
      <c r="D139" s="454">
        <f t="shared" ca="1" si="7"/>
        <v>1.0143078247531654</v>
      </c>
      <c r="E139" s="450">
        <f t="shared" ca="1" si="8"/>
        <v>3.7324760225648838E-2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1.0143078247531654</v>
      </c>
      <c r="E140" s="450">
        <f t="shared" ca="1" si="8"/>
        <v>3.7056236770788058E-2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1.0143078247531654</v>
      </c>
      <c r="E141" s="450">
        <f t="shared" ca="1" si="8"/>
        <v>3.6791549365282429E-2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1.0001038492063492</v>
      </c>
      <c r="D142" s="454">
        <f t="shared" ca="1" si="7"/>
        <v>1.0144131598157597</v>
      </c>
      <c r="E142" s="450">
        <f t="shared" ca="1" si="8"/>
        <v>3.6799556976407861E-2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1.0001038492063492</v>
      </c>
      <c r="D143" s="454">
        <f t="shared" ca="1" si="7"/>
        <v>1.0145185058173167</v>
      </c>
      <c r="E143" s="450">
        <f t="shared" ca="1" si="8"/>
        <v>3.6807479536859311E-2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1.0001038492063492</v>
      </c>
      <c r="D144" s="454">
        <f t="shared" ca="1" si="7"/>
        <v>1.0146238627589725</v>
      </c>
      <c r="E144" s="450">
        <f t="shared" ca="1" si="8"/>
        <v>3.6815318833777019E-2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1.0001038492063492</v>
      </c>
      <c r="D145" s="454">
        <f t="shared" ca="1" si="7"/>
        <v>1.0147292306418629</v>
      </c>
      <c r="E145" s="450">
        <f t="shared" ca="1" si="8"/>
        <v>3.6823076604657334E-2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1.0003115476190476</v>
      </c>
      <c r="D146" s="454">
        <f t="shared" ca="1" si="7"/>
        <v>1.0150453671176474</v>
      </c>
      <c r="E146" s="450">
        <f t="shared" ca="1" si="8"/>
        <v>3.7354014912779669E-2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1.0150453671176474</v>
      </c>
      <c r="E147" s="450">
        <f t="shared" ca="1" si="8"/>
        <v>3.7098165495568852E-2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1.0150453671176474</v>
      </c>
      <c r="E148" s="450">
        <f t="shared" ca="1" si="8"/>
        <v>3.6845797022809879E-2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1.0001038492063492</v>
      </c>
      <c r="D149" s="454">
        <f t="shared" ca="1" si="7"/>
        <v>1.0151507787734311</v>
      </c>
      <c r="E149" s="450">
        <f t="shared" ca="1" si="8"/>
        <v>3.6853245665102612E-2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1.0001038492063492</v>
      </c>
      <c r="D150" s="454">
        <f t="shared" ca="1" si="7"/>
        <v>1.0152562013761315</v>
      </c>
      <c r="E150" s="450">
        <f t="shared" ca="1" si="8"/>
        <v>3.6860620774545869E-2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1.0001038492063492</v>
      </c>
      <c r="D151" s="454">
        <f t="shared" ca="1" si="7"/>
        <v>1.0153616349268855</v>
      </c>
      <c r="E151" s="450">
        <f t="shared" ca="1" si="8"/>
        <v>3.6867923824525126E-2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1.0001056944444444</v>
      </c>
      <c r="D152" s="454">
        <f t="shared" ca="1" si="7"/>
        <v>1.0154689530107992</v>
      </c>
      <c r="E152" s="450">
        <f t="shared" ca="1" si="8"/>
        <v>3.6879623072104059E-2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1.0003170833333332</v>
      </c>
      <c r="D153" s="454">
        <f t="shared" ca="1" si="7"/>
        <v>1.0157909412913162</v>
      </c>
      <c r="E153" s="450">
        <f t="shared" ca="1" si="8"/>
        <v>3.7399597795222568E-2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1.0157909412913162</v>
      </c>
      <c r="E154" s="450">
        <f t="shared" ca="1" si="8"/>
        <v>3.715515597956752E-2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1.0157909412913162</v>
      </c>
      <c r="E155" s="450">
        <f t="shared" ca="1" si="8"/>
        <v>3.6913888732946952E-2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1.0001056944444444</v>
      </c>
      <c r="D156" s="454">
        <f t="shared" ca="1" si="7"/>
        <v>1.0158983047505277</v>
      </c>
      <c r="E156" s="450">
        <f t="shared" ca="1" si="8"/>
        <v>3.692509490445136E-2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1.0001056944444444</v>
      </c>
      <c r="D157" s="454">
        <f t="shared" ca="1" si="7"/>
        <v>1.0160056795574604</v>
      </c>
      <c r="E157" s="450">
        <f t="shared" ca="1" si="8"/>
        <v>3.693618359413927E-2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1.0001056944444444</v>
      </c>
      <c r="D158" s="454">
        <f t="shared" ca="1" si="7"/>
        <v>1.0161130657133135</v>
      </c>
      <c r="E158" s="450">
        <f t="shared" ca="1" si="8"/>
        <v>3.6947157049636054E-2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1.0001056944444444</v>
      </c>
      <c r="D159" s="454">
        <f t="shared" ca="1" si="7"/>
        <v>1.0162204632192868</v>
      </c>
      <c r="E159" s="450">
        <f t="shared" ca="1" si="8"/>
        <v>3.6958017461666194E-2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1.0003170833333332</v>
      </c>
      <c r="D160" s="454">
        <f t="shared" ca="1" si="7"/>
        <v>1.0165426897911658</v>
      </c>
      <c r="E160" s="450">
        <f t="shared" ca="1" si="8"/>
        <v>3.745514669697917E-2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1.0165426897911658</v>
      </c>
      <c r="E161" s="450">
        <f t="shared" ca="1" si="8"/>
        <v>3.7221052030123047E-2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1.0165426897911658</v>
      </c>
      <c r="E162" s="450">
        <f t="shared" ca="1" si="8"/>
        <v>3.6989865371550856E-2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1.0001056944444444</v>
      </c>
      <c r="D163" s="454">
        <f t="shared" ca="1" si="7"/>
        <v>1.0166501327060173</v>
      </c>
      <c r="E163" s="450">
        <f t="shared" ca="1" si="8"/>
        <v>3.7000294902260755E-2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1.0002113888888888</v>
      </c>
      <c r="D164" s="454">
        <f t="shared" ca="1" si="7"/>
        <v>1.0168650412479587</v>
      </c>
      <c r="E164" s="450">
        <f t="shared" ca="1" si="8"/>
        <v>3.724794386052236E-2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1.0168650412479587</v>
      </c>
      <c r="E165" s="450">
        <f t="shared" ca="1" si="8"/>
        <v>3.7020822251616736E-2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1.0001056944444444</v>
      </c>
      <c r="D166" s="454">
        <f t="shared" ca="1" si="7"/>
        <v>1.0169725182335685</v>
      </c>
      <c r="E166" s="450">
        <f t="shared" ca="1" si="8"/>
        <v>3.7030948873240342E-2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1.0003170833333332</v>
      </c>
      <c r="D167" s="454">
        <f t="shared" ca="1" si="7"/>
        <v>1.0172949832695584</v>
      </c>
      <c r="E167" s="450">
        <f t="shared" ca="1" si="8"/>
        <v>3.7507192632777173E-2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1.0172949832695584</v>
      </c>
      <c r="E168" s="450">
        <f t="shared" ca="1" si="8"/>
        <v>3.7282598664916226E-2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1.0172949832695584</v>
      </c>
      <c r="E169" s="450">
        <f t="shared" ca="1" si="8"/>
        <v>3.7060678434767916E-2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1.0001056944444444</v>
      </c>
      <c r="D170" s="454">
        <f t="shared" ca="1" si="7"/>
        <v>1.0174025056976512</v>
      </c>
      <c r="E170" s="450">
        <f t="shared" ca="1" si="8"/>
        <v>3.7070426338191964E-2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1.0001056944444444</v>
      </c>
      <c r="D171" s="454">
        <f t="shared" ca="1" si="7"/>
        <v>1.0175100394902672</v>
      </c>
      <c r="E171" s="450">
        <f t="shared" ca="1" si="8"/>
        <v>3.7080083626448171E-2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1.0001056944444444</v>
      </c>
      <c r="D172" s="454">
        <f t="shared" ca="1" si="7"/>
        <v>1.0176175846486077</v>
      </c>
      <c r="E172" s="450">
        <f t="shared" ca="1" si="8"/>
        <v>3.7089651891805776E-2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1.0001056944444444</v>
      </c>
      <c r="D173" s="454">
        <f t="shared" ca="1" si="7"/>
        <v>1.0177251411738741</v>
      </c>
      <c r="E173" s="450">
        <f t="shared" ca="1" si="8"/>
        <v>3.7099132689504009E-2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1.0003170833333332</v>
      </c>
      <c r="D174" s="454">
        <f t="shared" ca="1" si="7"/>
        <v>1.0180478448540546</v>
      </c>
      <c r="E174" s="450">
        <f t="shared" ca="1" si="8"/>
        <v>3.7556208944853585E-2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1.0180478448540546</v>
      </c>
      <c r="E175" s="450">
        <f t="shared" ca="1" si="8"/>
        <v>3.7340368663561323E-2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1.0180478448540546</v>
      </c>
      <c r="E176" s="450">
        <f t="shared" ca="1" si="8"/>
        <v>3.7126995128340973E-2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1.0001056944444444</v>
      </c>
      <c r="D177" s="454">
        <f t="shared" ca="1" si="7"/>
        <v>1.0181554468554344</v>
      </c>
      <c r="E177" s="450">
        <f t="shared" ca="1" si="8"/>
        <v>3.7136141295206634E-2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1.0001056944444444</v>
      </c>
      <c r="D178" s="454">
        <f t="shared" ca="1" si="7"/>
        <v>1.0182630602297478</v>
      </c>
      <c r="E178" s="450">
        <f t="shared" ca="1" si="8"/>
        <v>3.7145207246944624E-2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1.0002113888888888</v>
      </c>
      <c r="D179" s="454">
        <f t="shared" ca="1" si="7"/>
        <v>1.0184783097266463</v>
      </c>
      <c r="E179" s="450">
        <f t="shared" ca="1" si="8"/>
        <v>3.7371862368498182E-2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1.0184783097266463</v>
      </c>
      <c r="E180" s="450">
        <f ca="1">(D180/1-1)*360/(B180-A$2)</f>
        <v>3.7163081014484227E-2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1.0003170833333332</v>
      </c>
      <c r="D181" s="454">
        <f t="shared" ca="1" si="7"/>
        <v>1.018801252224022</v>
      </c>
      <c r="E181" s="450">
        <f t="shared" ca="1" si="8"/>
        <v>3.7602504448043916E-2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1.018801252224022</v>
      </c>
      <c r="E182" s="450">
        <f t="shared" ca="1" si="8"/>
        <v>3.7394755804684557E-2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1.018801252224022</v>
      </c>
      <c r="E183" s="450">
        <f t="shared" ca="1" si="8"/>
        <v>3.7189290113450027E-2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1.0001056944444444</v>
      </c>
      <c r="D184" s="454">
        <f t="shared" ca="1" si="7"/>
        <v>1.018908933856375</v>
      </c>
      <c r="E184" s="450">
        <f t="shared" ca="1" si="8"/>
        <v>3.7197902668278771E-2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1.0001056944444444</v>
      </c>
      <c r="D185" s="454">
        <f t="shared" ca="1" si="7"/>
        <v>1.0190166268700784</v>
      </c>
      <c r="E185" s="450">
        <f t="shared" ca="1" si="8"/>
        <v>3.7206443876240412E-2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1.0001056944444444</v>
      </c>
      <c r="D186" s="454">
        <f t="shared" ca="1" si="7"/>
        <v>1.0191243312663352</v>
      </c>
      <c r="E186" s="450">
        <f t="shared" ca="1" si="8"/>
        <v>3.7214914896652226E-2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1.0001056944444444</v>
      </c>
      <c r="D187" s="454">
        <f t="shared" ca="1" si="7"/>
        <v>1.0192320470463481</v>
      </c>
      <c r="E187" s="450">
        <f t="shared" ca="1" si="8"/>
        <v>3.7223316863899486E-2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1.0003170833333332</v>
      </c>
      <c r="D188" s="454">
        <f t="shared" ca="1" si="7"/>
        <v>1.0195552285412657</v>
      </c>
      <c r="E188" s="450">
        <f t="shared" ca="1" si="8"/>
        <v>3.7646429277302912E-2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1.0195552285412657</v>
      </c>
      <c r="E189" s="450">
        <f t="shared" ca="1" si="8"/>
        <v>3.7446182313061939E-2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1.0195552285412657</v>
      </c>
      <c r="E190" s="450">
        <f t="shared" ca="1" si="8"/>
        <v>3.724805436431558E-2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1.0001056944444444</v>
      </c>
      <c r="D191" s="454">
        <f t="shared" ca="1" si="7"/>
        <v>1.0196629898647267</v>
      </c>
      <c r="E191" s="450">
        <f t="shared" ca="1" si="8"/>
        <v>3.7256191322640062E-2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1.0001056944444444</v>
      </c>
      <c r="D192" s="454">
        <f t="shared" ca="1" si="7"/>
        <v>1.0197707625779611</v>
      </c>
      <c r="E192" s="450">
        <f t="shared" ca="1" si="8"/>
        <v>3.7264264544848082E-2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1.0001056944444444</v>
      </c>
      <c r="D193" s="454">
        <f t="shared" ca="1" si="7"/>
        <v>1.0198785466821725</v>
      </c>
      <c r="E193" s="450">
        <f t="shared" ca="1" si="8"/>
        <v>3.7272275029073404E-2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1.000109412878788</v>
      </c>
      <c r="D194" s="454">
        <f t="shared" ca="1" si="7"/>
        <v>1.0199901345299791</v>
      </c>
      <c r="E194" s="450">
        <f t="shared" ca="1" si="8"/>
        <v>3.7287297568872946E-2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1.0003282386363637</v>
      </c>
      <c r="D195" s="454">
        <f t="shared" ca="1" si="7"/>
        <v>1.0203249347008416</v>
      </c>
      <c r="E195" s="450">
        <f t="shared" ca="1" si="8"/>
        <v>3.7716373671664867E-2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1.0203249347008416</v>
      </c>
      <c r="E196" s="450">
        <f t="shared" ref="E196:E216" ca="1" si="11">(D196/1-1)*360/(B196-A$2)</f>
        <v>3.7522956370784538E-2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1.0203249347008416</v>
      </c>
      <c r="E197" s="450">
        <f t="shared" ca="1" si="11"/>
        <v>3.7331512715831551E-2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1.000109412878788</v>
      </c>
      <c r="D198" s="454">
        <f t="shared" ca="1" si="10"/>
        <v>1.0204365713892465</v>
      </c>
      <c r="E198" s="450">
        <f t="shared" ca="1" si="11"/>
        <v>3.7346018782379357E-2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1.000109412878788</v>
      </c>
      <c r="D199" s="454">
        <f t="shared" ca="1" si="10"/>
        <v>1.0205482202921428</v>
      </c>
      <c r="E199" s="450">
        <f t="shared" ca="1" si="11"/>
        <v>3.7360400531168653E-2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1.000109412878788</v>
      </c>
      <c r="D200" s="454">
        <f t="shared" ca="1" si="10"/>
        <v>1.0206598814108669</v>
      </c>
      <c r="E200" s="450">
        <f t="shared" ca="1" si="11"/>
        <v>3.7374659838754265E-2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1.000109412878788</v>
      </c>
      <c r="D201" s="454">
        <f t="shared" ca="1" si="10"/>
        <v>1.0207715547467555</v>
      </c>
      <c r="E201" s="450">
        <f t="shared" ca="1" si="11"/>
        <v>3.7388798544159926E-2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1.0003282386363637</v>
      </c>
      <c r="D202" s="454">
        <f t="shared" ca="1" si="10"/>
        <v>1.0211066114099243</v>
      </c>
      <c r="E202" s="450">
        <f t="shared" ca="1" si="11"/>
        <v>3.7802886107327127E-2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1.0211066114099243</v>
      </c>
      <c r="E203" s="450">
        <f t="shared" ca="1" si="11"/>
        <v>3.7615743106795808E-2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1.0211066114099243</v>
      </c>
      <c r="E204" s="450">
        <f t="shared" ca="1" si="11"/>
        <v>3.7430443879668734E-2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1.000109412878788</v>
      </c>
      <c r="D205" s="454">
        <f t="shared" ca="1" si="10"/>
        <v>1.0212183336238281</v>
      </c>
      <c r="E205" s="450">
        <f t="shared" ca="1" si="11"/>
        <v>3.7444118159696609E-2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1.000109412878788</v>
      </c>
      <c r="D206" s="454">
        <f t="shared" ca="1" si="10"/>
        <v>1.0213300680615809</v>
      </c>
      <c r="E206" s="450">
        <f t="shared" ca="1" si="11"/>
        <v>3.7457680498385951E-2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1.000109412878788</v>
      </c>
      <c r="D207" s="454">
        <f t="shared" ca="1" si="10"/>
        <v>1.0214418147245201</v>
      </c>
      <c r="E207" s="450">
        <f t="shared" ca="1" si="11"/>
        <v>3.7471132528287578E-2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1.0004376515151514</v>
      </c>
      <c r="D208" s="454">
        <f t="shared" ca="1" si="10"/>
        <v>1.0218888502823733</v>
      </c>
      <c r="E208" s="450">
        <f t="shared" ca="1" si="11"/>
        <v>3.8067565708475318E-2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1.0218888502823733</v>
      </c>
      <c r="E209" s="450">
        <f t="shared" ca="1" si="11"/>
        <v>3.788454856564611E-2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1.0218888502823733</v>
      </c>
      <c r="E210" s="450">
        <f t="shared" ca="1" si="11"/>
        <v>3.7703282783035363E-2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1.0218888502823733</v>
      </c>
      <c r="E211" s="450">
        <f t="shared" ca="1" si="11"/>
        <v>3.7523743341211384E-2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1.000109412878788</v>
      </c>
      <c r="D212" s="454">
        <f t="shared" ca="1" si="10"/>
        <v>1.0220006580832841</v>
      </c>
      <c r="E212" s="450">
        <f t="shared" ca="1" si="11"/>
        <v>3.7536667819821228E-2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1.000109412878788</v>
      </c>
      <c r="D213" s="454">
        <f t="shared" ca="1" si="10"/>
        <v>1.0221124781174082</v>
      </c>
      <c r="E213" s="450">
        <f t="shared" ca="1" si="11"/>
        <v>3.7549491142768711E-2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1.000109412878788</v>
      </c>
      <c r="D214" s="454">
        <f t="shared" ca="1" si="10"/>
        <v>1.0222243103860842</v>
      </c>
      <c r="E214" s="450">
        <f t="shared" ca="1" si="11"/>
        <v>3.75622147370437E-2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1.0004376515151514</v>
      </c>
      <c r="D215" s="454">
        <f t="shared" ca="1" si="10"/>
        <v>1.0226716884043492</v>
      </c>
      <c r="E215" s="450">
        <f t="shared" ca="1" si="11"/>
        <v>3.8139288904512653E-2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1.0226716884043492</v>
      </c>
      <c r="E216" s="450">
        <f t="shared" ca="1" si="11"/>
        <v>3.7961896863096319E-2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2026-08-27T13:25:08Z</dcterms:modified>
</cp:coreProperties>
</file>