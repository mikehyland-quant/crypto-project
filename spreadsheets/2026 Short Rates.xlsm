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0F43BE07-FDBE-443E-BF7A-ACDD15E6173E}" xr6:coauthVersionLast="47" xr6:coauthVersionMax="47" xr10:uidLastSave="{00000000-0000-0000-0000-000000000000}"/>
  <bookViews>
    <workbookView xWindow="-120" yWindow="-120" windowWidth="29040" windowHeight="1572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5" i="1"/>
  <c r="A2466" i="1"/>
  <c r="A2467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5" i="1"/>
  <c r="B2467" i="1"/>
  <c r="N2442" i="1"/>
  <c r="C68" i="10" s="1"/>
  <c r="N2439" i="1"/>
  <c r="C65" i="10" s="1"/>
  <c r="B2466" i="1"/>
  <c r="N2441" i="1"/>
  <c r="C67" i="10" s="1"/>
  <c r="N2444" i="1"/>
  <c r="C70" i="10" s="1"/>
  <c r="B2464" i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<sst xmlns="http://schemas.openxmlformats.org/spreadsheetml/2006/main" count="2513" uniqueCount="260">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</sst>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13">
                  <c:v>607.32399999999996</c:v>
                </c:pt>
                <c:pt idx="14">
                  <c:v>607.32399999999996</c:v>
                </c:pt>
                <c:pt idx="15">
                  <c:v>607.32399999999996</c:v>
                </c:pt>
                <c:pt idx="16">
                  <c:v>607.32399999999996</c:v>
                </c:pt>
                <c:pt idx="17">
                  <c:v>607.32399999999996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  <c:pt idx="68">
                  <c:v>101</c:v>
                </c:pt>
                <c:pt idx="69">
                  <c:v>101</c:v>
                </c:pt>
                <c:pt idx="70">
                  <c:v>101</c:v>
                </c:pt>
                <c:pt idx="71">
                  <c:v>101</c:v>
                </c:pt>
                <c:pt idx="72">
                  <c:v>101</c:v>
                </c:pt>
                <c:pt idx="73">
                  <c:v>101</c:v>
                </c:pt>
                <c:pt idx="74">
                  <c:v>101</c:v>
                </c:pt>
                <c:pt idx="75">
                  <c:v>101</c:v>
                </c:pt>
                <c:pt idx="76">
                  <c:v>101</c:v>
                </c:pt>
                <c:pt idx="77">
                  <c:v>101</c:v>
                </c:pt>
                <c:pt idx="78">
                  <c:v>101</c:v>
                </c:pt>
                <c:pt idx="79">
                  <c:v>101</c:v>
                </c:pt>
                <c:pt idx="80">
                  <c:v>101</c:v>
                </c:pt>
                <c:pt idx="81">
                  <c:v>101</c:v>
                </c:pt>
                <c:pt idx="82">
                  <c:v>101</c:v>
                </c:pt>
                <c:pt idx="83">
                  <c:v>101</c:v>
                </c:pt>
                <c:pt idx="84">
                  <c:v>101</c:v>
                </c:pt>
                <c:pt idx="85">
                  <c:v>101</c:v>
                </c:pt>
                <c:pt idx="86">
                  <c:v>101</c:v>
                </c:pt>
                <c:pt idx="87">
                  <c:v>101</c:v>
                </c:pt>
                <c:pt idx="88">
                  <c:v>101</c:v>
                </c:pt>
                <c:pt idx="89">
                  <c:v>101</c:v>
                </c:pt>
                <c:pt idx="90">
                  <c:v>101</c:v>
                </c:pt>
                <c:pt idx="91">
                  <c:v>101</c:v>
                </c:pt>
                <c:pt idx="92">
                  <c:v>101</c:v>
                </c:pt>
                <c:pt idx="93">
                  <c:v>101</c:v>
                </c:pt>
                <c:pt idx="94">
                  <c:v>101</c:v>
                </c:pt>
                <c:pt idx="95">
                  <c:v>101</c:v>
                </c:pt>
                <c:pt idx="96">
                  <c:v>101</c:v>
                </c:pt>
                <c:pt idx="97">
                  <c:v>101</c:v>
                </c:pt>
                <c:pt idx="98">
                  <c:v>101</c:v>
                </c:pt>
                <c:pt idx="99">
                  <c:v>101</c:v>
                </c:pt>
                <c:pt idx="100">
                  <c:v>101</c:v>
                </c:pt>
                <c:pt idx="101">
                  <c:v>101</c:v>
                </c:pt>
                <c:pt idx="102">
                  <c:v>101</c:v>
                </c:pt>
                <c:pt idx="103">
                  <c:v>101</c:v>
                </c:pt>
                <c:pt idx="104">
                  <c:v>101</c:v>
                </c:pt>
                <c:pt idx="105">
                  <c:v>101</c:v>
                </c:pt>
                <c:pt idx="106">
                  <c:v>101</c:v>
                </c:pt>
                <c:pt idx="107">
                  <c:v>101</c:v>
                </c:pt>
                <c:pt idx="108">
                  <c:v>101</c:v>
                </c:pt>
                <c:pt idx="109">
                  <c:v>101</c:v>
                </c:pt>
                <c:pt idx="110">
                  <c:v>101</c:v>
                </c:pt>
                <c:pt idx="111">
                  <c:v>101</c:v>
                </c:pt>
                <c:pt idx="112">
                  <c:v>101</c:v>
                </c:pt>
                <c:pt idx="113">
                  <c:v>101</c:v>
                </c:pt>
                <c:pt idx="114">
                  <c:v>101</c:v>
                </c:pt>
                <c:pt idx="115">
                  <c:v>101</c:v>
                </c:pt>
                <c:pt idx="116">
                  <c:v>101</c:v>
                </c:pt>
                <c:pt idx="117">
                  <c:v>101</c:v>
                </c:pt>
                <c:pt idx="118">
                  <c:v>101</c:v>
                </c:pt>
                <c:pt idx="119">
                  <c:v>101</c:v>
                </c:pt>
                <c:pt idx="120">
                  <c:v>101</c:v>
                </c:pt>
                <c:pt idx="121">
                  <c:v>101</c:v>
                </c:pt>
                <c:pt idx="122">
                  <c:v>101</c:v>
                </c:pt>
                <c:pt idx="123">
                  <c:v>101</c:v>
                </c:pt>
                <c:pt idx="124">
                  <c:v>101</c:v>
                </c:pt>
                <c:pt idx="125">
                  <c:v>101</c:v>
                </c:pt>
                <c:pt idx="126">
                  <c:v>101</c:v>
                </c:pt>
                <c:pt idx="127">
                  <c:v>101</c:v>
                </c:pt>
                <c:pt idx="128">
                  <c:v>101</c:v>
                </c:pt>
                <c:pt idx="129">
                  <c:v>101</c:v>
                </c:pt>
                <c:pt idx="130">
                  <c:v>101</c:v>
                </c:pt>
                <c:pt idx="131">
                  <c:v>101</c:v>
                </c:pt>
                <c:pt idx="132">
                  <c:v>101</c:v>
                </c:pt>
                <c:pt idx="133">
                  <c:v>101</c:v>
                </c:pt>
                <c:pt idx="134">
                  <c:v>101</c:v>
                </c:pt>
                <c:pt idx="135">
                  <c:v>101</c:v>
                </c:pt>
                <c:pt idx="136">
                  <c:v>101</c:v>
                </c:pt>
                <c:pt idx="137">
                  <c:v>101</c:v>
                </c:pt>
                <c:pt idx="138">
                  <c:v>101</c:v>
                </c:pt>
                <c:pt idx="139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13">
                  <c:v>607.27800000000002</c:v>
                </c:pt>
                <c:pt idx="14">
                  <c:v>607.27800000000002</c:v>
                </c:pt>
                <c:pt idx="15">
                  <c:v>607.27800000000002</c:v>
                </c:pt>
                <c:pt idx="16">
                  <c:v>607.27800000000002</c:v>
                </c:pt>
                <c:pt idx="17">
                  <c:v>607.27800000000002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  <c:pt idx="68">
                  <c:v>101</c:v>
                </c:pt>
                <c:pt idx="69">
                  <c:v>101</c:v>
                </c:pt>
                <c:pt idx="70">
                  <c:v>101</c:v>
                </c:pt>
                <c:pt idx="71">
                  <c:v>101</c:v>
                </c:pt>
                <c:pt idx="72">
                  <c:v>101</c:v>
                </c:pt>
                <c:pt idx="73">
                  <c:v>101</c:v>
                </c:pt>
                <c:pt idx="74">
                  <c:v>101</c:v>
                </c:pt>
                <c:pt idx="75">
                  <c:v>101</c:v>
                </c:pt>
                <c:pt idx="76">
                  <c:v>101</c:v>
                </c:pt>
                <c:pt idx="77">
                  <c:v>101</c:v>
                </c:pt>
                <c:pt idx="78">
                  <c:v>101</c:v>
                </c:pt>
                <c:pt idx="79">
                  <c:v>101</c:v>
                </c:pt>
                <c:pt idx="80">
                  <c:v>101</c:v>
                </c:pt>
                <c:pt idx="81">
                  <c:v>101</c:v>
                </c:pt>
                <c:pt idx="82">
                  <c:v>101</c:v>
                </c:pt>
                <c:pt idx="83">
                  <c:v>101</c:v>
                </c:pt>
                <c:pt idx="84">
                  <c:v>101</c:v>
                </c:pt>
                <c:pt idx="85">
                  <c:v>101</c:v>
                </c:pt>
                <c:pt idx="86">
                  <c:v>101</c:v>
                </c:pt>
                <c:pt idx="87">
                  <c:v>101</c:v>
                </c:pt>
                <c:pt idx="88">
                  <c:v>101</c:v>
                </c:pt>
                <c:pt idx="89">
                  <c:v>101</c:v>
                </c:pt>
                <c:pt idx="90">
                  <c:v>101</c:v>
                </c:pt>
                <c:pt idx="91">
                  <c:v>101</c:v>
                </c:pt>
                <c:pt idx="92">
                  <c:v>101</c:v>
                </c:pt>
                <c:pt idx="93">
                  <c:v>101</c:v>
                </c:pt>
                <c:pt idx="94">
                  <c:v>101</c:v>
                </c:pt>
                <c:pt idx="95">
                  <c:v>101</c:v>
                </c:pt>
                <c:pt idx="96">
                  <c:v>101</c:v>
                </c:pt>
                <c:pt idx="97">
                  <c:v>101</c:v>
                </c:pt>
                <c:pt idx="98">
                  <c:v>101</c:v>
                </c:pt>
                <c:pt idx="99">
                  <c:v>101</c:v>
                </c:pt>
                <c:pt idx="100">
                  <c:v>101</c:v>
                </c:pt>
                <c:pt idx="101">
                  <c:v>101</c:v>
                </c:pt>
                <c:pt idx="102">
                  <c:v>101</c:v>
                </c:pt>
                <c:pt idx="103">
                  <c:v>101</c:v>
                </c:pt>
                <c:pt idx="104">
                  <c:v>101</c:v>
                </c:pt>
                <c:pt idx="105">
                  <c:v>101</c:v>
                </c:pt>
                <c:pt idx="106">
                  <c:v>101</c:v>
                </c:pt>
                <c:pt idx="107">
                  <c:v>101</c:v>
                </c:pt>
                <c:pt idx="108">
                  <c:v>101</c:v>
                </c:pt>
                <c:pt idx="109">
                  <c:v>101</c:v>
                </c:pt>
                <c:pt idx="110">
                  <c:v>101</c:v>
                </c:pt>
                <c:pt idx="111">
                  <c:v>101</c:v>
                </c:pt>
                <c:pt idx="112">
                  <c:v>101</c:v>
                </c:pt>
                <c:pt idx="113">
                  <c:v>101</c:v>
                </c:pt>
                <c:pt idx="114">
                  <c:v>101</c:v>
                </c:pt>
                <c:pt idx="115">
                  <c:v>101</c:v>
                </c:pt>
                <c:pt idx="116">
                  <c:v>101</c:v>
                </c:pt>
                <c:pt idx="117">
                  <c:v>101</c:v>
                </c:pt>
                <c:pt idx="118">
                  <c:v>101</c:v>
                </c:pt>
                <c:pt idx="119">
                  <c:v>101</c:v>
                </c:pt>
                <c:pt idx="120">
                  <c:v>101</c:v>
                </c:pt>
                <c:pt idx="121">
                  <c:v>101</c:v>
                </c:pt>
                <c:pt idx="122">
                  <c:v>101</c:v>
                </c:pt>
                <c:pt idx="123">
                  <c:v>101</c:v>
                </c:pt>
                <c:pt idx="124">
                  <c:v>101</c:v>
                </c:pt>
                <c:pt idx="125">
                  <c:v>101</c:v>
                </c:pt>
                <c:pt idx="126">
                  <c:v>101</c:v>
                </c:pt>
                <c:pt idx="127">
                  <c:v>101</c:v>
                </c:pt>
                <c:pt idx="128">
                  <c:v>101</c:v>
                </c:pt>
                <c:pt idx="129">
                  <c:v>101</c:v>
                </c:pt>
                <c:pt idx="130">
                  <c:v>101</c:v>
                </c:pt>
                <c:pt idx="131">
                  <c:v>101</c:v>
                </c:pt>
                <c:pt idx="132">
                  <c:v>101</c:v>
                </c:pt>
                <c:pt idx="133">
                  <c:v>101</c:v>
                </c:pt>
                <c:pt idx="134">
                  <c:v>101</c:v>
                </c:pt>
                <c:pt idx="135">
                  <c:v>101</c:v>
                </c:pt>
                <c:pt idx="136">
                  <c:v>101</c:v>
                </c:pt>
                <c:pt idx="137">
                  <c:v>101</c:v>
                </c:pt>
                <c:pt idx="138">
                  <c:v>101</c:v>
                </c:pt>
                <c:pt idx="139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0.10562949733484887</c:v>
                </c:pt>
                <c:pt idx="87">
                  <c:v>0.31442857540754782</c:v>
                </c:pt>
                <c:pt idx="88">
                  <c:v>0.31093492456968619</c:v>
                </c:pt>
                <c:pt idx="89">
                  <c:v>0.3075180572667226</c:v>
                </c:pt>
                <c:pt idx="90">
                  <c:v>0.37531503325085697</c:v>
                </c:pt>
                <c:pt idx="91">
                  <c:v>0.38318124773470902</c:v>
                </c:pt>
                <c:pt idx="92">
                  <c:v>0.39091313205548939</c:v>
                </c:pt>
                <c:pt idx="93">
                  <c:v>0.39851501992734245</c:v>
                </c:pt>
                <c:pt idx="94">
                  <c:v>0.44087279358111214</c:v>
                </c:pt>
                <c:pt idx="95">
                  <c:v>0.43632771323491515</c:v>
                </c:pt>
                <c:pt idx="96">
                  <c:v>0.43187538963047722</c:v>
                </c:pt>
                <c:pt idx="97">
                  <c:v>0.42751301195744212</c:v>
                </c:pt>
                <c:pt idx="98">
                  <c:v>0.4345252992285793</c:v>
                </c:pt>
                <c:pt idx="99">
                  <c:v>0.4414300832632268</c:v>
                </c:pt>
                <c:pt idx="100">
                  <c:v>0.4482306130240904</c:v>
                </c:pt>
                <c:pt idx="101">
                  <c:v>0.47703231562852855</c:v>
                </c:pt>
                <c:pt idx="102">
                  <c:v>0.47244546643979268</c:v>
                </c:pt>
                <c:pt idx="103">
                  <c:v>0.46794598580703273</c:v>
                </c:pt>
                <c:pt idx="104">
                  <c:v>0.47436016601940917</c:v>
                </c:pt>
                <c:pt idx="105">
                  <c:v>0.48068455178283165</c:v>
                </c:pt>
                <c:pt idx="106">
                  <c:v>0.48692172104387438</c:v>
                </c:pt>
                <c:pt idx="107">
                  <c:v>0.49307415737811644</c:v>
                </c:pt>
                <c:pt idx="108">
                  <c:v>0.52024943276450908</c:v>
                </c:pt>
                <c:pt idx="109">
                  <c:v>0.51556250093780187</c:v>
                </c:pt>
                <c:pt idx="110">
                  <c:v>0.51095926432228578</c:v>
                </c:pt>
                <c:pt idx="111">
                  <c:v>0.51679639256279941</c:v>
                </c:pt>
                <c:pt idx="112">
                  <c:v>0.52255992255696537</c:v>
                </c:pt>
                <c:pt idx="113">
                  <c:v>0.52825185437732014</c:v>
                </c:pt>
                <c:pt idx="114">
                  <c:v>0.53387411935122053</c:v>
                </c:pt>
                <c:pt idx="115">
                  <c:v>0.55966356361767666</c:v>
                </c:pt>
                <c:pt idx="116">
                  <c:v>0.55492065206159458</c:v>
                </c:pt>
                <c:pt idx="117">
                  <c:v>0.55025745330477449</c:v>
                </c:pt>
                <c:pt idx="118">
                  <c:v>0.55561955423354703</c:v>
                </c:pt>
                <c:pt idx="119">
                  <c:v>0.56092070323375398</c:v>
                </c:pt>
                <c:pt idx="120">
                  <c:v>0.56616247613853621</c:v>
                </c:pt>
                <c:pt idx="121">
                  <c:v>0.57134639774874185</c:v>
                </c:pt>
                <c:pt idx="122">
                  <c:v>0.59594430065616655</c:v>
                </c:pt>
                <c:pt idx="123">
                  <c:v>0.59117674625091721</c:v>
                </c:pt>
                <c:pt idx="124">
                  <c:v>0.58648486731241778</c:v>
                </c:pt>
                <c:pt idx="125">
                  <c:v>0.59145209198393367</c:v>
                </c:pt>
                <c:pt idx="126">
                  <c:v>0.59636838553264382</c:v>
                </c:pt>
                <c:pt idx="127">
                  <c:v>0.60123500668014385</c:v>
                </c:pt>
                <c:pt idx="128">
                  <c:v>0.60605317562491956</c:v>
                </c:pt>
                <c:pt idx="129">
                  <c:v>0.6390158555361416</c:v>
                </c:pt>
                <c:pt idx="130">
                  <c:v>0.63417482632753452</c:v>
                </c:pt>
                <c:pt idx="131">
                  <c:v>0.62940659455063575</c:v>
                </c:pt>
                <c:pt idx="132">
                  <c:v>0.62470953041219823</c:v>
                </c:pt>
                <c:pt idx="133">
                  <c:v>0.62930320853766308</c:v>
                </c:pt>
                <c:pt idx="134">
                  <c:v>0.63385501281483903</c:v>
                </c:pt>
                <c:pt idx="135">
                  <c:v>0.6383659317107615</c:v>
                </c:pt>
                <c:pt idx="136">
                  <c:v>0.66103059246954943</c:v>
                </c:pt>
                <c:pt idx="137">
                  <c:v>0.65627497669638724</c:v>
                </c:pt>
                <c:pt idx="138">
                  <c:v>0.65158729829141304</c:v>
                </c:pt>
                <c:pt idx="139">
                  <c:v>0.65594433171524058</c:v>
                </c:pt>
                <c:pt idx="140">
                  <c:v>0.66026500997936555</c:v>
                </c:pt>
                <c:pt idx="141">
                  <c:v>0.6645501654599143</c:v>
                </c:pt>
                <c:pt idx="142">
                  <c:v>0.66880060760558968</c:v>
                </c:pt>
                <c:pt idx="143">
                  <c:v>0.69067499194222726</c:v>
                </c:pt>
                <c:pt idx="144">
                  <c:v>0.68594434131248594</c:v>
                </c:pt>
                <c:pt idx="145">
                  <c:v>0.68127805327634661</c:v>
                </c:pt>
                <c:pt idx="146">
                  <c:v>0.6853975963204616</c:v>
                </c:pt>
                <c:pt idx="147">
                  <c:v>0.68948615146629677</c:v>
                </c:pt>
                <c:pt idx="148">
                  <c:v>0.69354440621456126</c:v>
                </c:pt>
                <c:pt idx="149">
                  <c:v>0.69757303004282167</c:v>
                </c:pt>
                <c:pt idx="150">
                  <c:v>0.71875055741160987</c:v>
                </c:pt>
                <c:pt idx="151">
                  <c:v>0.71405284135009606</c:v>
                </c:pt>
                <c:pt idx="152">
                  <c:v>0.70941613458808239</c:v>
                </c:pt>
                <c:pt idx="153">
                  <c:v>0.71333285102396227</c:v>
                </c:pt>
                <c:pt idx="154">
                  <c:v>0.71722302964681084</c:v>
                </c:pt>
                <c:pt idx="155">
                  <c:v>0.72108724355123888</c:v>
                </c:pt>
                <c:pt idx="156">
                  <c:v>0.72492605150713674</c:v>
                </c:pt>
                <c:pt idx="157">
                  <c:v>0.74548645890329279</c:v>
                </c:pt>
                <c:pt idx="158">
                  <c:v>0.74082716853514718</c:v>
                </c:pt>
                <c:pt idx="159">
                  <c:v>0.73622575755045683</c:v>
                </c:pt>
                <c:pt idx="160">
                  <c:v>0.73996849413682675</c:v>
                </c:pt>
                <c:pt idx="161">
                  <c:v>0.75194802092844348</c:v>
                </c:pt>
                <c:pt idx="162">
                  <c:v>0.74736297202034319</c:v>
                </c:pt>
                <c:pt idx="163">
                  <c:v>0.75103877223512649</c:v>
                </c:pt>
                <c:pt idx="164">
                  <c:v>0.77105061755263515</c:v>
                </c:pt>
                <c:pt idx="165">
                  <c:v>0.76643354798645169</c:v>
                </c:pt>
                <c:pt idx="166">
                  <c:v>0.76187144353415148</c:v>
                </c:pt>
                <c:pt idx="167">
                  <c:v>0.76546448473840167</c:v>
                </c:pt>
                <c:pt idx="168">
                  <c:v>0.76903784941804498</c:v>
                </c:pt>
                <c:pt idx="169">
                  <c:v>0.77259194579482471</c:v>
                </c:pt>
                <c:pt idx="170">
                  <c:v>0.77612717277273291</c:v>
                </c:pt>
                <c:pt idx="171">
                  <c:v>0.79564998354929128</c:v>
                </c:pt>
                <c:pt idx="172">
                  <c:v>0.79107728249441034</c:v>
                </c:pt>
                <c:pt idx="173">
                  <c:v>0.78655684088015654</c:v>
                </c:pt>
                <c:pt idx="174">
                  <c:v>0.79002059496646815</c:v>
                </c:pt>
                <c:pt idx="175">
                  <c:v>0.79346734083547787</c:v>
                </c:pt>
                <c:pt idx="176">
                  <c:v>0.804785194617337</c:v>
                </c:pt>
                <c:pt idx="177">
                  <c:v>0.80028918794349713</c:v>
                </c:pt>
                <c:pt idx="178">
                  <c:v>0.81937481663493639</c:v>
                </c:pt>
                <c:pt idx="179">
                  <c:v>0.81484788394634555</c:v>
                </c:pt>
                <c:pt idx="180">
                  <c:v>0.81037069777081627</c:v>
                </c:pt>
                <c:pt idx="181">
                  <c:v>0.81372268457207186</c:v>
                </c:pt>
                <c:pt idx="182">
                  <c:v>0.81705994600539755</c:v>
                </c:pt>
                <c:pt idx="183">
                  <c:v>0.82038278143788523</c:v>
                </c:pt>
                <c:pt idx="184">
                  <c:v>0.82369148396766445</c:v>
                </c:pt>
                <c:pt idx="185">
                  <c:v>0.84238558842854017</c:v>
                </c:pt>
                <c:pt idx="186">
                  <c:v>0.83790481402200534</c:v>
                </c:pt>
                <c:pt idx="187">
                  <c:v>0.83347145521765609</c:v>
                </c:pt>
                <c:pt idx="188">
                  <c:v>0.83672659618561118</c:v>
                </c:pt>
                <c:pt idx="189">
                  <c:v>0.83996897924525604</c:v>
                </c:pt>
                <c:pt idx="190">
                  <c:v>0.84319886326229732</c:v>
                </c:pt>
                <c:pt idx="191">
                  <c:v>0.84641650190348006</c:v>
                </c:pt>
                <c:pt idx="192">
                  <c:v>0.86475937082476995</c:v>
                </c:pt>
                <c:pt idx="193">
                  <c:v>0.86032470738464295</c:v>
                </c:pt>
                <c:pt idx="194">
                  <c:v>0.85593529561227233</c:v>
                </c:pt>
                <c:pt idx="195">
                  <c:v>0.85910653425721006</c:v>
                </c:pt>
                <c:pt idx="196">
                  <c:v>0.86226672049161734</c:v>
                </c:pt>
                <c:pt idx="197">
                  <c:v>0.86541607950036836</c:v>
                </c:pt>
                <c:pt idx="198">
                  <c:v>0.86855483212812701</c:v>
                </c:pt>
                <c:pt idx="199">
                  <c:v>0.88658225734514673</c:v>
                </c:pt>
                <c:pt idx="200">
                  <c:v>0.88219323626918067</c:v>
                </c:pt>
                <c:pt idx="201">
                  <c:v>0.87784745678016984</c:v>
                </c:pt>
                <c:pt idx="202">
                  <c:v>0.88094604038069768</c:v>
                </c:pt>
                <c:pt idx="203">
                  <c:v>0.88403505864117138</c:v>
                </c:pt>
                <c:pt idx="204">
                  <c:v>0.88711470855731001</c:v>
                </c:pt>
                <c:pt idx="205">
                  <c:v>0.9122533431516352</c:v>
                </c:pt>
                <c:pt idx="206">
                  <c:v>0.90786750977109842</c:v>
                </c:pt>
                <c:pt idx="207">
                  <c:v>0.90352364608798319</c:v>
                </c:pt>
                <c:pt idx="208">
                  <c:v>0.8992211525351832</c:v>
                </c:pt>
                <c:pt idx="209">
                  <c:v>0.90225702920106032</c:v>
                </c:pt>
                <c:pt idx="210">
                  <c:v>0.90528464273592191</c:v>
                </c:pt>
                <c:pt idx="211">
                  <c:v>0.90830416642290257</c:v>
                </c:pt>
                <c:pt idx="212">
                  <c:v>0.93308381856955358</c:v>
                </c:pt>
                <c:pt idx="213">
                  <c:v>0.92874389383202083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J38" sqref="J38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46264.66425115741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46264.66425115741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45.208848638197672</v>
      </c>
      <c r="H3" s="33">
        <f>INPUT!H37</f>
        <v>-1</v>
      </c>
      <c r="I3" s="34">
        <f t="shared" ref="I3:I9" si="0">100-H3</f>
        <v>101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7.3731892806036825</v>
      </c>
      <c r="H4" s="44">
        <f>INPUT!H38</f>
        <v>-1</v>
      </c>
      <c r="I4" s="45">
        <f t="shared" si="0"/>
        <v>101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-1</v>
      </c>
      <c r="C5" s="45">
        <f t="shared" ref="C5:C9" si="3">100-B5</f>
        <v>101</v>
      </c>
      <c r="D5" s="145">
        <f t="shared" ref="D5:D9" si="4">B5-E5</f>
        <v>0</v>
      </c>
      <c r="E5" s="44">
        <f>INPUT!H19</f>
        <v>-1</v>
      </c>
      <c r="F5" s="45">
        <f t="shared" ref="F5:F9" si="5">100-E5</f>
        <v>101</v>
      </c>
      <c r="G5" s="326">
        <f ca="1">'3M SOFR CALCS'!F38</f>
        <v>-38.393509850588572</v>
      </c>
      <c r="H5" s="44">
        <f>INPUT!H39</f>
        <v>-1</v>
      </c>
      <c r="I5" s="45">
        <f>100-H5</f>
        <v>101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101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-1</v>
      </c>
      <c r="C6" s="34">
        <f t="shared" si="3"/>
        <v>101</v>
      </c>
      <c r="D6" s="286">
        <f t="shared" si="4"/>
        <v>0</v>
      </c>
      <c r="E6" s="33">
        <f>INPUT!H20</f>
        <v>-1</v>
      </c>
      <c r="F6" s="34">
        <f t="shared" si="5"/>
        <v>101</v>
      </c>
      <c r="G6" s="325">
        <f ca="1">'3M SOFR CALCS'!F39</f>
        <v>-13.705969151166272</v>
      </c>
      <c r="H6" s="33">
        <f>INPUT!H40</f>
        <v>-1</v>
      </c>
      <c r="I6" s="34">
        <f>100-H6</f>
        <v>101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101</v>
      </c>
      <c r="Q6" s="414"/>
      <c r="R6" s="409">
        <f ca="1">'DAILY EXTRAPOLATION'!K2477</f>
        <v>101</v>
      </c>
      <c r="S6" s="36">
        <f ca="1">R6-Q5</f>
        <v>0</v>
      </c>
      <c r="T6" s="37">
        <f t="shared" ca="1" si="6"/>
        <v>0</v>
      </c>
      <c r="U6" s="40">
        <v>0.21196428571408532</v>
      </c>
      <c r="V6" s="40">
        <f t="shared" ca="1" si="2"/>
        <v>0.21196428571408532</v>
      </c>
      <c r="W6" s="18"/>
    </row>
    <row r="7" spans="1:24">
      <c r="A7" s="38">
        <v>46296</v>
      </c>
      <c r="B7" s="44">
        <f>INPUT!H4</f>
        <v>-1</v>
      </c>
      <c r="C7" s="45">
        <f>100-B7</f>
        <v>101</v>
      </c>
      <c r="D7" s="145">
        <f>B7-E7</f>
        <v>0</v>
      </c>
      <c r="E7" s="44">
        <f>INPUT!H21</f>
        <v>-1</v>
      </c>
      <c r="F7" s="45">
        <f>100-E7</f>
        <v>101</v>
      </c>
      <c r="G7" s="391">
        <v>2027</v>
      </c>
      <c r="H7" s="44">
        <f>INPUT!H41</f>
        <v>-1</v>
      </c>
      <c r="I7" s="45">
        <f t="shared" si="0"/>
        <v>101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101</v>
      </c>
      <c r="Q7" s="40"/>
      <c r="R7" s="372">
        <f>'DAILY EXTRAPOLATION'!K2507</f>
        <v>101</v>
      </c>
      <c r="S7" s="40">
        <f ca="1">R7-P7</f>
        <v>0</v>
      </c>
      <c r="T7" s="41">
        <f t="shared" ca="1" si="6"/>
        <v>0</v>
      </c>
      <c r="U7" s="40">
        <v>0.29499999999980275</v>
      </c>
      <c r="V7" s="40">
        <f t="shared" ca="1" si="2"/>
        <v>0.29499999999980275</v>
      </c>
      <c r="W7" s="18"/>
    </row>
    <row r="8" spans="1:24">
      <c r="A8" s="38">
        <v>46327</v>
      </c>
      <c r="B8" s="44">
        <f>INPUT!H5</f>
        <v>-1</v>
      </c>
      <c r="C8" s="45">
        <f>100-B8</f>
        <v>101</v>
      </c>
      <c r="D8" s="145">
        <f>B8-E8</f>
        <v>0</v>
      </c>
      <c r="E8" s="44">
        <f>INPUT!H22</f>
        <v>-1</v>
      </c>
      <c r="F8" s="45">
        <f>100-E8</f>
        <v>101</v>
      </c>
      <c r="G8" s="391">
        <v>2027</v>
      </c>
      <c r="H8" s="44">
        <f>INPUT!H42</f>
        <v>-1</v>
      </c>
      <c r="I8" s="45">
        <f t="shared" ref="I8" si="7">100-H8</f>
        <v>101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101</v>
      </c>
      <c r="R8" s="40"/>
      <c r="S8" s="40"/>
      <c r="T8" s="41">
        <f t="shared" ca="1" si="6"/>
        <v>0</v>
      </c>
      <c r="U8" s="40">
        <v>0.29499999999980275</v>
      </c>
      <c r="V8" s="40">
        <f t="shared" ca="1" si="2"/>
        <v>0.29499999999980275</v>
      </c>
    </row>
    <row r="9" spans="1:24" ht="15.75" thickBot="1">
      <c r="A9" s="43">
        <v>46357</v>
      </c>
      <c r="B9" s="50">
        <f>INPUT!H6</f>
        <v>-1</v>
      </c>
      <c r="C9" s="51">
        <f t="shared" si="3"/>
        <v>101</v>
      </c>
      <c r="D9" s="399">
        <f t="shared" si="4"/>
        <v>0</v>
      </c>
      <c r="E9" s="50">
        <f>INPUT!H23</f>
        <v>-1</v>
      </c>
      <c r="F9" s="51">
        <f t="shared" si="5"/>
        <v>101</v>
      </c>
      <c r="G9" s="392">
        <v>2027</v>
      </c>
      <c r="H9" s="50">
        <f>INPUT!H43</f>
        <v>-1</v>
      </c>
      <c r="I9" s="51">
        <f t="shared" si="0"/>
        <v>101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101</v>
      </c>
      <c r="Q9" s="410"/>
      <c r="R9" s="410">
        <f ca="1">'DAILY EXTRAPOLATION'!K2586</f>
        <v>101</v>
      </c>
      <c r="S9" s="47">
        <f ca="1">R9-P9</f>
        <v>0</v>
      </c>
      <c r="T9" s="48">
        <f t="shared" ca="1" si="6"/>
        <v>0</v>
      </c>
      <c r="U9" s="40">
        <v>0.38659090909070848</v>
      </c>
      <c r="V9" s="40">
        <f t="shared" ca="1" si="2"/>
        <v>0.38659090909070848</v>
      </c>
    </row>
    <row r="10" spans="1:24">
      <c r="R10" s="177" t="s">
        <v>246</v>
      </c>
      <c r="S10" s="420">
        <v>0.25</v>
      </c>
      <c r="T10" s="423">
        <f ca="1">T9/S10</f>
        <v>0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34" activePane="bottomLeft" state="frozen"/>
      <selection pane="bottomLeft" activeCell="D2460" sqref="D2460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101</v>
      </c>
      <c r="L2446" s="194">
        <f>L2448</f>
        <v>101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46260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101</v>
      </c>
      <c r="L2448" s="180">
        <f>OUTPUT!F5</f>
        <v>101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46260</v>
      </c>
      <c r="R2448" s="466">
        <v>3.64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3131</v>
      </c>
      <c r="L2450" s="178">
        <f>L2448*L2438</f>
        <v>3131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3131</v>
      </c>
      <c r="L2452" s="192">
        <f>L2450</f>
        <v>3131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94.379999999999981</v>
      </c>
      <c r="L2453" s="192">
        <f ca="1">SUM(INDIRECT(L2442))</f>
        <v>94.610000000000014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3036.62</v>
      </c>
      <c r="L2455" s="201">
        <f ca="1">L2450-L2453-L2454</f>
        <v>3036.39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26</v>
      </c>
      <c r="L2458" s="179">
        <f ca="1">COUNTA(INDIRECT(L2442))</f>
        <v>26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5</v>
      </c>
      <c r="L2460" s="202">
        <f ca="1">L2457-L2458-L2459</f>
        <v>5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5">
        <v>3.64</v>
      </c>
      <c r="I2462" s="457">
        <f t="shared" si="223"/>
        <v>1.0000000000000231E-2</v>
      </c>
      <c r="J2462" s="15" t="s">
        <v>238</v>
      </c>
      <c r="K2462" s="178">
        <f ca="1">K2455</f>
        <v>3036.62</v>
      </c>
      <c r="L2462" s="192">
        <f ca="1">L2455</f>
        <v>3036.39</v>
      </c>
      <c r="M2462" s="113">
        <f t="shared" si="225"/>
        <v>1</v>
      </c>
      <c r="N2462" s="64">
        <f t="shared" si="226"/>
        <v>1.0001011111111111</v>
      </c>
    </row>
    <row r="2463" spans="1:14">
      <c r="A2463" s="84">
        <f t="shared" ref="A2463:A2467" ca="1" si="227">K$2464</f>
        <v>607.32399999999996</v>
      </c>
      <c r="B2463" s="228">
        <f t="shared" ref="B2463:B2467" ca="1" si="228">L$2464</f>
        <v>607.27800000000002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5</v>
      </c>
      <c r="L2463" s="223">
        <f ca="1">L2460</f>
        <v>5</v>
      </c>
      <c r="M2463" s="113">
        <f t="shared" si="225"/>
        <v>1</v>
      </c>
      <c r="N2463" s="64">
        <f t="shared" ca="1" si="226"/>
        <v>1.0168688333333333</v>
      </c>
    </row>
    <row r="2464" spans="1:14">
      <c r="A2464" s="84">
        <f t="shared" ca="1" si="227"/>
        <v>607.32399999999996</v>
      </c>
      <c r="B2464" s="228">
        <f t="shared" ca="1" si="228"/>
        <v>607.27800000000002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607.32399999999996</v>
      </c>
      <c r="L2464" s="192">
        <f ca="1">L2462/L2463</f>
        <v>607.27800000000002</v>
      </c>
      <c r="M2464" s="113">
        <f t="shared" si="225"/>
        <v>3</v>
      </c>
      <c r="N2464" s="64">
        <f t="shared" ca="1" si="226"/>
        <v>1.0506065</v>
      </c>
    </row>
    <row r="2465" spans="1:14">
      <c r="A2465" s="84">
        <f t="shared" ca="1" si="227"/>
        <v>607.32399999999996</v>
      </c>
      <c r="B2465" s="228">
        <f t="shared" ca="1" si="228"/>
        <v>607.27800000000002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607.32399999999996</v>
      </c>
      <c r="B2466" s="228">
        <f t="shared" ca="1" si="228"/>
        <v>607.27800000000002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607.32399999999996</v>
      </c>
      <c r="B2467" s="408">
        <f t="shared" ca="1" si="228"/>
        <v>607.27800000000002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1.0168688333333333</v>
      </c>
    </row>
    <row r="2468" spans="1:14">
      <c r="A2468" s="39">
        <f ca="1">K$2495</f>
        <v>101</v>
      </c>
      <c r="B2468" s="41">
        <f t="shared" ref="B2468:B2483" ca="1" si="229">L$2495</f>
        <v>101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1.0028055555555555</v>
      </c>
    </row>
    <row r="2469" spans="1:14">
      <c r="A2469" s="39">
        <f t="shared" ref="A2469:A2483" ca="1" si="230">K$2495</f>
        <v>101</v>
      </c>
      <c r="B2469" s="41">
        <f t="shared" ca="1" si="229"/>
        <v>101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1.0028055555555555</v>
      </c>
    </row>
    <row r="2470" spans="1:14">
      <c r="A2470" s="39">
        <f t="shared" ca="1" si="230"/>
        <v>101</v>
      </c>
      <c r="B2470" s="41">
        <f t="shared" ca="1" si="229"/>
        <v>101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1.0028055555555555</v>
      </c>
    </row>
    <row r="2471" spans="1:14">
      <c r="A2471" s="39">
        <f t="shared" ca="1" si="230"/>
        <v>101</v>
      </c>
      <c r="B2471" s="41">
        <f t="shared" ca="1" si="229"/>
        <v>101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1.0112222222222222</v>
      </c>
    </row>
    <row r="2472" spans="1:14">
      <c r="A2472" s="39">
        <f t="shared" ca="1" si="230"/>
        <v>101</v>
      </c>
      <c r="B2472" s="41">
        <f t="shared" ca="1" si="229"/>
        <v>101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101</v>
      </c>
      <c r="B2473" s="41">
        <f t="shared" ca="1" si="229"/>
        <v>101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101</v>
      </c>
      <c r="B2474" s="41">
        <f t="shared" ca="1" si="229"/>
        <v>101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101</v>
      </c>
      <c r="B2475" s="41">
        <f t="shared" ca="1" si="229"/>
        <v>101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1.0028055555555555</v>
      </c>
    </row>
    <row r="2476" spans="1:14">
      <c r="A2476" s="39">
        <f t="shared" ca="1" si="230"/>
        <v>101</v>
      </c>
      <c r="B2476" s="41">
        <f t="shared" ca="1" si="229"/>
        <v>101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1.0028055555555555</v>
      </c>
    </row>
    <row r="2477" spans="1:14">
      <c r="A2477" s="39">
        <f t="shared" ca="1" si="230"/>
        <v>101</v>
      </c>
      <c r="B2477" s="41">
        <f t="shared" ca="1" si="229"/>
        <v>101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101</v>
      </c>
      <c r="L2477" s="194">
        <f ca="1">B2499+H2499</f>
        <v>101</v>
      </c>
      <c r="M2477" s="113">
        <f t="shared" si="231"/>
        <v>1</v>
      </c>
      <c r="N2477" s="64">
        <f t="shared" ca="1" si="226"/>
        <v>1.0028055555555555</v>
      </c>
    </row>
    <row r="2478" spans="1:14">
      <c r="A2478" s="39">
        <f t="shared" ca="1" si="230"/>
        <v>101</v>
      </c>
      <c r="B2478" s="41">
        <f t="shared" ca="1" si="229"/>
        <v>101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1.0084166666666667</v>
      </c>
    </row>
    <row r="2479" spans="1:14">
      <c r="A2479" s="39">
        <f t="shared" ca="1" si="230"/>
        <v>101</v>
      </c>
      <c r="B2479" s="41">
        <f t="shared" ca="1" si="229"/>
        <v>101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101</v>
      </c>
      <c r="L2479" s="193">
        <f>OUTPUT!F6</f>
        <v>101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101</v>
      </c>
      <c r="B2480" s="41">
        <f t="shared" ca="1" si="229"/>
        <v>101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101</v>
      </c>
      <c r="B2481" s="41">
        <f t="shared" ca="1" si="229"/>
        <v>101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3030</v>
      </c>
      <c r="L2481" s="192">
        <f>L2479*L2469</f>
        <v>3030</v>
      </c>
      <c r="M2481" s="113">
        <f t="shared" si="231"/>
        <v>1</v>
      </c>
      <c r="N2481" s="64">
        <f t="shared" ca="1" si="226"/>
        <v>1.0028055555555555</v>
      </c>
    </row>
    <row r="2482" spans="1:14">
      <c r="A2482" s="39">
        <f t="shared" ca="1" si="230"/>
        <v>101</v>
      </c>
      <c r="B2482" s="41">
        <f t="shared" ca="1" si="229"/>
        <v>101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1.0028055555555555</v>
      </c>
    </row>
    <row r="2483" spans="1:14">
      <c r="A2483" s="39">
        <f t="shared" ca="1" si="230"/>
        <v>101</v>
      </c>
      <c r="B2483" s="41">
        <f t="shared" ca="1" si="229"/>
        <v>101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3030</v>
      </c>
      <c r="L2483" s="192">
        <f>L2481</f>
        <v>3030</v>
      </c>
      <c r="M2483" s="113">
        <f t="shared" si="231"/>
        <v>1</v>
      </c>
      <c r="N2483" s="64">
        <f t="shared" ca="1" si="226"/>
        <v>1.0028055555555555</v>
      </c>
    </row>
    <row r="2484" spans="1:14">
      <c r="A2484" s="304">
        <f ca="1">K$2477</f>
        <v>101</v>
      </c>
      <c r="B2484" s="305">
        <f t="shared" ref="B2484:B2497" ca="1" si="232">L$2477</f>
        <v>101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1.0028055555555555</v>
      </c>
    </row>
    <row r="2485" spans="1:14">
      <c r="A2485" s="304">
        <f t="shared" ref="A2485:A2497" ca="1" si="233">K$2477</f>
        <v>101</v>
      </c>
      <c r="B2485" s="305">
        <f t="shared" ca="1" si="232"/>
        <v>101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1414</v>
      </c>
      <c r="L2485" s="401">
        <f ca="1">SUM(INDIRECT(L2475))</f>
        <v>1414</v>
      </c>
      <c r="M2485" s="113">
        <f t="shared" si="231"/>
        <v>3</v>
      </c>
      <c r="N2485" s="64">
        <f t="shared" ca="1" si="226"/>
        <v>1.0084166666666667</v>
      </c>
    </row>
    <row r="2486" spans="1:14">
      <c r="A2486" s="304">
        <f t="shared" ca="1" si="233"/>
        <v>101</v>
      </c>
      <c r="B2486" s="305">
        <f t="shared" ca="1" si="232"/>
        <v>101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1616</v>
      </c>
      <c r="L2486" s="201">
        <f ca="1">L2481-L2484-L2485</f>
        <v>1616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101</v>
      </c>
      <c r="B2487" s="305">
        <f t="shared" ca="1" si="232"/>
        <v>101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101</v>
      </c>
      <c r="B2488" s="305">
        <f t="shared" ca="1" si="232"/>
        <v>101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1.0028055555555555</v>
      </c>
    </row>
    <row r="2489" spans="1:14">
      <c r="A2489" s="304">
        <f t="shared" ca="1" si="233"/>
        <v>101</v>
      </c>
      <c r="B2489" s="305">
        <f t="shared" ca="1" si="232"/>
        <v>101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1.0028055555555555</v>
      </c>
    </row>
    <row r="2490" spans="1:14">
      <c r="A2490" s="304">
        <f t="shared" ca="1" si="233"/>
        <v>101</v>
      </c>
      <c r="B2490" s="305">
        <f t="shared" ca="1" si="232"/>
        <v>101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1.0028055555555555</v>
      </c>
    </row>
    <row r="2491" spans="1:14">
      <c r="A2491" s="304">
        <f t="shared" ca="1" si="233"/>
        <v>101</v>
      </c>
      <c r="B2491" s="305">
        <f t="shared" ca="1" si="232"/>
        <v>101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1.0028055555555555</v>
      </c>
    </row>
    <row r="2492" spans="1:14">
      <c r="A2492" s="304">
        <f t="shared" ca="1" si="233"/>
        <v>101</v>
      </c>
      <c r="B2492" s="305">
        <f t="shared" ca="1" si="232"/>
        <v>101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1.0084166666666667</v>
      </c>
    </row>
    <row r="2493" spans="1:14">
      <c r="A2493" s="304">
        <f t="shared" ca="1" si="233"/>
        <v>101</v>
      </c>
      <c r="B2493" s="305">
        <f t="shared" ca="1" si="232"/>
        <v>101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1616</v>
      </c>
      <c r="L2493" s="192">
        <f ca="1">L2486</f>
        <v>1616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101</v>
      </c>
      <c r="B2494" s="305">
        <f t="shared" ca="1" si="232"/>
        <v>101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101</v>
      </c>
      <c r="B2495" s="305">
        <f t="shared" ca="1" si="232"/>
        <v>101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101</v>
      </c>
      <c r="L2495" s="192">
        <f ca="1">L2493/L2494</f>
        <v>101</v>
      </c>
      <c r="M2495" s="113">
        <f t="shared" si="231"/>
        <v>1</v>
      </c>
      <c r="N2495" s="64">
        <f t="shared" ca="1" si="226"/>
        <v>1.0028055555555555</v>
      </c>
    </row>
    <row r="2496" spans="1:14">
      <c r="A2496" s="304">
        <f t="shared" ca="1" si="233"/>
        <v>101</v>
      </c>
      <c r="B2496" s="305">
        <f t="shared" ca="1" si="232"/>
        <v>101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1.0028055555555555</v>
      </c>
    </row>
    <row r="2497" spans="1:14" ht="15.75" thickBot="1">
      <c r="A2497" s="405">
        <f t="shared" ca="1" si="233"/>
        <v>101</v>
      </c>
      <c r="B2497" s="406">
        <f t="shared" ca="1" si="232"/>
        <v>101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1.0028055555555555</v>
      </c>
    </row>
    <row r="2498" spans="1:14">
      <c r="A2498" s="39">
        <f t="shared" ref="A2498:A2524" ca="1" si="234">K$2525</f>
        <v>101</v>
      </c>
      <c r="B2498" s="41">
        <f t="shared" ref="B2498:B2525" ca="1" si="235">L$2525</f>
        <v>101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1.0028055555555555</v>
      </c>
    </row>
    <row r="2499" spans="1:14">
      <c r="A2499" s="39">
        <f t="shared" ca="1" si="234"/>
        <v>101</v>
      </c>
      <c r="B2499" s="41">
        <f t="shared" ca="1" si="235"/>
        <v>101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1.0084166666666667</v>
      </c>
    </row>
    <row r="2500" spans="1:14">
      <c r="A2500" s="39">
        <f t="shared" ca="1" si="234"/>
        <v>101</v>
      </c>
      <c r="B2500" s="41">
        <f t="shared" ca="1" si="235"/>
        <v>101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101</v>
      </c>
      <c r="B2501" s="41">
        <f t="shared" ca="1" si="235"/>
        <v>101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101</v>
      </c>
      <c r="B2502" s="41">
        <f t="shared" ca="1" si="235"/>
        <v>101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1.0028055555555555</v>
      </c>
    </row>
    <row r="2503" spans="1:14">
      <c r="A2503" s="39">
        <f t="shared" ca="1" si="234"/>
        <v>101</v>
      </c>
      <c r="B2503" s="41">
        <f t="shared" ca="1" si="235"/>
        <v>101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1.0028055555555555</v>
      </c>
    </row>
    <row r="2504" spans="1:14">
      <c r="A2504" s="39">
        <f t="shared" ca="1" si="234"/>
        <v>101</v>
      </c>
      <c r="B2504" s="41">
        <f t="shared" ca="1" si="235"/>
        <v>101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1.0028055555555555</v>
      </c>
    </row>
    <row r="2505" spans="1:14">
      <c r="A2505" s="39">
        <f t="shared" ca="1" si="234"/>
        <v>101</v>
      </c>
      <c r="B2505" s="41">
        <f t="shared" ca="1" si="235"/>
        <v>101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1.0028055555555555</v>
      </c>
    </row>
    <row r="2506" spans="1:14">
      <c r="A2506" s="39">
        <f t="shared" ca="1" si="234"/>
        <v>101</v>
      </c>
      <c r="B2506" s="41">
        <f t="shared" ca="1" si="235"/>
        <v>101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1.0112222222222222</v>
      </c>
    </row>
    <row r="2507" spans="1:14">
      <c r="A2507" s="39">
        <f t="shared" ca="1" si="234"/>
        <v>101</v>
      </c>
      <c r="B2507" s="41">
        <f t="shared" ca="1" si="235"/>
        <v>101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101</v>
      </c>
      <c r="L2507" s="194">
        <f>B2529+H2529</f>
        <v>101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101</v>
      </c>
      <c r="B2508" s="41">
        <f t="shared" ca="1" si="235"/>
        <v>101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101</v>
      </c>
      <c r="B2509" s="41">
        <f t="shared" ca="1" si="235"/>
        <v>101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101</v>
      </c>
      <c r="L2509" s="180">
        <f>OUTPUT!F7</f>
        <v>101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101</v>
      </c>
      <c r="B2510" s="41">
        <f t="shared" ca="1" si="235"/>
        <v>101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1.0028055555555555</v>
      </c>
    </row>
    <row r="2511" spans="1:14">
      <c r="A2511" s="39">
        <f t="shared" ca="1" si="234"/>
        <v>101</v>
      </c>
      <c r="B2511" s="41">
        <f t="shared" ca="1" si="235"/>
        <v>101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3131</v>
      </c>
      <c r="L2511" s="178">
        <f>L2509*L2499</f>
        <v>3131</v>
      </c>
      <c r="M2511" s="113">
        <f t="shared" si="238"/>
        <v>1</v>
      </c>
      <c r="N2511" s="64">
        <f t="shared" ca="1" si="226"/>
        <v>1.0028055555555555</v>
      </c>
    </row>
    <row r="2512" spans="1:14">
      <c r="A2512" s="39">
        <f t="shared" ca="1" si="234"/>
        <v>101</v>
      </c>
      <c r="B2512" s="41">
        <f t="shared" ca="1" si="235"/>
        <v>101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1.0028055555555555</v>
      </c>
    </row>
    <row r="2513" spans="1:14">
      <c r="A2513" s="39">
        <f t="shared" ca="1" si="234"/>
        <v>101</v>
      </c>
      <c r="B2513" s="41">
        <f t="shared" ca="1" si="235"/>
        <v>101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3131</v>
      </c>
      <c r="L2513" s="192">
        <f>L2511</f>
        <v>3131</v>
      </c>
      <c r="M2513" s="113">
        <f t="shared" si="238"/>
        <v>3</v>
      </c>
      <c r="N2513" s="64">
        <f t="shared" ca="1" si="226"/>
        <v>1.0084166666666667</v>
      </c>
    </row>
    <row r="2514" spans="1:14">
      <c r="A2514" s="39">
        <f t="shared" ca="1" si="234"/>
        <v>101</v>
      </c>
      <c r="B2514" s="41">
        <f t="shared" ca="1" si="235"/>
        <v>101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101</v>
      </c>
      <c r="B2515" s="41">
        <f t="shared" ca="1" si="235"/>
        <v>101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303</v>
      </c>
      <c r="L2515" s="401">
        <f ca="1">SUM(INDIRECT(L2505))</f>
        <v>303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101</v>
      </c>
      <c r="B2516" s="41">
        <f t="shared" ca="1" si="235"/>
        <v>101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2828</v>
      </c>
      <c r="L2516" s="201">
        <f ca="1">L2511-L2514-L2515</f>
        <v>2828</v>
      </c>
      <c r="M2516" s="113">
        <f t="shared" si="238"/>
        <v>1</v>
      </c>
      <c r="N2516" s="64">
        <f t="shared" ca="1" si="239"/>
        <v>1.0028055555555555</v>
      </c>
    </row>
    <row r="2517" spans="1:14">
      <c r="A2517" s="39">
        <f t="shared" ca="1" si="234"/>
        <v>101</v>
      </c>
      <c r="B2517" s="41">
        <f t="shared" ca="1" si="235"/>
        <v>101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1.0028055555555555</v>
      </c>
    </row>
    <row r="2518" spans="1:14">
      <c r="A2518" s="39">
        <f t="shared" ca="1" si="234"/>
        <v>101</v>
      </c>
      <c r="B2518" s="41">
        <f t="shared" ca="1" si="235"/>
        <v>101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1.0028055555555555</v>
      </c>
    </row>
    <row r="2519" spans="1:14">
      <c r="A2519" s="39">
        <f t="shared" ca="1" si="234"/>
        <v>101</v>
      </c>
      <c r="B2519" s="41">
        <f t="shared" ca="1" si="235"/>
        <v>101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1.0028055555555555</v>
      </c>
    </row>
    <row r="2520" spans="1:14">
      <c r="A2520" s="39">
        <f t="shared" ca="1" si="234"/>
        <v>101</v>
      </c>
      <c r="B2520" s="41">
        <f t="shared" ca="1" si="235"/>
        <v>101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1.0084166666666667</v>
      </c>
    </row>
    <row r="2521" spans="1:14">
      <c r="A2521" s="39">
        <f t="shared" ca="1" si="234"/>
        <v>101</v>
      </c>
      <c r="B2521" s="41">
        <f t="shared" ca="1" si="235"/>
        <v>101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101</v>
      </c>
      <c r="B2522" s="41">
        <f t="shared" ca="1" si="235"/>
        <v>101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101</v>
      </c>
      <c r="B2523" s="41">
        <f t="shared" ca="1" si="235"/>
        <v>101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2828</v>
      </c>
      <c r="L2523" s="192">
        <f ca="1">L2516</f>
        <v>2828</v>
      </c>
      <c r="M2523" s="113">
        <f t="shared" si="238"/>
        <v>1</v>
      </c>
      <c r="N2523" s="64">
        <f t="shared" ca="1" si="239"/>
        <v>1.0028055555555555</v>
      </c>
    </row>
    <row r="2524" spans="1:14">
      <c r="A2524" s="39">
        <f t="shared" ca="1" si="234"/>
        <v>101</v>
      </c>
      <c r="B2524" s="41">
        <f t="shared" ca="1" si="235"/>
        <v>101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1.0028055555555555</v>
      </c>
    </row>
    <row r="2525" spans="1:14">
      <c r="A2525" s="39">
        <f ca="1">K$2525</f>
        <v>101</v>
      </c>
      <c r="B2525" s="41">
        <f t="shared" ca="1" si="235"/>
        <v>101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101</v>
      </c>
      <c r="L2525" s="192">
        <f ca="1">L2523/L2524</f>
        <v>101</v>
      </c>
      <c r="M2525" s="113">
        <f t="shared" si="238"/>
        <v>1</v>
      </c>
      <c r="N2525" s="64">
        <f t="shared" ca="1" si="239"/>
        <v>1.0028055555555555</v>
      </c>
    </row>
    <row r="2526" spans="1:14">
      <c r="A2526" s="304">
        <f t="shared" ref="A2526:B2528" si="240">K$2507</f>
        <v>101</v>
      </c>
      <c r="B2526" s="305">
        <f t="shared" si="240"/>
        <v>101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1.0028055555555555</v>
      </c>
    </row>
    <row r="2527" spans="1:14">
      <c r="A2527" s="304">
        <f t="shared" si="240"/>
        <v>101</v>
      </c>
      <c r="B2527" s="305">
        <f t="shared" si="240"/>
        <v>101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1.0084166666666667</v>
      </c>
    </row>
    <row r="2528" spans="1:14" ht="15.75" thickBot="1">
      <c r="A2528" s="405">
        <f t="shared" si="240"/>
        <v>101</v>
      </c>
      <c r="B2528" s="406">
        <f t="shared" si="240"/>
        <v>101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101</v>
      </c>
      <c r="B2529" s="305">
        <f>L2538</f>
        <v>101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101</v>
      </c>
      <c r="B2530" s="41">
        <f t="shared" ref="B2530:B2558" ca="1" si="241">L$2556</f>
        <v>101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1.0028055555555555</v>
      </c>
    </row>
    <row r="2531" spans="1:14">
      <c r="A2531" s="39">
        <f t="shared" ref="A2531:A2558" ca="1" si="242">K$2556</f>
        <v>101</v>
      </c>
      <c r="B2531" s="41">
        <f t="shared" ca="1" si="241"/>
        <v>101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1.0028055555555555</v>
      </c>
    </row>
    <row r="2532" spans="1:14">
      <c r="A2532" s="39">
        <f t="shared" ca="1" si="242"/>
        <v>101</v>
      </c>
      <c r="B2532" s="41">
        <f t="shared" ca="1" si="241"/>
        <v>101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1.0028055555555555</v>
      </c>
    </row>
    <row r="2533" spans="1:14">
      <c r="A2533" s="39">
        <f t="shared" ca="1" si="242"/>
        <v>101</v>
      </c>
      <c r="B2533" s="41">
        <f t="shared" ca="1" si="241"/>
        <v>101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1.0028055555555555</v>
      </c>
    </row>
    <row r="2534" spans="1:14">
      <c r="A2534" s="39">
        <f t="shared" ca="1" si="242"/>
        <v>101</v>
      </c>
      <c r="B2534" s="41">
        <f t="shared" ca="1" si="241"/>
        <v>101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1.0084166666666667</v>
      </c>
    </row>
    <row r="2535" spans="1:14">
      <c r="A2535" s="39">
        <f t="shared" ca="1" si="242"/>
        <v>101</v>
      </c>
      <c r="B2535" s="41">
        <f t="shared" ca="1" si="241"/>
        <v>101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101</v>
      </c>
      <c r="B2536" s="41">
        <f t="shared" ca="1" si="241"/>
        <v>101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101</v>
      </c>
      <c r="B2537" s="41">
        <f t="shared" ca="1" si="241"/>
        <v>101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1.0028055555555555</v>
      </c>
    </row>
    <row r="2538" spans="1:14">
      <c r="A2538" s="39">
        <f t="shared" ca="1" si="242"/>
        <v>101</v>
      </c>
      <c r="B2538" s="41">
        <f t="shared" ca="1" si="241"/>
        <v>101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101</v>
      </c>
      <c r="L2538" s="194">
        <f>L2540</f>
        <v>101</v>
      </c>
      <c r="M2538" s="117">
        <v>2</v>
      </c>
      <c r="N2538" s="64">
        <f t="shared" ca="1" si="239"/>
        <v>1.005611111111111</v>
      </c>
    </row>
    <row r="2539" spans="1:14">
      <c r="A2539" s="39">
        <f t="shared" ca="1" si="242"/>
        <v>101</v>
      </c>
      <c r="B2539" s="41">
        <f t="shared" ca="1" si="241"/>
        <v>101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101</v>
      </c>
      <c r="B2540" s="41">
        <f t="shared" ca="1" si="241"/>
        <v>101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101</v>
      </c>
      <c r="L2540" s="193">
        <f>OUTPUT!F8</f>
        <v>101</v>
      </c>
      <c r="M2540" s="113">
        <f t="shared" ref="M2540:M2552" si="243">IF(MOD(C2540,7)&lt;2,0,IF(MOD(C2540,7)=6,3,1))</f>
        <v>1</v>
      </c>
      <c r="N2540" s="64">
        <f t="shared" ca="1" si="239"/>
        <v>1.0028055555555555</v>
      </c>
    </row>
    <row r="2541" spans="1:14">
      <c r="A2541" s="39">
        <f t="shared" ca="1" si="242"/>
        <v>101</v>
      </c>
      <c r="B2541" s="41">
        <f t="shared" ca="1" si="241"/>
        <v>101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1.0084166666666667</v>
      </c>
    </row>
    <row r="2542" spans="1:14">
      <c r="A2542" s="39">
        <f t="shared" ca="1" si="242"/>
        <v>101</v>
      </c>
      <c r="B2542" s="41">
        <f t="shared" ca="1" si="241"/>
        <v>101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3030</v>
      </c>
      <c r="L2542" s="192">
        <f>L2540*L2530</f>
        <v>3030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101</v>
      </c>
      <c r="B2543" s="41">
        <f t="shared" ca="1" si="241"/>
        <v>101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101</v>
      </c>
      <c r="B2544" s="41">
        <f t="shared" ca="1" si="241"/>
        <v>101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3030</v>
      </c>
      <c r="L2544" s="192">
        <f>L2542</f>
        <v>3030</v>
      </c>
      <c r="M2544" s="113">
        <f t="shared" si="243"/>
        <v>1</v>
      </c>
      <c r="N2544" s="64">
        <f t="shared" ca="1" si="239"/>
        <v>1.0028055555555555</v>
      </c>
    </row>
    <row r="2545" spans="1:14">
      <c r="A2545" s="39">
        <f t="shared" ca="1" si="242"/>
        <v>101</v>
      </c>
      <c r="B2545" s="41">
        <f t="shared" ca="1" si="241"/>
        <v>101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1.0028055555555555</v>
      </c>
    </row>
    <row r="2546" spans="1:14">
      <c r="A2546" s="39">
        <f t="shared" ca="1" si="242"/>
        <v>101</v>
      </c>
      <c r="B2546" s="41">
        <f t="shared" ca="1" si="241"/>
        <v>101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101</v>
      </c>
      <c r="L2546" s="401">
        <f ca="1">SUM(INDIRECT(L2535))</f>
        <v>101</v>
      </c>
      <c r="M2546" s="113">
        <f t="shared" si="243"/>
        <v>1</v>
      </c>
      <c r="N2546" s="64">
        <f t="shared" ca="1" si="239"/>
        <v>1.0028055555555555</v>
      </c>
    </row>
    <row r="2547" spans="1:14">
      <c r="A2547" s="39">
        <f t="shared" ca="1" si="242"/>
        <v>101</v>
      </c>
      <c r="B2547" s="41">
        <f t="shared" ca="1" si="241"/>
        <v>101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2929</v>
      </c>
      <c r="L2547" s="201">
        <f ca="1">L2542-L2545-L2546</f>
        <v>2929</v>
      </c>
      <c r="M2547" s="113">
        <f t="shared" si="243"/>
        <v>1</v>
      </c>
      <c r="N2547" s="64">
        <f t="shared" ca="1" si="239"/>
        <v>1.0028055555555555</v>
      </c>
    </row>
    <row r="2548" spans="1:14">
      <c r="A2548" s="39">
        <f t="shared" ca="1" si="242"/>
        <v>101</v>
      </c>
      <c r="B2548" s="41">
        <f t="shared" ca="1" si="241"/>
        <v>101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1.0084166666666667</v>
      </c>
    </row>
    <row r="2549" spans="1:14">
      <c r="A2549" s="39">
        <f t="shared" ca="1" si="242"/>
        <v>101</v>
      </c>
      <c r="B2549" s="41">
        <f t="shared" ca="1" si="241"/>
        <v>101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101</v>
      </c>
      <c r="B2550" s="41">
        <f t="shared" ca="1" si="241"/>
        <v>101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101</v>
      </c>
      <c r="B2551" s="41">
        <f t="shared" ca="1" si="241"/>
        <v>101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1.0028055555555555</v>
      </c>
    </row>
    <row r="2552" spans="1:14">
      <c r="A2552" s="39">
        <f t="shared" ca="1" si="242"/>
        <v>101</v>
      </c>
      <c r="B2552" s="41">
        <f t="shared" ca="1" si="241"/>
        <v>101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1.0028055555555555</v>
      </c>
    </row>
    <row r="2553" spans="1:14">
      <c r="A2553" s="39">
        <f t="shared" ca="1" si="242"/>
        <v>101</v>
      </c>
      <c r="B2553" s="41">
        <f t="shared" ca="1" si="241"/>
        <v>101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1.005611111111111</v>
      </c>
    </row>
    <row r="2554" spans="1:14">
      <c r="A2554" s="39">
        <f t="shared" ca="1" si="242"/>
        <v>101</v>
      </c>
      <c r="B2554" s="41">
        <f t="shared" ca="1" si="241"/>
        <v>101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2929</v>
      </c>
      <c r="L2554" s="192">
        <f ca="1">L2547</f>
        <v>2929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101</v>
      </c>
      <c r="B2555" s="41">
        <f t="shared" ca="1" si="241"/>
        <v>101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1.0084166666666667</v>
      </c>
    </row>
    <row r="2556" spans="1:14">
      <c r="A2556" s="39">
        <f t="shared" ca="1" si="242"/>
        <v>101</v>
      </c>
      <c r="B2556" s="41">
        <f t="shared" ca="1" si="241"/>
        <v>101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101</v>
      </c>
      <c r="L2556" s="192">
        <f ca="1">L2554/L2555</f>
        <v>101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101</v>
      </c>
      <c r="B2557" s="41">
        <f t="shared" ca="1" si="241"/>
        <v>101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101</v>
      </c>
      <c r="B2558" s="230">
        <f t="shared" ca="1" si="241"/>
        <v>101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1.0028055555555555</v>
      </c>
    </row>
    <row r="2559" spans="1:14">
      <c r="A2559" s="304">
        <f ca="1">K$2568</f>
        <v>101</v>
      </c>
      <c r="B2559" s="305">
        <f t="shared" ref="B2559:B2567" ca="1" si="245">L$2568</f>
        <v>101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1.0028055555555555</v>
      </c>
    </row>
    <row r="2560" spans="1:14">
      <c r="A2560" s="304">
        <f t="shared" ref="A2560:A2567" ca="1" si="246">K$2568</f>
        <v>101</v>
      </c>
      <c r="B2560" s="305">
        <f t="shared" ca="1" si="245"/>
        <v>101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1.0028055555555555</v>
      </c>
    </row>
    <row r="2561" spans="1:14">
      <c r="A2561" s="304">
        <f t="shared" ca="1" si="246"/>
        <v>101</v>
      </c>
      <c r="B2561" s="305">
        <f t="shared" ca="1" si="245"/>
        <v>101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1.0028055555555555</v>
      </c>
    </row>
    <row r="2562" spans="1:14">
      <c r="A2562" s="304">
        <f t="shared" ca="1" si="246"/>
        <v>101</v>
      </c>
      <c r="B2562" s="305">
        <f t="shared" ca="1" si="245"/>
        <v>101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1.0084166666666667</v>
      </c>
    </row>
    <row r="2563" spans="1:14">
      <c r="A2563" s="304">
        <f t="shared" ca="1" si="246"/>
        <v>101</v>
      </c>
      <c r="B2563" s="305">
        <f t="shared" ca="1" si="245"/>
        <v>101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101</v>
      </c>
      <c r="B2564" s="305">
        <f t="shared" ca="1" si="245"/>
        <v>101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101</v>
      </c>
      <c r="B2565" s="305">
        <f t="shared" ca="1" si="245"/>
        <v>101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1.0028055555555555</v>
      </c>
    </row>
    <row r="2566" spans="1:14">
      <c r="A2566" s="304">
        <f t="shared" ca="1" si="246"/>
        <v>101</v>
      </c>
      <c r="B2566" s="305">
        <f t="shared" ca="1" si="245"/>
        <v>101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1.0028055555555555</v>
      </c>
    </row>
    <row r="2567" spans="1:14">
      <c r="A2567" s="304">
        <f t="shared" ca="1" si="246"/>
        <v>101</v>
      </c>
      <c r="B2567" s="305">
        <f t="shared" ca="1" si="245"/>
        <v>101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1.0028055555555555</v>
      </c>
    </row>
    <row r="2568" spans="1:14">
      <c r="A2568" s="39">
        <f ca="1">K$2586</f>
        <v>101</v>
      </c>
      <c r="B2568" s="41">
        <f t="shared" ref="B2568:B2589" ca="1" si="249">L$2586</f>
        <v>101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101</v>
      </c>
      <c r="L2568" s="194">
        <f ca="1">B2558+H2558</f>
        <v>101</v>
      </c>
      <c r="M2568" s="113">
        <f t="shared" si="244"/>
        <v>1</v>
      </c>
      <c r="N2568" s="64">
        <f t="shared" ca="1" si="239"/>
        <v>1.0028055555555555</v>
      </c>
    </row>
    <row r="2569" spans="1:14">
      <c r="A2569" s="39">
        <f t="shared" ref="A2569:A2589" ca="1" si="250">K$2586</f>
        <v>101</v>
      </c>
      <c r="B2569" s="41">
        <f t="shared" ca="1" si="249"/>
        <v>101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1.0084166666666667</v>
      </c>
    </row>
    <row r="2570" spans="1:14">
      <c r="A2570" s="39">
        <f t="shared" ca="1" si="250"/>
        <v>101</v>
      </c>
      <c r="B2570" s="41">
        <f t="shared" ca="1" si="249"/>
        <v>101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101</v>
      </c>
      <c r="L2570" s="180">
        <f>OUTPUT!F9</f>
        <v>101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101</v>
      </c>
      <c r="B2571" s="41">
        <f t="shared" ca="1" si="249"/>
        <v>101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101</v>
      </c>
      <c r="B2572" s="41">
        <f t="shared" ca="1" si="249"/>
        <v>101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3131</v>
      </c>
      <c r="L2572" s="178">
        <f>L2570*L2560</f>
        <v>3131</v>
      </c>
      <c r="M2572" s="113">
        <f t="shared" si="244"/>
        <v>1</v>
      </c>
      <c r="N2572" s="64">
        <f t="shared" ca="1" si="239"/>
        <v>1.0028055555555555</v>
      </c>
    </row>
    <row r="2573" spans="1:14">
      <c r="A2573" s="39">
        <f t="shared" ca="1" si="250"/>
        <v>101</v>
      </c>
      <c r="B2573" s="41">
        <f t="shared" ca="1" si="249"/>
        <v>101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1.0028055555555555</v>
      </c>
    </row>
    <row r="2574" spans="1:14">
      <c r="A2574" s="39">
        <f t="shared" ca="1" si="250"/>
        <v>101</v>
      </c>
      <c r="B2574" s="41">
        <f t="shared" ca="1" si="249"/>
        <v>101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3131</v>
      </c>
      <c r="L2574" s="192">
        <f>L2572</f>
        <v>3131</v>
      </c>
      <c r="M2574" s="113">
        <f t="shared" si="244"/>
        <v>1</v>
      </c>
      <c r="N2574" s="64">
        <f t="shared" ca="1" si="239"/>
        <v>1.0028055555555555</v>
      </c>
    </row>
    <row r="2575" spans="1:14">
      <c r="A2575" s="39">
        <f t="shared" ca="1" si="250"/>
        <v>101</v>
      </c>
      <c r="B2575" s="41">
        <f t="shared" ca="1" si="249"/>
        <v>101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1.0028055555555555</v>
      </c>
    </row>
    <row r="2576" spans="1:14">
      <c r="A2576" s="39">
        <f t="shared" ca="1" si="250"/>
        <v>101</v>
      </c>
      <c r="B2576" s="41">
        <f t="shared" ca="1" si="249"/>
        <v>101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909</v>
      </c>
      <c r="L2576" s="401">
        <f ca="1">SUM(INDIRECT(L2565))</f>
        <v>909</v>
      </c>
      <c r="M2576" s="113">
        <f t="shared" si="244"/>
        <v>3</v>
      </c>
      <c r="N2576" s="64">
        <f t="shared" ca="1" si="239"/>
        <v>1.0084166666666667</v>
      </c>
    </row>
    <row r="2577" spans="1:14">
      <c r="A2577" s="39">
        <f t="shared" ca="1" si="250"/>
        <v>101</v>
      </c>
      <c r="B2577" s="41">
        <f t="shared" ca="1" si="249"/>
        <v>101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2222</v>
      </c>
      <c r="L2577" s="201">
        <f ca="1">L2572-L2575-L2576</f>
        <v>2222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101</v>
      </c>
      <c r="B2578" s="41">
        <f t="shared" ca="1" si="249"/>
        <v>101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101</v>
      </c>
      <c r="B2579" s="41">
        <f t="shared" ca="1" si="249"/>
        <v>101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1.0028055555555555</v>
      </c>
    </row>
    <row r="2580" spans="1:14">
      <c r="A2580" s="39">
        <f t="shared" ca="1" si="250"/>
        <v>101</v>
      </c>
      <c r="B2580" s="41">
        <f t="shared" ca="1" si="249"/>
        <v>101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1.0028055555555555</v>
      </c>
    </row>
    <row r="2581" spans="1:14">
      <c r="A2581" s="39">
        <f t="shared" ca="1" si="250"/>
        <v>101</v>
      </c>
      <c r="B2581" s="41">
        <f t="shared" ca="1" si="249"/>
        <v>101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1.0028055555555555</v>
      </c>
    </row>
    <row r="2582" spans="1:14">
      <c r="A2582" s="39">
        <f t="shared" ca="1" si="250"/>
        <v>101</v>
      </c>
      <c r="B2582" s="41">
        <f t="shared" ca="1" si="249"/>
        <v>101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1.0112222222222222</v>
      </c>
    </row>
    <row r="2583" spans="1:14">
      <c r="A2583" s="39">
        <f t="shared" ca="1" si="250"/>
        <v>101</v>
      </c>
      <c r="B2583" s="41">
        <f t="shared" ca="1" si="249"/>
        <v>101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101</v>
      </c>
      <c r="B2584" s="41">
        <f t="shared" ca="1" si="249"/>
        <v>101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2222</v>
      </c>
      <c r="L2584" s="192">
        <f ca="1">L2577</f>
        <v>2222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101</v>
      </c>
      <c r="B2585" s="41">
        <f t="shared" ca="1" si="249"/>
        <v>101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101</v>
      </c>
      <c r="B2586" s="41">
        <f t="shared" ca="1" si="249"/>
        <v>101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101</v>
      </c>
      <c r="L2586" s="192">
        <f ca="1">L2584/L2585</f>
        <v>101</v>
      </c>
      <c r="M2586" s="113">
        <f>IF(MOD(C2586,7)&lt;2,0,IF(MOD(C2586,7)=6,3,1))</f>
        <v>1</v>
      </c>
      <c r="N2586" s="64">
        <f t="shared" ca="1" si="251"/>
        <v>1.0028055555555555</v>
      </c>
    </row>
    <row r="2587" spans="1:14">
      <c r="A2587" s="39">
        <f t="shared" ca="1" si="250"/>
        <v>101</v>
      </c>
      <c r="B2587" s="41">
        <f t="shared" ca="1" si="249"/>
        <v>101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1.0028055555555555</v>
      </c>
    </row>
    <row r="2588" spans="1:14">
      <c r="A2588" s="39">
        <f t="shared" ca="1" si="250"/>
        <v>101</v>
      </c>
      <c r="B2588" s="41">
        <f t="shared" ca="1" si="249"/>
        <v>101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1.0028055555555555</v>
      </c>
    </row>
    <row r="2589" spans="1:14" ht="15.75" thickBot="1">
      <c r="A2589" s="98">
        <f t="shared" ca="1" si="250"/>
        <v>101</v>
      </c>
      <c r="B2589" s="230">
        <f t="shared" ca="1" si="249"/>
        <v>101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1.0112222222222222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-1</v>
      </c>
      <c r="C36" s="34">
        <f>OUTPUT!I3</f>
        <v>101</v>
      </c>
      <c r="D36" s="33">
        <f t="shared" ca="1" si="13"/>
        <v>44.208848638197672</v>
      </c>
      <c r="E36" s="34">
        <f t="shared" ca="1" si="14"/>
        <v>55.791151361802328</v>
      </c>
      <c r="F36" s="319">
        <f t="shared" ca="1" si="15"/>
        <v>45.208848638197672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1.1410276326090003</v>
      </c>
    </row>
    <row r="37" spans="1:13">
      <c r="A37" s="38">
        <f>+OUTPUT!A4</f>
        <v>46204</v>
      </c>
      <c r="B37" s="40">
        <f>OUTPUT!H4</f>
        <v>-1</v>
      </c>
      <c r="C37" s="41">
        <f>OUTPUT!I4</f>
        <v>101</v>
      </c>
      <c r="D37" s="44">
        <f t="shared" ca="1" si="13"/>
        <v>6.3731892806036825</v>
      </c>
      <c r="E37" s="45">
        <f t="shared" ca="1" si="14"/>
        <v>93.626810719396317</v>
      </c>
      <c r="F37" s="318">
        <f t="shared" ca="1" si="15"/>
        <v>7.3731892806036825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1.2548729847361344</v>
      </c>
    </row>
    <row r="38" spans="1:13">
      <c r="A38" s="38">
        <f>+OUTPUT!A5</f>
        <v>46235</v>
      </c>
      <c r="B38" s="40">
        <f>OUTPUT!H5</f>
        <v>-1</v>
      </c>
      <c r="C38" s="41">
        <f>OUTPUT!I5</f>
        <v>101</v>
      </c>
      <c r="D38" s="44">
        <f t="shared" ca="1" si="13"/>
        <v>-39.393509850588572</v>
      </c>
      <c r="E38" s="45">
        <f t="shared" ca="1" si="14"/>
        <v>139.39350985058857</v>
      </c>
      <c r="F38" s="318">
        <f t="shared" ca="1" si="15"/>
        <v>-38.393509850588572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1.3523558165667655</v>
      </c>
    </row>
    <row r="39" spans="1:13">
      <c r="A39" s="32">
        <f>+OUTPUT!A6</f>
        <v>46266</v>
      </c>
      <c r="B39" s="33">
        <f>OUTPUT!H6</f>
        <v>-1</v>
      </c>
      <c r="C39" s="34">
        <f>OUTPUT!I6</f>
        <v>101</v>
      </c>
      <c r="D39" s="33">
        <f t="shared" ca="1" si="13"/>
        <v>-14.705969151166272</v>
      </c>
      <c r="E39" s="34">
        <f t="shared" ca="1" si="14"/>
        <v>114.70596915116627</v>
      </c>
      <c r="F39" s="319">
        <f t="shared" ca="1" si="15"/>
        <v>-13.705969151166272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1.2899511997987814</v>
      </c>
    </row>
    <row r="40" spans="1:13">
      <c r="A40" s="38">
        <f>+OUTPUT!A7</f>
        <v>46296</v>
      </c>
      <c r="B40" s="40">
        <f>OUTPUT!H7</f>
        <v>-1</v>
      </c>
      <c r="C40" s="41">
        <f>OUTPUT!I7</f>
        <v>101</v>
      </c>
      <c r="D40" s="44">
        <f t="shared" ca="1" si="13"/>
        <v>7.6526170610377733</v>
      </c>
      <c r="E40" s="45">
        <f t="shared" ca="1" si="14"/>
        <v>92.347382938962227</v>
      </c>
      <c r="F40" s="318">
        <f t="shared" ca="1" si="15"/>
        <v>8.6526170610377733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1.2334336624290434</v>
      </c>
    </row>
    <row r="41" spans="1:13">
      <c r="A41" s="38">
        <f>+OUTPUT!A8</f>
        <v>46327</v>
      </c>
      <c r="B41" s="40">
        <f>OUTPUT!H8</f>
        <v>-1</v>
      </c>
      <c r="C41" s="41">
        <f>OUTPUT!I8</f>
        <v>101</v>
      </c>
      <c r="D41" s="44">
        <f t="shared" ca="1" si="13"/>
        <v>44.421585940367414</v>
      </c>
      <c r="E41" s="45">
        <f t="shared" ca="1" si="14"/>
        <v>55.578414059632586</v>
      </c>
      <c r="F41" s="323">
        <f t="shared" ca="1" si="15"/>
        <v>45.421585940367414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1.1404898799840713</v>
      </c>
    </row>
    <row r="42" spans="1:13">
      <c r="A42" s="43">
        <f>+OUTPUT!A9</f>
        <v>46357</v>
      </c>
      <c r="B42" s="50">
        <f>OUTPUT!H9</f>
        <v>-1</v>
      </c>
      <c r="C42" s="51">
        <f>OUTPUT!I9</f>
        <v>101</v>
      </c>
      <c r="D42" s="50">
        <f t="shared" ca="1" si="13"/>
        <v>78.419877199697552</v>
      </c>
      <c r="E42" s="51">
        <f t="shared" ca="1" si="14"/>
        <v>21.580122800302448</v>
      </c>
      <c r="F42" s="320">
        <f t="shared" ca="1" si="15"/>
        <v>79.419877199697552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1.0545497548563201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-1</v>
      </c>
      <c r="F2" s="150">
        <v>-1</v>
      </c>
      <c r="G2" s="151" t="s">
        <v>231</v>
      </c>
      <c r="H2" s="417">
        <f t="shared" ref="H2:H6" si="0">IF(F2&lt;G2,F2,IF(E2&gt;G2,E2,G2))</f>
        <v>-1</v>
      </c>
      <c r="I2" s="148">
        <f t="shared" ref="I2:I5" si="1">100-H2</f>
        <v>101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-1</v>
      </c>
      <c r="F3" s="150">
        <v>-1</v>
      </c>
      <c r="G3" s="151" t="s">
        <v>231</v>
      </c>
      <c r="H3" s="417">
        <f t="shared" si="0"/>
        <v>-1</v>
      </c>
      <c r="I3" s="148">
        <f t="shared" si="1"/>
        <v>101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-1</v>
      </c>
      <c r="F4" s="150">
        <v>-1</v>
      </c>
      <c r="G4" s="151" t="s">
        <v>231</v>
      </c>
      <c r="H4" s="417">
        <f t="shared" si="0"/>
        <v>-1</v>
      </c>
      <c r="I4" s="148">
        <f t="shared" si="1"/>
        <v>101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-1</v>
      </c>
      <c r="F5" s="150">
        <v>-1</v>
      </c>
      <c r="G5" s="151" t="s">
        <v>231</v>
      </c>
      <c r="H5" s="417">
        <f t="shared" si="0"/>
        <v>-1</v>
      </c>
      <c r="I5" s="148">
        <f t="shared" si="1"/>
        <v>101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-1</v>
      </c>
      <c r="F6" s="150">
        <v>-1</v>
      </c>
      <c r="G6" s="151" t="s">
        <v>231</v>
      </c>
      <c r="H6" s="417">
        <f t="shared" si="0"/>
        <v>-1</v>
      </c>
      <c r="I6" s="148">
        <f>100-H6</f>
        <v>101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-1</v>
      </c>
      <c r="F7" s="150">
        <v>-1</v>
      </c>
      <c r="G7" s="151" t="s">
        <v>231</v>
      </c>
      <c r="H7" s="417">
        <f t="shared" ref="H7:H18" si="2">IF(F7&lt;G7,F7,IF(E7&gt;G7,E7,G7))</f>
        <v>-1</v>
      </c>
      <c r="I7" s="148">
        <f t="shared" ref="I7:I18" si="3">100-H7</f>
        <v>101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-1</v>
      </c>
      <c r="F8" s="150">
        <v>-1</v>
      </c>
      <c r="G8" s="151" t="s">
        <v>231</v>
      </c>
      <c r="H8" s="417">
        <f t="shared" si="2"/>
        <v>-1</v>
      </c>
      <c r="I8" s="148">
        <f t="shared" si="3"/>
        <v>101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-1</v>
      </c>
      <c r="F9" s="150">
        <v>-1</v>
      </c>
      <c r="G9" s="151" t="s">
        <v>231</v>
      </c>
      <c r="H9" s="417">
        <f t="shared" si="2"/>
        <v>-1</v>
      </c>
      <c r="I9" s="148">
        <f t="shared" si="3"/>
        <v>101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-1</v>
      </c>
      <c r="F10" s="150">
        <v>-1</v>
      </c>
      <c r="G10" s="151" t="s">
        <v>231</v>
      </c>
      <c r="H10" s="417">
        <f t="shared" si="2"/>
        <v>-1</v>
      </c>
      <c r="I10" s="148">
        <f t="shared" si="3"/>
        <v>101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-1</v>
      </c>
      <c r="F11" s="150">
        <v>-1</v>
      </c>
      <c r="G11" s="151" t="s">
        <v>231</v>
      </c>
      <c r="H11" s="417">
        <f t="shared" si="2"/>
        <v>-1</v>
      </c>
      <c r="I11" s="148">
        <f t="shared" si="3"/>
        <v>101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-1</v>
      </c>
      <c r="F12" s="150">
        <v>-1</v>
      </c>
      <c r="G12" s="151" t="s">
        <v>231</v>
      </c>
      <c r="H12" s="417">
        <f t="shared" si="2"/>
        <v>-1</v>
      </c>
      <c r="I12" s="148">
        <f t="shared" si="3"/>
        <v>101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-1</v>
      </c>
      <c r="F13" s="150">
        <v>-1</v>
      </c>
      <c r="G13" s="151" t="s">
        <v>231</v>
      </c>
      <c r="H13" s="417">
        <f t="shared" si="2"/>
        <v>-1</v>
      </c>
      <c r="I13" s="148">
        <f t="shared" si="3"/>
        <v>101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-1</v>
      </c>
      <c r="F14" s="150">
        <v>-1</v>
      </c>
      <c r="G14" s="151" t="s">
        <v>231</v>
      </c>
      <c r="H14" s="417">
        <f t="shared" si="2"/>
        <v>-1</v>
      </c>
      <c r="I14" s="148">
        <f t="shared" si="3"/>
        <v>101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-1</v>
      </c>
      <c r="F15" s="150">
        <v>-1</v>
      </c>
      <c r="G15" s="151" t="s">
        <v>231</v>
      </c>
      <c r="H15" s="417">
        <f t="shared" si="2"/>
        <v>-1</v>
      </c>
      <c r="I15" s="148">
        <f t="shared" si="3"/>
        <v>101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-1</v>
      </c>
      <c r="F16" s="150">
        <v>-1</v>
      </c>
      <c r="G16" s="151" t="s">
        <v>231</v>
      </c>
      <c r="H16" s="417">
        <f t="shared" si="2"/>
        <v>-1</v>
      </c>
      <c r="I16" s="148">
        <f t="shared" si="3"/>
        <v>101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-1</v>
      </c>
      <c r="F17" s="150">
        <v>-1</v>
      </c>
      <c r="G17" s="151" t="s">
        <v>231</v>
      </c>
      <c r="H17" s="417">
        <f t="shared" si="2"/>
        <v>-1</v>
      </c>
      <c r="I17" s="148">
        <f t="shared" si="3"/>
        <v>101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-1</v>
      </c>
      <c r="F18" s="150">
        <v>-1</v>
      </c>
      <c r="G18" s="151" t="s">
        <v>231</v>
      </c>
      <c r="H18" s="417">
        <f t="shared" si="2"/>
        <v>-1</v>
      </c>
      <c r="I18" s="148">
        <f t="shared" si="3"/>
        <v>101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-1</v>
      </c>
      <c r="F19" s="397">
        <v>-1</v>
      </c>
      <c r="G19" s="398" t="s">
        <v>231</v>
      </c>
      <c r="H19" s="418">
        <f t="shared" ref="H19:H22" si="4">IF(F19&lt;G19,F19,IF(E19&gt;G19,E19,G19))</f>
        <v>-1</v>
      </c>
      <c r="I19" s="353">
        <f t="shared" ref="I19:I22" si="5">100-H19</f>
        <v>101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-1</v>
      </c>
      <c r="F20" s="397">
        <v>-1</v>
      </c>
      <c r="G20" s="398" t="s">
        <v>231</v>
      </c>
      <c r="H20" s="418">
        <f t="shared" si="4"/>
        <v>-1</v>
      </c>
      <c r="I20" s="353">
        <f t="shared" si="5"/>
        <v>101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-1</v>
      </c>
      <c r="F21" s="397">
        <v>-1</v>
      </c>
      <c r="G21" s="398" t="s">
        <v>231</v>
      </c>
      <c r="H21" s="418">
        <f t="shared" si="4"/>
        <v>-1</v>
      </c>
      <c r="I21" s="353">
        <f t="shared" si="5"/>
        <v>101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-1</v>
      </c>
      <c r="F22" s="397">
        <v>-1</v>
      </c>
      <c r="G22" s="398" t="s">
        <v>231</v>
      </c>
      <c r="H22" s="418">
        <f t="shared" si="4"/>
        <v>-1</v>
      </c>
      <c r="I22" s="353">
        <f t="shared" si="5"/>
        <v>101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-1</v>
      </c>
      <c r="F23" s="397">
        <v>-1</v>
      </c>
      <c r="G23" s="398" t="s">
        <v>231</v>
      </c>
      <c r="H23" s="418">
        <f t="shared" ref="H23:H35" si="6">IF(F23&lt;G23,F23,IF(E23&gt;G23,E23,G23))</f>
        <v>-1</v>
      </c>
      <c r="I23" s="353">
        <f t="shared" ref="I23:I35" si="7">100-H23</f>
        <v>101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-1</v>
      </c>
      <c r="F24" s="397">
        <v>-1</v>
      </c>
      <c r="G24" s="398" t="s">
        <v>231</v>
      </c>
      <c r="H24" s="418">
        <f t="shared" si="6"/>
        <v>-1</v>
      </c>
      <c r="I24" s="353">
        <f t="shared" si="7"/>
        <v>101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-1</v>
      </c>
      <c r="F25" s="397">
        <v>-1</v>
      </c>
      <c r="G25" s="398" t="s">
        <v>231</v>
      </c>
      <c r="H25" s="418">
        <f t="shared" si="6"/>
        <v>-1</v>
      </c>
      <c r="I25" s="353">
        <f t="shared" si="7"/>
        <v>101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-1</v>
      </c>
      <c r="F26" s="397">
        <v>-1</v>
      </c>
      <c r="G26" s="398" t="s">
        <v>231</v>
      </c>
      <c r="H26" s="418">
        <f t="shared" si="6"/>
        <v>-1</v>
      </c>
      <c r="I26" s="353">
        <f t="shared" si="7"/>
        <v>101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-1</v>
      </c>
      <c r="F27" s="397">
        <v>-1</v>
      </c>
      <c r="G27" s="398" t="s">
        <v>231</v>
      </c>
      <c r="H27" s="418">
        <f t="shared" si="6"/>
        <v>-1</v>
      </c>
      <c r="I27" s="353">
        <f t="shared" si="7"/>
        <v>101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-1</v>
      </c>
      <c r="F28" s="397">
        <v>-1</v>
      </c>
      <c r="G28" s="398" t="s">
        <v>231</v>
      </c>
      <c r="H28" s="418">
        <f t="shared" si="6"/>
        <v>-1</v>
      </c>
      <c r="I28" s="353">
        <f t="shared" si="7"/>
        <v>101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-1</v>
      </c>
      <c r="F29" s="397">
        <v>-1</v>
      </c>
      <c r="G29" s="398" t="s">
        <v>231</v>
      </c>
      <c r="H29" s="418">
        <f t="shared" si="6"/>
        <v>-1</v>
      </c>
      <c r="I29" s="353">
        <f t="shared" si="7"/>
        <v>101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-1</v>
      </c>
      <c r="F30" s="397">
        <v>-1</v>
      </c>
      <c r="G30" s="398" t="s">
        <v>231</v>
      </c>
      <c r="H30" s="418">
        <f t="shared" si="6"/>
        <v>-1</v>
      </c>
      <c r="I30" s="353">
        <f t="shared" si="7"/>
        <v>101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-1</v>
      </c>
      <c r="F31" s="397">
        <v>-1</v>
      </c>
      <c r="G31" s="398" t="s">
        <v>231</v>
      </c>
      <c r="H31" s="418">
        <f t="shared" si="6"/>
        <v>-1</v>
      </c>
      <c r="I31" s="353">
        <f t="shared" si="7"/>
        <v>101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-1</v>
      </c>
      <c r="F32" s="397">
        <v>-1</v>
      </c>
      <c r="G32" s="398" t="s">
        <v>231</v>
      </c>
      <c r="H32" s="418">
        <f t="shared" si="6"/>
        <v>-1</v>
      </c>
      <c r="I32" s="353">
        <f t="shared" si="7"/>
        <v>101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-1</v>
      </c>
      <c r="F33" s="397">
        <v>-1</v>
      </c>
      <c r="G33" s="398" t="s">
        <v>231</v>
      </c>
      <c r="H33" s="418">
        <f t="shared" si="6"/>
        <v>-1</v>
      </c>
      <c r="I33" s="353">
        <f t="shared" si="7"/>
        <v>101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-1</v>
      </c>
      <c r="F34" s="397">
        <v>-1</v>
      </c>
      <c r="G34" s="398" t="s">
        <v>231</v>
      </c>
      <c r="H34" s="418">
        <f t="shared" si="6"/>
        <v>-1</v>
      </c>
      <c r="I34" s="353">
        <f t="shared" si="7"/>
        <v>101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-1</v>
      </c>
      <c r="F35" s="397">
        <v>-1</v>
      </c>
      <c r="G35" s="398" t="s">
        <v>231</v>
      </c>
      <c r="H35" s="418">
        <f t="shared" si="6"/>
        <v>-1</v>
      </c>
      <c r="I35" s="353">
        <f t="shared" si="7"/>
        <v>101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 t="s">
        <v>231</v>
      </c>
      <c r="F36" s="143" t="s">
        <v>231</v>
      </c>
      <c r="G36" s="144" t="s">
        <v>231</v>
      </c>
      <c r="H36" s="419" t="str">
        <f t="shared" ref="H36:H42" si="8">IF(F36&lt;G36,F36,IF(E36&gt;G36,E36,G36))</f>
        <v>-</v>
      </c>
      <c r="I36" s="145" t="e">
        <f t="shared" ref="I36:I42" si="9">100-H36</f>
        <v>#VALUE!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-1</v>
      </c>
      <c r="F37" s="143">
        <v>-1</v>
      </c>
      <c r="G37" s="144" t="s">
        <v>231</v>
      </c>
      <c r="H37" s="419">
        <f t="shared" si="8"/>
        <v>-1</v>
      </c>
      <c r="I37" s="145">
        <f t="shared" si="9"/>
        <v>101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-1</v>
      </c>
      <c r="F38" s="143">
        <v>-1</v>
      </c>
      <c r="G38" s="144" t="s">
        <v>231</v>
      </c>
      <c r="H38" s="419">
        <f t="shared" si="8"/>
        <v>-1</v>
      </c>
      <c r="I38" s="145">
        <f t="shared" si="9"/>
        <v>101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-1</v>
      </c>
      <c r="F39" s="143">
        <v>-1</v>
      </c>
      <c r="G39" s="144" t="s">
        <v>231</v>
      </c>
      <c r="H39" s="419">
        <f t="shared" si="8"/>
        <v>-1</v>
      </c>
      <c r="I39" s="145">
        <f t="shared" si="9"/>
        <v>101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-1</v>
      </c>
      <c r="F40" s="143">
        <v>-1</v>
      </c>
      <c r="G40" s="144" t="s">
        <v>231</v>
      </c>
      <c r="H40" s="419">
        <f t="shared" si="8"/>
        <v>-1</v>
      </c>
      <c r="I40" s="145">
        <f t="shared" si="9"/>
        <v>101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-1</v>
      </c>
      <c r="F41" s="143">
        <v>-1</v>
      </c>
      <c r="G41" s="144" t="s">
        <v>231</v>
      </c>
      <c r="H41" s="419">
        <f t="shared" si="8"/>
        <v>-1</v>
      </c>
      <c r="I41" s="145">
        <f t="shared" si="9"/>
        <v>101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-1</v>
      </c>
      <c r="F42" s="143">
        <v>-1</v>
      </c>
      <c r="G42" s="144" t="s">
        <v>231</v>
      </c>
      <c r="H42" s="419">
        <f t="shared" si="8"/>
        <v>-1</v>
      </c>
      <c r="I42" s="145">
        <f t="shared" si="9"/>
        <v>101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-1</v>
      </c>
      <c r="F43" s="143">
        <v>-1</v>
      </c>
      <c r="G43" s="144" t="s">
        <v>231</v>
      </c>
      <c r="H43" s="419">
        <f>IF(F43&lt;G43,F43,IF(E43&gt;G43,E43,G43))</f>
        <v>-1</v>
      </c>
      <c r="I43" s="145">
        <f>100-H43</f>
        <v>101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-1</v>
      </c>
      <c r="F44" s="143">
        <v>-1</v>
      </c>
      <c r="G44" s="144" t="s">
        <v>231</v>
      </c>
      <c r="H44" s="419">
        <f t="shared" ref="H44:H52" si="10">IF(F44&lt;G44,F44,IF(E44&gt;G44,E44,G44))</f>
        <v>-1</v>
      </c>
      <c r="I44" s="145">
        <f t="shared" ref="I44:I52" si="11">100-H44</f>
        <v>101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-1</v>
      </c>
      <c r="F45" s="143">
        <v>-1</v>
      </c>
      <c r="G45" s="144" t="s">
        <v>231</v>
      </c>
      <c r="H45" s="419">
        <f t="shared" si="10"/>
        <v>-1</v>
      </c>
      <c r="I45" s="145">
        <f t="shared" si="11"/>
        <v>101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-1</v>
      </c>
      <c r="F46" s="143">
        <v>-1</v>
      </c>
      <c r="G46" s="144" t="s">
        <v>231</v>
      </c>
      <c r="H46" s="419">
        <f t="shared" si="10"/>
        <v>-1</v>
      </c>
      <c r="I46" s="145">
        <f t="shared" si="11"/>
        <v>101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-1</v>
      </c>
      <c r="F49" s="143">
        <v>-1</v>
      </c>
      <c r="G49" s="144" t="s">
        <v>231</v>
      </c>
      <c r="H49" s="419">
        <f t="shared" si="10"/>
        <v>-1</v>
      </c>
      <c r="I49" s="145">
        <f t="shared" si="11"/>
        <v>101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-1</v>
      </c>
      <c r="F52" s="143">
        <v>-1</v>
      </c>
      <c r="G52" s="144" t="s">
        <v>231</v>
      </c>
      <c r="H52" s="419">
        <f t="shared" si="10"/>
        <v>-1</v>
      </c>
      <c r="I52" s="145">
        <f t="shared" si="11"/>
        <v>101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>'DAILY EXTRAPOLATION'!N2462</f>
        <v>1.0001011111111111</v>
      </c>
      <c r="D88" s="454">
        <f t="shared" si="4"/>
        <v>1.0088032105677638</v>
      </c>
      <c r="E88" s="450">
        <f t="shared" si="5"/>
        <v>3.6427078211436356E-2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1.0168688333333333</v>
      </c>
      <c r="D89" s="454">
        <f t="shared" ca="1" si="4"/>
        <v>1.0258205437929631</v>
      </c>
      <c r="E89" s="450">
        <f t="shared" ca="1" si="5"/>
        <v>0.10562949733484887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1.0506065</v>
      </c>
      <c r="D90" s="454">
        <f t="shared" ca="1" si="4"/>
        <v>1.0777337311424215</v>
      </c>
      <c r="E90" s="450">
        <f t="shared" ca="1" si="5"/>
        <v>0.31442857540754782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1.0777337311424215</v>
      </c>
      <c r="E91" s="450">
        <f t="shared" ca="1" si="5"/>
        <v>0.31093492456968619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1.0777337311424215</v>
      </c>
      <c r="E92" s="450">
        <f t="shared" ca="1" si="5"/>
        <v>0.3075180572667226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1.0168688333333333</v>
      </c>
      <c r="D93" s="454">
        <f t="shared" ca="1" si="4"/>
        <v>1.0959138418307746</v>
      </c>
      <c r="E93" s="450">
        <f t="shared" ca="1" si="5"/>
        <v>0.37531503325085697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1.0028055555555555</v>
      </c>
      <c r="D94" s="454">
        <f t="shared" ca="1" si="4"/>
        <v>1.0989884889981332</v>
      </c>
      <c r="E94" s="450">
        <f t="shared" ca="1" si="5"/>
        <v>0.38318124773470902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1.0028055555555555</v>
      </c>
      <c r="D95" s="454">
        <f t="shared" ca="1" si="4"/>
        <v>1.1020717622589333</v>
      </c>
      <c r="E95" s="450">
        <f t="shared" ca="1" si="5"/>
        <v>0.39091313205548939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1.0028055555555555</v>
      </c>
      <c r="D96" s="454">
        <f t="shared" ca="1" si="4"/>
        <v>1.1051636858141598</v>
      </c>
      <c r="E96" s="450">
        <f t="shared" ca="1" si="5"/>
        <v>0.39851501992734245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1.0112222222222222</v>
      </c>
      <c r="D97" s="454">
        <f t="shared" ca="1" si="4"/>
        <v>1.1175660782882966</v>
      </c>
      <c r="E97" s="450">
        <f t="shared" ca="1" si="5"/>
        <v>0.44087279358111214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1.1175660782882966</v>
      </c>
      <c r="E98" s="450">
        <f t="shared" ca="1" si="5"/>
        <v>0.43632771323491515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1.1175660782882966</v>
      </c>
      <c r="E99" s="450">
        <f t="shared" ca="1" si="5"/>
        <v>0.43187538963047722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1.1175660782882966</v>
      </c>
      <c r="E100" s="450">
        <f t="shared" ca="1" si="5"/>
        <v>0.42751301195744212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1.0028055555555555</v>
      </c>
      <c r="D101" s="454">
        <f t="shared" ca="1" si="4"/>
        <v>1.1207014720079387</v>
      </c>
      <c r="E101" s="450">
        <f t="shared" ca="1" si="5"/>
        <v>0.4345252992285793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1.0028055555555555</v>
      </c>
      <c r="D102" s="454">
        <f t="shared" ca="1" si="4"/>
        <v>1.1238456622488497</v>
      </c>
      <c r="E102" s="450">
        <f t="shared" ca="1" si="5"/>
        <v>0.4414300832632268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1.0028055555555555</v>
      </c>
      <c r="D103" s="454">
        <f t="shared" ca="1" si="4"/>
        <v>1.1269986736901589</v>
      </c>
      <c r="E103" s="450">
        <f t="shared" ca="1" si="5"/>
        <v>0.4482306130240904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1.0084166666666667</v>
      </c>
      <c r="D104" s="454">
        <f t="shared" ca="1" si="4"/>
        <v>1.1364842458603845</v>
      </c>
      <c r="E104" s="450">
        <f t="shared" ca="1" si="5"/>
        <v>0.47703231562852855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1.1364842458603845</v>
      </c>
      <c r="E105" s="450">
        <f t="shared" ca="1" si="5"/>
        <v>0.47244546643979268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1.1364842458603845</v>
      </c>
      <c r="E106" s="450">
        <f t="shared" ca="1" si="5"/>
        <v>0.46794598580703273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1.0028055555555555</v>
      </c>
      <c r="D107" s="454">
        <f t="shared" ca="1" si="4"/>
        <v>1.1396727155501594</v>
      </c>
      <c r="E107" s="450">
        <f t="shared" ca="1" si="5"/>
        <v>0.47436016601940917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1.0028055555555555</v>
      </c>
      <c r="D108" s="454">
        <f t="shared" ca="1" si="4"/>
        <v>1.1428701306687861</v>
      </c>
      <c r="E108" s="450">
        <f t="shared" ca="1" si="5"/>
        <v>0.48068455178283165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1.0028055555555555</v>
      </c>
      <c r="D109" s="454">
        <f t="shared" ca="1" si="4"/>
        <v>1.1460765163131623</v>
      </c>
      <c r="E109" s="450">
        <f t="shared" ca="1" si="5"/>
        <v>0.48692172104387438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1.0028055555555555</v>
      </c>
      <c r="D110" s="454">
        <f t="shared" ca="1" si="4"/>
        <v>1.1492918976505964</v>
      </c>
      <c r="E110" s="450">
        <f t="shared" ca="1" si="5"/>
        <v>0.49307415737811644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1.0084166666666667</v>
      </c>
      <c r="D111" s="454">
        <f t="shared" ca="1" si="4"/>
        <v>1.1589651044558222</v>
      </c>
      <c r="E111" s="450">
        <f t="shared" ca="1" si="5"/>
        <v>0.52024943276450908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1.1589651044558222</v>
      </c>
      <c r="E112" s="450">
        <f t="shared" ca="1" si="5"/>
        <v>0.51556250093780187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1.1589651044558222</v>
      </c>
      <c r="E113" s="450">
        <f t="shared" ca="1" si="5"/>
        <v>0.51095926432228578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1.0028055555555555</v>
      </c>
      <c r="D114" s="454">
        <f t="shared" ca="1" si="4"/>
        <v>1.1622166454433231</v>
      </c>
      <c r="E114" s="450">
        <f t="shared" ca="1" si="5"/>
        <v>0.51679639256279941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1.0028055555555555</v>
      </c>
      <c r="D115" s="454">
        <f t="shared" ca="1" si="4"/>
        <v>1.1654773088097057</v>
      </c>
      <c r="E115" s="450">
        <f t="shared" ca="1" si="5"/>
        <v>0.52255992255696537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1.0028055555555555</v>
      </c>
      <c r="D116" s="454">
        <f t="shared" ca="1" si="4"/>
        <v>1.1687471201483106</v>
      </c>
      <c r="E116" s="450">
        <f t="shared" ca="1" si="5"/>
        <v>0.52825185437732014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1.0028055555555555</v>
      </c>
      <c r="D117" s="454">
        <f t="shared" ca="1" si="4"/>
        <v>1.1720261051242822</v>
      </c>
      <c r="E117" s="450">
        <f t="shared" ca="1" si="5"/>
        <v>0.53387411935122053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1.0084166666666667</v>
      </c>
      <c r="D118" s="454">
        <f t="shared" ca="1" si="4"/>
        <v>1.1818906581757449</v>
      </c>
      <c r="E118" s="450">
        <f t="shared" ca="1" si="5"/>
        <v>0.55966356361767666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1.1818906581757449</v>
      </c>
      <c r="E119" s="450">
        <f t="shared" ca="1" si="5"/>
        <v>0.55492065206159458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1.1818906581757449</v>
      </c>
      <c r="E120" s="450">
        <f t="shared" ca="1" si="5"/>
        <v>0.55025745330477449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1.0028055555555555</v>
      </c>
      <c r="D121" s="454">
        <f t="shared" ca="1" si="4"/>
        <v>1.185206518077849</v>
      </c>
      <c r="E121" s="450">
        <f t="shared" ca="1" si="5"/>
        <v>0.55561955423354703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1.0028055555555555</v>
      </c>
      <c r="D122" s="454">
        <f t="shared" ca="1" si="4"/>
        <v>1.1885316808091229</v>
      </c>
      <c r="E122" s="450">
        <f t="shared" ca="1" si="5"/>
        <v>0.56092070323375398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1.0028055555555555</v>
      </c>
      <c r="D123" s="454">
        <f t="shared" ca="1" si="4"/>
        <v>1.1918661724691706</v>
      </c>
      <c r="E123" s="450">
        <f t="shared" ca="1" si="5"/>
        <v>0.56616247613853621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1.0028055555555555</v>
      </c>
      <c r="D124" s="454">
        <f t="shared" ca="1" si="4"/>
        <v>1.1952100192308202</v>
      </c>
      <c r="E124" s="450">
        <f t="shared" ca="1" si="5"/>
        <v>0.57134639774874185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1.0084166666666667</v>
      </c>
      <c r="D125" s="454">
        <f t="shared" ca="1" si="4"/>
        <v>1.2052697035593463</v>
      </c>
      <c r="E125" s="450">
        <f t="shared" ca="1" si="5"/>
        <v>0.59594430065616655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1.2052697035593463</v>
      </c>
      <c r="E126" s="450">
        <f t="shared" ca="1" si="5"/>
        <v>0.59117674625091721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1.2052697035593463</v>
      </c>
      <c r="E127" s="450">
        <f t="shared" ca="1" si="5"/>
        <v>0.58648486731241778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1.0028055555555555</v>
      </c>
      <c r="D128" s="454">
        <f t="shared" ca="1" si="4"/>
        <v>1.2086511546721099</v>
      </c>
      <c r="E128" s="450">
        <f t="shared" ca="1" si="5"/>
        <v>0.59145209198393367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1.0028055555555555</v>
      </c>
      <c r="D129" s="454">
        <f t="shared" ca="1" si="4"/>
        <v>1.2120420926338289</v>
      </c>
      <c r="E129" s="450">
        <f t="shared" ca="1" si="5"/>
        <v>0.59636838553264382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1.0028055555555555</v>
      </c>
      <c r="D130" s="454">
        <f t="shared" ca="1" si="4"/>
        <v>1.2154425440603849</v>
      </c>
      <c r="E130" s="450">
        <f t="shared" ca="1" si="5"/>
        <v>0.60123500668014385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1.0028055555555555</v>
      </c>
      <c r="D131" s="454">
        <f t="shared" ca="1" si="4"/>
        <v>1.2188525356423321</v>
      </c>
      <c r="E131" s="450">
        <f t="shared" ca="1" si="5"/>
        <v>0.60605317562491956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1.0112222222222222</v>
      </c>
      <c r="D132" s="454">
        <f t="shared" ref="D132:D195" ca="1" si="7">D131*C132</f>
        <v>1.2325307696534293</v>
      </c>
      <c r="E132" s="450">
        <f t="shared" ref="E132:E195" ca="1" si="8">(D132/1-1)*360/(B132-A$2)</f>
        <v>0.6390158555361416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1.2325307696534293</v>
      </c>
      <c r="E133" s="450">
        <f t="shared" ca="1" si="8"/>
        <v>0.63417482632753452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1.2325307696534293</v>
      </c>
      <c r="E134" s="450">
        <f t="shared" ca="1" si="8"/>
        <v>0.62940659455063575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1.2325307696534293</v>
      </c>
      <c r="E135" s="450">
        <f t="shared" ca="1" si="8"/>
        <v>0.62470953041219823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1.0028055555555555</v>
      </c>
      <c r="D136" s="454">
        <f t="shared" ca="1" si="7"/>
        <v>1.2359887032016237</v>
      </c>
      <c r="E136" s="450">
        <f t="shared" ca="1" si="8"/>
        <v>0.62930320853766308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1.0028055555555555</v>
      </c>
      <c r="D137" s="454">
        <f t="shared" ca="1" si="7"/>
        <v>1.2394563381744947</v>
      </c>
      <c r="E137" s="450">
        <f t="shared" ca="1" si="8"/>
        <v>0.63385501281483903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1.0028055555555555</v>
      </c>
      <c r="D138" s="454">
        <f t="shared" ca="1" si="7"/>
        <v>1.2429337017899287</v>
      </c>
      <c r="E138" s="450">
        <f t="shared" ca="1" si="8"/>
        <v>0.6383659317107615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1.0084166666666667</v>
      </c>
      <c r="D139" s="454">
        <f t="shared" ca="1" si="7"/>
        <v>1.2533950604466606</v>
      </c>
      <c r="E139" s="450">
        <f t="shared" ca="1" si="8"/>
        <v>0.66103059246954943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1.2533950604466606</v>
      </c>
      <c r="E140" s="450">
        <f t="shared" ca="1" si="8"/>
        <v>0.65627497669638724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1.2533950604466606</v>
      </c>
      <c r="E141" s="450">
        <f t="shared" ca="1" si="8"/>
        <v>0.65158729829141304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1.0028055555555555</v>
      </c>
      <c r="D142" s="454">
        <f t="shared" ca="1" si="7"/>
        <v>1.2569115299218026</v>
      </c>
      <c r="E142" s="450">
        <f t="shared" ca="1" si="8"/>
        <v>0.65594433171524058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1.0028055555555555</v>
      </c>
      <c r="D143" s="454">
        <f t="shared" ca="1" si="7"/>
        <v>1.2604378650474164</v>
      </c>
      <c r="E143" s="450">
        <f t="shared" ca="1" si="8"/>
        <v>0.66026500997936555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1.0028055555555555</v>
      </c>
      <c r="D144" s="454">
        <f t="shared" ca="1" si="7"/>
        <v>1.2639740935021326</v>
      </c>
      <c r="E144" s="450">
        <f t="shared" ca="1" si="8"/>
        <v>0.6645501654599143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1.0028055555555555</v>
      </c>
      <c r="D145" s="454">
        <f t="shared" ca="1" si="7"/>
        <v>1.2675202430422359</v>
      </c>
      <c r="E145" s="450">
        <f t="shared" ca="1" si="8"/>
        <v>0.66880060760558968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1.0084166666666667</v>
      </c>
      <c r="D146" s="454">
        <f t="shared" ca="1" si="7"/>
        <v>1.2781885384211749</v>
      </c>
      <c r="E146" s="450">
        <f t="shared" ca="1" si="8"/>
        <v>0.69067499194222726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1.2781885384211749</v>
      </c>
      <c r="E147" s="450">
        <f t="shared" ca="1" si="8"/>
        <v>0.68594434131248594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1.2781885384211749</v>
      </c>
      <c r="E148" s="450">
        <f t="shared" ca="1" si="8"/>
        <v>0.68127805327634661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1.0028055555555555</v>
      </c>
      <c r="D149" s="454">
        <f t="shared" ca="1" si="7"/>
        <v>1.2817745673761898</v>
      </c>
      <c r="E149" s="450">
        <f t="shared" ca="1" si="8"/>
        <v>0.6853975963204616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1.0028055555555555</v>
      </c>
      <c r="D150" s="454">
        <f t="shared" ca="1" si="7"/>
        <v>1.2853706571346617</v>
      </c>
      <c r="E150" s="450">
        <f t="shared" ca="1" si="8"/>
        <v>0.68948615146629677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1.0028055555555555</v>
      </c>
      <c r="D151" s="454">
        <f t="shared" ca="1" si="7"/>
        <v>1.2889768359227338</v>
      </c>
      <c r="E151" s="450">
        <f t="shared" ca="1" si="8"/>
        <v>0.69354440621456126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1.0028055555555555</v>
      </c>
      <c r="D152" s="454">
        <f t="shared" ca="1" si="7"/>
        <v>1.2925931320457391</v>
      </c>
      <c r="E152" s="450">
        <f t="shared" ca="1" si="8"/>
        <v>0.69757303004282167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1.0084166666666667</v>
      </c>
      <c r="D153" s="454">
        <f t="shared" ca="1" si="7"/>
        <v>1.3034724575737908</v>
      </c>
      <c r="E153" s="450">
        <f t="shared" ca="1" si="8"/>
        <v>0.71875055741160987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1.3034724575737908</v>
      </c>
      <c r="E154" s="450">
        <f t="shared" ca="1" si="8"/>
        <v>0.71405284135009606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1.3034724575737908</v>
      </c>
      <c r="E155" s="450">
        <f t="shared" ca="1" si="8"/>
        <v>0.70941613458808239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1.0028055555555555</v>
      </c>
      <c r="D156" s="454">
        <f t="shared" ca="1" si="7"/>
        <v>1.3071294219686505</v>
      </c>
      <c r="E156" s="450">
        <f t="shared" ca="1" si="8"/>
        <v>0.71333285102396227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1.0028055555555555</v>
      </c>
      <c r="D157" s="454">
        <f t="shared" ca="1" si="7"/>
        <v>1.3107966461802847</v>
      </c>
      <c r="E157" s="450">
        <f t="shared" ca="1" si="8"/>
        <v>0.71722302964681084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1.0028055555555555</v>
      </c>
      <c r="D158" s="454">
        <f t="shared" ca="1" si="7"/>
        <v>1.3144741589931792</v>
      </c>
      <c r="E158" s="450">
        <f t="shared" ca="1" si="8"/>
        <v>0.72108724355123888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1.0028055555555555</v>
      </c>
      <c r="D159" s="454">
        <f t="shared" ca="1" si="7"/>
        <v>1.3181619892725767</v>
      </c>
      <c r="E159" s="450">
        <f t="shared" ca="1" si="8"/>
        <v>0.72492605150713674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1.0084166666666667</v>
      </c>
      <c r="D160" s="454">
        <f t="shared" ca="1" si="7"/>
        <v>1.3292565193489543</v>
      </c>
      <c r="E160" s="450">
        <f t="shared" ca="1" si="8"/>
        <v>0.74548645890329279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1.3292565193489543</v>
      </c>
      <c r="E161" s="450">
        <f t="shared" ca="1" si="8"/>
        <v>0.74082716853514718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1.3292565193489543</v>
      </c>
      <c r="E162" s="450">
        <f t="shared" ca="1" si="8"/>
        <v>0.73622575755045683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1.0028055555555555</v>
      </c>
      <c r="D163" s="454">
        <f t="shared" ca="1" si="7"/>
        <v>1.332985822361572</v>
      </c>
      <c r="E163" s="450">
        <f t="shared" ca="1" si="8"/>
        <v>0.73996849413682675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1.005611111111111</v>
      </c>
      <c r="D164" s="454">
        <f t="shared" ca="1" si="7"/>
        <v>1.3404653539203786</v>
      </c>
      <c r="E164" s="450">
        <f t="shared" ca="1" si="8"/>
        <v>0.75194802092844348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1.3404653539203786</v>
      </c>
      <c r="E165" s="450">
        <f t="shared" ca="1" si="8"/>
        <v>0.74736297202034319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1.0028055555555555</v>
      </c>
      <c r="D166" s="454">
        <f t="shared" ca="1" si="7"/>
        <v>1.3442261039410996</v>
      </c>
      <c r="E166" s="450">
        <f t="shared" ca="1" si="8"/>
        <v>0.75103877223512649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1.0084166666666667</v>
      </c>
      <c r="D167" s="454">
        <f t="shared" ca="1" si="7"/>
        <v>1.355540006982604</v>
      </c>
      <c r="E167" s="450">
        <f t="shared" ca="1" si="8"/>
        <v>0.77105061755263515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1.355540006982604</v>
      </c>
      <c r="E168" s="450">
        <f t="shared" ca="1" si="8"/>
        <v>0.76643354798645169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1.355540006982604</v>
      </c>
      <c r="E169" s="450">
        <f t="shared" ca="1" si="8"/>
        <v>0.76187144353415148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1.0028055555555555</v>
      </c>
      <c r="D170" s="454">
        <f t="shared" ca="1" si="7"/>
        <v>1.3593430497799719</v>
      </c>
      <c r="E170" s="450">
        <f t="shared" ca="1" si="8"/>
        <v>0.76546448473840167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1.0028055555555555</v>
      </c>
      <c r="D171" s="454">
        <f t="shared" ca="1" si="7"/>
        <v>1.3631567622251879</v>
      </c>
      <c r="E171" s="450">
        <f t="shared" ca="1" si="8"/>
        <v>0.76903784941804498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1.0028055555555555</v>
      </c>
      <c r="D172" s="454">
        <f t="shared" ca="1" si="7"/>
        <v>1.3669811742525417</v>
      </c>
      <c r="E172" s="450">
        <f t="shared" ca="1" si="8"/>
        <v>0.77259194579482471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1.0028055555555555</v>
      </c>
      <c r="D173" s="454">
        <f t="shared" ca="1" si="7"/>
        <v>1.3708163158803057</v>
      </c>
      <c r="E173" s="450">
        <f t="shared" ca="1" si="8"/>
        <v>0.77612717277273291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1.0084166666666667</v>
      </c>
      <c r="D174" s="454">
        <f t="shared" ca="1" si="7"/>
        <v>1.3823540198722983</v>
      </c>
      <c r="E174" s="450">
        <f t="shared" ca="1" si="8"/>
        <v>0.79564998354929128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1.3823540198722983</v>
      </c>
      <c r="E175" s="450">
        <f t="shared" ca="1" si="8"/>
        <v>0.79107728249441034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1.3823540198722983</v>
      </c>
      <c r="E176" s="450">
        <f t="shared" ca="1" si="8"/>
        <v>0.78655684088015654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1.0028055555555555</v>
      </c>
      <c r="D177" s="454">
        <f t="shared" ca="1" si="7"/>
        <v>1.3862322908724956</v>
      </c>
      <c r="E177" s="450">
        <f t="shared" ca="1" si="8"/>
        <v>0.79002059496646815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1.0028055555555555</v>
      </c>
      <c r="D178" s="454">
        <f t="shared" ca="1" si="7"/>
        <v>1.3901214425774433</v>
      </c>
      <c r="E178" s="450">
        <f t="shared" ca="1" si="8"/>
        <v>0.79346734083547787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1.005611111111111</v>
      </c>
      <c r="D179" s="454">
        <f t="shared" ca="1" si="7"/>
        <v>1.3979215684496833</v>
      </c>
      <c r="E179" s="450">
        <f t="shared" ca="1" si="8"/>
        <v>0.804785194617337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1.3979215684496833</v>
      </c>
      <c r="E180" s="450">
        <f ca="1">(D180/1-1)*360/(B180-A$2)</f>
        <v>0.80028918794349713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1.0084166666666667</v>
      </c>
      <c r="D181" s="454">
        <f t="shared" ca="1" si="7"/>
        <v>1.4096874083174682</v>
      </c>
      <c r="E181" s="450">
        <f t="shared" ca="1" si="8"/>
        <v>0.81937481663493639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1.4096874083174682</v>
      </c>
      <c r="E182" s="450">
        <f t="shared" ca="1" si="8"/>
        <v>0.81484788394634555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1.4096874083174682</v>
      </c>
      <c r="E183" s="450">
        <f t="shared" ca="1" si="8"/>
        <v>0.81037069777081627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1.0028055555555555</v>
      </c>
      <c r="D184" s="454">
        <f t="shared" ca="1" si="7"/>
        <v>1.4136423646574698</v>
      </c>
      <c r="E184" s="450">
        <f t="shared" ca="1" si="8"/>
        <v>0.81372268457207186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1.0028055555555555</v>
      </c>
      <c r="D185" s="454">
        <f t="shared" ca="1" si="7"/>
        <v>1.4176084168472032</v>
      </c>
      <c r="E185" s="450">
        <f t="shared" ca="1" si="8"/>
        <v>0.81705994600539755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1.0028055555555555</v>
      </c>
      <c r="D186" s="454">
        <f t="shared" ca="1" si="7"/>
        <v>1.421585596016691</v>
      </c>
      <c r="E186" s="450">
        <f t="shared" ca="1" si="8"/>
        <v>0.82038278143788523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1.0028055555555555</v>
      </c>
      <c r="D187" s="454">
        <f t="shared" ca="1" si="7"/>
        <v>1.4255739333832933</v>
      </c>
      <c r="E187" s="450">
        <f t="shared" ca="1" si="8"/>
        <v>0.82369148396766445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1.0084166666666667</v>
      </c>
      <c r="D188" s="454">
        <f t="shared" ca="1" si="7"/>
        <v>1.4375725139892694</v>
      </c>
      <c r="E188" s="450">
        <f t="shared" ca="1" si="8"/>
        <v>0.84238558842854017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1.4375725139892694</v>
      </c>
      <c r="E189" s="450">
        <f t="shared" ca="1" si="8"/>
        <v>0.83790481402200534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1.4375725139892694</v>
      </c>
      <c r="E190" s="450">
        <f t="shared" ca="1" si="8"/>
        <v>0.83347145521765609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1.0028055555555555</v>
      </c>
      <c r="D191" s="454">
        <f t="shared" ca="1" si="7"/>
        <v>1.4416057035424059</v>
      </c>
      <c r="E191" s="450">
        <f t="shared" ca="1" si="8"/>
        <v>0.83672659618561118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1.0028055555555555</v>
      </c>
      <c r="D192" s="454">
        <f t="shared" ca="1" si="7"/>
        <v>1.4456502084328997</v>
      </c>
      <c r="E192" s="450">
        <f t="shared" ca="1" si="8"/>
        <v>0.83996897924525604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1.0028055555555555</v>
      </c>
      <c r="D193" s="454">
        <f t="shared" ca="1" si="7"/>
        <v>1.4497060604065586</v>
      </c>
      <c r="E193" s="450">
        <f t="shared" ca="1" si="8"/>
        <v>0.84319886326229732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1.0028055555555555</v>
      </c>
      <c r="D194" s="454">
        <f t="shared" ca="1" si="7"/>
        <v>1.4537732912982546</v>
      </c>
      <c r="E194" s="450">
        <f t="shared" ca="1" si="8"/>
        <v>0.84641650190348006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1.0084166666666667</v>
      </c>
      <c r="D195" s="454">
        <f t="shared" ca="1" si="7"/>
        <v>1.4660092165000149</v>
      </c>
      <c r="E195" s="450">
        <f t="shared" ca="1" si="8"/>
        <v>0.86475937082476995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1.4660092165000149</v>
      </c>
      <c r="E196" s="450">
        <f t="shared" ref="E196:E216" ca="1" si="11">(D196/1-1)*360/(B196-A$2)</f>
        <v>0.86032470738464295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1.4660092165000149</v>
      </c>
      <c r="E197" s="450">
        <f t="shared" ca="1" si="11"/>
        <v>0.85593529561227233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1.0028055555555555</v>
      </c>
      <c r="D198" s="454">
        <f t="shared" ca="1" si="10"/>
        <v>1.4701221868018621</v>
      </c>
      <c r="E198" s="450">
        <f t="shared" ca="1" si="11"/>
        <v>0.85910653425721006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1.0028055555555555</v>
      </c>
      <c r="D199" s="454">
        <f t="shared" ca="1" si="10"/>
        <v>1.4742466962703895</v>
      </c>
      <c r="E199" s="450">
        <f t="shared" ca="1" si="11"/>
        <v>0.86226672049161734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1.0028055555555555</v>
      </c>
      <c r="D200" s="454">
        <f t="shared" ca="1" si="10"/>
        <v>1.4783827772793703</v>
      </c>
      <c r="E200" s="450">
        <f t="shared" ca="1" si="11"/>
        <v>0.86541607950036836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1.0028055555555555</v>
      </c>
      <c r="D201" s="454">
        <f t="shared" ca="1" si="10"/>
        <v>1.4825304622934039</v>
      </c>
      <c r="E201" s="450">
        <f t="shared" ca="1" si="11"/>
        <v>0.86855483212812701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1.0084166666666667</v>
      </c>
      <c r="D202" s="454">
        <f t="shared" ca="1" si="10"/>
        <v>1.4950084270177069</v>
      </c>
      <c r="E202" s="450">
        <f t="shared" ca="1" si="11"/>
        <v>0.88658225734514673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1.4950084270177069</v>
      </c>
      <c r="E203" s="450">
        <f t="shared" ca="1" si="11"/>
        <v>0.88219323626918067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1.4950084270177069</v>
      </c>
      <c r="E204" s="450">
        <f t="shared" ca="1" si="11"/>
        <v>0.87784745678016984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1.0028055555555555</v>
      </c>
      <c r="D205" s="454">
        <f t="shared" ca="1" si="10"/>
        <v>1.4992027562157286</v>
      </c>
      <c r="E205" s="450">
        <f t="shared" ca="1" si="11"/>
        <v>0.88094604038069768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1.0028055555555555</v>
      </c>
      <c r="D206" s="454">
        <f t="shared" ca="1" si="10"/>
        <v>1.5034088528373337</v>
      </c>
      <c r="E206" s="450">
        <f t="shared" ca="1" si="11"/>
        <v>0.88403505864117138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1.0028055555555555</v>
      </c>
      <c r="D207" s="454">
        <f t="shared" ca="1" si="10"/>
        <v>1.5076267498966829</v>
      </c>
      <c r="E207" s="450">
        <f t="shared" ca="1" si="11"/>
        <v>0.88711470855731001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1.0112222222222222</v>
      </c>
      <c r="D208" s="454">
        <f t="shared" ca="1" si="10"/>
        <v>1.5245456723121902</v>
      </c>
      <c r="E208" s="450">
        <f t="shared" ca="1" si="11"/>
        <v>0.9122533431516352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1.5245456723121902</v>
      </c>
      <c r="E209" s="450">
        <f t="shared" ca="1" si="11"/>
        <v>0.90786750977109842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1.5245456723121902</v>
      </c>
      <c r="E210" s="450">
        <f t="shared" ca="1" si="11"/>
        <v>0.90352364608798319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1.5245456723121902</v>
      </c>
      <c r="E211" s="450">
        <f t="shared" ca="1" si="11"/>
        <v>0.8992211525351832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1.0028055555555555</v>
      </c>
      <c r="D212" s="454">
        <f t="shared" ca="1" si="10"/>
        <v>1.5288228698928437</v>
      </c>
      <c r="E212" s="450">
        <f t="shared" ca="1" si="11"/>
        <v>0.90225702920106032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1.0028055555555555</v>
      </c>
      <c r="D213" s="454">
        <f t="shared" ca="1" si="10"/>
        <v>1.5331120673889318</v>
      </c>
      <c r="E213" s="450">
        <f t="shared" ca="1" si="11"/>
        <v>0.90528464273592191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1.0028055555555555</v>
      </c>
      <c r="D214" s="454">
        <f t="shared" ca="1" si="10"/>
        <v>1.537413298466884</v>
      </c>
      <c r="E214" s="450">
        <f t="shared" ca="1" si="11"/>
        <v>0.90830416642290257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1.0112222222222222</v>
      </c>
      <c r="D215" s="454">
        <f t="shared" ca="1" si="10"/>
        <v>1.5546664921496791</v>
      </c>
      <c r="E215" s="450">
        <f t="shared" ca="1" si="11"/>
        <v>0.93308381856955358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1.5546664921496791</v>
      </c>
      <c r="E216" s="450">
        <f t="shared" ca="1" si="11"/>
        <v>0.92874389383202083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2026-08-30T19:56:31Z</dcterms:modified>
</cp:coreProperties>
</file>