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98CAA269-94E7-4D2B-A5BD-D9F9F01AF9FF}" xr6:coauthVersionLast="47" xr6:coauthVersionMax="47" xr10:uidLastSave="{00000000-0000-0000-0000-000000000000}"/>
  <bookViews>
    <workbookView xWindow="3855" yWindow="3330" windowWidth="20220" windowHeight="829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9" i="6" l="1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4" i="6" l="1"/>
  <c r="H3" i="5" s="1"/>
  <c r="H35" i="6"/>
  <c r="H4" i="5" s="1"/>
  <c r="H36" i="6"/>
  <c r="H5" i="5" s="1"/>
  <c r="H37" i="6"/>
  <c r="H38" i="6"/>
  <c r="H7" i="5" s="1"/>
  <c r="H39" i="6"/>
  <c r="H8" i="5" s="1"/>
  <c r="H18" i="6"/>
  <c r="H19" i="6"/>
  <c r="E7" i="5" s="1"/>
  <c r="F7" i="5" s="1"/>
  <c r="L2509" i="1" s="1"/>
  <c r="H20" i="6"/>
  <c r="E8" i="5" s="1"/>
  <c r="F8" i="5" s="1"/>
  <c r="L2540" i="1" s="1"/>
  <c r="H2" i="6"/>
  <c r="H3" i="6"/>
  <c r="B7" i="5" s="1"/>
  <c r="H4" i="6"/>
  <c r="B8" i="5" s="1"/>
  <c r="H5" i="6"/>
  <c r="I5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18" i="6"/>
  <c r="E6" i="5"/>
  <c r="F6" i="5" s="1"/>
  <c r="L2479" i="1" s="1"/>
  <c r="L2236" i="1"/>
  <c r="B9" i="5"/>
  <c r="E9" i="5"/>
  <c r="F9" i="5" s="1"/>
  <c r="L2570" i="1" s="1"/>
  <c r="L2448" i="1"/>
  <c r="L2326" i="1"/>
  <c r="I39" i="6"/>
  <c r="I35" i="6"/>
  <c r="I3" i="6"/>
  <c r="I19" i="6"/>
  <c r="I2" i="6"/>
  <c r="B6" i="5"/>
  <c r="L2356" i="1"/>
  <c r="I36" i="6"/>
  <c r="I4" i="6"/>
  <c r="I20" i="6"/>
  <c r="L2417" i="1"/>
  <c r="L2295" i="1"/>
  <c r="I38" i="6"/>
  <c r="I34" i="6"/>
  <c r="L2387" i="1"/>
  <c r="L2267" i="1"/>
  <c r="I37" i="6"/>
  <c r="H6" i="5"/>
  <c r="I6" i="5" s="1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K2448" i="1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N2469" i="1"/>
  <c r="C95" i="10" s="1"/>
  <c r="N2468" i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S6" i="5" s="1"/>
  <c r="A2480" i="1" l="1"/>
  <c r="A2476" i="1"/>
  <c r="A2472" i="1"/>
  <c r="A2483" i="1"/>
  <c r="A2481" i="1"/>
  <c r="A2479" i="1"/>
  <c r="A2477" i="1"/>
  <c r="A2475" i="1"/>
  <c r="A2473" i="1"/>
  <c r="A2471" i="1"/>
  <c r="A2482" i="1"/>
  <c r="A2478" i="1"/>
  <c r="A2474" i="1"/>
  <c r="V4" i="5" l="1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<sst xmlns="http://schemas.openxmlformats.org/spreadsheetml/2006/main" count="2465" uniqueCount="260">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</sst>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">
                  <c:v>3.6269230769230933</c:v>
                </c:pt>
                <c:pt idx="4">
                  <c:v>3.6269230769230933</c:v>
                </c:pt>
                <c:pt idx="5">
                  <c:v>3.6269230769230933</c:v>
                </c:pt>
                <c:pt idx="6">
                  <c:v>3.6269230769230933</c:v>
                </c:pt>
                <c:pt idx="7">
                  <c:v>3.6269230769230933</c:v>
                </c:pt>
                <c:pt idx="8">
                  <c:v>3.6269230769230933</c:v>
                </c:pt>
                <c:pt idx="9">
                  <c:v>3.6269230769230933</c:v>
                </c:pt>
                <c:pt idx="10">
                  <c:v>3.6269230769230933</c:v>
                </c:pt>
                <c:pt idx="11">
                  <c:v>3.6269230769230933</c:v>
                </c:pt>
                <c:pt idx="12">
                  <c:v>3.6269230769230933</c:v>
                </c:pt>
                <c:pt idx="13">
                  <c:v>3.6269230769230933</c:v>
                </c:pt>
                <c:pt idx="14">
                  <c:v>3.6269230769230933</c:v>
                </c:pt>
                <c:pt idx="15">
                  <c:v>3.6269230769230933</c:v>
                </c:pt>
                <c:pt idx="16">
                  <c:v>3.7774999999999959</c:v>
                </c:pt>
                <c:pt idx="17">
                  <c:v>3.7774999999999959</c:v>
                </c:pt>
                <c:pt idx="18">
                  <c:v>3.7774999999999959</c:v>
                </c:pt>
                <c:pt idx="19">
                  <c:v>3.7774999999999959</c:v>
                </c:pt>
                <c:pt idx="20">
                  <c:v>3.7774999999999959</c:v>
                </c:pt>
                <c:pt idx="21">
                  <c:v>3.7774999999999959</c:v>
                </c:pt>
                <c:pt idx="22">
                  <c:v>3.7774999999999959</c:v>
                </c:pt>
                <c:pt idx="23">
                  <c:v>3.7774999999999959</c:v>
                </c:pt>
                <c:pt idx="24">
                  <c:v>3.7774999999999959</c:v>
                </c:pt>
                <c:pt idx="25">
                  <c:v>3.7774999999999959</c:v>
                </c:pt>
                <c:pt idx="26">
                  <c:v>3.7774999999999959</c:v>
                </c:pt>
                <c:pt idx="27">
                  <c:v>3.7774999999999959</c:v>
                </c:pt>
                <c:pt idx="28">
                  <c:v>3.7774999999999959</c:v>
                </c:pt>
                <c:pt idx="29">
                  <c:v>3.7774999999999959</c:v>
                </c:pt>
                <c:pt idx="30">
                  <c:v>3.7774999999999959</c:v>
                </c:pt>
                <c:pt idx="31">
                  <c:v>3.7774999999999959</c:v>
                </c:pt>
                <c:pt idx="32">
                  <c:v>3.7774999999999959</c:v>
                </c:pt>
                <c:pt idx="33">
                  <c:v>3.7774999999999959</c:v>
                </c:pt>
                <c:pt idx="34">
                  <c:v>3.7774999999999959</c:v>
                </c:pt>
                <c:pt idx="35">
                  <c:v>3.7774999999999959</c:v>
                </c:pt>
                <c:pt idx="36">
                  <c:v>3.7774999999999959</c:v>
                </c:pt>
                <c:pt idx="37">
                  <c:v>3.7774999999999959</c:v>
                </c:pt>
                <c:pt idx="38">
                  <c:v>3.7774999999999959</c:v>
                </c:pt>
                <c:pt idx="39">
                  <c:v>3.7774999999999959</c:v>
                </c:pt>
                <c:pt idx="40">
                  <c:v>3.7774999999999959</c:v>
                </c:pt>
                <c:pt idx="41">
                  <c:v>3.7774999999999959</c:v>
                </c:pt>
                <c:pt idx="42">
                  <c:v>3.7774999999999959</c:v>
                </c:pt>
                <c:pt idx="43">
                  <c:v>3.7774999999999959</c:v>
                </c:pt>
                <c:pt idx="44">
                  <c:v>3.7774999999999959</c:v>
                </c:pt>
                <c:pt idx="45">
                  <c:v>3.7774999999999959</c:v>
                </c:pt>
                <c:pt idx="46">
                  <c:v>3.7774999999999959</c:v>
                </c:pt>
                <c:pt idx="47">
                  <c:v>3.7774999999999959</c:v>
                </c:pt>
                <c:pt idx="48">
                  <c:v>3.7774999999999959</c:v>
                </c:pt>
                <c:pt idx="49">
                  <c:v>3.7774999999999959</c:v>
                </c:pt>
                <c:pt idx="50">
                  <c:v>3.7774999999999959</c:v>
                </c:pt>
                <c:pt idx="51">
                  <c:v>3.7774999999999959</c:v>
                </c:pt>
                <c:pt idx="52">
                  <c:v>3.7774999999999959</c:v>
                </c:pt>
                <c:pt idx="53">
                  <c:v>3.7774999999999959</c:v>
                </c:pt>
                <c:pt idx="54">
                  <c:v>3.7774999999999959</c:v>
                </c:pt>
                <c:pt idx="55">
                  <c:v>3.7774999999999959</c:v>
                </c:pt>
                <c:pt idx="56">
                  <c:v>3.7774999999999959</c:v>
                </c:pt>
                <c:pt idx="57">
                  <c:v>3.7774999999999959</c:v>
                </c:pt>
                <c:pt idx="58">
                  <c:v>3.855000000000004</c:v>
                </c:pt>
                <c:pt idx="59">
                  <c:v>3.855000000000004</c:v>
                </c:pt>
                <c:pt idx="60">
                  <c:v>3.855000000000004</c:v>
                </c:pt>
                <c:pt idx="61">
                  <c:v>3.855000000000004</c:v>
                </c:pt>
                <c:pt idx="62">
                  <c:v>3.855000000000004</c:v>
                </c:pt>
                <c:pt idx="63">
                  <c:v>3.855000000000004</c:v>
                </c:pt>
                <c:pt idx="64">
                  <c:v>3.855000000000004</c:v>
                </c:pt>
                <c:pt idx="65">
                  <c:v>3.855000000000004</c:v>
                </c:pt>
                <c:pt idx="66">
                  <c:v>3.855000000000004</c:v>
                </c:pt>
                <c:pt idx="67">
                  <c:v>3.855000000000004</c:v>
                </c:pt>
                <c:pt idx="68">
                  <c:v>3.855000000000004</c:v>
                </c:pt>
                <c:pt idx="69">
                  <c:v>3.855000000000004</c:v>
                </c:pt>
                <c:pt idx="70">
                  <c:v>3.855000000000004</c:v>
                </c:pt>
                <c:pt idx="71">
                  <c:v>3.855000000000004</c:v>
                </c:pt>
                <c:pt idx="72">
                  <c:v>3.855000000000004</c:v>
                </c:pt>
                <c:pt idx="73">
                  <c:v>3.855000000000004</c:v>
                </c:pt>
                <c:pt idx="74">
                  <c:v>3.855000000000004</c:v>
                </c:pt>
                <c:pt idx="75">
                  <c:v>3.855000000000004</c:v>
                </c:pt>
                <c:pt idx="76">
                  <c:v>3.855000000000004</c:v>
                </c:pt>
                <c:pt idx="77">
                  <c:v>3.855000000000004</c:v>
                </c:pt>
                <c:pt idx="78">
                  <c:v>3.855000000000004</c:v>
                </c:pt>
                <c:pt idx="79">
                  <c:v>3.855000000000004</c:v>
                </c:pt>
                <c:pt idx="80">
                  <c:v>3.855000000000004</c:v>
                </c:pt>
                <c:pt idx="81">
                  <c:v>3.855000000000004</c:v>
                </c:pt>
                <c:pt idx="82">
                  <c:v>3.855000000000004</c:v>
                </c:pt>
                <c:pt idx="83">
                  <c:v>3.855000000000004</c:v>
                </c:pt>
                <c:pt idx="84">
                  <c:v>3.855000000000004</c:v>
                </c:pt>
                <c:pt idx="85">
                  <c:v>3.855000000000004</c:v>
                </c:pt>
                <c:pt idx="86">
                  <c:v>3.855000000000004</c:v>
                </c:pt>
                <c:pt idx="87">
                  <c:v>3.855000000000004</c:v>
                </c:pt>
                <c:pt idx="88">
                  <c:v>3.855000000000004</c:v>
                </c:pt>
                <c:pt idx="89">
                  <c:v>3.855000000000004</c:v>
                </c:pt>
                <c:pt idx="90">
                  <c:v>3.855000000000004</c:v>
                </c:pt>
                <c:pt idx="91">
                  <c:v>3.855000000000004</c:v>
                </c:pt>
                <c:pt idx="92">
                  <c:v>3.855000000000004</c:v>
                </c:pt>
                <c:pt idx="93">
                  <c:v>3.855000000000004</c:v>
                </c:pt>
                <c:pt idx="94">
                  <c:v>3.855000000000004</c:v>
                </c:pt>
                <c:pt idx="95">
                  <c:v>3.855000000000004</c:v>
                </c:pt>
                <c:pt idx="96">
                  <c:v>3.855000000000004</c:v>
                </c:pt>
                <c:pt idx="97">
                  <c:v>3.855000000000004</c:v>
                </c:pt>
                <c:pt idx="98">
                  <c:v>3.855000000000004</c:v>
                </c:pt>
                <c:pt idx="99">
                  <c:v>3.855000000000004</c:v>
                </c:pt>
                <c:pt idx="100">
                  <c:v>3.9888636363636389</c:v>
                </c:pt>
                <c:pt idx="101">
                  <c:v>3.9888636363636389</c:v>
                </c:pt>
                <c:pt idx="102">
                  <c:v>3.9888636363636389</c:v>
                </c:pt>
                <c:pt idx="103">
                  <c:v>3.9888636363636389</c:v>
                </c:pt>
                <c:pt idx="104">
                  <c:v>3.9888636363636389</c:v>
                </c:pt>
                <c:pt idx="105">
                  <c:v>3.9888636363636389</c:v>
                </c:pt>
                <c:pt idx="106">
                  <c:v>3.9888636363636389</c:v>
                </c:pt>
                <c:pt idx="107">
                  <c:v>3.9888636363636389</c:v>
                </c:pt>
                <c:pt idx="108">
                  <c:v>3.9888636363636389</c:v>
                </c:pt>
                <c:pt idx="109">
                  <c:v>3.9888636363636389</c:v>
                </c:pt>
                <c:pt idx="110">
                  <c:v>3.9888636363636389</c:v>
                </c:pt>
                <c:pt idx="111">
                  <c:v>3.9888636363636389</c:v>
                </c:pt>
                <c:pt idx="112">
                  <c:v>3.9888636363636389</c:v>
                </c:pt>
                <c:pt idx="113">
                  <c:v>3.9888636363636389</c:v>
                </c:pt>
                <c:pt idx="114">
                  <c:v>3.9888636363636389</c:v>
                </c:pt>
                <c:pt idx="115">
                  <c:v>3.9888636363636389</c:v>
                </c:pt>
                <c:pt idx="116">
                  <c:v>3.9888636363636389</c:v>
                </c:pt>
                <c:pt idx="117">
                  <c:v>3.9888636363636389</c:v>
                </c:pt>
                <c:pt idx="118">
                  <c:v>3.9888636363636389</c:v>
                </c:pt>
                <c:pt idx="119">
                  <c:v>3.9888636363636389</c:v>
                </c:pt>
                <c:pt idx="120">
                  <c:v>3.9888636363636389</c:v>
                </c:pt>
                <c:pt idx="121">
                  <c:v>3.9888636363636389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">
                  <c:v>3.6226923076922906</c:v>
                </c:pt>
                <c:pt idx="4">
                  <c:v>3.6226923076922906</c:v>
                </c:pt>
                <c:pt idx="5">
                  <c:v>3.6226923076922906</c:v>
                </c:pt>
                <c:pt idx="6">
                  <c:v>3.6226923076922906</c:v>
                </c:pt>
                <c:pt idx="7">
                  <c:v>3.6226923076922906</c:v>
                </c:pt>
                <c:pt idx="8">
                  <c:v>3.6226923076922906</c:v>
                </c:pt>
                <c:pt idx="9">
                  <c:v>3.6226923076922906</c:v>
                </c:pt>
                <c:pt idx="10">
                  <c:v>3.6226923076922906</c:v>
                </c:pt>
                <c:pt idx="11">
                  <c:v>3.6226923076922906</c:v>
                </c:pt>
                <c:pt idx="12">
                  <c:v>3.6226923076922906</c:v>
                </c:pt>
                <c:pt idx="13">
                  <c:v>3.6226923076922906</c:v>
                </c:pt>
                <c:pt idx="14">
                  <c:v>3.6226923076922906</c:v>
                </c:pt>
                <c:pt idx="15">
                  <c:v>3.6226923076922906</c:v>
                </c:pt>
                <c:pt idx="16">
                  <c:v>3.8025000000000029</c:v>
                </c:pt>
                <c:pt idx="17">
                  <c:v>3.8025000000000029</c:v>
                </c:pt>
                <c:pt idx="18">
                  <c:v>3.8025000000000029</c:v>
                </c:pt>
                <c:pt idx="19">
                  <c:v>3.8025000000000029</c:v>
                </c:pt>
                <c:pt idx="20">
                  <c:v>3.8025000000000029</c:v>
                </c:pt>
                <c:pt idx="21">
                  <c:v>3.8025000000000029</c:v>
                </c:pt>
                <c:pt idx="22">
                  <c:v>3.8025000000000029</c:v>
                </c:pt>
                <c:pt idx="23">
                  <c:v>3.8025000000000029</c:v>
                </c:pt>
                <c:pt idx="24">
                  <c:v>3.8025000000000029</c:v>
                </c:pt>
                <c:pt idx="25">
                  <c:v>3.8025000000000029</c:v>
                </c:pt>
                <c:pt idx="26">
                  <c:v>3.8025000000000029</c:v>
                </c:pt>
                <c:pt idx="27">
                  <c:v>3.8025000000000029</c:v>
                </c:pt>
                <c:pt idx="28">
                  <c:v>3.8025000000000029</c:v>
                </c:pt>
                <c:pt idx="29">
                  <c:v>3.8025000000000029</c:v>
                </c:pt>
                <c:pt idx="30">
                  <c:v>3.8025000000000029</c:v>
                </c:pt>
                <c:pt idx="31">
                  <c:v>3.8025000000000029</c:v>
                </c:pt>
                <c:pt idx="32">
                  <c:v>3.8025000000000029</c:v>
                </c:pt>
                <c:pt idx="33">
                  <c:v>3.8025000000000029</c:v>
                </c:pt>
                <c:pt idx="34">
                  <c:v>3.8025000000000029</c:v>
                </c:pt>
                <c:pt idx="35">
                  <c:v>3.8025000000000029</c:v>
                </c:pt>
                <c:pt idx="36">
                  <c:v>3.8025000000000029</c:v>
                </c:pt>
                <c:pt idx="37">
                  <c:v>3.8025000000000029</c:v>
                </c:pt>
                <c:pt idx="38">
                  <c:v>3.8025000000000029</c:v>
                </c:pt>
                <c:pt idx="39">
                  <c:v>3.8025000000000029</c:v>
                </c:pt>
                <c:pt idx="40">
                  <c:v>3.8025000000000029</c:v>
                </c:pt>
                <c:pt idx="41">
                  <c:v>3.8025000000000029</c:v>
                </c:pt>
                <c:pt idx="42">
                  <c:v>3.8025000000000029</c:v>
                </c:pt>
                <c:pt idx="43">
                  <c:v>3.8025000000000029</c:v>
                </c:pt>
                <c:pt idx="44">
                  <c:v>3.8025000000000029</c:v>
                </c:pt>
                <c:pt idx="45">
                  <c:v>3.8025000000000029</c:v>
                </c:pt>
                <c:pt idx="46">
                  <c:v>3.8025000000000029</c:v>
                </c:pt>
                <c:pt idx="47">
                  <c:v>3.8025000000000029</c:v>
                </c:pt>
                <c:pt idx="48">
                  <c:v>3.8025000000000029</c:v>
                </c:pt>
                <c:pt idx="49">
                  <c:v>3.8025000000000029</c:v>
                </c:pt>
                <c:pt idx="50">
                  <c:v>3.8025000000000029</c:v>
                </c:pt>
                <c:pt idx="51">
                  <c:v>3.8025000000000029</c:v>
                </c:pt>
                <c:pt idx="52">
                  <c:v>3.8025000000000029</c:v>
                </c:pt>
                <c:pt idx="53">
                  <c:v>3.8025000000000029</c:v>
                </c:pt>
                <c:pt idx="54">
                  <c:v>3.8025000000000029</c:v>
                </c:pt>
                <c:pt idx="55">
                  <c:v>3.8025000000000029</c:v>
                </c:pt>
                <c:pt idx="56">
                  <c:v>3.8025000000000029</c:v>
                </c:pt>
                <c:pt idx="57">
                  <c:v>3.8025000000000029</c:v>
                </c:pt>
                <c:pt idx="58">
                  <c:v>3.8799999999999955</c:v>
                </c:pt>
                <c:pt idx="59">
                  <c:v>3.8799999999999955</c:v>
                </c:pt>
                <c:pt idx="60">
                  <c:v>3.8799999999999955</c:v>
                </c:pt>
                <c:pt idx="61">
                  <c:v>3.8799999999999955</c:v>
                </c:pt>
                <c:pt idx="62">
                  <c:v>3.8799999999999955</c:v>
                </c:pt>
                <c:pt idx="63">
                  <c:v>3.8799999999999955</c:v>
                </c:pt>
                <c:pt idx="64">
                  <c:v>3.8799999999999955</c:v>
                </c:pt>
                <c:pt idx="65">
                  <c:v>3.8799999999999955</c:v>
                </c:pt>
                <c:pt idx="66">
                  <c:v>3.8799999999999955</c:v>
                </c:pt>
                <c:pt idx="67">
                  <c:v>3.8799999999999955</c:v>
                </c:pt>
                <c:pt idx="68">
                  <c:v>3.8799999999999955</c:v>
                </c:pt>
                <c:pt idx="69">
                  <c:v>3.8799999999999955</c:v>
                </c:pt>
                <c:pt idx="70">
                  <c:v>3.8799999999999955</c:v>
                </c:pt>
                <c:pt idx="71">
                  <c:v>3.8799999999999955</c:v>
                </c:pt>
                <c:pt idx="72">
                  <c:v>3.8799999999999955</c:v>
                </c:pt>
                <c:pt idx="73">
                  <c:v>3.8799999999999955</c:v>
                </c:pt>
                <c:pt idx="74">
                  <c:v>3.8799999999999955</c:v>
                </c:pt>
                <c:pt idx="75">
                  <c:v>3.8799999999999955</c:v>
                </c:pt>
                <c:pt idx="76">
                  <c:v>3.8799999999999955</c:v>
                </c:pt>
                <c:pt idx="77">
                  <c:v>3.8799999999999955</c:v>
                </c:pt>
                <c:pt idx="78">
                  <c:v>3.8799999999999955</c:v>
                </c:pt>
                <c:pt idx="79">
                  <c:v>3.8799999999999955</c:v>
                </c:pt>
                <c:pt idx="80">
                  <c:v>3.8799999999999955</c:v>
                </c:pt>
                <c:pt idx="81">
                  <c:v>3.8799999999999955</c:v>
                </c:pt>
                <c:pt idx="82">
                  <c:v>3.8799999999999955</c:v>
                </c:pt>
                <c:pt idx="83">
                  <c:v>3.8799999999999955</c:v>
                </c:pt>
                <c:pt idx="84">
                  <c:v>3.8799999999999955</c:v>
                </c:pt>
                <c:pt idx="85">
                  <c:v>3.8799999999999955</c:v>
                </c:pt>
                <c:pt idx="86">
                  <c:v>3.8799999999999955</c:v>
                </c:pt>
                <c:pt idx="87">
                  <c:v>3.8799999999999955</c:v>
                </c:pt>
                <c:pt idx="88">
                  <c:v>3.8799999999999955</c:v>
                </c:pt>
                <c:pt idx="89">
                  <c:v>3.8799999999999955</c:v>
                </c:pt>
                <c:pt idx="90">
                  <c:v>3.8799999999999955</c:v>
                </c:pt>
                <c:pt idx="91">
                  <c:v>3.8799999999999955</c:v>
                </c:pt>
                <c:pt idx="92">
                  <c:v>3.8799999999999955</c:v>
                </c:pt>
                <c:pt idx="93">
                  <c:v>3.8799999999999955</c:v>
                </c:pt>
                <c:pt idx="94">
                  <c:v>3.8799999999999955</c:v>
                </c:pt>
                <c:pt idx="95">
                  <c:v>3.8799999999999955</c:v>
                </c:pt>
                <c:pt idx="96">
                  <c:v>3.8799999999999955</c:v>
                </c:pt>
                <c:pt idx="97">
                  <c:v>3.8799999999999955</c:v>
                </c:pt>
                <c:pt idx="98">
                  <c:v>3.8799999999999955</c:v>
                </c:pt>
                <c:pt idx="99">
                  <c:v>3.8799999999999955</c:v>
                </c:pt>
                <c:pt idx="100">
                  <c:v>4.0349999999999948</c:v>
                </c:pt>
                <c:pt idx="101">
                  <c:v>4.0349999999999948</c:v>
                </c:pt>
                <c:pt idx="102">
                  <c:v>4.0349999999999948</c:v>
                </c:pt>
                <c:pt idx="103">
                  <c:v>4.0349999999999948</c:v>
                </c:pt>
                <c:pt idx="104">
                  <c:v>4.0349999999999948</c:v>
                </c:pt>
                <c:pt idx="105">
                  <c:v>4.0349999999999948</c:v>
                </c:pt>
                <c:pt idx="106">
                  <c:v>4.0349999999999948</c:v>
                </c:pt>
                <c:pt idx="107">
                  <c:v>4.0349999999999948</c:v>
                </c:pt>
                <c:pt idx="108">
                  <c:v>4.0349999999999948</c:v>
                </c:pt>
                <c:pt idx="109">
                  <c:v>4.0349999999999948</c:v>
                </c:pt>
                <c:pt idx="110">
                  <c:v>4.0349999999999948</c:v>
                </c:pt>
                <c:pt idx="111">
                  <c:v>4.0349999999999948</c:v>
                </c:pt>
                <c:pt idx="112">
                  <c:v>4.0349999999999948</c:v>
                </c:pt>
                <c:pt idx="113">
                  <c:v>4.0349999999999948</c:v>
                </c:pt>
                <c:pt idx="114">
                  <c:v>4.0349999999999948</c:v>
                </c:pt>
                <c:pt idx="115">
                  <c:v>4.0349999999999948</c:v>
                </c:pt>
                <c:pt idx="116">
                  <c:v>4.0349999999999948</c:v>
                </c:pt>
                <c:pt idx="117">
                  <c:v>4.0349999999999948</c:v>
                </c:pt>
                <c:pt idx="118">
                  <c:v>4.0349999999999948</c:v>
                </c:pt>
                <c:pt idx="119">
                  <c:v>4.0349999999999948</c:v>
                </c:pt>
                <c:pt idx="120">
                  <c:v>4.0349999999999948</c:v>
                </c:pt>
                <c:pt idx="121">
                  <c:v>4.0349999999999948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3.760964180128723E-2</c:v>
                </c:pt>
                <c:pt idx="95">
                  <c:v>3.7221913535294582E-2</c:v>
                </c:pt>
                <c:pt idx="96">
                  <c:v>3.6842098091056881E-2</c:v>
                </c:pt>
                <c:pt idx="97">
                  <c:v>3.6469955686096706E-2</c:v>
                </c:pt>
                <c:pt idx="98">
                  <c:v>3.6471158644272438E-2</c:v>
                </c:pt>
                <c:pt idx="99">
                  <c:v>3.6472374237826011E-2</c:v>
                </c:pt>
                <c:pt idx="100">
                  <c:v>3.6473602098761833E-2</c:v>
                </c:pt>
                <c:pt idx="101">
                  <c:v>3.718554670607134E-2</c:v>
                </c:pt>
                <c:pt idx="102">
                  <c:v>3.6827993372359119E-2</c:v>
                </c:pt>
                <c:pt idx="103">
                  <c:v>3.6477250578336652E-2</c:v>
                </c:pt>
                <c:pt idx="104">
                  <c:v>3.6478525086913779E-2</c:v>
                </c:pt>
                <c:pt idx="105">
                  <c:v>3.6479810205734091E-2</c:v>
                </c:pt>
                <c:pt idx="106">
                  <c:v>3.6481105643501412E-2</c:v>
                </c:pt>
                <c:pt idx="107">
                  <c:v>3.6499087777162958E-2</c:v>
                </c:pt>
                <c:pt idx="108">
                  <c:v>3.721578384900625E-2</c:v>
                </c:pt>
                <c:pt idx="109">
                  <c:v>3.6880506517033215E-2</c:v>
                </c:pt>
                <c:pt idx="110">
                  <c:v>3.6551216280273989E-2</c:v>
                </c:pt>
                <c:pt idx="111">
                  <c:v>3.6568085170613288E-2</c:v>
                </c:pt>
                <c:pt idx="112">
                  <c:v>3.6584693747638959E-2</c:v>
                </c:pt>
                <c:pt idx="113">
                  <c:v>3.6601048805864386E-2</c:v>
                </c:pt>
                <c:pt idx="114">
                  <c:v>3.6617156905509367E-2</c:v>
                </c:pt>
                <c:pt idx="115">
                  <c:v>3.7290693642598481E-2</c:v>
                </c:pt>
                <c:pt idx="116">
                  <c:v>3.6974670815118835E-2</c:v>
                </c:pt>
                <c:pt idx="117">
                  <c:v>3.6663959295664052E-2</c:v>
                </c:pt>
                <c:pt idx="118">
                  <c:v>3.6679141660311831E-2</c:v>
                </c:pt>
                <c:pt idx="119">
                  <c:v>3.6694106672380003E-2</c:v>
                </c:pt>
                <c:pt idx="120">
                  <c:v>3.6708859680123281E-2</c:v>
                </c:pt>
                <c:pt idx="121">
                  <c:v>3.6723405857870692E-2</c:v>
                </c:pt>
                <c:pt idx="122">
                  <c:v>3.7358751921076606E-2</c:v>
                </c:pt>
                <c:pt idx="123">
                  <c:v>3.7059881905707998E-2</c:v>
                </c:pt>
                <c:pt idx="124">
                  <c:v>3.6765755858837297E-2</c:v>
                </c:pt>
                <c:pt idx="125">
                  <c:v>3.6779523972179325E-2</c:v>
                </c:pt>
                <c:pt idx="126">
                  <c:v>3.6793108740575675E-2</c:v>
                </c:pt>
                <c:pt idx="127">
                  <c:v>3.6806514431192969E-2</c:v>
                </c:pt>
                <c:pt idx="128">
                  <c:v>3.6819745179900387E-2</c:v>
                </c:pt>
                <c:pt idx="129">
                  <c:v>3.7715184716725698E-2</c:v>
                </c:pt>
                <c:pt idx="130">
                  <c:v>3.7429463620386863E-2</c:v>
                </c:pt>
                <c:pt idx="131">
                  <c:v>3.7148039081887713E-2</c:v>
                </c:pt>
                <c:pt idx="132">
                  <c:v>3.6870814909634821E-2</c:v>
                </c:pt>
                <c:pt idx="133">
                  <c:v>3.6883230060648607E-2</c:v>
                </c:pt>
                <c:pt idx="134">
                  <c:v>3.6895492573501651E-2</c:v>
                </c:pt>
                <c:pt idx="135">
                  <c:v>3.6907605793773952E-2</c:v>
                </c:pt>
                <c:pt idx="136">
                  <c:v>3.7478400160262958E-2</c:v>
                </c:pt>
                <c:pt idx="137">
                  <c:v>3.7208771382131571E-2</c:v>
                </c:pt>
                <c:pt idx="138">
                  <c:v>3.6942994443687774E-2</c:v>
                </c:pt>
                <c:pt idx="139">
                  <c:v>3.695454267125263E-2</c:v>
                </c:pt>
                <c:pt idx="140">
                  <c:v>3.6965956938520672E-2</c:v>
                </c:pt>
                <c:pt idx="141">
                  <c:v>3.6977240058856845E-2</c:v>
                </c:pt>
                <c:pt idx="142">
                  <c:v>3.6988394767478172E-2</c:v>
                </c:pt>
                <c:pt idx="143">
                  <c:v>3.7531666392897185E-2</c:v>
                </c:pt>
                <c:pt idx="144">
                  <c:v>3.7274600184726656E-2</c:v>
                </c:pt>
                <c:pt idx="145">
                  <c:v>3.7021031475987017E-2</c:v>
                </c:pt>
                <c:pt idx="146">
                  <c:v>3.7031698972285317E-2</c:v>
                </c:pt>
                <c:pt idx="147">
                  <c:v>3.7042250643841444E-2</c:v>
                </c:pt>
                <c:pt idx="148">
                  <c:v>3.7052688810022084E-2</c:v>
                </c:pt>
                <c:pt idx="149">
                  <c:v>3.7068227417035721E-2</c:v>
                </c:pt>
                <c:pt idx="150">
                  <c:v>3.7602053515760799E-2</c:v>
                </c:pt>
                <c:pt idx="151">
                  <c:v>3.7356288460102235E-2</c:v>
                </c:pt>
                <c:pt idx="152">
                  <c:v>3.711371515841326E-2</c:v>
                </c:pt>
                <c:pt idx="153">
                  <c:v>3.7128568642531279E-2</c:v>
                </c:pt>
                <c:pt idx="154">
                  <c:v>3.7143258929221476E-2</c:v>
                </c:pt>
                <c:pt idx="155">
                  <c:v>3.7157789139821928E-2</c:v>
                </c:pt>
                <c:pt idx="156">
                  <c:v>3.7172162316649993E-2</c:v>
                </c:pt>
                <c:pt idx="157">
                  <c:v>3.7682394011925656E-2</c:v>
                </c:pt>
                <c:pt idx="158">
                  <c:v>3.7446879049351123E-2</c:v>
                </c:pt>
                <c:pt idx="159">
                  <c:v>3.721428973848559E-2</c:v>
                </c:pt>
                <c:pt idx="160">
                  <c:v>3.7228064188404728E-2</c:v>
                </c:pt>
                <c:pt idx="161">
                  <c:v>3.7483720260877804E-2</c:v>
                </c:pt>
                <c:pt idx="162">
                  <c:v>3.7255160990994407E-2</c:v>
                </c:pt>
                <c:pt idx="163">
                  <c:v>3.7268514595096551E-2</c:v>
                </c:pt>
                <c:pt idx="164">
                  <c:v>3.7757187852075505E-2</c:v>
                </c:pt>
                <c:pt idx="165">
                  <c:v>3.7531096906853495E-2</c:v>
                </c:pt>
                <c:pt idx="166">
                  <c:v>3.7307697520503176E-2</c:v>
                </c:pt>
                <c:pt idx="167">
                  <c:v>3.7320524860873672E-2</c:v>
                </c:pt>
                <c:pt idx="168">
                  <c:v>3.7333226318320083E-2</c:v>
                </c:pt>
                <c:pt idx="169">
                  <c:v>3.7345804103996107E-2</c:v>
                </c:pt>
                <c:pt idx="170">
                  <c:v>3.7358260377633769E-2</c:v>
                </c:pt>
                <c:pt idx="171">
                  <c:v>3.7827158395029717E-2</c:v>
                </c:pt>
                <c:pt idx="172">
                  <c:v>3.7609760932989317E-2</c:v>
                </c:pt>
                <c:pt idx="173">
                  <c:v>3.7394848013372235E-2</c:v>
                </c:pt>
                <c:pt idx="174">
                  <c:v>3.7406839265474619E-2</c:v>
                </c:pt>
                <c:pt idx="175">
                  <c:v>3.7418719078538318E-2</c:v>
                </c:pt>
                <c:pt idx="176">
                  <c:v>3.7652477111029439E-2</c:v>
                </c:pt>
                <c:pt idx="177">
                  <c:v>3.7442128076889611E-2</c:v>
                </c:pt>
                <c:pt idx="178">
                  <c:v>3.7892821951829081E-2</c:v>
                </c:pt>
                <c:pt idx="179">
                  <c:v>3.7683469344360412E-2</c:v>
                </c:pt>
                <c:pt idx="180">
                  <c:v>3.7476417314995791E-2</c:v>
                </c:pt>
                <c:pt idx="181">
                  <c:v>3.7487667060519807E-2</c:v>
                </c:pt>
                <c:pt idx="182">
                  <c:v>3.7498817683850445E-2</c:v>
                </c:pt>
                <c:pt idx="183">
                  <c:v>3.7509870794856973E-2</c:v>
                </c:pt>
                <c:pt idx="184">
                  <c:v>3.7520827968788216E-2</c:v>
                </c:pt>
                <c:pt idx="185">
                  <c:v>3.7954708581757375E-2</c:v>
                </c:pt>
                <c:pt idx="186">
                  <c:v>3.775282183398207E-2</c:v>
                </c:pt>
                <c:pt idx="187">
                  <c:v>3.7553071453908092E-2</c:v>
                </c:pt>
                <c:pt idx="188">
                  <c:v>3.756366032028513E-2</c:v>
                </c:pt>
                <c:pt idx="189">
                  <c:v>3.7574160634255366E-2</c:v>
                </c:pt>
                <c:pt idx="190">
                  <c:v>3.7584573781843655E-2</c:v>
                </c:pt>
                <c:pt idx="191">
                  <c:v>3.7603093192444037E-2</c:v>
                </c:pt>
                <c:pt idx="192">
                  <c:v>3.8045810751949884E-2</c:v>
                </c:pt>
                <c:pt idx="193">
                  <c:v>3.785070403014501E-2</c:v>
                </c:pt>
                <c:pt idx="194">
                  <c:v>3.7657588193256514E-2</c:v>
                </c:pt>
                <c:pt idx="195">
                  <c:v>3.7675454620955458E-2</c:v>
                </c:pt>
                <c:pt idx="196">
                  <c:v>3.7693163889213774E-2</c:v>
                </c:pt>
                <c:pt idx="197">
                  <c:v>3.7710718369868987E-2</c:v>
                </c:pt>
                <c:pt idx="198">
                  <c:v>3.772812038732147E-2</c:v>
                </c:pt>
                <c:pt idx="199">
                  <c:v>3.8155280067464124E-2</c:v>
                </c:pt>
                <c:pt idx="200">
                  <c:v>3.7966392542377672E-2</c:v>
                </c:pt>
                <c:pt idx="201">
                  <c:v>3.7779365978129503E-2</c:v>
                </c:pt>
                <c:pt idx="202">
                  <c:v>3.7796180805520108E-2</c:v>
                </c:pt>
                <c:pt idx="203">
                  <c:v>3.7812854117074191E-2</c:v>
                </c:pt>
                <c:pt idx="204">
                  <c:v>3.7829387976214941E-2</c:v>
                </c:pt>
                <c:pt idx="205">
                  <c:v>3.8443225696984468E-2</c:v>
                </c:pt>
                <c:pt idx="206">
                  <c:v>3.8258402496518198E-2</c:v>
                </c:pt>
                <c:pt idx="207">
                  <c:v>3.8075347939118591E-2</c:v>
                </c:pt>
                <c:pt idx="208">
                  <c:v>3.7894036758456116E-2</c:v>
                </c:pt>
                <c:pt idx="209">
                  <c:v>3.7909903555288796E-2</c:v>
                </c:pt>
                <c:pt idx="210">
                  <c:v>3.7925642469760198E-2</c:v>
                </c:pt>
                <c:pt idx="211">
                  <c:v>3.7941255305462961E-2</c:v>
                </c:pt>
                <c:pt idx="212">
                  <c:v>3.8535096169341275E-2</c:v>
                </c:pt>
                <c:pt idx="213">
                  <c:v>3.8355863163902479E-2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U6" sqref="U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46269.386206597221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46269.386206597221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/>
      <c r="H3" s="33">
        <f>INPUT!H34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/>
      <c r="H4" s="44">
        <f>INPUT!H35</f>
        <v>96.292500000000004</v>
      </c>
      <c r="I4" s="45">
        <f t="shared" si="0"/>
        <v>3.707499999999996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/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/>
      <c r="C5" s="45"/>
      <c r="D5" s="145"/>
      <c r="E5" s="44"/>
      <c r="F5" s="45"/>
      <c r="G5" s="326"/>
      <c r="H5" s="44">
        <f>INPUT!H36</f>
        <v>96.222499999999997</v>
      </c>
      <c r="I5" s="45">
        <f>100-H5</f>
        <v>3.7775000000000034</v>
      </c>
      <c r="J5" s="38">
        <f t="shared" si="1"/>
        <v>46235</v>
      </c>
      <c r="K5" s="39"/>
      <c r="L5" s="40"/>
      <c r="M5" s="295"/>
      <c r="N5" s="40"/>
      <c r="O5" s="41"/>
      <c r="P5" s="411"/>
      <c r="Q5" s="412"/>
      <c r="R5" s="40"/>
      <c r="S5" s="40"/>
      <c r="T5" s="41"/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INPUT!H2</f>
        <v>96.302499999999995</v>
      </c>
      <c r="C6" s="34">
        <f t="shared" ref="C6:C9" si="3">100-B6</f>
        <v>3.6975000000000051</v>
      </c>
      <c r="D6" s="286">
        <f t="shared" ref="D6:D9" si="4">B6-E6</f>
        <v>1.2499999999988631E-2</v>
      </c>
      <c r="E6" s="33">
        <f>INPUT!H18</f>
        <v>96.29</v>
      </c>
      <c r="F6" s="34">
        <f t="shared" ref="F6:F9" si="5">100-E6</f>
        <v>3.7099999999999937</v>
      </c>
      <c r="G6" s="325">
        <f ca="1">'3M SOFR CALCS'!F39</f>
        <v>-2.5242834221330668E-3</v>
      </c>
      <c r="H6" s="33">
        <f>INPUT!H37</f>
        <v>96.132499999999993</v>
      </c>
      <c r="I6" s="34">
        <f>100-H6</f>
        <v>3.8675000000000068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3.6269230769230933</v>
      </c>
      <c r="Q6" s="414"/>
      <c r="R6" s="409">
        <f ca="1">'DAILY EXTRAPOLATION'!K2477</f>
        <v>3.7774999999999959</v>
      </c>
      <c r="S6" s="36">
        <f ca="1">R6-P6</f>
        <v>0.15057692307690251</v>
      </c>
      <c r="T6" s="37">
        <f t="shared" ref="T6:T9" ca="1" si="6">T5+S6</f>
        <v>0.15057692307690251</v>
      </c>
      <c r="U6" s="40">
        <v>0.21196428571408532</v>
      </c>
      <c r="V6" s="40">
        <f t="shared" ca="1" si="2"/>
        <v>6.1387362637182807E-2</v>
      </c>
      <c r="W6" s="18"/>
    </row>
    <row r="7" spans="1:24">
      <c r="A7" s="38">
        <v>46296</v>
      </c>
      <c r="B7" s="44">
        <f>INPUT!H3</f>
        <v>96.215000000000003</v>
      </c>
      <c r="C7" s="45">
        <f>100-B7</f>
        <v>3.7849999999999966</v>
      </c>
      <c r="D7" s="145">
        <f>B7-E7</f>
        <v>2.5000000000005684E-2</v>
      </c>
      <c r="E7" s="44">
        <f>INPUT!H19</f>
        <v>96.19</v>
      </c>
      <c r="F7" s="45">
        <f>100-E7</f>
        <v>3.8100000000000023</v>
      </c>
      <c r="G7" s="391">
        <v>2027</v>
      </c>
      <c r="H7" s="44">
        <f>INPUT!H38</f>
        <v>96.05</v>
      </c>
      <c r="I7" s="45">
        <f t="shared" si="0"/>
        <v>3.9500000000000028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3.7774999999999959</v>
      </c>
      <c r="Q7" s="40"/>
      <c r="R7" s="372">
        <f>'DAILY EXTRAPOLATION'!K2507</f>
        <v>3.855000000000004</v>
      </c>
      <c r="S7" s="40">
        <f ca="1">R7-P7</f>
        <v>7.7500000000008118E-2</v>
      </c>
      <c r="T7" s="41">
        <f t="shared" ca="1" si="6"/>
        <v>0.22807692307691063</v>
      </c>
      <c r="U7" s="40">
        <v>0.29499999999980275</v>
      </c>
      <c r="V7" s="40">
        <f t="shared" ca="1" si="2"/>
        <v>6.6923076922892122E-2</v>
      </c>
      <c r="W7" s="18"/>
    </row>
    <row r="8" spans="1:24">
      <c r="A8" s="38">
        <v>46327</v>
      </c>
      <c r="B8" s="44">
        <f>INPUT!H4</f>
        <v>96.144999999999996</v>
      </c>
      <c r="C8" s="45">
        <f>100-B8</f>
        <v>3.855000000000004</v>
      </c>
      <c r="D8" s="145">
        <f>B8-E8</f>
        <v>2.4999999999991473E-2</v>
      </c>
      <c r="E8" s="44">
        <f>INPUT!H20</f>
        <v>96.12</v>
      </c>
      <c r="F8" s="45">
        <f>100-E8</f>
        <v>3.8799999999999955</v>
      </c>
      <c r="G8" s="391">
        <v>2027</v>
      </c>
      <c r="H8" s="44">
        <f>INPUT!H39</f>
        <v>95.98</v>
      </c>
      <c r="I8" s="45">
        <f t="shared" ref="I8" si="7">100-H8</f>
        <v>4.019999999999996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3.855000000000004</v>
      </c>
      <c r="R8" s="40"/>
      <c r="S8" s="40"/>
      <c r="T8" s="41">
        <f t="shared" ca="1" si="6"/>
        <v>0.22807692307691063</v>
      </c>
      <c r="U8" s="40">
        <v>0.29499999999980275</v>
      </c>
      <c r="V8" s="40">
        <f t="shared" ca="1" si="2"/>
        <v>6.6923076922892122E-2</v>
      </c>
    </row>
    <row r="9" spans="1:24" ht="15.75" thickBot="1">
      <c r="A9" s="43">
        <v>46357</v>
      </c>
      <c r="B9" s="50">
        <f>INPUT!H5</f>
        <v>96.05</v>
      </c>
      <c r="C9" s="51">
        <f t="shared" si="3"/>
        <v>3.9500000000000028</v>
      </c>
      <c r="D9" s="399">
        <f t="shared" si="4"/>
        <v>3.9999999999992042E-2</v>
      </c>
      <c r="E9" s="50">
        <f>INPUT!H21</f>
        <v>96.01</v>
      </c>
      <c r="F9" s="51">
        <f t="shared" si="5"/>
        <v>3.9899999999999949</v>
      </c>
      <c r="G9" s="392">
        <v>2027</v>
      </c>
      <c r="H9" s="50">
        <f>INPUT!H40</f>
        <v>95.924999999999997</v>
      </c>
      <c r="I9" s="51">
        <f t="shared" si="0"/>
        <v>4.0750000000000028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3.855000000000004</v>
      </c>
      <c r="Q9" s="410"/>
      <c r="R9" s="410">
        <f ca="1">'DAILY EXTRAPOLATION'!K2586</f>
        <v>3.9888636363636389</v>
      </c>
      <c r="S9" s="47">
        <f ca="1">R9-P9</f>
        <v>0.13386363636363496</v>
      </c>
      <c r="T9" s="48">
        <f t="shared" ca="1" si="6"/>
        <v>0.3619405594405456</v>
      </c>
      <c r="U9" s="40">
        <v>0.38659090909070848</v>
      </c>
      <c r="V9" s="40">
        <f t="shared" ca="1" si="2"/>
        <v>2.4650349650162884E-2</v>
      </c>
    </row>
    <row r="10" spans="1:24">
      <c r="R10" s="177" t="s">
        <v>246</v>
      </c>
      <c r="S10" s="420">
        <v>0.25</v>
      </c>
      <c r="T10" s="423">
        <f ca="1">T9/S10</f>
        <v>1.4477622377621824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60" activePane="bottomLeft" state="frozen"/>
      <selection pane="bottomLeft" activeCell="G2469" sqref="G2469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46268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0</v>
      </c>
      <c r="L2448" s="180">
        <f>OUTPUT!F5</f>
        <v>0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46268</v>
      </c>
      <c r="R2448" s="466">
        <v>3.66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5">
        <v>3.64</v>
      </c>
      <c r="I2463" s="457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5">
        <v>3.65</v>
      </c>
      <c r="I2464" s="457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5">
        <v>3.65</v>
      </c>
      <c r="I2465" s="457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5">
        <v>3.65</v>
      </c>
      <c r="I2466" s="457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7"/>
      <c r="B2467" s="408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6">
        <v>3.68</v>
      </c>
      <c r="I2467" s="458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5">
        <v>3.66</v>
      </c>
      <c r="I2468" s="457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5">
        <v>3.65</v>
      </c>
      <c r="I2469" s="457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G2470" s="214">
        <v>3.63</v>
      </c>
      <c r="H2470" s="425">
        <v>3.66</v>
      </c>
      <c r="I2470" s="457">
        <f t="shared" si="223"/>
        <v>3.0000000000000249E-2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A2471" s="39">
        <f t="shared" ref="A2470:A2483" ca="1" si="227">K$2495</f>
        <v>3.6269230769230933</v>
      </c>
      <c r="B2471" s="41">
        <f t="shared" ref="B2470:B2483" ca="1" si="228">L$2495</f>
        <v>3.6226923076922906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1.0004025213675214</v>
      </c>
    </row>
    <row r="2472" spans="1:14">
      <c r="A2472" s="39">
        <f t="shared" ca="1" si="227"/>
        <v>3.6269230769230933</v>
      </c>
      <c r="B2472" s="41">
        <f t="shared" ca="1" si="228"/>
        <v>3.6226923076922906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27"/>
        <v>3.6269230769230933</v>
      </c>
      <c r="B2473" s="41">
        <f t="shared" ca="1" si="228"/>
        <v>3.6226923076922906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27"/>
        <v>3.6269230769230933</v>
      </c>
      <c r="B2474" s="41">
        <f t="shared" ca="1" si="228"/>
        <v>3.6226923076922906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27"/>
        <v>3.6269230769230933</v>
      </c>
      <c r="B2475" s="41">
        <f t="shared" ca="1" si="228"/>
        <v>3.6226923076922906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9">IF(MOD(C2475,7)&lt;2,0,IF(MOD(C2475,7)=6,3,1))</f>
        <v>1</v>
      </c>
      <c r="N2475" s="64">
        <f t="shared" ca="1" si="226"/>
        <v>1.0001006303418802</v>
      </c>
    </row>
    <row r="2476" spans="1:14">
      <c r="A2476" s="39">
        <f t="shared" ca="1" si="227"/>
        <v>3.6269230769230933</v>
      </c>
      <c r="B2476" s="41">
        <f t="shared" ca="1" si="228"/>
        <v>3.6226923076922906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29"/>
        <v>1</v>
      </c>
      <c r="N2476" s="64">
        <f t="shared" ca="1" si="226"/>
        <v>1.0001006303418802</v>
      </c>
    </row>
    <row r="2477" spans="1:14">
      <c r="A2477" s="39">
        <f t="shared" ca="1" si="227"/>
        <v>3.6269230769230933</v>
      </c>
      <c r="B2477" s="41">
        <f t="shared" ca="1" si="228"/>
        <v>3.6226923076922906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3.7774999999999959</v>
      </c>
      <c r="L2477" s="194">
        <f ca="1">B2499+H2499</f>
        <v>3.8025000000000029</v>
      </c>
      <c r="M2477" s="113">
        <f t="shared" si="229"/>
        <v>1</v>
      </c>
      <c r="N2477" s="64">
        <f t="shared" ca="1" si="226"/>
        <v>1.0001006303418802</v>
      </c>
    </row>
    <row r="2478" spans="1:14">
      <c r="A2478" s="39">
        <f t="shared" ca="1" si="227"/>
        <v>3.6269230769230933</v>
      </c>
      <c r="B2478" s="41">
        <f t="shared" ca="1" si="228"/>
        <v>3.6226923076922906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29"/>
        <v>3</v>
      </c>
      <c r="N2478" s="64">
        <f t="shared" ca="1" si="226"/>
        <v>1.0003018910256409</v>
      </c>
    </row>
    <row r="2479" spans="1:14">
      <c r="A2479" s="39">
        <f t="shared" ca="1" si="227"/>
        <v>3.6269230769230933</v>
      </c>
      <c r="B2479" s="41">
        <f t="shared" ca="1" si="228"/>
        <v>3.6226923076922906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3.6975000000000051</v>
      </c>
      <c r="L2479" s="193">
        <f>OUTPUT!F6</f>
        <v>3.7099999999999937</v>
      </c>
      <c r="M2479" s="113">
        <f t="shared" si="229"/>
        <v>0</v>
      </c>
      <c r="N2479" s="64">
        <f t="shared" ca="1" si="226"/>
        <v>1</v>
      </c>
    </row>
    <row r="2480" spans="1:14">
      <c r="A2480" s="39">
        <f t="shared" ca="1" si="227"/>
        <v>3.6269230769230933</v>
      </c>
      <c r="B2480" s="41">
        <f t="shared" ca="1" si="228"/>
        <v>3.6226923076922906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9"/>
        <v>0</v>
      </c>
      <c r="N2480" s="64">
        <f t="shared" ca="1" si="226"/>
        <v>1</v>
      </c>
    </row>
    <row r="2481" spans="1:14">
      <c r="A2481" s="39">
        <f t="shared" ca="1" si="227"/>
        <v>3.6269230769230933</v>
      </c>
      <c r="B2481" s="41">
        <f t="shared" ca="1" si="228"/>
        <v>3.6226923076922906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110.92500000000015</v>
      </c>
      <c r="L2481" s="192">
        <f>L2479*L2469</f>
        <v>111.29999999999981</v>
      </c>
      <c r="M2481" s="113">
        <f t="shared" si="229"/>
        <v>1</v>
      </c>
      <c r="N2481" s="64">
        <f t="shared" ca="1" si="226"/>
        <v>1.0001006303418802</v>
      </c>
    </row>
    <row r="2482" spans="1:14">
      <c r="A2482" s="39">
        <f t="shared" ca="1" si="227"/>
        <v>3.6269230769230933</v>
      </c>
      <c r="B2482" s="41">
        <f t="shared" ca="1" si="228"/>
        <v>3.6226923076922906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29"/>
        <v>1</v>
      </c>
      <c r="N2482" s="64">
        <f t="shared" ca="1" si="226"/>
        <v>1.0001006303418802</v>
      </c>
    </row>
    <row r="2483" spans="1:14">
      <c r="A2483" s="39">
        <f t="shared" ca="1" si="227"/>
        <v>3.6269230769230933</v>
      </c>
      <c r="B2483" s="41">
        <f t="shared" ca="1" si="228"/>
        <v>3.6226923076922906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110.92500000000015</v>
      </c>
      <c r="L2483" s="192">
        <f>L2481</f>
        <v>111.29999999999981</v>
      </c>
      <c r="M2483" s="113">
        <f t="shared" si="229"/>
        <v>1</v>
      </c>
      <c r="N2483" s="64">
        <f t="shared" ca="1" si="226"/>
        <v>1.0001006303418802</v>
      </c>
    </row>
    <row r="2484" spans="1:14">
      <c r="A2484" s="304">
        <f ca="1">K$2477</f>
        <v>3.7774999999999959</v>
      </c>
      <c r="B2484" s="305">
        <f t="shared" ref="B2484:B2497" ca="1" si="230">L$2477</f>
        <v>3.8025000000000029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10.89</v>
      </c>
      <c r="L2484" s="192">
        <f ca="1">SUM(INDIRECT(L2473))</f>
        <v>10.97</v>
      </c>
      <c r="M2484" s="113">
        <f t="shared" si="229"/>
        <v>1</v>
      </c>
      <c r="N2484" s="64">
        <f t="shared" ca="1" si="226"/>
        <v>1.000105625</v>
      </c>
    </row>
    <row r="2485" spans="1:14">
      <c r="A2485" s="304">
        <f t="shared" ref="A2485:A2497" ca="1" si="231">K$2477</f>
        <v>3.7774999999999959</v>
      </c>
      <c r="B2485" s="305">
        <f t="shared" ca="1" si="230"/>
        <v>3.8025000000000029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52.884999999999941</v>
      </c>
      <c r="L2485" s="401">
        <f ca="1">SUM(INDIRECT(L2475))</f>
        <v>53.235000000000035</v>
      </c>
      <c r="M2485" s="113">
        <f t="shared" si="229"/>
        <v>3</v>
      </c>
      <c r="N2485" s="64">
        <f t="shared" ca="1" si="226"/>
        <v>1.000316875</v>
      </c>
    </row>
    <row r="2486" spans="1:14">
      <c r="A2486" s="304">
        <f t="shared" ca="1" si="231"/>
        <v>3.7774999999999959</v>
      </c>
      <c r="B2486" s="305">
        <f t="shared" ca="1" si="230"/>
        <v>3.8025000000000029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47.150000000000212</v>
      </c>
      <c r="L2486" s="201">
        <f ca="1">L2481-L2484-L2485</f>
        <v>47.094999999999779</v>
      </c>
      <c r="M2486" s="113">
        <f t="shared" si="229"/>
        <v>0</v>
      </c>
      <c r="N2486" s="64">
        <f t="shared" ca="1" si="226"/>
        <v>1</v>
      </c>
    </row>
    <row r="2487" spans="1:14">
      <c r="A2487" s="304">
        <f t="shared" ca="1" si="231"/>
        <v>3.7774999999999959</v>
      </c>
      <c r="B2487" s="305">
        <f t="shared" ca="1" si="230"/>
        <v>3.8025000000000029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29"/>
        <v>0</v>
      </c>
      <c r="N2487" s="64">
        <f t="shared" ca="1" si="226"/>
        <v>1</v>
      </c>
    </row>
    <row r="2488" spans="1:14">
      <c r="A2488" s="304">
        <f t="shared" ca="1" si="231"/>
        <v>3.7774999999999959</v>
      </c>
      <c r="B2488" s="305">
        <f t="shared" ca="1" si="230"/>
        <v>3.8025000000000029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9"/>
        <v>1</v>
      </c>
      <c r="N2488" s="64">
        <f t="shared" ca="1" si="226"/>
        <v>1.000105625</v>
      </c>
    </row>
    <row r="2489" spans="1:14">
      <c r="A2489" s="304">
        <f t="shared" ca="1" si="231"/>
        <v>3.7774999999999959</v>
      </c>
      <c r="B2489" s="305">
        <f t="shared" ca="1" si="230"/>
        <v>3.8025000000000029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3</v>
      </c>
      <c r="L2489" s="179">
        <f ca="1">COUNTA(INDIRECT(L2473))</f>
        <v>3</v>
      </c>
      <c r="M2489" s="113">
        <f t="shared" si="229"/>
        <v>1</v>
      </c>
      <c r="N2489" s="64">
        <f t="shared" ca="1" si="226"/>
        <v>1.000105625</v>
      </c>
    </row>
    <row r="2490" spans="1:14">
      <c r="A2490" s="304">
        <f t="shared" ca="1" si="231"/>
        <v>3.7774999999999959</v>
      </c>
      <c r="B2490" s="305">
        <f t="shared" ca="1" si="230"/>
        <v>3.8025000000000029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29"/>
        <v>1</v>
      </c>
      <c r="N2490" s="64">
        <f t="shared" ca="1" si="226"/>
        <v>1.000105625</v>
      </c>
    </row>
    <row r="2491" spans="1:14">
      <c r="A2491" s="304">
        <f t="shared" ca="1" si="231"/>
        <v>3.7774999999999959</v>
      </c>
      <c r="B2491" s="305">
        <f t="shared" ca="1" si="230"/>
        <v>3.8025000000000029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13</v>
      </c>
      <c r="L2491" s="202">
        <f ca="1">L2488-L2489-L2490</f>
        <v>13</v>
      </c>
      <c r="M2491" s="113">
        <f t="shared" si="229"/>
        <v>1</v>
      </c>
      <c r="N2491" s="64">
        <f t="shared" ca="1" si="226"/>
        <v>1.000105625</v>
      </c>
    </row>
    <row r="2492" spans="1:14">
      <c r="A2492" s="304">
        <f t="shared" ca="1" si="231"/>
        <v>3.7774999999999959</v>
      </c>
      <c r="B2492" s="305">
        <f t="shared" ca="1" si="230"/>
        <v>3.8025000000000029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29"/>
        <v>3</v>
      </c>
      <c r="N2492" s="64">
        <f t="shared" ca="1" si="226"/>
        <v>1.000316875</v>
      </c>
    </row>
    <row r="2493" spans="1:14">
      <c r="A2493" s="304">
        <f t="shared" ca="1" si="231"/>
        <v>3.7774999999999959</v>
      </c>
      <c r="B2493" s="305">
        <f t="shared" ca="1" si="230"/>
        <v>3.8025000000000029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47.150000000000212</v>
      </c>
      <c r="L2493" s="192">
        <f ca="1">L2486</f>
        <v>47.094999999999779</v>
      </c>
      <c r="M2493" s="113">
        <f t="shared" si="229"/>
        <v>0</v>
      </c>
      <c r="N2493" s="64">
        <f t="shared" ca="1" si="226"/>
        <v>1</v>
      </c>
    </row>
    <row r="2494" spans="1:14">
      <c r="A2494" s="304">
        <f t="shared" ca="1" si="231"/>
        <v>3.7774999999999959</v>
      </c>
      <c r="B2494" s="305">
        <f t="shared" ca="1" si="230"/>
        <v>3.8025000000000029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13</v>
      </c>
      <c r="L2494" s="223">
        <f ca="1">L2491</f>
        <v>13</v>
      </c>
      <c r="M2494" s="113">
        <f t="shared" si="229"/>
        <v>0</v>
      </c>
      <c r="N2494" s="64">
        <f t="shared" ca="1" si="226"/>
        <v>1</v>
      </c>
    </row>
    <row r="2495" spans="1:14">
      <c r="A2495" s="304">
        <f t="shared" ca="1" si="231"/>
        <v>3.7774999999999959</v>
      </c>
      <c r="B2495" s="305">
        <f t="shared" ca="1" si="230"/>
        <v>3.8025000000000029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3.6269230769230933</v>
      </c>
      <c r="L2495" s="192">
        <f ca="1">L2493/L2494</f>
        <v>3.6226923076922906</v>
      </c>
      <c r="M2495" s="113">
        <f t="shared" si="229"/>
        <v>1</v>
      </c>
      <c r="N2495" s="64">
        <f t="shared" ca="1" si="226"/>
        <v>1.000105625</v>
      </c>
    </row>
    <row r="2496" spans="1:14">
      <c r="A2496" s="304">
        <f t="shared" ca="1" si="231"/>
        <v>3.7774999999999959</v>
      </c>
      <c r="B2496" s="305">
        <f t="shared" ca="1" si="230"/>
        <v>3.8025000000000029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29"/>
        <v>1</v>
      </c>
      <c r="N2496" s="64">
        <f t="shared" ca="1" si="226"/>
        <v>1.000105625</v>
      </c>
    </row>
    <row r="2497" spans="1:14" ht="15.75" thickBot="1">
      <c r="A2497" s="405">
        <f t="shared" ca="1" si="231"/>
        <v>3.7774999999999959</v>
      </c>
      <c r="B2497" s="406">
        <f t="shared" ca="1" si="230"/>
        <v>3.8025000000000029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29"/>
        <v>1</v>
      </c>
      <c r="N2497" s="292">
        <f t="shared" ca="1" si="226"/>
        <v>1.000105625</v>
      </c>
    </row>
    <row r="2498" spans="1:14">
      <c r="A2498" s="39">
        <f t="shared" ref="A2498:A2524" ca="1" si="232">K$2525</f>
        <v>3.7774999999999959</v>
      </c>
      <c r="B2498" s="41">
        <f t="shared" ref="B2498:B2525" ca="1" si="233">L$2525</f>
        <v>3.8025000000000029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9"/>
        <v>1</v>
      </c>
      <c r="N2498" s="64">
        <f t="shared" ca="1" si="226"/>
        <v>1.000105625</v>
      </c>
    </row>
    <row r="2499" spans="1:14">
      <c r="A2499" s="39">
        <f t="shared" ca="1" si="232"/>
        <v>3.7774999999999959</v>
      </c>
      <c r="B2499" s="41">
        <f t="shared" ca="1" si="233"/>
        <v>3.8025000000000029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4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9"/>
        <v>3</v>
      </c>
      <c r="N2499" s="64">
        <f t="shared" ca="1" si="226"/>
        <v>1.000316875</v>
      </c>
    </row>
    <row r="2500" spans="1:14">
      <c r="A2500" s="39">
        <f t="shared" ca="1" si="232"/>
        <v>3.7774999999999959</v>
      </c>
      <c r="B2500" s="41">
        <f t="shared" ca="1" si="233"/>
        <v>3.8025000000000029</v>
      </c>
      <c r="C2500" s="103">
        <f t="shared" ref="C2500:C2563" si="235">C2499+1</f>
        <v>46298</v>
      </c>
      <c r="E2500" s="167"/>
      <c r="F2500" s="58" t="str">
        <f>VLOOKUP(MOD(C2500,7),'CALENDAR INFO'!$I$2:$J$8,2)</f>
        <v>SAT</v>
      </c>
      <c r="I2500" s="457">
        <f t="shared" si="234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9"/>
        <v>0</v>
      </c>
      <c r="N2500" s="64">
        <f t="shared" ca="1" si="226"/>
        <v>1</v>
      </c>
    </row>
    <row r="2501" spans="1:14">
      <c r="A2501" s="39">
        <f t="shared" ca="1" si="232"/>
        <v>3.7774999999999959</v>
      </c>
      <c r="B2501" s="41">
        <f t="shared" ca="1" si="233"/>
        <v>3.8025000000000029</v>
      </c>
      <c r="C2501" s="103">
        <f t="shared" si="235"/>
        <v>46299</v>
      </c>
      <c r="E2501" s="167"/>
      <c r="F2501" s="58" t="str">
        <f>VLOOKUP(MOD(C2501,7),'CALENDAR INFO'!$I$2:$J$8,2)</f>
        <v>SUN</v>
      </c>
      <c r="I2501" s="457">
        <f t="shared" si="234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9"/>
        <v>0</v>
      </c>
      <c r="N2501" s="64">
        <f t="shared" ca="1" si="226"/>
        <v>1</v>
      </c>
    </row>
    <row r="2502" spans="1:14">
      <c r="A2502" s="39">
        <f t="shared" ca="1" si="232"/>
        <v>3.7774999999999959</v>
      </c>
      <c r="B2502" s="41">
        <f t="shared" ca="1" si="233"/>
        <v>3.8025000000000029</v>
      </c>
      <c r="C2502" s="103">
        <f t="shared" si="235"/>
        <v>46300</v>
      </c>
      <c r="E2502" s="167"/>
      <c r="F2502" s="58" t="str">
        <f>VLOOKUP(MOD(C2502,7),'CALENDAR INFO'!$I$2:$J$8,2)</f>
        <v>MON</v>
      </c>
      <c r="I2502" s="457">
        <f t="shared" si="234"/>
        <v>0</v>
      </c>
      <c r="K2502" s="311"/>
      <c r="L2502" s="15"/>
      <c r="M2502" s="113">
        <f t="shared" si="229"/>
        <v>1</v>
      </c>
      <c r="N2502" s="64">
        <f t="shared" ca="1" si="226"/>
        <v>1.000105625</v>
      </c>
    </row>
    <row r="2503" spans="1:14">
      <c r="A2503" s="39">
        <f t="shared" ca="1" si="232"/>
        <v>3.7774999999999959</v>
      </c>
      <c r="B2503" s="41">
        <f t="shared" ca="1" si="233"/>
        <v>3.8025000000000029</v>
      </c>
      <c r="C2503" s="103">
        <f t="shared" si="235"/>
        <v>46301</v>
      </c>
      <c r="E2503" s="167"/>
      <c r="F2503" s="58" t="str">
        <f>VLOOKUP(MOD(C2503,7),'CALENDAR INFO'!$I$2:$J$8,2)</f>
        <v>TUE</v>
      </c>
      <c r="I2503" s="457">
        <f t="shared" si="234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9"/>
        <v>1</v>
      </c>
      <c r="N2503" s="64">
        <f t="shared" ca="1" si="226"/>
        <v>1.000105625</v>
      </c>
    </row>
    <row r="2504" spans="1:14">
      <c r="A2504" s="39">
        <f t="shared" ca="1" si="232"/>
        <v>3.7774999999999959</v>
      </c>
      <c r="B2504" s="41">
        <f t="shared" ca="1" si="233"/>
        <v>3.8025000000000029</v>
      </c>
      <c r="C2504" s="103">
        <f t="shared" si="235"/>
        <v>46302</v>
      </c>
      <c r="E2504" s="167"/>
      <c r="F2504" s="58" t="str">
        <f>VLOOKUP(MOD(C2504,7),'CALENDAR INFO'!$I$2:$J$8,2)</f>
        <v>WED</v>
      </c>
      <c r="I2504" s="457">
        <f t="shared" si="234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9"/>
        <v>1</v>
      </c>
      <c r="N2504" s="64">
        <f t="shared" ca="1" si="226"/>
        <v>1.000105625</v>
      </c>
    </row>
    <row r="2505" spans="1:14">
      <c r="A2505" s="39">
        <f t="shared" ca="1" si="232"/>
        <v>3.7774999999999959</v>
      </c>
      <c r="B2505" s="41">
        <f t="shared" ca="1" si="233"/>
        <v>3.8025000000000029</v>
      </c>
      <c r="C2505" s="103">
        <f t="shared" si="235"/>
        <v>46303</v>
      </c>
      <c r="E2505" s="167"/>
      <c r="F2505" s="58" t="str">
        <f>VLOOKUP(MOD(C2505,7),'CALENDAR INFO'!$I$2:$J$8,2)</f>
        <v>THU</v>
      </c>
      <c r="I2505" s="457">
        <f t="shared" si="234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9"/>
        <v>1</v>
      </c>
      <c r="N2505" s="64">
        <f t="shared" ca="1" si="226"/>
        <v>1.000105625</v>
      </c>
    </row>
    <row r="2506" spans="1:14">
      <c r="A2506" s="39">
        <f t="shared" ca="1" si="232"/>
        <v>3.7774999999999959</v>
      </c>
      <c r="B2506" s="41">
        <f t="shared" ca="1" si="233"/>
        <v>3.8025000000000029</v>
      </c>
      <c r="C2506" s="103">
        <f t="shared" si="235"/>
        <v>46304</v>
      </c>
      <c r="E2506" s="167"/>
      <c r="F2506" s="58" t="str">
        <f>VLOOKUP(MOD(C2506,7),'CALENDAR INFO'!$I$2:$J$8,2)</f>
        <v>FRI</v>
      </c>
      <c r="I2506" s="457">
        <f t="shared" si="234"/>
        <v>0</v>
      </c>
      <c r="M2506" s="117">
        <v>4</v>
      </c>
      <c r="N2506" s="64">
        <f t="shared" ca="1" si="226"/>
        <v>1.0004225</v>
      </c>
    </row>
    <row r="2507" spans="1:14">
      <c r="A2507" s="39">
        <f t="shared" ca="1" si="232"/>
        <v>3.7774999999999959</v>
      </c>
      <c r="B2507" s="41">
        <f t="shared" ca="1" si="233"/>
        <v>3.8025000000000029</v>
      </c>
      <c r="C2507" s="103">
        <f t="shared" si="235"/>
        <v>46305</v>
      </c>
      <c r="E2507" s="167"/>
      <c r="F2507" s="58" t="str">
        <f>VLOOKUP(MOD(C2507,7),'CALENDAR INFO'!$I$2:$J$8,2)</f>
        <v>SAT</v>
      </c>
      <c r="I2507" s="457">
        <f t="shared" si="234"/>
        <v>0</v>
      </c>
      <c r="J2507" s="15" t="s">
        <v>241</v>
      </c>
      <c r="K2507" s="186">
        <f>A2529+G2529</f>
        <v>3.855000000000004</v>
      </c>
      <c r="L2507" s="194">
        <f>B2529+H2529</f>
        <v>3.8799999999999955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2"/>
        <v>3.7774999999999959</v>
      </c>
      <c r="B2508" s="41">
        <f t="shared" ca="1" si="233"/>
        <v>3.8025000000000029</v>
      </c>
      <c r="C2508" s="103">
        <f t="shared" si="235"/>
        <v>46306</v>
      </c>
      <c r="E2508" s="167"/>
      <c r="F2508" s="58" t="str">
        <f>VLOOKUP(MOD(C2508,7),'CALENDAR INFO'!$I$2:$J$8,2)</f>
        <v>SUN</v>
      </c>
      <c r="I2508" s="457">
        <f t="shared" si="234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2"/>
        <v>3.7774999999999959</v>
      </c>
      <c r="B2509" s="41">
        <f t="shared" ca="1" si="233"/>
        <v>3.8025000000000029</v>
      </c>
      <c r="C2509" s="103">
        <f t="shared" si="235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4"/>
        <v>0</v>
      </c>
      <c r="J2509" s="15" t="s">
        <v>197</v>
      </c>
      <c r="K2509" s="180">
        <f>OUTPUT!C7</f>
        <v>3.7849999999999966</v>
      </c>
      <c r="L2509" s="180">
        <f>OUTPUT!F7</f>
        <v>3.8100000000000023</v>
      </c>
      <c r="M2509" s="117">
        <v>0</v>
      </c>
      <c r="N2509" s="64">
        <f t="shared" ca="1" si="226"/>
        <v>1</v>
      </c>
    </row>
    <row r="2510" spans="1:14">
      <c r="A2510" s="39">
        <f t="shared" ca="1" si="232"/>
        <v>3.7774999999999959</v>
      </c>
      <c r="B2510" s="41">
        <f t="shared" ca="1" si="233"/>
        <v>3.8025000000000029</v>
      </c>
      <c r="C2510" s="103">
        <f t="shared" si="235"/>
        <v>46308</v>
      </c>
      <c r="E2510" s="167"/>
      <c r="F2510" s="58" t="str">
        <f>VLOOKUP(MOD(C2510,7),'CALENDAR INFO'!$I$2:$J$8,2)</f>
        <v>TUE</v>
      </c>
      <c r="I2510" s="457">
        <f t="shared" si="234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6">IF(MOD(C2510,7)&lt;2,0,IF(MOD(C2510,7)=6,3,1))</f>
        <v>1</v>
      </c>
      <c r="N2510" s="64">
        <f t="shared" ca="1" si="226"/>
        <v>1.000105625</v>
      </c>
    </row>
    <row r="2511" spans="1:14">
      <c r="A2511" s="39">
        <f t="shared" ca="1" si="232"/>
        <v>3.7774999999999959</v>
      </c>
      <c r="B2511" s="41">
        <f t="shared" ca="1" si="233"/>
        <v>3.8025000000000029</v>
      </c>
      <c r="C2511" s="103">
        <f t="shared" si="235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4"/>
        <v>0</v>
      </c>
      <c r="J2511" s="15" t="s">
        <v>234</v>
      </c>
      <c r="K2511" s="178">
        <f>K2509*K2499</f>
        <v>117.33499999999989</v>
      </c>
      <c r="L2511" s="178">
        <f>L2509*L2499</f>
        <v>118.11000000000007</v>
      </c>
      <c r="M2511" s="113">
        <f t="shared" si="236"/>
        <v>1</v>
      </c>
      <c r="N2511" s="64">
        <f t="shared" ca="1" si="226"/>
        <v>1.000105625</v>
      </c>
    </row>
    <row r="2512" spans="1:14">
      <c r="A2512" s="39">
        <f t="shared" ca="1" si="232"/>
        <v>3.7774999999999959</v>
      </c>
      <c r="B2512" s="41">
        <f t="shared" ca="1" si="233"/>
        <v>3.8025000000000029</v>
      </c>
      <c r="C2512" s="103">
        <f t="shared" si="235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4"/>
        <v>0</v>
      </c>
      <c r="K2512" s="178"/>
      <c r="L2512" s="192"/>
      <c r="M2512" s="113">
        <f t="shared" si="236"/>
        <v>1</v>
      </c>
      <c r="N2512" s="64">
        <f t="shared" ca="1" si="226"/>
        <v>1.000105625</v>
      </c>
    </row>
    <row r="2513" spans="1:14">
      <c r="A2513" s="39">
        <f t="shared" ca="1" si="232"/>
        <v>3.7774999999999959</v>
      </c>
      <c r="B2513" s="41">
        <f t="shared" ca="1" si="233"/>
        <v>3.8025000000000029</v>
      </c>
      <c r="C2513" s="103">
        <f t="shared" si="235"/>
        <v>46311</v>
      </c>
      <c r="E2513" s="170"/>
      <c r="F2513" s="58" t="str">
        <f>VLOOKUP(MOD(C2513,7),'CALENDAR INFO'!$I$2:$J$8,2)</f>
        <v>FRI</v>
      </c>
      <c r="I2513" s="457">
        <f t="shared" si="234"/>
        <v>0</v>
      </c>
      <c r="J2513" s="15" t="str">
        <f>J2511</f>
        <v>monthly target</v>
      </c>
      <c r="K2513" s="178">
        <f>K2511</f>
        <v>117.33499999999989</v>
      </c>
      <c r="L2513" s="192">
        <f>L2511</f>
        <v>118.11000000000007</v>
      </c>
      <c r="M2513" s="113">
        <f t="shared" si="236"/>
        <v>3</v>
      </c>
      <c r="N2513" s="64">
        <f t="shared" ca="1" si="226"/>
        <v>1.000316875</v>
      </c>
    </row>
    <row r="2514" spans="1:14">
      <c r="A2514" s="39">
        <f t="shared" ca="1" si="232"/>
        <v>3.7774999999999959</v>
      </c>
      <c r="B2514" s="41">
        <f t="shared" ca="1" si="233"/>
        <v>3.8025000000000029</v>
      </c>
      <c r="C2514" s="103">
        <f t="shared" si="235"/>
        <v>46312</v>
      </c>
      <c r="E2514" s="170"/>
      <c r="F2514" s="58" t="str">
        <f>VLOOKUP(MOD(C2514,7),'CALENDAR INFO'!$I$2:$J$8,2)</f>
        <v>SAT</v>
      </c>
      <c r="I2514" s="457">
        <f t="shared" si="234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6"/>
        <v>0</v>
      </c>
      <c r="N2514" s="64">
        <f t="shared" ca="1" si="226"/>
        <v>1</v>
      </c>
    </row>
    <row r="2515" spans="1:14">
      <c r="A2515" s="39">
        <f t="shared" ca="1" si="232"/>
        <v>3.7774999999999959</v>
      </c>
      <c r="B2515" s="41">
        <f t="shared" ca="1" si="233"/>
        <v>3.8025000000000029</v>
      </c>
      <c r="C2515" s="103">
        <f t="shared" si="235"/>
        <v>46313</v>
      </c>
      <c r="E2515" s="170"/>
      <c r="F2515" s="58" t="str">
        <f>VLOOKUP(MOD(C2515,7),'CALENDAR INFO'!$I$2:$J$8,2)</f>
        <v>SUN</v>
      </c>
      <c r="I2515" s="457">
        <f t="shared" si="234"/>
        <v>0</v>
      </c>
      <c r="J2515" s="15" t="s">
        <v>237</v>
      </c>
      <c r="K2515" s="400">
        <f ca="1">SUM(INDIRECT(K2505))</f>
        <v>11.565000000000012</v>
      </c>
      <c r="L2515" s="401">
        <f ca="1">SUM(INDIRECT(L2505))</f>
        <v>11.639999999999986</v>
      </c>
      <c r="M2515" s="113">
        <f t="shared" si="236"/>
        <v>0</v>
      </c>
      <c r="N2515" s="64">
        <f t="shared" ref="N2515:N2578" ca="1" si="237">1+(M2515/360)*(MAX(H2515,B2515)/100)</f>
        <v>1</v>
      </c>
    </row>
    <row r="2516" spans="1:14">
      <c r="A2516" s="39">
        <f t="shared" ca="1" si="232"/>
        <v>3.7774999999999959</v>
      </c>
      <c r="B2516" s="41">
        <f t="shared" ca="1" si="233"/>
        <v>3.8025000000000029</v>
      </c>
      <c r="C2516" s="103">
        <f t="shared" si="235"/>
        <v>46314</v>
      </c>
      <c r="E2516" s="170"/>
      <c r="F2516" s="58" t="str">
        <f>VLOOKUP(MOD(C2516,7),'CALENDAR INFO'!$I$2:$J$8,2)</f>
        <v>MON</v>
      </c>
      <c r="I2516" s="457">
        <f t="shared" si="234"/>
        <v>0</v>
      </c>
      <c r="J2516" s="15" t="s">
        <v>238</v>
      </c>
      <c r="K2516" s="182">
        <f ca="1">K2511-K2514-K2515</f>
        <v>105.76999999999988</v>
      </c>
      <c r="L2516" s="201">
        <f ca="1">L2511-L2514-L2515</f>
        <v>106.47000000000008</v>
      </c>
      <c r="M2516" s="113">
        <f t="shared" si="236"/>
        <v>1</v>
      </c>
      <c r="N2516" s="64">
        <f t="shared" ca="1" si="237"/>
        <v>1.000105625</v>
      </c>
    </row>
    <row r="2517" spans="1:14">
      <c r="A2517" s="39">
        <f t="shared" ca="1" si="232"/>
        <v>3.7774999999999959</v>
      </c>
      <c r="B2517" s="41">
        <f t="shared" ca="1" si="233"/>
        <v>3.8025000000000029</v>
      </c>
      <c r="C2517" s="103">
        <f t="shared" si="235"/>
        <v>46315</v>
      </c>
      <c r="E2517" s="170"/>
      <c r="F2517" s="58" t="str">
        <f>VLOOKUP(MOD(C2517,7),'CALENDAR INFO'!$I$2:$J$8,2)</f>
        <v>TUE</v>
      </c>
      <c r="I2517" s="457">
        <f t="shared" si="234"/>
        <v>0</v>
      </c>
      <c r="M2517" s="113">
        <f t="shared" si="236"/>
        <v>1</v>
      </c>
      <c r="N2517" s="64">
        <f t="shared" ca="1" si="237"/>
        <v>1.000105625</v>
      </c>
    </row>
    <row r="2518" spans="1:14">
      <c r="A2518" s="39">
        <f t="shared" ca="1" si="232"/>
        <v>3.7774999999999959</v>
      </c>
      <c r="B2518" s="41">
        <f t="shared" ca="1" si="233"/>
        <v>3.8025000000000029</v>
      </c>
      <c r="C2518" s="103">
        <f t="shared" si="235"/>
        <v>46316</v>
      </c>
      <c r="E2518" s="170"/>
      <c r="F2518" s="58" t="str">
        <f>VLOOKUP(MOD(C2518,7),'CALENDAR INFO'!$I$2:$J$8,2)</f>
        <v>WED</v>
      </c>
      <c r="I2518" s="457">
        <f t="shared" si="234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6"/>
        <v>1</v>
      </c>
      <c r="N2518" s="64">
        <f t="shared" ca="1" si="237"/>
        <v>1.000105625</v>
      </c>
    </row>
    <row r="2519" spans="1:14">
      <c r="A2519" s="39">
        <f t="shared" ca="1" si="232"/>
        <v>3.7774999999999959</v>
      </c>
      <c r="B2519" s="41">
        <f t="shared" ca="1" si="233"/>
        <v>3.8025000000000029</v>
      </c>
      <c r="C2519" s="103">
        <f t="shared" si="235"/>
        <v>46317</v>
      </c>
      <c r="E2519" s="170"/>
      <c r="F2519" s="58" t="str">
        <f>VLOOKUP(MOD(C2519,7),'CALENDAR INFO'!$I$2:$J$8,2)</f>
        <v>THU</v>
      </c>
      <c r="I2519" s="457">
        <f t="shared" si="234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6"/>
        <v>1</v>
      </c>
      <c r="N2519" s="64">
        <f t="shared" ca="1" si="237"/>
        <v>1.000105625</v>
      </c>
    </row>
    <row r="2520" spans="1:14">
      <c r="A2520" s="39">
        <f t="shared" ca="1" si="232"/>
        <v>3.7774999999999959</v>
      </c>
      <c r="B2520" s="41">
        <f t="shared" ca="1" si="233"/>
        <v>3.8025000000000029</v>
      </c>
      <c r="C2520" s="103">
        <f t="shared" si="235"/>
        <v>46318</v>
      </c>
      <c r="E2520" s="170"/>
      <c r="F2520" s="58" t="str">
        <f>VLOOKUP(MOD(C2520,7),'CALENDAR INFO'!$I$2:$J$8,2)</f>
        <v>FRI</v>
      </c>
      <c r="I2520" s="457">
        <f t="shared" si="234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6"/>
        <v>3</v>
      </c>
      <c r="N2520" s="64">
        <f t="shared" ca="1" si="237"/>
        <v>1.000316875</v>
      </c>
    </row>
    <row r="2521" spans="1:14">
      <c r="A2521" s="39">
        <f t="shared" ca="1" si="232"/>
        <v>3.7774999999999959</v>
      </c>
      <c r="B2521" s="41">
        <f t="shared" ca="1" si="233"/>
        <v>3.8025000000000029</v>
      </c>
      <c r="C2521" s="103">
        <f t="shared" si="235"/>
        <v>46319</v>
      </c>
      <c r="E2521" s="170"/>
      <c r="F2521" s="58" t="str">
        <f>VLOOKUP(MOD(C2521,7),'CALENDAR INFO'!$I$2:$J$8,2)</f>
        <v>SAT</v>
      </c>
      <c r="I2521" s="457">
        <f t="shared" si="234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6"/>
        <v>0</v>
      </c>
      <c r="N2521" s="64">
        <f t="shared" ca="1" si="237"/>
        <v>1</v>
      </c>
    </row>
    <row r="2522" spans="1:14">
      <c r="A2522" s="39">
        <f t="shared" ca="1" si="232"/>
        <v>3.7774999999999959</v>
      </c>
      <c r="B2522" s="41">
        <f t="shared" ca="1" si="233"/>
        <v>3.8025000000000029</v>
      </c>
      <c r="C2522" s="103">
        <f t="shared" si="235"/>
        <v>46320</v>
      </c>
      <c r="E2522" s="170"/>
      <c r="F2522" s="58" t="str">
        <f>VLOOKUP(MOD(C2522,7),'CALENDAR INFO'!$I$2:$J$8,2)</f>
        <v>SUN</v>
      </c>
      <c r="I2522" s="457">
        <f t="shared" si="234"/>
        <v>0</v>
      </c>
      <c r="K2522" s="178"/>
      <c r="L2522" s="192"/>
      <c r="M2522" s="113">
        <f t="shared" si="236"/>
        <v>0</v>
      </c>
      <c r="N2522" s="64">
        <f t="shared" ca="1" si="237"/>
        <v>1</v>
      </c>
    </row>
    <row r="2523" spans="1:14">
      <c r="A2523" s="39">
        <f t="shared" ca="1" si="232"/>
        <v>3.7774999999999959</v>
      </c>
      <c r="B2523" s="41">
        <f t="shared" ca="1" si="233"/>
        <v>3.8025000000000029</v>
      </c>
      <c r="C2523" s="103">
        <f t="shared" si="235"/>
        <v>46321</v>
      </c>
      <c r="E2523" s="170"/>
      <c r="F2523" s="58" t="str">
        <f>VLOOKUP(MOD(C2523,7),'CALENDAR INFO'!$I$2:$J$8,2)</f>
        <v>MON</v>
      </c>
      <c r="I2523" s="457">
        <f t="shared" si="234"/>
        <v>0</v>
      </c>
      <c r="J2523" s="15" t="s">
        <v>238</v>
      </c>
      <c r="K2523" s="178">
        <f ca="1">K2516</f>
        <v>105.76999999999988</v>
      </c>
      <c r="L2523" s="192">
        <f ca="1">L2516</f>
        <v>106.47000000000008</v>
      </c>
      <c r="M2523" s="113">
        <f t="shared" si="236"/>
        <v>1</v>
      </c>
      <c r="N2523" s="64">
        <f t="shared" ca="1" si="237"/>
        <v>1.000105625</v>
      </c>
    </row>
    <row r="2524" spans="1:14">
      <c r="A2524" s="39">
        <f t="shared" ca="1" si="232"/>
        <v>3.7774999999999959</v>
      </c>
      <c r="B2524" s="41">
        <f t="shared" ca="1" si="233"/>
        <v>3.8025000000000029</v>
      </c>
      <c r="C2524" s="103">
        <f t="shared" si="235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4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6"/>
        <v>1</v>
      </c>
      <c r="N2524" s="64">
        <f t="shared" ca="1" si="237"/>
        <v>1.000105625</v>
      </c>
    </row>
    <row r="2525" spans="1:14">
      <c r="A2525" s="39">
        <f ca="1">K$2525</f>
        <v>3.7774999999999959</v>
      </c>
      <c r="B2525" s="41">
        <f t="shared" ca="1" si="233"/>
        <v>3.8025000000000029</v>
      </c>
      <c r="C2525" s="103">
        <f t="shared" si="235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4"/>
        <v>0</v>
      </c>
      <c r="J2525" s="15" t="s">
        <v>240</v>
      </c>
      <c r="K2525" s="178">
        <f ca="1">K2523/K2524</f>
        <v>3.7774999999999959</v>
      </c>
      <c r="L2525" s="192">
        <f ca="1">L2523/L2524</f>
        <v>3.8025000000000029</v>
      </c>
      <c r="M2525" s="113">
        <f t="shared" si="236"/>
        <v>1</v>
      </c>
      <c r="N2525" s="64">
        <f t="shared" ca="1" si="237"/>
        <v>1.000105625</v>
      </c>
    </row>
    <row r="2526" spans="1:14">
      <c r="A2526" s="304">
        <f t="shared" ref="A2526:B2528" si="238">K$2507</f>
        <v>3.855000000000004</v>
      </c>
      <c r="B2526" s="305">
        <f t="shared" si="238"/>
        <v>3.8799999999999955</v>
      </c>
      <c r="C2526" s="103">
        <f t="shared" si="235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4"/>
        <v>0</v>
      </c>
      <c r="M2526" s="113">
        <f t="shared" si="236"/>
        <v>1</v>
      </c>
      <c r="N2526" s="64">
        <f t="shared" si="237"/>
        <v>1.0001077777777778</v>
      </c>
    </row>
    <row r="2527" spans="1:14">
      <c r="A2527" s="304">
        <f t="shared" si="238"/>
        <v>3.855000000000004</v>
      </c>
      <c r="B2527" s="305">
        <f t="shared" si="238"/>
        <v>3.8799999999999955</v>
      </c>
      <c r="C2527" s="103">
        <f t="shared" si="235"/>
        <v>46325</v>
      </c>
      <c r="E2527" s="167"/>
      <c r="F2527" s="58" t="str">
        <f>VLOOKUP(MOD(C2527,7),'CALENDAR INFO'!$I$2:$J$8,2)</f>
        <v>FRI</v>
      </c>
      <c r="I2527" s="457">
        <f t="shared" si="234"/>
        <v>0</v>
      </c>
      <c r="M2527" s="113">
        <f t="shared" si="236"/>
        <v>3</v>
      </c>
      <c r="N2527" s="64">
        <f t="shared" si="237"/>
        <v>1.0003233333333332</v>
      </c>
    </row>
    <row r="2528" spans="1:14" ht="15.75" thickBot="1">
      <c r="A2528" s="405">
        <f t="shared" si="238"/>
        <v>3.855000000000004</v>
      </c>
      <c r="B2528" s="406">
        <f t="shared" si="238"/>
        <v>3.8799999999999955</v>
      </c>
      <c r="C2528" s="104">
        <f t="shared" si="235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4"/>
        <v>0</v>
      </c>
      <c r="J2528" s="348"/>
      <c r="K2528" s="348"/>
      <c r="L2528" s="349"/>
      <c r="M2528" s="114">
        <f t="shared" si="236"/>
        <v>0</v>
      </c>
      <c r="N2528" s="292">
        <f t="shared" si="237"/>
        <v>1</v>
      </c>
    </row>
    <row r="2529" spans="1:14">
      <c r="A2529" s="304">
        <f>K2538</f>
        <v>3.855000000000004</v>
      </c>
      <c r="B2529" s="305">
        <f>L2538</f>
        <v>3.8799999999999955</v>
      </c>
      <c r="C2529" s="103">
        <f t="shared" si="235"/>
        <v>46327</v>
      </c>
      <c r="E2529" s="167"/>
      <c r="F2529" s="58" t="str">
        <f>VLOOKUP(MOD(C2529,7),'CALENDAR INFO'!$I$2:$J$8,2)</f>
        <v>SUN</v>
      </c>
      <c r="I2529" s="457">
        <f t="shared" si="234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6"/>
        <v>0</v>
      </c>
      <c r="N2529" s="64">
        <f t="shared" si="237"/>
        <v>1</v>
      </c>
    </row>
    <row r="2530" spans="1:14">
      <c r="A2530" s="39">
        <f ca="1">K$2556</f>
        <v>3.855000000000004</v>
      </c>
      <c r="B2530" s="41">
        <f t="shared" ref="B2530:B2558" ca="1" si="239">L$2556</f>
        <v>3.8799999999999955</v>
      </c>
      <c r="C2530" s="103">
        <f t="shared" si="235"/>
        <v>46328</v>
      </c>
      <c r="E2530" s="167"/>
      <c r="F2530" s="58" t="str">
        <f>VLOOKUP(MOD(C2530,7),'CALENDAR INFO'!$I$2:$J$8,2)</f>
        <v>MON</v>
      </c>
      <c r="I2530" s="457">
        <f t="shared" si="234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6"/>
        <v>1</v>
      </c>
      <c r="N2530" s="64">
        <f t="shared" ca="1" si="237"/>
        <v>1.0001077777777778</v>
      </c>
    </row>
    <row r="2531" spans="1:14">
      <c r="A2531" s="39">
        <f t="shared" ref="A2531:A2558" ca="1" si="240">K$2556</f>
        <v>3.855000000000004</v>
      </c>
      <c r="B2531" s="41">
        <f t="shared" ca="1" si="239"/>
        <v>3.8799999999999955</v>
      </c>
      <c r="C2531" s="103">
        <f t="shared" si="235"/>
        <v>46329</v>
      </c>
      <c r="E2531" s="167"/>
      <c r="F2531" s="58" t="str">
        <f>VLOOKUP(MOD(C2531,7),'CALENDAR INFO'!$I$2:$J$8,2)</f>
        <v>TUE</v>
      </c>
      <c r="I2531" s="457">
        <f t="shared" si="234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6"/>
        <v>1</v>
      </c>
      <c r="N2531" s="64">
        <f t="shared" ca="1" si="237"/>
        <v>1.0001077777777778</v>
      </c>
    </row>
    <row r="2532" spans="1:14">
      <c r="A2532" s="39">
        <f t="shared" ca="1" si="240"/>
        <v>3.855000000000004</v>
      </c>
      <c r="B2532" s="41">
        <f t="shared" ca="1" si="239"/>
        <v>3.8799999999999955</v>
      </c>
      <c r="C2532" s="103">
        <f t="shared" si="235"/>
        <v>46330</v>
      </c>
      <c r="E2532" s="167"/>
      <c r="F2532" s="58" t="str">
        <f>VLOOKUP(MOD(C2532,7),'CALENDAR INFO'!$I$2:$J$8,2)</f>
        <v>WED</v>
      </c>
      <c r="I2532" s="457">
        <f t="shared" si="234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6"/>
        <v>1</v>
      </c>
      <c r="N2532" s="64">
        <f t="shared" ca="1" si="237"/>
        <v>1.0001077777777778</v>
      </c>
    </row>
    <row r="2533" spans="1:14">
      <c r="A2533" s="39">
        <f t="shared" ca="1" si="240"/>
        <v>3.855000000000004</v>
      </c>
      <c r="B2533" s="41">
        <f t="shared" ca="1" si="239"/>
        <v>3.8799999999999955</v>
      </c>
      <c r="C2533" s="103">
        <f t="shared" si="235"/>
        <v>46331</v>
      </c>
      <c r="E2533" s="167"/>
      <c r="F2533" s="58" t="str">
        <f>VLOOKUP(MOD(C2533,7),'CALENDAR INFO'!$I$2:$J$8,2)</f>
        <v>THU</v>
      </c>
      <c r="I2533" s="457">
        <f t="shared" si="234"/>
        <v>0</v>
      </c>
      <c r="K2533" s="176"/>
      <c r="M2533" s="113">
        <f t="shared" si="236"/>
        <v>1</v>
      </c>
      <c r="N2533" s="64">
        <f t="shared" ca="1" si="237"/>
        <v>1.0001077777777778</v>
      </c>
    </row>
    <row r="2534" spans="1:14">
      <c r="A2534" s="39">
        <f t="shared" ca="1" si="240"/>
        <v>3.855000000000004</v>
      </c>
      <c r="B2534" s="41">
        <f t="shared" ca="1" si="239"/>
        <v>3.8799999999999955</v>
      </c>
      <c r="C2534" s="103">
        <f t="shared" si="235"/>
        <v>46332</v>
      </c>
      <c r="E2534" s="167"/>
      <c r="F2534" s="58" t="str">
        <f>VLOOKUP(MOD(C2534,7),'CALENDAR INFO'!$I$2:$J$8,2)</f>
        <v>FRI</v>
      </c>
      <c r="I2534" s="457">
        <f t="shared" si="234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6"/>
        <v>3</v>
      </c>
      <c r="N2534" s="64">
        <f t="shared" ca="1" si="237"/>
        <v>1.0003233333333332</v>
      </c>
    </row>
    <row r="2535" spans="1:14">
      <c r="A2535" s="39">
        <f t="shared" ca="1" si="240"/>
        <v>3.855000000000004</v>
      </c>
      <c r="B2535" s="41">
        <f t="shared" ca="1" si="239"/>
        <v>3.8799999999999955</v>
      </c>
      <c r="C2535" s="103">
        <f t="shared" si="235"/>
        <v>46333</v>
      </c>
      <c r="E2535" s="167"/>
      <c r="F2535" s="58" t="str">
        <f>VLOOKUP(MOD(C2535,7),'CALENDAR INFO'!$I$2:$J$8,2)</f>
        <v>SAT</v>
      </c>
      <c r="I2535" s="457">
        <f t="shared" si="234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6"/>
        <v>0</v>
      </c>
      <c r="N2535" s="64">
        <f t="shared" ca="1" si="237"/>
        <v>1</v>
      </c>
    </row>
    <row r="2536" spans="1:14">
      <c r="A2536" s="39">
        <f t="shared" ca="1" si="240"/>
        <v>3.855000000000004</v>
      </c>
      <c r="B2536" s="41">
        <f t="shared" ca="1" si="239"/>
        <v>3.8799999999999955</v>
      </c>
      <c r="C2536" s="103">
        <f t="shared" si="235"/>
        <v>46334</v>
      </c>
      <c r="E2536" s="167"/>
      <c r="F2536" s="58" t="str">
        <f>VLOOKUP(MOD(C2536,7),'CALENDAR INFO'!$I$2:$J$8,2)</f>
        <v>SUN</v>
      </c>
      <c r="I2536" s="457">
        <f t="shared" si="234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6"/>
        <v>0</v>
      </c>
      <c r="N2536" s="64">
        <f t="shared" ca="1" si="237"/>
        <v>1</v>
      </c>
    </row>
    <row r="2537" spans="1:14">
      <c r="A2537" s="39">
        <f t="shared" ca="1" si="240"/>
        <v>3.855000000000004</v>
      </c>
      <c r="B2537" s="41">
        <f t="shared" ca="1" si="239"/>
        <v>3.8799999999999955</v>
      </c>
      <c r="C2537" s="103">
        <f t="shared" si="235"/>
        <v>46335</v>
      </c>
      <c r="E2537" s="167"/>
      <c r="F2537" s="58" t="str">
        <f>VLOOKUP(MOD(C2537,7),'CALENDAR INFO'!$I$2:$J$8,2)</f>
        <v>MON</v>
      </c>
      <c r="I2537" s="457">
        <f t="shared" si="234"/>
        <v>0</v>
      </c>
      <c r="M2537" s="113">
        <f t="shared" si="236"/>
        <v>1</v>
      </c>
      <c r="N2537" s="64">
        <f t="shared" ca="1" si="237"/>
        <v>1.0001077777777778</v>
      </c>
    </row>
    <row r="2538" spans="1:14">
      <c r="A2538" s="39">
        <f t="shared" ca="1" si="240"/>
        <v>3.855000000000004</v>
      </c>
      <c r="B2538" s="41">
        <f t="shared" ca="1" si="239"/>
        <v>3.8799999999999955</v>
      </c>
      <c r="C2538" s="103">
        <f t="shared" si="235"/>
        <v>46336</v>
      </c>
      <c r="E2538" s="167"/>
      <c r="F2538" s="58" t="str">
        <f>VLOOKUP(MOD(C2538,7),'CALENDAR INFO'!$I$2:$J$8,2)</f>
        <v>TUE</v>
      </c>
      <c r="I2538" s="457">
        <f t="shared" si="234"/>
        <v>0</v>
      </c>
      <c r="J2538" s="15" t="s">
        <v>241</v>
      </c>
      <c r="K2538" s="186">
        <f>K2540</f>
        <v>3.855000000000004</v>
      </c>
      <c r="L2538" s="194">
        <f>L2540</f>
        <v>3.8799999999999955</v>
      </c>
      <c r="M2538" s="117">
        <v>2</v>
      </c>
      <c r="N2538" s="64">
        <f t="shared" ca="1" si="237"/>
        <v>1.0002155555555556</v>
      </c>
    </row>
    <row r="2539" spans="1:14">
      <c r="A2539" s="39">
        <f t="shared" ca="1" si="240"/>
        <v>3.855000000000004</v>
      </c>
      <c r="B2539" s="41">
        <f t="shared" ca="1" si="239"/>
        <v>3.8799999999999955</v>
      </c>
      <c r="C2539" s="103">
        <f t="shared" si="235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4"/>
        <v>0</v>
      </c>
      <c r="M2539" s="117">
        <v>0</v>
      </c>
      <c r="N2539" s="64">
        <f t="shared" ca="1" si="237"/>
        <v>1</v>
      </c>
    </row>
    <row r="2540" spans="1:14">
      <c r="A2540" s="39">
        <f t="shared" ca="1" si="240"/>
        <v>3.855000000000004</v>
      </c>
      <c r="B2540" s="41">
        <f t="shared" ca="1" si="239"/>
        <v>3.8799999999999955</v>
      </c>
      <c r="C2540" s="103">
        <f t="shared" si="235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4"/>
        <v>0</v>
      </c>
      <c r="J2540" s="15" t="s">
        <v>197</v>
      </c>
      <c r="K2540" s="180">
        <f>OUTPUT!C8</f>
        <v>3.855000000000004</v>
      </c>
      <c r="L2540" s="193">
        <f>OUTPUT!F8</f>
        <v>3.8799999999999955</v>
      </c>
      <c r="M2540" s="113">
        <f t="shared" ref="M2540:M2552" si="241">IF(MOD(C2540,7)&lt;2,0,IF(MOD(C2540,7)=6,3,1))</f>
        <v>1</v>
      </c>
      <c r="N2540" s="64">
        <f t="shared" ca="1" si="237"/>
        <v>1.0001077777777778</v>
      </c>
    </row>
    <row r="2541" spans="1:14">
      <c r="A2541" s="39">
        <f t="shared" ca="1" si="240"/>
        <v>3.855000000000004</v>
      </c>
      <c r="B2541" s="41">
        <f t="shared" ca="1" si="239"/>
        <v>3.8799999999999955</v>
      </c>
      <c r="C2541" s="103">
        <f t="shared" si="235"/>
        <v>46339</v>
      </c>
      <c r="E2541" s="170"/>
      <c r="F2541" s="58" t="str">
        <f>VLOOKUP(MOD(C2541,7),'CALENDAR INFO'!$I$2:$J$8,2)</f>
        <v>FRI</v>
      </c>
      <c r="I2541" s="457">
        <f t="shared" si="234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37"/>
        <v>1.0003233333333332</v>
      </c>
    </row>
    <row r="2542" spans="1:14">
      <c r="A2542" s="39">
        <f t="shared" ca="1" si="240"/>
        <v>3.855000000000004</v>
      </c>
      <c r="B2542" s="41">
        <f t="shared" ca="1" si="239"/>
        <v>3.8799999999999955</v>
      </c>
      <c r="C2542" s="103">
        <f t="shared" si="235"/>
        <v>46340</v>
      </c>
      <c r="E2542" s="170"/>
      <c r="F2542" s="58" t="str">
        <f>VLOOKUP(MOD(C2542,7),'CALENDAR INFO'!$I$2:$J$8,2)</f>
        <v>SAT</v>
      </c>
      <c r="I2542" s="457">
        <f t="shared" si="234"/>
        <v>0</v>
      </c>
      <c r="J2542" s="15" t="s">
        <v>234</v>
      </c>
      <c r="K2542" s="178">
        <f>K2540*K2530</f>
        <v>115.65000000000012</v>
      </c>
      <c r="L2542" s="192">
        <f>L2540*L2530</f>
        <v>116.39999999999986</v>
      </c>
      <c r="M2542" s="113">
        <f t="shared" si="241"/>
        <v>0</v>
      </c>
      <c r="N2542" s="64">
        <f t="shared" ca="1" si="237"/>
        <v>1</v>
      </c>
    </row>
    <row r="2543" spans="1:14">
      <c r="A2543" s="39">
        <f t="shared" ca="1" si="240"/>
        <v>3.855000000000004</v>
      </c>
      <c r="B2543" s="41">
        <f t="shared" ca="1" si="239"/>
        <v>3.8799999999999955</v>
      </c>
      <c r="C2543" s="103">
        <f t="shared" si="235"/>
        <v>46341</v>
      </c>
      <c r="E2543" s="170"/>
      <c r="F2543" s="58" t="str">
        <f>VLOOKUP(MOD(C2543,7),'CALENDAR INFO'!$I$2:$J$8,2)</f>
        <v>SUN</v>
      </c>
      <c r="I2543" s="457">
        <f t="shared" si="234"/>
        <v>0</v>
      </c>
      <c r="M2543" s="113">
        <f t="shared" si="241"/>
        <v>0</v>
      </c>
      <c r="N2543" s="64">
        <f t="shared" ca="1" si="237"/>
        <v>1</v>
      </c>
    </row>
    <row r="2544" spans="1:14">
      <c r="A2544" s="39">
        <f t="shared" ca="1" si="240"/>
        <v>3.855000000000004</v>
      </c>
      <c r="B2544" s="41">
        <f t="shared" ca="1" si="239"/>
        <v>3.8799999999999955</v>
      </c>
      <c r="C2544" s="103">
        <f t="shared" si="235"/>
        <v>46342</v>
      </c>
      <c r="E2544" s="170"/>
      <c r="F2544" s="58" t="str">
        <f>VLOOKUP(MOD(C2544,7),'CALENDAR INFO'!$I$2:$J$8,2)</f>
        <v>MON</v>
      </c>
      <c r="I2544" s="457">
        <f t="shared" si="234"/>
        <v>0</v>
      </c>
      <c r="J2544" s="15" t="str">
        <f>J2542</f>
        <v>monthly target</v>
      </c>
      <c r="K2544" s="178">
        <f>K2542</f>
        <v>115.65000000000012</v>
      </c>
      <c r="L2544" s="192">
        <f>L2542</f>
        <v>116.39999999999986</v>
      </c>
      <c r="M2544" s="113">
        <f t="shared" si="241"/>
        <v>1</v>
      </c>
      <c r="N2544" s="64">
        <f t="shared" ca="1" si="237"/>
        <v>1.0001077777777778</v>
      </c>
    </row>
    <row r="2545" spans="1:14">
      <c r="A2545" s="39">
        <f t="shared" ca="1" si="240"/>
        <v>3.855000000000004</v>
      </c>
      <c r="B2545" s="41">
        <f t="shared" ca="1" si="239"/>
        <v>3.8799999999999955</v>
      </c>
      <c r="C2545" s="103">
        <f t="shared" si="235"/>
        <v>46343</v>
      </c>
      <c r="E2545" s="170"/>
      <c r="F2545" s="58" t="str">
        <f>VLOOKUP(MOD(C2545,7),'CALENDAR INFO'!$I$2:$J$8,2)</f>
        <v>TUE</v>
      </c>
      <c r="I2545" s="457">
        <f t="shared" si="234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37"/>
        <v>1.0001077777777778</v>
      </c>
    </row>
    <row r="2546" spans="1:14">
      <c r="A2546" s="39">
        <f t="shared" ca="1" si="240"/>
        <v>3.855000000000004</v>
      </c>
      <c r="B2546" s="41">
        <f t="shared" ca="1" si="239"/>
        <v>3.8799999999999955</v>
      </c>
      <c r="C2546" s="103">
        <f t="shared" si="235"/>
        <v>46344</v>
      </c>
      <c r="E2546" s="170"/>
      <c r="F2546" s="58" t="str">
        <f>VLOOKUP(MOD(C2546,7),'CALENDAR INFO'!$I$2:$J$8,2)</f>
        <v>WED</v>
      </c>
      <c r="I2546" s="457">
        <f t="shared" si="234"/>
        <v>0</v>
      </c>
      <c r="J2546" s="15" t="s">
        <v>237</v>
      </c>
      <c r="K2546" s="400">
        <f ca="1">SUM(INDIRECT(K2535))</f>
        <v>3.855000000000004</v>
      </c>
      <c r="L2546" s="401">
        <f ca="1">SUM(INDIRECT(L2535))</f>
        <v>3.8799999999999955</v>
      </c>
      <c r="M2546" s="113">
        <f t="shared" si="241"/>
        <v>1</v>
      </c>
      <c r="N2546" s="64">
        <f t="shared" ca="1" si="237"/>
        <v>1.0001077777777778</v>
      </c>
    </row>
    <row r="2547" spans="1:14">
      <c r="A2547" s="39">
        <f t="shared" ca="1" si="240"/>
        <v>3.855000000000004</v>
      </c>
      <c r="B2547" s="41">
        <f t="shared" ca="1" si="239"/>
        <v>3.8799999999999955</v>
      </c>
      <c r="C2547" s="103">
        <f t="shared" si="235"/>
        <v>46345</v>
      </c>
      <c r="E2547" s="170"/>
      <c r="F2547" s="58" t="str">
        <f>VLOOKUP(MOD(C2547,7),'CALENDAR INFO'!$I$2:$J$8,2)</f>
        <v>THU</v>
      </c>
      <c r="I2547" s="457">
        <f t="shared" si="234"/>
        <v>0</v>
      </c>
      <c r="J2547" s="15" t="s">
        <v>238</v>
      </c>
      <c r="K2547" s="182">
        <f ca="1">K2542-K2545-K2546</f>
        <v>111.79500000000012</v>
      </c>
      <c r="L2547" s="201">
        <f ca="1">L2542-L2545-L2546</f>
        <v>112.51999999999987</v>
      </c>
      <c r="M2547" s="113">
        <f t="shared" si="241"/>
        <v>1</v>
      </c>
      <c r="N2547" s="64">
        <f t="shared" ca="1" si="237"/>
        <v>1.0001077777777778</v>
      </c>
    </row>
    <row r="2548" spans="1:14">
      <c r="A2548" s="39">
        <f t="shared" ca="1" si="240"/>
        <v>3.855000000000004</v>
      </c>
      <c r="B2548" s="41">
        <f t="shared" ca="1" si="239"/>
        <v>3.8799999999999955</v>
      </c>
      <c r="C2548" s="103">
        <f t="shared" si="235"/>
        <v>46346</v>
      </c>
      <c r="E2548" s="170"/>
      <c r="F2548" s="58" t="str">
        <f>VLOOKUP(MOD(C2548,7),'CALENDAR INFO'!$I$2:$J$8,2)</f>
        <v>FRI</v>
      </c>
      <c r="I2548" s="457">
        <f t="shared" si="234"/>
        <v>0</v>
      </c>
      <c r="K2548" s="178"/>
      <c r="L2548" s="192"/>
      <c r="M2548" s="113">
        <f t="shared" si="241"/>
        <v>3</v>
      </c>
      <c r="N2548" s="64">
        <f t="shared" ca="1" si="237"/>
        <v>1.0003233333333332</v>
      </c>
    </row>
    <row r="2549" spans="1:14">
      <c r="A2549" s="39">
        <f t="shared" ca="1" si="240"/>
        <v>3.855000000000004</v>
      </c>
      <c r="B2549" s="41">
        <f t="shared" ca="1" si="239"/>
        <v>3.8799999999999955</v>
      </c>
      <c r="C2549" s="103">
        <f t="shared" si="235"/>
        <v>46347</v>
      </c>
      <c r="E2549" s="170"/>
      <c r="F2549" s="58" t="str">
        <f>VLOOKUP(MOD(C2549,7),'CALENDAR INFO'!$I$2:$J$8,2)</f>
        <v>SAT</v>
      </c>
      <c r="I2549" s="457">
        <f t="shared" si="234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37"/>
        <v>1</v>
      </c>
    </row>
    <row r="2550" spans="1:14">
      <c r="A2550" s="39">
        <f t="shared" ca="1" si="240"/>
        <v>3.855000000000004</v>
      </c>
      <c r="B2550" s="41">
        <f t="shared" ca="1" si="239"/>
        <v>3.8799999999999955</v>
      </c>
      <c r="C2550" s="103">
        <f t="shared" si="235"/>
        <v>46348</v>
      </c>
      <c r="E2550" s="170"/>
      <c r="F2550" s="58" t="str">
        <f>VLOOKUP(MOD(C2550,7),'CALENDAR INFO'!$I$2:$J$8,2)</f>
        <v>SUN</v>
      </c>
      <c r="I2550" s="457">
        <f t="shared" si="234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37"/>
        <v>1</v>
      </c>
    </row>
    <row r="2551" spans="1:14">
      <c r="A2551" s="39">
        <f t="shared" ca="1" si="240"/>
        <v>3.855000000000004</v>
      </c>
      <c r="B2551" s="41">
        <f t="shared" ca="1" si="239"/>
        <v>3.8799999999999955</v>
      </c>
      <c r="C2551" s="103">
        <f t="shared" si="235"/>
        <v>46349</v>
      </c>
      <c r="E2551" s="170"/>
      <c r="F2551" s="58" t="str">
        <f>VLOOKUP(MOD(C2551,7),'CALENDAR INFO'!$I$2:$J$8,2)</f>
        <v>MON</v>
      </c>
      <c r="I2551" s="457">
        <f t="shared" si="234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1"/>
        <v>1</v>
      </c>
      <c r="N2551" s="64">
        <f t="shared" ca="1" si="237"/>
        <v>1.0001077777777778</v>
      </c>
    </row>
    <row r="2552" spans="1:14">
      <c r="A2552" s="39">
        <f t="shared" ca="1" si="240"/>
        <v>3.855000000000004</v>
      </c>
      <c r="B2552" s="41">
        <f t="shared" ca="1" si="239"/>
        <v>3.8799999999999955</v>
      </c>
      <c r="C2552" s="103">
        <f t="shared" si="235"/>
        <v>46350</v>
      </c>
      <c r="E2552" s="170"/>
      <c r="F2552" s="58" t="str">
        <f>VLOOKUP(MOD(C2552,7),'CALENDAR INFO'!$I$2:$J$8,2)</f>
        <v>TUE</v>
      </c>
      <c r="I2552" s="457">
        <f t="shared" si="234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37"/>
        <v>1.0001077777777778</v>
      </c>
    </row>
    <row r="2553" spans="1:14">
      <c r="A2553" s="39">
        <f t="shared" ca="1" si="240"/>
        <v>3.855000000000004</v>
      </c>
      <c r="B2553" s="41">
        <f t="shared" ca="1" si="239"/>
        <v>3.8799999999999955</v>
      </c>
      <c r="C2553" s="103">
        <f t="shared" si="235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4"/>
        <v>0</v>
      </c>
      <c r="K2553" s="178"/>
      <c r="L2553" s="192"/>
      <c r="M2553" s="117">
        <v>2</v>
      </c>
      <c r="N2553" s="64">
        <f t="shared" ca="1" si="237"/>
        <v>1.0002155555555556</v>
      </c>
    </row>
    <row r="2554" spans="1:14">
      <c r="A2554" s="39">
        <f t="shared" ca="1" si="240"/>
        <v>3.855000000000004</v>
      </c>
      <c r="B2554" s="41">
        <f t="shared" ca="1" si="239"/>
        <v>3.8799999999999955</v>
      </c>
      <c r="C2554" s="103">
        <f t="shared" si="235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4"/>
        <v>0</v>
      </c>
      <c r="J2554" s="15" t="s">
        <v>238</v>
      </c>
      <c r="K2554" s="178">
        <f ca="1">K2547</f>
        <v>111.79500000000012</v>
      </c>
      <c r="L2554" s="192">
        <f ca="1">L2547</f>
        <v>112.51999999999987</v>
      </c>
      <c r="M2554" s="117">
        <v>0</v>
      </c>
      <c r="N2554" s="64">
        <f t="shared" ca="1" si="237"/>
        <v>1</v>
      </c>
    </row>
    <row r="2555" spans="1:14">
      <c r="A2555" s="39">
        <f t="shared" ca="1" si="240"/>
        <v>3.855000000000004</v>
      </c>
      <c r="B2555" s="41">
        <f t="shared" ca="1" si="239"/>
        <v>3.8799999999999955</v>
      </c>
      <c r="C2555" s="103">
        <f t="shared" si="235"/>
        <v>46353</v>
      </c>
      <c r="E2555" s="167"/>
      <c r="F2555" s="58" t="str">
        <f>VLOOKUP(MOD(C2555,7),'CALENDAR INFO'!$I$2:$J$8,2)</f>
        <v>FRI</v>
      </c>
      <c r="I2555" s="457">
        <f t="shared" si="234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37"/>
        <v>1.0003233333333332</v>
      </c>
    </row>
    <row r="2556" spans="1:14">
      <c r="A2556" s="39">
        <f t="shared" ca="1" si="240"/>
        <v>3.855000000000004</v>
      </c>
      <c r="B2556" s="41">
        <f t="shared" ca="1" si="239"/>
        <v>3.8799999999999955</v>
      </c>
      <c r="C2556" s="103">
        <f t="shared" si="235"/>
        <v>46354</v>
      </c>
      <c r="E2556" s="167"/>
      <c r="F2556" s="58" t="str">
        <f>VLOOKUP(MOD(C2556,7),'CALENDAR INFO'!$I$2:$J$8,2)</f>
        <v>SAT</v>
      </c>
      <c r="I2556" s="457">
        <f t="shared" si="234"/>
        <v>0</v>
      </c>
      <c r="J2556" s="15" t="s">
        <v>240</v>
      </c>
      <c r="K2556" s="178">
        <f ca="1">K2554/K2555</f>
        <v>3.855000000000004</v>
      </c>
      <c r="L2556" s="192">
        <f ca="1">L2554/L2555</f>
        <v>3.8799999999999955</v>
      </c>
      <c r="M2556" s="113">
        <f t="shared" si="242"/>
        <v>0</v>
      </c>
      <c r="N2556" s="64">
        <f t="shared" ca="1" si="237"/>
        <v>1</v>
      </c>
    </row>
    <row r="2557" spans="1:14">
      <c r="A2557" s="39">
        <f t="shared" ca="1" si="240"/>
        <v>3.855000000000004</v>
      </c>
      <c r="B2557" s="41">
        <f t="shared" ca="1" si="239"/>
        <v>3.8799999999999955</v>
      </c>
      <c r="C2557" s="103">
        <f t="shared" si="235"/>
        <v>46355</v>
      </c>
      <c r="E2557" s="167"/>
      <c r="F2557" s="58" t="str">
        <f>VLOOKUP(MOD(C2557,7),'CALENDAR INFO'!$I$2:$J$8,2)</f>
        <v>SUN</v>
      </c>
      <c r="I2557" s="457">
        <f t="shared" si="234"/>
        <v>0</v>
      </c>
      <c r="M2557" s="113">
        <f t="shared" si="242"/>
        <v>0</v>
      </c>
      <c r="N2557" s="64">
        <f t="shared" ca="1" si="237"/>
        <v>1</v>
      </c>
    </row>
    <row r="2558" spans="1:14" ht="15.75" thickBot="1">
      <c r="A2558" s="98">
        <f t="shared" ca="1" si="240"/>
        <v>3.855000000000004</v>
      </c>
      <c r="B2558" s="230">
        <f t="shared" ca="1" si="239"/>
        <v>3.8799999999999955</v>
      </c>
      <c r="C2558" s="104">
        <f t="shared" si="235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4"/>
        <v>0</v>
      </c>
      <c r="J2558" s="348"/>
      <c r="K2558" s="348"/>
      <c r="L2558" s="349"/>
      <c r="M2558" s="114">
        <f t="shared" si="242"/>
        <v>1</v>
      </c>
      <c r="N2558" s="292">
        <f t="shared" ca="1" si="237"/>
        <v>1.0001077777777778</v>
      </c>
    </row>
    <row r="2559" spans="1:14">
      <c r="A2559" s="304">
        <f ca="1">K$2568</f>
        <v>3.855000000000004</v>
      </c>
      <c r="B2559" s="305">
        <f t="shared" ref="B2559:B2567" ca="1" si="243">L$2568</f>
        <v>3.8799999999999955</v>
      </c>
      <c r="C2559" s="103">
        <f t="shared" si="235"/>
        <v>46357</v>
      </c>
      <c r="E2559" s="167"/>
      <c r="F2559" s="58" t="str">
        <f>VLOOKUP(MOD(C2559,7),'CALENDAR INFO'!$I$2:$J$8,2)</f>
        <v>TUE</v>
      </c>
      <c r="I2559" s="457">
        <f t="shared" si="234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37"/>
        <v>1.0001077777777778</v>
      </c>
    </row>
    <row r="2560" spans="1:14">
      <c r="A2560" s="304">
        <f t="shared" ref="A2560:A2567" ca="1" si="244">K$2568</f>
        <v>3.855000000000004</v>
      </c>
      <c r="B2560" s="305">
        <f t="shared" ca="1" si="243"/>
        <v>3.8799999999999955</v>
      </c>
      <c r="C2560" s="103">
        <f t="shared" si="235"/>
        <v>46358</v>
      </c>
      <c r="E2560" s="167"/>
      <c r="F2560" s="58" t="str">
        <f>VLOOKUP(MOD(C2560,7),'CALENDAR INFO'!$I$2:$J$8,2)</f>
        <v>WED</v>
      </c>
      <c r="I2560" s="457">
        <f t="shared" si="234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37"/>
        <v>1.0001077777777778</v>
      </c>
    </row>
    <row r="2561" spans="1:14">
      <c r="A2561" s="304">
        <f t="shared" ca="1" si="244"/>
        <v>3.855000000000004</v>
      </c>
      <c r="B2561" s="305">
        <f t="shared" ca="1" si="243"/>
        <v>3.8799999999999955</v>
      </c>
      <c r="C2561" s="103">
        <f t="shared" si="235"/>
        <v>46359</v>
      </c>
      <c r="E2561" s="167"/>
      <c r="F2561" s="58" t="str">
        <f>VLOOKUP(MOD(C2561,7),'CALENDAR INFO'!$I$2:$J$8,2)</f>
        <v>THU</v>
      </c>
      <c r="I2561" s="457">
        <f t="shared" si="234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37"/>
        <v>1.0001077777777778</v>
      </c>
    </row>
    <row r="2562" spans="1:14">
      <c r="A2562" s="304">
        <f t="shared" ca="1" si="244"/>
        <v>3.855000000000004</v>
      </c>
      <c r="B2562" s="305">
        <f t="shared" ca="1" si="243"/>
        <v>3.8799999999999955</v>
      </c>
      <c r="C2562" s="103">
        <f t="shared" si="235"/>
        <v>46360</v>
      </c>
      <c r="E2562" s="167"/>
      <c r="F2562" s="58" t="str">
        <f>VLOOKUP(MOD(C2562,7),'CALENDAR INFO'!$I$2:$J$8,2)</f>
        <v>FRI</v>
      </c>
      <c r="I2562" s="457">
        <f t="shared" si="234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ca="1" si="237"/>
        <v>1.0003233333333332</v>
      </c>
    </row>
    <row r="2563" spans="1:14">
      <c r="A2563" s="304">
        <f t="shared" ca="1" si="244"/>
        <v>3.855000000000004</v>
      </c>
      <c r="B2563" s="305">
        <f t="shared" ca="1" si="243"/>
        <v>3.8799999999999955</v>
      </c>
      <c r="C2563" s="103">
        <f t="shared" si="235"/>
        <v>46361</v>
      </c>
      <c r="E2563" s="167"/>
      <c r="F2563" s="58" t="str">
        <f>VLOOKUP(MOD(C2563,7),'CALENDAR INFO'!$I$2:$J$8,2)</f>
        <v>SAT</v>
      </c>
      <c r="I2563" s="457">
        <f t="shared" ref="I2563:I2592" si="245">H2563-G2563</f>
        <v>0</v>
      </c>
      <c r="K2563" s="311"/>
      <c r="L2563" s="15"/>
      <c r="M2563" s="113">
        <f t="shared" si="242"/>
        <v>0</v>
      </c>
      <c r="N2563" s="64">
        <f t="shared" ca="1" si="237"/>
        <v>1</v>
      </c>
    </row>
    <row r="2564" spans="1:14">
      <c r="A2564" s="304">
        <f t="shared" ca="1" si="244"/>
        <v>3.855000000000004</v>
      </c>
      <c r="B2564" s="305">
        <f t="shared" ca="1" si="243"/>
        <v>3.8799999999999955</v>
      </c>
      <c r="C2564" s="103">
        <f t="shared" ref="C2564:C2592" si="246">C2563+1</f>
        <v>46362</v>
      </c>
      <c r="E2564" s="167"/>
      <c r="F2564" s="58" t="str">
        <f>VLOOKUP(MOD(C2564,7),'CALENDAR INFO'!$I$2:$J$8,2)</f>
        <v>SUN</v>
      </c>
      <c r="I2564" s="457">
        <f t="shared" si="245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37"/>
        <v>1</v>
      </c>
    </row>
    <row r="2565" spans="1:14">
      <c r="A2565" s="304">
        <f t="shared" ca="1" si="244"/>
        <v>3.855000000000004</v>
      </c>
      <c r="B2565" s="305">
        <f t="shared" ca="1" si="243"/>
        <v>3.8799999999999955</v>
      </c>
      <c r="C2565" s="103">
        <f t="shared" si="246"/>
        <v>46363</v>
      </c>
      <c r="E2565" s="167"/>
      <c r="F2565" s="58" t="str">
        <f>VLOOKUP(MOD(C2565,7),'CALENDAR INFO'!$I$2:$J$8,2)</f>
        <v>MON</v>
      </c>
      <c r="I2565" s="457">
        <f t="shared" si="245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37"/>
        <v>1.0001077777777778</v>
      </c>
    </row>
    <row r="2566" spans="1:14">
      <c r="A2566" s="304">
        <f t="shared" ca="1" si="244"/>
        <v>3.855000000000004</v>
      </c>
      <c r="B2566" s="305">
        <f t="shared" ca="1" si="243"/>
        <v>3.8799999999999955</v>
      </c>
      <c r="C2566" s="103">
        <f t="shared" si="246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5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37"/>
        <v>1.0001077777777778</v>
      </c>
    </row>
    <row r="2567" spans="1:14">
      <c r="A2567" s="304">
        <f t="shared" ca="1" si="244"/>
        <v>3.855000000000004</v>
      </c>
      <c r="B2567" s="305">
        <f t="shared" ca="1" si="243"/>
        <v>3.8799999999999955</v>
      </c>
      <c r="C2567" s="103">
        <f t="shared" si="246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5"/>
        <v>0</v>
      </c>
      <c r="M2567" s="113">
        <f t="shared" si="242"/>
        <v>1</v>
      </c>
      <c r="N2567" s="64">
        <f t="shared" ca="1" si="237"/>
        <v>1.0001077777777778</v>
      </c>
    </row>
    <row r="2568" spans="1:14">
      <c r="A2568" s="39">
        <f ca="1">K$2586</f>
        <v>3.9888636363636389</v>
      </c>
      <c r="B2568" s="41">
        <f t="shared" ref="B2568:B2589" ca="1" si="247">L$2586</f>
        <v>4.0349999999999948</v>
      </c>
      <c r="C2568" s="103">
        <f t="shared" si="246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5"/>
        <v>0</v>
      </c>
      <c r="J2568" s="15" t="s">
        <v>241</v>
      </c>
      <c r="K2568" s="186">
        <f ca="1">A2558+G2558</f>
        <v>3.855000000000004</v>
      </c>
      <c r="L2568" s="194">
        <f ca="1">B2558+H2558</f>
        <v>3.8799999999999955</v>
      </c>
      <c r="M2568" s="113">
        <f t="shared" si="242"/>
        <v>1</v>
      </c>
      <c r="N2568" s="64">
        <f t="shared" ca="1" si="237"/>
        <v>1.0001120833333332</v>
      </c>
    </row>
    <row r="2569" spans="1:14">
      <c r="A2569" s="39">
        <f t="shared" ref="A2569:A2589" ca="1" si="248">K$2586</f>
        <v>3.9888636363636389</v>
      </c>
      <c r="B2569" s="41">
        <f t="shared" ca="1" si="247"/>
        <v>4.0349999999999948</v>
      </c>
      <c r="C2569" s="103">
        <f t="shared" si="246"/>
        <v>46367</v>
      </c>
      <c r="E2569" s="170"/>
      <c r="F2569" s="58" t="str">
        <f>VLOOKUP(MOD(C2569,7),'CALENDAR INFO'!$I$2:$J$8,2)</f>
        <v>FRI</v>
      </c>
      <c r="I2569" s="457">
        <f t="shared" si="245"/>
        <v>0</v>
      </c>
      <c r="K2569" s="178"/>
      <c r="L2569" s="192"/>
      <c r="M2569" s="113">
        <f t="shared" si="242"/>
        <v>3</v>
      </c>
      <c r="N2569" s="64">
        <f t="shared" ca="1" si="237"/>
        <v>1.0003362499999999</v>
      </c>
    </row>
    <row r="2570" spans="1:14">
      <c r="A2570" s="39">
        <f t="shared" ca="1" si="248"/>
        <v>3.9888636363636389</v>
      </c>
      <c r="B2570" s="41">
        <f t="shared" ca="1" si="247"/>
        <v>4.0349999999999948</v>
      </c>
      <c r="C2570" s="103">
        <f t="shared" si="246"/>
        <v>46368</v>
      </c>
      <c r="E2570" s="170"/>
      <c r="F2570" s="58" t="str">
        <f>VLOOKUP(MOD(C2570,7),'CALENDAR INFO'!$I$2:$J$8,2)</f>
        <v>SAT</v>
      </c>
      <c r="I2570" s="457">
        <f t="shared" si="245"/>
        <v>0</v>
      </c>
      <c r="J2570" s="15" t="s">
        <v>197</v>
      </c>
      <c r="K2570" s="180">
        <f>OUTPUT!C9</f>
        <v>3.9500000000000028</v>
      </c>
      <c r="L2570" s="180">
        <f>OUTPUT!F9</f>
        <v>3.9899999999999949</v>
      </c>
      <c r="M2570" s="113">
        <f t="shared" si="242"/>
        <v>0</v>
      </c>
      <c r="N2570" s="64">
        <f t="shared" ca="1" si="237"/>
        <v>1</v>
      </c>
    </row>
    <row r="2571" spans="1:14">
      <c r="A2571" s="39">
        <f t="shared" ca="1" si="248"/>
        <v>3.9888636363636389</v>
      </c>
      <c r="B2571" s="41">
        <f t="shared" ca="1" si="247"/>
        <v>4.0349999999999948</v>
      </c>
      <c r="C2571" s="103">
        <f t="shared" si="246"/>
        <v>46369</v>
      </c>
      <c r="E2571" s="170"/>
      <c r="F2571" s="58" t="str">
        <f>VLOOKUP(MOD(C2571,7),'CALENDAR INFO'!$I$2:$J$8,2)</f>
        <v>SUN</v>
      </c>
      <c r="I2571" s="457">
        <f t="shared" si="245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37"/>
        <v>1</v>
      </c>
    </row>
    <row r="2572" spans="1:14">
      <c r="A2572" s="39">
        <f t="shared" ca="1" si="248"/>
        <v>3.9888636363636389</v>
      </c>
      <c r="B2572" s="41">
        <f t="shared" ca="1" si="247"/>
        <v>4.0349999999999948</v>
      </c>
      <c r="C2572" s="103">
        <f t="shared" si="246"/>
        <v>46370</v>
      </c>
      <c r="E2572" s="170"/>
      <c r="F2572" s="58" t="str">
        <f>VLOOKUP(MOD(C2572,7),'CALENDAR INFO'!$I$2:$J$8,2)</f>
        <v>MON</v>
      </c>
      <c r="I2572" s="457">
        <f t="shared" si="245"/>
        <v>0</v>
      </c>
      <c r="J2572" s="15" t="s">
        <v>234</v>
      </c>
      <c r="K2572" s="178">
        <f>K2570*K2560</f>
        <v>122.45000000000009</v>
      </c>
      <c r="L2572" s="178">
        <f>L2570*L2560</f>
        <v>123.68999999999984</v>
      </c>
      <c r="M2572" s="113">
        <f t="shared" si="242"/>
        <v>1</v>
      </c>
      <c r="N2572" s="64">
        <f t="shared" ca="1" si="237"/>
        <v>1.0001120833333332</v>
      </c>
    </row>
    <row r="2573" spans="1:14">
      <c r="A2573" s="39">
        <f t="shared" ca="1" si="248"/>
        <v>3.9888636363636389</v>
      </c>
      <c r="B2573" s="41">
        <f t="shared" ca="1" si="247"/>
        <v>4.0349999999999948</v>
      </c>
      <c r="C2573" s="103">
        <f t="shared" si="246"/>
        <v>46371</v>
      </c>
      <c r="E2573" s="170"/>
      <c r="F2573" s="58" t="str">
        <f>VLOOKUP(MOD(C2573,7),'CALENDAR INFO'!$I$2:$J$8,2)</f>
        <v>TUE</v>
      </c>
      <c r="I2573" s="457">
        <f t="shared" si="245"/>
        <v>0</v>
      </c>
      <c r="K2573" s="178"/>
      <c r="L2573" s="192"/>
      <c r="M2573" s="113">
        <f t="shared" si="242"/>
        <v>1</v>
      </c>
      <c r="N2573" s="64">
        <f t="shared" ca="1" si="237"/>
        <v>1.0001120833333332</v>
      </c>
    </row>
    <row r="2574" spans="1:14">
      <c r="A2574" s="39">
        <f t="shared" ca="1" si="248"/>
        <v>3.9888636363636389</v>
      </c>
      <c r="B2574" s="41">
        <f t="shared" ca="1" si="247"/>
        <v>4.0349999999999948</v>
      </c>
      <c r="C2574" s="103">
        <f t="shared" si="246"/>
        <v>46372</v>
      </c>
      <c r="E2574" s="170"/>
      <c r="F2574" s="58" t="str">
        <f>VLOOKUP(MOD(C2574,7),'CALENDAR INFO'!$I$2:$J$8,2)</f>
        <v>WED</v>
      </c>
      <c r="I2574" s="457">
        <f t="shared" si="245"/>
        <v>0</v>
      </c>
      <c r="J2574" s="15" t="str">
        <f>J2572</f>
        <v>monthly target</v>
      </c>
      <c r="K2574" s="178">
        <f>K2572</f>
        <v>122.45000000000009</v>
      </c>
      <c r="L2574" s="192">
        <f>L2572</f>
        <v>123.68999999999984</v>
      </c>
      <c r="M2574" s="113">
        <f t="shared" si="242"/>
        <v>1</v>
      </c>
      <c r="N2574" s="64">
        <f t="shared" ca="1" si="237"/>
        <v>1.0001120833333332</v>
      </c>
    </row>
    <row r="2575" spans="1:14">
      <c r="A2575" s="39">
        <f t="shared" ca="1" si="248"/>
        <v>3.9888636363636389</v>
      </c>
      <c r="B2575" s="41">
        <f t="shared" ca="1" si="247"/>
        <v>4.0349999999999948</v>
      </c>
      <c r="C2575" s="103">
        <f t="shared" si="246"/>
        <v>46373</v>
      </c>
      <c r="E2575" s="170"/>
      <c r="F2575" s="58" t="str">
        <f>VLOOKUP(MOD(C2575,7),'CALENDAR INFO'!$I$2:$J$8,2)</f>
        <v>THU</v>
      </c>
      <c r="I2575" s="457">
        <f t="shared" si="245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37"/>
        <v>1.0001120833333332</v>
      </c>
    </row>
    <row r="2576" spans="1:14">
      <c r="A2576" s="39">
        <f t="shared" ca="1" si="248"/>
        <v>3.9888636363636389</v>
      </c>
      <c r="B2576" s="41">
        <f t="shared" ca="1" si="247"/>
        <v>4.0349999999999948</v>
      </c>
      <c r="C2576" s="103">
        <f t="shared" si="246"/>
        <v>46374</v>
      </c>
      <c r="E2576" s="170"/>
      <c r="F2576" s="58" t="str">
        <f>VLOOKUP(MOD(C2576,7),'CALENDAR INFO'!$I$2:$J$8,2)</f>
        <v>FRI</v>
      </c>
      <c r="I2576" s="457">
        <f t="shared" si="245"/>
        <v>0</v>
      </c>
      <c r="J2576" s="15" t="s">
        <v>237</v>
      </c>
      <c r="K2576" s="400">
        <f ca="1">SUM(INDIRECT(K2565))</f>
        <v>34.695000000000036</v>
      </c>
      <c r="L2576" s="401">
        <f ca="1">SUM(INDIRECT(L2565))</f>
        <v>34.919999999999959</v>
      </c>
      <c r="M2576" s="113">
        <f t="shared" si="242"/>
        <v>3</v>
      </c>
      <c r="N2576" s="64">
        <f t="shared" ca="1" si="237"/>
        <v>1.0003362499999999</v>
      </c>
    </row>
    <row r="2577" spans="1:14">
      <c r="A2577" s="39">
        <f t="shared" ca="1" si="248"/>
        <v>3.9888636363636389</v>
      </c>
      <c r="B2577" s="41">
        <f t="shared" ca="1" si="247"/>
        <v>4.0349999999999948</v>
      </c>
      <c r="C2577" s="103">
        <f t="shared" si="246"/>
        <v>46375</v>
      </c>
      <c r="E2577" s="170"/>
      <c r="F2577" s="58" t="str">
        <f>VLOOKUP(MOD(C2577,7),'CALENDAR INFO'!$I$2:$J$8,2)</f>
        <v>SAT</v>
      </c>
      <c r="I2577" s="457">
        <f t="shared" si="245"/>
        <v>0</v>
      </c>
      <c r="J2577" s="15" t="s">
        <v>238</v>
      </c>
      <c r="K2577" s="182">
        <f ca="1">K2572-K2575-K2576</f>
        <v>87.755000000000052</v>
      </c>
      <c r="L2577" s="201">
        <f ca="1">L2572-L2575-L2576</f>
        <v>88.769999999999882</v>
      </c>
      <c r="M2577" s="113">
        <f t="shared" si="242"/>
        <v>0</v>
      </c>
      <c r="N2577" s="64">
        <f t="shared" ca="1" si="237"/>
        <v>1</v>
      </c>
    </row>
    <row r="2578" spans="1:14">
      <c r="A2578" s="39">
        <f t="shared" ca="1" si="248"/>
        <v>3.9888636363636389</v>
      </c>
      <c r="B2578" s="41">
        <f t="shared" ca="1" si="247"/>
        <v>4.0349999999999948</v>
      </c>
      <c r="C2578" s="103">
        <f t="shared" si="246"/>
        <v>46376</v>
      </c>
      <c r="E2578" s="170"/>
      <c r="F2578" s="58" t="str">
        <f>VLOOKUP(MOD(C2578,7),'CALENDAR INFO'!$I$2:$J$8,2)</f>
        <v>SUN</v>
      </c>
      <c r="I2578" s="457">
        <f t="shared" si="245"/>
        <v>0</v>
      </c>
      <c r="M2578" s="113">
        <f t="shared" si="242"/>
        <v>0</v>
      </c>
      <c r="N2578" s="64">
        <f t="shared" ca="1" si="237"/>
        <v>1</v>
      </c>
    </row>
    <row r="2579" spans="1:14">
      <c r="A2579" s="39">
        <f t="shared" ca="1" si="248"/>
        <v>3.9888636363636389</v>
      </c>
      <c r="B2579" s="41">
        <f t="shared" ca="1" si="247"/>
        <v>4.0349999999999948</v>
      </c>
      <c r="C2579" s="103">
        <f t="shared" si="246"/>
        <v>46377</v>
      </c>
      <c r="E2579" s="170"/>
      <c r="F2579" s="58" t="str">
        <f>VLOOKUP(MOD(C2579,7),'CALENDAR INFO'!$I$2:$J$8,2)</f>
        <v>MON</v>
      </c>
      <c r="I2579" s="457">
        <f t="shared" si="245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ref="N2579:N2592" ca="1" si="249">1+(M2579/360)*(MAX(H2579,B2579)/100)</f>
        <v>1.0001120833333332</v>
      </c>
    </row>
    <row r="2580" spans="1:14">
      <c r="A2580" s="39">
        <f t="shared" ca="1" si="248"/>
        <v>3.9888636363636389</v>
      </c>
      <c r="B2580" s="41">
        <f t="shared" ca="1" si="247"/>
        <v>4.0349999999999948</v>
      </c>
      <c r="C2580" s="103">
        <f t="shared" si="246"/>
        <v>46378</v>
      </c>
      <c r="E2580" s="170"/>
      <c r="F2580" s="58" t="str">
        <f>VLOOKUP(MOD(C2580,7),'CALENDAR INFO'!$I$2:$J$8,2)</f>
        <v>TUE</v>
      </c>
      <c r="I2580" s="457">
        <f t="shared" si="245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9"/>
        <v>1.0001120833333332</v>
      </c>
    </row>
    <row r="2581" spans="1:14">
      <c r="A2581" s="39">
        <f t="shared" ca="1" si="248"/>
        <v>3.9888636363636389</v>
      </c>
      <c r="B2581" s="41">
        <f t="shared" ca="1" si="247"/>
        <v>4.0349999999999948</v>
      </c>
      <c r="C2581" s="103">
        <f t="shared" si="246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5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2"/>
        <v>1</v>
      </c>
      <c r="N2581" s="64">
        <f t="shared" ca="1" si="249"/>
        <v>1.0001120833333332</v>
      </c>
    </row>
    <row r="2582" spans="1:14">
      <c r="A2582" s="39">
        <f t="shared" ca="1" si="248"/>
        <v>3.9888636363636389</v>
      </c>
      <c r="B2582" s="41">
        <f t="shared" ca="1" si="247"/>
        <v>4.0349999999999948</v>
      </c>
      <c r="C2582" s="103">
        <f t="shared" si="246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5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9"/>
        <v>1.0004483333333334</v>
      </c>
    </row>
    <row r="2583" spans="1:14">
      <c r="A2583" s="39">
        <f t="shared" ca="1" si="248"/>
        <v>3.9888636363636389</v>
      </c>
      <c r="B2583" s="41">
        <f t="shared" ca="1" si="247"/>
        <v>4.0349999999999948</v>
      </c>
      <c r="C2583" s="103">
        <f t="shared" si="246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5"/>
        <v>0</v>
      </c>
      <c r="K2583" s="178"/>
      <c r="L2583" s="192"/>
      <c r="M2583" s="117">
        <v>0</v>
      </c>
      <c r="N2583" s="64">
        <f t="shared" ca="1" si="249"/>
        <v>1</v>
      </c>
    </row>
    <row r="2584" spans="1:14">
      <c r="A2584" s="39">
        <f t="shared" ca="1" si="248"/>
        <v>3.9888636363636389</v>
      </c>
      <c r="B2584" s="41">
        <f t="shared" ca="1" si="247"/>
        <v>4.0349999999999948</v>
      </c>
      <c r="C2584" s="103">
        <f t="shared" si="246"/>
        <v>46382</v>
      </c>
      <c r="E2584" s="167"/>
      <c r="F2584" s="58" t="str">
        <f>VLOOKUP(MOD(C2584,7),'CALENDAR INFO'!$I$2:$J$8,2)</f>
        <v>SAT</v>
      </c>
      <c r="I2584" s="457">
        <f t="shared" si="245"/>
        <v>0</v>
      </c>
      <c r="J2584" s="15" t="s">
        <v>238</v>
      </c>
      <c r="K2584" s="178">
        <f ca="1">K2577</f>
        <v>87.755000000000052</v>
      </c>
      <c r="L2584" s="192">
        <f ca="1">L2577</f>
        <v>88.769999999999882</v>
      </c>
      <c r="M2584" s="113">
        <f>IF(MOD(C2584,7)&lt;2,0,IF(MOD(C2584,7)=6,3,1))</f>
        <v>0</v>
      </c>
      <c r="N2584" s="64">
        <f t="shared" ca="1" si="249"/>
        <v>1</v>
      </c>
    </row>
    <row r="2585" spans="1:14">
      <c r="A2585" s="39">
        <f t="shared" ca="1" si="248"/>
        <v>3.9888636363636389</v>
      </c>
      <c r="B2585" s="41">
        <f t="shared" ca="1" si="247"/>
        <v>4.0349999999999948</v>
      </c>
      <c r="C2585" s="103">
        <f t="shared" si="246"/>
        <v>46383</v>
      </c>
      <c r="E2585" s="167"/>
      <c r="F2585" s="58" t="str">
        <f>VLOOKUP(MOD(C2585,7),'CALENDAR INFO'!$I$2:$J$8,2)</f>
        <v>SUN</v>
      </c>
      <c r="I2585" s="457">
        <f t="shared" si="245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9"/>
        <v>1</v>
      </c>
    </row>
    <row r="2586" spans="1:14">
      <c r="A2586" s="39">
        <f t="shared" ca="1" si="248"/>
        <v>3.9888636363636389</v>
      </c>
      <c r="B2586" s="41">
        <f t="shared" ca="1" si="247"/>
        <v>4.0349999999999948</v>
      </c>
      <c r="C2586" s="103">
        <f t="shared" si="246"/>
        <v>46384</v>
      </c>
      <c r="E2586" s="167"/>
      <c r="F2586" s="58" t="str">
        <f>VLOOKUP(MOD(C2586,7),'CALENDAR INFO'!$I$2:$J$8,2)</f>
        <v>MON</v>
      </c>
      <c r="I2586" s="457">
        <f t="shared" si="245"/>
        <v>0</v>
      </c>
      <c r="J2586" s="15" t="s">
        <v>240</v>
      </c>
      <c r="K2586" s="178">
        <f ca="1">K2584/K2585</f>
        <v>3.9888636363636389</v>
      </c>
      <c r="L2586" s="192">
        <f ca="1">L2584/L2585</f>
        <v>4.0349999999999948</v>
      </c>
      <c r="M2586" s="113">
        <f>IF(MOD(C2586,7)&lt;2,0,IF(MOD(C2586,7)=6,3,1))</f>
        <v>1</v>
      </c>
      <c r="N2586" s="64">
        <f t="shared" ca="1" si="249"/>
        <v>1.0001120833333332</v>
      </c>
    </row>
    <row r="2587" spans="1:14">
      <c r="A2587" s="39">
        <f t="shared" ca="1" si="248"/>
        <v>3.9888636363636389</v>
      </c>
      <c r="B2587" s="41">
        <f t="shared" ca="1" si="247"/>
        <v>4.0349999999999948</v>
      </c>
      <c r="C2587" s="103">
        <f t="shared" si="246"/>
        <v>46385</v>
      </c>
      <c r="E2587" s="167"/>
      <c r="F2587" s="58" t="str">
        <f>VLOOKUP(MOD(C2587,7),'CALENDAR INFO'!$I$2:$J$8,2)</f>
        <v>TUE</v>
      </c>
      <c r="I2587" s="457">
        <f t="shared" si="245"/>
        <v>0</v>
      </c>
      <c r="M2587" s="113">
        <f>IF(MOD(C2587,7)&lt;2,0,IF(MOD(C2587,7)=6,3,1))</f>
        <v>1</v>
      </c>
      <c r="N2587" s="64">
        <f t="shared" ca="1" si="249"/>
        <v>1.0001120833333332</v>
      </c>
    </row>
    <row r="2588" spans="1:14">
      <c r="A2588" s="39">
        <f t="shared" ca="1" si="248"/>
        <v>3.9888636363636389</v>
      </c>
      <c r="B2588" s="41">
        <f t="shared" ca="1" si="247"/>
        <v>4.0349999999999948</v>
      </c>
      <c r="C2588" s="103">
        <f t="shared" si="246"/>
        <v>46386</v>
      </c>
      <c r="E2588" s="167"/>
      <c r="F2588" s="58" t="str">
        <f>VLOOKUP(MOD(C2588,7),'CALENDAR INFO'!$I$2:$J$8,2)</f>
        <v>WED</v>
      </c>
      <c r="I2588" s="457">
        <f t="shared" si="245"/>
        <v>0</v>
      </c>
      <c r="M2588" s="113">
        <f>IF(MOD(C2588,7)&lt;2,0,IF(MOD(C2588,7)=6,3,1))</f>
        <v>1</v>
      </c>
      <c r="N2588" s="64">
        <f t="shared" ca="1" si="249"/>
        <v>1.0001120833333332</v>
      </c>
    </row>
    <row r="2589" spans="1:14" ht="15.75" thickBot="1">
      <c r="A2589" s="98">
        <f t="shared" ca="1" si="248"/>
        <v>3.9888636363636389</v>
      </c>
      <c r="B2589" s="230">
        <f t="shared" ca="1" si="247"/>
        <v>4.0349999999999948</v>
      </c>
      <c r="C2589" s="104">
        <f t="shared" si="246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5"/>
        <v>0</v>
      </c>
      <c r="J2589" s="348"/>
      <c r="K2589" s="348"/>
      <c r="L2589" s="349"/>
      <c r="M2589" s="281">
        <v>4</v>
      </c>
      <c r="N2589" s="292">
        <f t="shared" ca="1" si="249"/>
        <v>1.0004483333333334</v>
      </c>
    </row>
    <row r="2590" spans="1:14">
      <c r="C2590" s="103">
        <f t="shared" si="246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5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49"/>
        <v>1</v>
      </c>
    </row>
    <row r="2591" spans="1:14">
      <c r="C2591" s="103">
        <f t="shared" si="246"/>
        <v>46389</v>
      </c>
      <c r="E2591" s="167"/>
      <c r="F2591" s="58" t="str">
        <f>VLOOKUP(MOD(C2591,7),'CALENDAR INFO'!$I$2:$J$8,2)</f>
        <v>SAT</v>
      </c>
      <c r="I2591" s="457">
        <f t="shared" si="245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9"/>
        <v>1</v>
      </c>
    </row>
    <row r="2592" spans="1:14">
      <c r="C2592" s="103">
        <f t="shared" si="246"/>
        <v>46390</v>
      </c>
      <c r="E2592" s="167"/>
      <c r="F2592" s="58" t="str">
        <f>VLOOKUP(MOD(C2592,7),'CALENDAR INFO'!$I$2:$J$8,2)</f>
        <v>SUN</v>
      </c>
      <c r="I2592" s="457">
        <f t="shared" si="245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9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96.355311470881517</v>
      </c>
      <c r="E36" s="34">
        <f t="shared" ca="1" si="14"/>
        <v>3.6446885291184818</v>
      </c>
      <c r="F36" s="319">
        <f t="shared" ca="1" si="15"/>
        <v>2.8114708815110134E-3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1.0092129626708273</v>
      </c>
    </row>
    <row r="37" spans="1:13">
      <c r="A37" s="38">
        <f>+OUTPUT!A4</f>
        <v>46204</v>
      </c>
      <c r="B37" s="40">
        <f>OUTPUT!H4</f>
        <v>96.292500000000004</v>
      </c>
      <c r="C37" s="41">
        <f>OUTPUT!I4</f>
        <v>3.707499999999996</v>
      </c>
      <c r="D37" s="44">
        <f t="shared" ca="1" si="13"/>
        <v>96.289206981104059</v>
      </c>
      <c r="E37" s="45">
        <f t="shared" ca="1" si="14"/>
        <v>3.7107930188959362</v>
      </c>
      <c r="F37" s="318">
        <f t="shared" ca="1" si="15"/>
        <v>-3.2930188959454654E-3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1.0101016032181056</v>
      </c>
    </row>
    <row r="38" spans="1:13">
      <c r="A38" s="38">
        <f>+OUTPUT!A5</f>
        <v>46235</v>
      </c>
      <c r="B38" s="40">
        <f>OUTPUT!H5</f>
        <v>96.222499999999997</v>
      </c>
      <c r="C38" s="41">
        <f>OUTPUT!I5</f>
        <v>3.7775000000000034</v>
      </c>
      <c r="D38" s="44">
        <f t="shared" ca="1" si="13"/>
        <v>96.215485662725015</v>
      </c>
      <c r="E38" s="45">
        <f t="shared" ca="1" si="14"/>
        <v>3.7845143372749779</v>
      </c>
      <c r="F38" s="318">
        <f t="shared" ca="1" si="15"/>
        <v>-7.0143372749811306E-3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1.0095664112414451</v>
      </c>
    </row>
    <row r="39" spans="1:13">
      <c r="A39" s="32">
        <f>+OUTPUT!A6</f>
        <v>46266</v>
      </c>
      <c r="B39" s="33">
        <f>OUTPUT!H6</f>
        <v>96.132499999999993</v>
      </c>
      <c r="C39" s="34">
        <f>OUTPUT!I6</f>
        <v>3.8675000000000068</v>
      </c>
      <c r="D39" s="33">
        <f t="shared" ca="1" si="13"/>
        <v>96.12997571657786</v>
      </c>
      <c r="E39" s="34">
        <f t="shared" ca="1" si="14"/>
        <v>3.8700242834221408</v>
      </c>
      <c r="F39" s="319">
        <f t="shared" ca="1" si="15"/>
        <v>-2.5242834221330668E-3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1.0097825613830949</v>
      </c>
    </row>
    <row r="40" spans="1:13">
      <c r="A40" s="38">
        <f>+OUTPUT!A7</f>
        <v>46296</v>
      </c>
      <c r="B40" s="40">
        <f>OUTPUT!H7</f>
        <v>96.05</v>
      </c>
      <c r="C40" s="41">
        <f>OUTPUT!I7</f>
        <v>3.9500000000000028</v>
      </c>
      <c r="D40" s="44">
        <f t="shared" ca="1" si="13"/>
        <v>96.75355114474452</v>
      </c>
      <c r="E40" s="45">
        <f t="shared" ca="1" si="14"/>
        <v>3.2464488552554855</v>
      </c>
      <c r="F40" s="318">
        <f t="shared" ca="1" si="15"/>
        <v>0.70355114474452307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1.0082063012730069</v>
      </c>
    </row>
    <row r="41" spans="1:13">
      <c r="A41" s="38">
        <f>+OUTPUT!A8</f>
        <v>46327</v>
      </c>
      <c r="B41" s="40">
        <f>OUTPUT!H8</f>
        <v>95.98</v>
      </c>
      <c r="C41" s="41">
        <f>OUTPUT!I8</f>
        <v>4.019999999999996</v>
      </c>
      <c r="D41" s="44">
        <f t="shared" ca="1" si="13"/>
        <v>97.94840814470237</v>
      </c>
      <c r="E41" s="45">
        <f t="shared" ca="1" si="14"/>
        <v>2.0515918552976342</v>
      </c>
      <c r="F41" s="323">
        <f t="shared" ca="1" si="15"/>
        <v>1.9684081447023658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1.0051859683008912</v>
      </c>
    </row>
    <row r="42" spans="1:13">
      <c r="A42" s="43">
        <f>+OUTPUT!A9</f>
        <v>46357</v>
      </c>
      <c r="B42" s="50">
        <f>OUTPUT!H9</f>
        <v>95.924999999999997</v>
      </c>
      <c r="C42" s="51">
        <f>OUTPUT!I9</f>
        <v>4.0750000000000028</v>
      </c>
      <c r="D42" s="50">
        <f t="shared" ca="1" si="13"/>
        <v>99.15675176821108</v>
      </c>
      <c r="E42" s="51">
        <f t="shared" ca="1" si="14"/>
        <v>0.84324823178891939</v>
      </c>
      <c r="F42" s="320">
        <f t="shared" ca="1" si="15"/>
        <v>3.2317517682110832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1.0021315441414664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96.3</v>
      </c>
      <c r="F2" s="150">
        <v>96.302499999999995</v>
      </c>
      <c r="G2" s="151">
        <v>96.302499999999995</v>
      </c>
      <c r="H2" s="417">
        <f t="shared" ref="H2:H5" si="0">IF(F2&lt;G2,F2,IF(E2&gt;G2,E2,G2))</f>
        <v>96.302499999999995</v>
      </c>
      <c r="I2" s="148">
        <f t="shared" ref="I2:I4" si="1">100-H2</f>
        <v>3.6975000000000051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96.21</v>
      </c>
      <c r="F3" s="150">
        <v>96.215000000000003</v>
      </c>
      <c r="G3" s="151">
        <v>96.215000000000003</v>
      </c>
      <c r="H3" s="417">
        <f t="shared" si="0"/>
        <v>96.215000000000003</v>
      </c>
      <c r="I3" s="148">
        <f t="shared" si="1"/>
        <v>3.7849999999999966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96.144999999999996</v>
      </c>
      <c r="F4" s="150">
        <v>96.15</v>
      </c>
      <c r="G4" s="151">
        <v>96.144999999999996</v>
      </c>
      <c r="H4" s="417">
        <f t="shared" si="0"/>
        <v>96.144999999999996</v>
      </c>
      <c r="I4" s="148">
        <f t="shared" si="1"/>
        <v>3.855000000000004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96.05</v>
      </c>
      <c r="F5" s="150">
        <v>96.055000000000007</v>
      </c>
      <c r="G5" s="151">
        <v>96.05</v>
      </c>
      <c r="H5" s="417">
        <f t="shared" si="0"/>
        <v>96.05</v>
      </c>
      <c r="I5" s="148">
        <f>100-H5</f>
        <v>3.9500000000000028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96</v>
      </c>
      <c r="F6" s="150">
        <v>96.004999999999995</v>
      </c>
      <c r="G6" s="151">
        <v>96</v>
      </c>
      <c r="H6" s="417">
        <f t="shared" ref="H6:H17" si="2">IF(F6&lt;G6,F6,IF(E6&gt;G6,E6,G6))</f>
        <v>96</v>
      </c>
      <c r="I6" s="148">
        <f t="shared" ref="I6:I17" si="3">100-H6</f>
        <v>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95.94</v>
      </c>
      <c r="F7" s="150">
        <v>95.944999999999993</v>
      </c>
      <c r="G7" s="151">
        <v>95.944999999999993</v>
      </c>
      <c r="H7" s="417">
        <f t="shared" si="2"/>
        <v>95.944999999999993</v>
      </c>
      <c r="I7" s="148">
        <f t="shared" si="3"/>
        <v>4.0550000000000068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95.89</v>
      </c>
      <c r="F8" s="150">
        <v>95.9</v>
      </c>
      <c r="G8" s="151">
        <v>95.894999999999996</v>
      </c>
      <c r="H8" s="417">
        <f t="shared" si="2"/>
        <v>95.894999999999996</v>
      </c>
      <c r="I8" s="148">
        <f t="shared" si="3"/>
        <v>4.105000000000004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95.84</v>
      </c>
      <c r="F9" s="150">
        <v>95.844999999999999</v>
      </c>
      <c r="G9" s="151">
        <v>95.84</v>
      </c>
      <c r="H9" s="417">
        <f t="shared" si="2"/>
        <v>95.84</v>
      </c>
      <c r="I9" s="148">
        <f t="shared" si="3"/>
        <v>4.1599999999999966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95.8</v>
      </c>
      <c r="F10" s="150">
        <v>95.805000000000007</v>
      </c>
      <c r="G10" s="151">
        <v>95.8</v>
      </c>
      <c r="H10" s="417">
        <f t="shared" si="2"/>
        <v>95.8</v>
      </c>
      <c r="I10" s="148">
        <f t="shared" si="3"/>
        <v>4.2000000000000028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95.765000000000001</v>
      </c>
      <c r="F11" s="150">
        <v>95.775000000000006</v>
      </c>
      <c r="G11" s="151">
        <v>95.77</v>
      </c>
      <c r="H11" s="417">
        <f t="shared" si="2"/>
        <v>95.77</v>
      </c>
      <c r="I11" s="148">
        <f t="shared" si="3"/>
        <v>4.230000000000004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95.75</v>
      </c>
      <c r="F12" s="150">
        <v>95.754999999999995</v>
      </c>
      <c r="G12" s="151">
        <v>95.75</v>
      </c>
      <c r="H12" s="417">
        <f t="shared" si="2"/>
        <v>95.75</v>
      </c>
      <c r="I12" s="148">
        <f t="shared" si="3"/>
        <v>4.25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95.74</v>
      </c>
      <c r="F13" s="150">
        <v>95.745000000000005</v>
      </c>
      <c r="G13" s="151">
        <v>95.74</v>
      </c>
      <c r="H13" s="417">
        <f t="shared" si="2"/>
        <v>95.74</v>
      </c>
      <c r="I13" s="148">
        <f t="shared" si="3"/>
        <v>4.2600000000000051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95.734999999999999</v>
      </c>
      <c r="F14" s="150">
        <v>95.74</v>
      </c>
      <c r="G14" s="151">
        <v>95.734999999999999</v>
      </c>
      <c r="H14" s="417">
        <f t="shared" si="2"/>
        <v>95.734999999999999</v>
      </c>
      <c r="I14" s="148">
        <f t="shared" si="3"/>
        <v>4.2650000000000006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95.73</v>
      </c>
      <c r="F15" s="150">
        <v>95.74</v>
      </c>
      <c r="G15" s="151">
        <v>95.715000000000003</v>
      </c>
      <c r="H15" s="417">
        <f t="shared" si="2"/>
        <v>95.73</v>
      </c>
      <c r="I15" s="148">
        <f t="shared" si="3"/>
        <v>4.269999999999996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95.73</v>
      </c>
      <c r="F16" s="150">
        <v>95.745000000000005</v>
      </c>
      <c r="G16" s="151" t="s">
        <v>231</v>
      </c>
      <c r="H16" s="417">
        <f t="shared" si="2"/>
        <v>95.745000000000005</v>
      </c>
      <c r="I16" s="148">
        <f t="shared" si="3"/>
        <v>4.2549999999999955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95.74</v>
      </c>
      <c r="F17" s="150">
        <v>95.91</v>
      </c>
      <c r="G17" s="151" t="s">
        <v>231</v>
      </c>
      <c r="H17" s="417">
        <f t="shared" si="2"/>
        <v>95.91</v>
      </c>
      <c r="I17" s="148">
        <f t="shared" si="3"/>
        <v>4.0900000000000034</v>
      </c>
      <c r="L17" s="152"/>
      <c r="M17" s="153"/>
    </row>
    <row r="18" spans="1:19" s="147" customFormat="1">
      <c r="A18" s="395" t="s">
        <v>76</v>
      </c>
      <c r="B18" s="357" t="s">
        <v>71</v>
      </c>
      <c r="C18" s="357" t="s">
        <v>183</v>
      </c>
      <c r="D18" s="396">
        <v>202609</v>
      </c>
      <c r="E18" s="397">
        <v>96.287499999999994</v>
      </c>
      <c r="F18" s="397">
        <v>96.29</v>
      </c>
      <c r="G18" s="398">
        <v>96.29</v>
      </c>
      <c r="H18" s="418">
        <f t="shared" ref="H18:H20" si="4">IF(F18&lt;G18,F18,IF(E18&gt;G18,E18,G18))</f>
        <v>96.29</v>
      </c>
      <c r="I18" s="353">
        <f t="shared" ref="I18:I20" si="5">100-H18</f>
        <v>3.7099999999999937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202610</v>
      </c>
      <c r="E19" s="397">
        <v>96.19</v>
      </c>
      <c r="F19" s="397">
        <v>96.194999999999993</v>
      </c>
      <c r="G19" s="398">
        <v>96.19</v>
      </c>
      <c r="H19" s="418">
        <f t="shared" si="4"/>
        <v>96.19</v>
      </c>
      <c r="I19" s="353">
        <f t="shared" si="5"/>
        <v>3.8100000000000023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202611</v>
      </c>
      <c r="E20" s="397">
        <v>96.12</v>
      </c>
      <c r="F20" s="397">
        <v>96.125</v>
      </c>
      <c r="G20" s="398">
        <v>96.12</v>
      </c>
      <c r="H20" s="418">
        <f t="shared" si="4"/>
        <v>96.12</v>
      </c>
      <c r="I20" s="353">
        <f t="shared" si="5"/>
        <v>3.8799999999999955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202612</v>
      </c>
      <c r="E21" s="397">
        <v>96.01</v>
      </c>
      <c r="F21" s="397">
        <v>96.015000000000001</v>
      </c>
      <c r="G21" s="398">
        <v>96.01</v>
      </c>
      <c r="H21" s="418">
        <f t="shared" ref="H21:H33" si="6">IF(F21&lt;G21,F21,IF(E21&gt;G21,E21,G21))</f>
        <v>96.01</v>
      </c>
      <c r="I21" s="353">
        <f t="shared" ref="I21:I33" si="7">100-H21</f>
        <v>3.9899999999999949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202701</v>
      </c>
      <c r="E22" s="397">
        <v>95.96</v>
      </c>
      <c r="F22" s="397">
        <v>95.965000000000003</v>
      </c>
      <c r="G22" s="398">
        <v>95.965000000000003</v>
      </c>
      <c r="H22" s="418">
        <f t="shared" si="6"/>
        <v>95.965000000000003</v>
      </c>
      <c r="I22" s="353">
        <f t="shared" si="7"/>
        <v>4.0349999999999966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202702</v>
      </c>
      <c r="E23" s="397">
        <v>95.92</v>
      </c>
      <c r="F23" s="397">
        <v>95.924999999999997</v>
      </c>
      <c r="G23" s="398">
        <v>95.92</v>
      </c>
      <c r="H23" s="418">
        <f t="shared" si="6"/>
        <v>95.92</v>
      </c>
      <c r="I23" s="353">
        <f t="shared" si="7"/>
        <v>4.0799999999999983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202703</v>
      </c>
      <c r="E24" s="397">
        <v>95.87</v>
      </c>
      <c r="F24" s="397">
        <v>95.875</v>
      </c>
      <c r="G24" s="398">
        <v>95.87</v>
      </c>
      <c r="H24" s="418">
        <f t="shared" si="6"/>
        <v>95.87</v>
      </c>
      <c r="I24" s="353">
        <f t="shared" si="7"/>
        <v>4.1299999999999955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202704</v>
      </c>
      <c r="E25" s="397">
        <v>95.82</v>
      </c>
      <c r="F25" s="397">
        <v>95.825000000000003</v>
      </c>
      <c r="G25" s="398">
        <v>95.82</v>
      </c>
      <c r="H25" s="418">
        <f t="shared" si="6"/>
        <v>95.82</v>
      </c>
      <c r="I25" s="353">
        <f t="shared" si="7"/>
        <v>4.1800000000000068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202705</v>
      </c>
      <c r="E26" s="397">
        <v>95.78</v>
      </c>
      <c r="F26" s="397">
        <v>95.784999999999997</v>
      </c>
      <c r="G26" s="398">
        <v>95.78</v>
      </c>
      <c r="H26" s="418">
        <f t="shared" si="6"/>
        <v>95.78</v>
      </c>
      <c r="I26" s="353">
        <f t="shared" si="7"/>
        <v>4.2199999999999989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202706</v>
      </c>
      <c r="E27" s="397">
        <v>95.74</v>
      </c>
      <c r="F27" s="397">
        <v>95.745000000000005</v>
      </c>
      <c r="G27" s="398">
        <v>95.74</v>
      </c>
      <c r="H27" s="418">
        <f t="shared" si="6"/>
        <v>95.74</v>
      </c>
      <c r="I27" s="353">
        <f t="shared" si="7"/>
        <v>4.2600000000000051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202707</v>
      </c>
      <c r="E28" s="397">
        <v>95.72</v>
      </c>
      <c r="F28" s="397">
        <v>95.73</v>
      </c>
      <c r="G28" s="398">
        <v>95.72</v>
      </c>
      <c r="H28" s="418">
        <f t="shared" si="6"/>
        <v>95.72</v>
      </c>
      <c r="I28" s="353">
        <f t="shared" si="7"/>
        <v>4.2800000000000011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202708</v>
      </c>
      <c r="E29" s="397">
        <v>95.71</v>
      </c>
      <c r="F29" s="397">
        <v>95.715000000000003</v>
      </c>
      <c r="G29" s="398">
        <v>95.7</v>
      </c>
      <c r="H29" s="418">
        <f t="shared" si="6"/>
        <v>95.71</v>
      </c>
      <c r="I29" s="353">
        <f t="shared" si="7"/>
        <v>4.2900000000000063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202709</v>
      </c>
      <c r="E30" s="397">
        <v>95.694999999999993</v>
      </c>
      <c r="F30" s="397">
        <v>95.704999999999998</v>
      </c>
      <c r="G30" s="398" t="s">
        <v>231</v>
      </c>
      <c r="H30" s="418">
        <f t="shared" si="6"/>
        <v>95.704999999999998</v>
      </c>
      <c r="I30" s="353">
        <f t="shared" si="7"/>
        <v>4.2950000000000017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202710</v>
      </c>
      <c r="E31" s="397">
        <v>95.69</v>
      </c>
      <c r="F31" s="397">
        <v>95.704999999999998</v>
      </c>
      <c r="G31" s="398" t="s">
        <v>231</v>
      </c>
      <c r="H31" s="418">
        <f t="shared" si="6"/>
        <v>95.704999999999998</v>
      </c>
      <c r="I31" s="353">
        <f t="shared" si="7"/>
        <v>4.2950000000000017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202711</v>
      </c>
      <c r="E32" s="397">
        <v>95.69</v>
      </c>
      <c r="F32" s="397">
        <v>95.86</v>
      </c>
      <c r="G32" s="398" t="s">
        <v>231</v>
      </c>
      <c r="H32" s="418">
        <f t="shared" si="6"/>
        <v>95.86</v>
      </c>
      <c r="I32" s="353">
        <f t="shared" si="7"/>
        <v>4.1400000000000006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202712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>
        <v>96.352500000000006</v>
      </c>
      <c r="F34" s="143">
        <v>96.355000000000004</v>
      </c>
      <c r="G34" s="144">
        <v>96.352500000000006</v>
      </c>
      <c r="H34" s="419">
        <f t="shared" ref="H34:H39" si="8">IF(F34&lt;G34,F34,IF(E34&gt;G34,E34,G34))</f>
        <v>96.352500000000006</v>
      </c>
      <c r="I34" s="145">
        <f t="shared" ref="I34:I39" si="9">100-H34</f>
        <v>3.6474999999999937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96.287499999999994</v>
      </c>
      <c r="F35" s="143">
        <v>96.295000000000002</v>
      </c>
      <c r="G35" s="144">
        <v>96.292500000000004</v>
      </c>
      <c r="H35" s="419">
        <f t="shared" si="8"/>
        <v>96.292500000000004</v>
      </c>
      <c r="I35" s="145">
        <f t="shared" si="9"/>
        <v>3.707499999999996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96.212500000000006</v>
      </c>
      <c r="F36" s="143">
        <v>96.222499999999997</v>
      </c>
      <c r="G36" s="144">
        <v>96.23</v>
      </c>
      <c r="H36" s="419">
        <f t="shared" si="8"/>
        <v>96.222499999999997</v>
      </c>
      <c r="I36" s="145">
        <f t="shared" si="9"/>
        <v>3.7775000000000034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96.132499999999993</v>
      </c>
      <c r="F37" s="143">
        <v>96.135000000000005</v>
      </c>
      <c r="G37" s="144">
        <v>96.132499999999993</v>
      </c>
      <c r="H37" s="419">
        <f t="shared" si="8"/>
        <v>96.132499999999993</v>
      </c>
      <c r="I37" s="145">
        <f t="shared" si="9"/>
        <v>3.8675000000000068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96.04</v>
      </c>
      <c r="F38" s="143">
        <v>96.05</v>
      </c>
      <c r="G38" s="144" t="s">
        <v>231</v>
      </c>
      <c r="H38" s="419">
        <f t="shared" si="8"/>
        <v>96.05</v>
      </c>
      <c r="I38" s="145">
        <f t="shared" si="9"/>
        <v>3.9500000000000028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95.97</v>
      </c>
      <c r="F39" s="143">
        <v>95.98</v>
      </c>
      <c r="G39" s="144" t="s">
        <v>231</v>
      </c>
      <c r="H39" s="419">
        <f t="shared" si="8"/>
        <v>95.98</v>
      </c>
      <c r="I39" s="145">
        <f t="shared" si="9"/>
        <v>4.019999999999996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95.92</v>
      </c>
      <c r="F40" s="143">
        <v>95.924999999999997</v>
      </c>
      <c r="G40" s="144">
        <v>95.924999999999997</v>
      </c>
      <c r="H40" s="419">
        <f>IF(F40&lt;G40,F40,IF(E40&gt;G40,E40,G40))</f>
        <v>95.924999999999997</v>
      </c>
      <c r="I40" s="145">
        <f>100-H40</f>
        <v>4.0750000000000028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95.864999999999995</v>
      </c>
      <c r="F41" s="143">
        <v>95.875</v>
      </c>
      <c r="G41" s="144" t="s">
        <v>231</v>
      </c>
      <c r="H41" s="419">
        <f t="shared" ref="H41:H49" si="10">IF(F41&lt;G41,F41,IF(E41&gt;G41,E41,G41))</f>
        <v>95.875</v>
      </c>
      <c r="I41" s="145">
        <f t="shared" ref="I41:I49" si="11">100-H41</f>
        <v>4.125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95.82</v>
      </c>
      <c r="F42" s="143">
        <v>95.83</v>
      </c>
      <c r="G42" s="144" t="s">
        <v>231</v>
      </c>
      <c r="H42" s="419">
        <f t="shared" si="10"/>
        <v>95.83</v>
      </c>
      <c r="I42" s="145">
        <f t="shared" si="11"/>
        <v>4.1700000000000017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95.775000000000006</v>
      </c>
      <c r="F43" s="143">
        <v>95.78</v>
      </c>
      <c r="G43" s="144">
        <v>95.775000000000006</v>
      </c>
      <c r="H43" s="419">
        <f t="shared" si="10"/>
        <v>95.775000000000006</v>
      </c>
      <c r="I43" s="145">
        <f t="shared" si="11"/>
        <v>4.2249999999999943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9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9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95.694999999999993</v>
      </c>
      <c r="F46" s="143">
        <v>95.7</v>
      </c>
      <c r="G46" s="144">
        <v>95.694999999999993</v>
      </c>
      <c r="H46" s="419">
        <f t="shared" si="10"/>
        <v>95.694999999999993</v>
      </c>
      <c r="I46" s="145">
        <f t="shared" si="11"/>
        <v>4.3050000000000068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95.674999999999997</v>
      </c>
      <c r="F49" s="143">
        <v>95.68</v>
      </c>
      <c r="G49" s="144">
        <v>95.674999999999997</v>
      </c>
      <c r="H49" s="419">
        <f t="shared" si="10"/>
        <v>95.674999999999997</v>
      </c>
      <c r="I49" s="145">
        <f t="shared" si="11"/>
        <v>4.3250000000000028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>'DAILY EXTRAPOLATION'!N2463</f>
        <v>1.0001011111111111</v>
      </c>
      <c r="D89" s="454">
        <f t="shared" si="4"/>
        <v>1.0089052117812767</v>
      </c>
      <c r="E89" s="450">
        <f t="shared" si="5"/>
        <v>3.6430411832495506E-2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>'DAILY EXTRAPOLATION'!N2464</f>
        <v>1.0003041666666668</v>
      </c>
      <c r="D90" s="454">
        <f t="shared" si="4"/>
        <v>1.0092120871165269</v>
      </c>
      <c r="E90" s="450">
        <f t="shared" si="5"/>
        <v>3.7262374853367149E-2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>'DAILY EXTRAPOLATION'!N2465</f>
        <v>1</v>
      </c>
      <c r="D91" s="454">
        <f t="shared" si="4"/>
        <v>1.0092120871165269</v>
      </c>
      <c r="E91" s="450">
        <f t="shared" si="5"/>
        <v>3.6848348466107517E-2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>'DAILY EXTRAPOLATION'!N2466</f>
        <v>1</v>
      </c>
      <c r="D92" s="454">
        <f t="shared" si="4"/>
        <v>1.0092120871165269</v>
      </c>
      <c r="E92" s="450">
        <f t="shared" si="5"/>
        <v>3.6443421559886557E-2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>'DAILY EXTRAPOLATION'!N2467</f>
        <v>1.0001022222222222</v>
      </c>
      <c r="D93" s="454">
        <f t="shared" si="4"/>
        <v>1.0093152510187655</v>
      </c>
      <c r="E93" s="450">
        <f t="shared" si="5"/>
        <v>3.6450982247343312E-2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>'DAILY EXTRAPOLATION'!N2468</f>
        <v>1.0001016666666667</v>
      </c>
      <c r="D94" s="454">
        <f t="shared" si="4"/>
        <v>1.0094178647359524</v>
      </c>
      <c r="E94" s="450">
        <f t="shared" si="5"/>
        <v>3.6456250590783515E-2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>'DAILY EXTRAPOLATION'!N2469</f>
        <v>1.000101388888889</v>
      </c>
      <c r="D95" s="454">
        <f t="shared" si="4"/>
        <v>1.0095202084916828</v>
      </c>
      <c r="E95" s="450">
        <f t="shared" si="5"/>
        <v>3.6460372946870219E-2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>'DAILY EXTRAPOLATION'!N2470</f>
        <v>1.0001016666666667</v>
      </c>
      <c r="D96" s="454">
        <f t="shared" si="4"/>
        <v>1.0096228430462129</v>
      </c>
      <c r="E96" s="450">
        <f t="shared" si="5"/>
        <v>3.6465510490911887E-2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1.0004025213675214</v>
      </c>
      <c r="D97" s="454">
        <f t="shared" ca="1" si="4"/>
        <v>1.0100292378136766</v>
      </c>
      <c r="E97" s="450">
        <f t="shared" ca="1" si="5"/>
        <v>3.760964180128723E-2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1.0100292378136766</v>
      </c>
      <c r="E98" s="450">
        <f t="shared" ca="1" si="5"/>
        <v>3.7221913535294582E-2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1.0100292378136766</v>
      </c>
      <c r="E99" s="450">
        <f t="shared" ca="1" si="5"/>
        <v>3.6842098091056881E-2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1.0100292378136766</v>
      </c>
      <c r="E100" s="450">
        <f t="shared" ca="1" si="5"/>
        <v>3.6469955686096706E-2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1.0001006303418802</v>
      </c>
      <c r="D101" s="454">
        <f t="shared" ca="1" si="4"/>
        <v>1.0101308774011868</v>
      </c>
      <c r="E101" s="450">
        <f t="shared" ca="1" si="5"/>
        <v>3.6471158644272438E-2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1.0001006303418802</v>
      </c>
      <c r="D102" s="454">
        <f t="shared" ca="1" si="4"/>
        <v>1.0102325272167234</v>
      </c>
      <c r="E102" s="450">
        <f t="shared" ca="1" si="5"/>
        <v>3.6472374237826011E-2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1.0001006303418802</v>
      </c>
      <c r="D103" s="454">
        <f t="shared" ca="1" si="4"/>
        <v>1.0103341872613159</v>
      </c>
      <c r="E103" s="450">
        <f t="shared" ca="1" si="5"/>
        <v>3.6473602098761833E-2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1.0003018910256409</v>
      </c>
      <c r="D104" s="454">
        <f t="shared" ca="1" si="4"/>
        <v>1.0106391980853482</v>
      </c>
      <c r="E104" s="450">
        <f t="shared" ca="1" si="5"/>
        <v>3.718554670607134E-2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1.0106391980853482</v>
      </c>
      <c r="E105" s="450">
        <f t="shared" ca="1" si="5"/>
        <v>3.6827993372359119E-2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1.0106391980853482</v>
      </c>
      <c r="E106" s="450">
        <f t="shared" ca="1" si="5"/>
        <v>3.6477250578336652E-2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1.0001006303418802</v>
      </c>
      <c r="D107" s="454">
        <f t="shared" ca="1" si="4"/>
        <v>1.0107408990533691</v>
      </c>
      <c r="E107" s="450">
        <f t="shared" ca="1" si="5"/>
        <v>3.6478525086913779E-2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1.0001006303418802</v>
      </c>
      <c r="D108" s="454">
        <f t="shared" ca="1" si="4"/>
        <v>1.0108426102555932</v>
      </c>
      <c r="E108" s="450">
        <f t="shared" ca="1" si="5"/>
        <v>3.6479810205734091E-2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1.0001006303418802</v>
      </c>
      <c r="D109" s="454">
        <f t="shared" ca="1" si="4"/>
        <v>1.0109443316930504</v>
      </c>
      <c r="E109" s="450">
        <f t="shared" ca="1" si="5"/>
        <v>3.6481105643501412E-2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1.000105625</v>
      </c>
      <c r="D110" s="454">
        <f t="shared" ca="1" si="4"/>
        <v>1.0110511126880855</v>
      </c>
      <c r="E110" s="450">
        <f t="shared" ca="1" si="5"/>
        <v>3.6499087777162958E-2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1.000316875</v>
      </c>
      <c r="D111" s="454">
        <f t="shared" ca="1" si="4"/>
        <v>1.0113714895094186</v>
      </c>
      <c r="E111" s="450">
        <f t="shared" ca="1" si="5"/>
        <v>3.721578384900625E-2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1.0113714895094186</v>
      </c>
      <c r="E112" s="450">
        <f t="shared" ca="1" si="5"/>
        <v>3.6880506517033215E-2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1.0113714895094186</v>
      </c>
      <c r="E113" s="450">
        <f t="shared" ca="1" si="5"/>
        <v>3.6551216280273989E-2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1.000105625</v>
      </c>
      <c r="D114" s="454">
        <f t="shared" ca="1" si="4"/>
        <v>1.0114783156229981</v>
      </c>
      <c r="E114" s="450">
        <f t="shared" ca="1" si="5"/>
        <v>3.6568085170613288E-2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1.000105625</v>
      </c>
      <c r="D115" s="454">
        <f t="shared" ca="1" si="4"/>
        <v>1.0115851530200857</v>
      </c>
      <c r="E115" s="450">
        <f t="shared" ca="1" si="5"/>
        <v>3.6584693747638959E-2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1.000105625</v>
      </c>
      <c r="D116" s="454">
        <f t="shared" ca="1" si="4"/>
        <v>1.0116920017018733</v>
      </c>
      <c r="E116" s="450">
        <f t="shared" ca="1" si="5"/>
        <v>3.6601048805864386E-2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1.000105625</v>
      </c>
      <c r="D117" s="454">
        <f t="shared" ca="1" si="4"/>
        <v>1.011798861669553</v>
      </c>
      <c r="E117" s="450">
        <f t="shared" ca="1" si="5"/>
        <v>3.6617156905509367E-2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1.000316875</v>
      </c>
      <c r="D118" s="454">
        <f t="shared" ca="1" si="4"/>
        <v>1.0121194754338445</v>
      </c>
      <c r="E118" s="450">
        <f t="shared" ca="1" si="5"/>
        <v>3.7290693642598481E-2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1.0121194754338445</v>
      </c>
      <c r="E119" s="450">
        <f t="shared" ca="1" si="5"/>
        <v>3.6974670815118835E-2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1.0121194754338445</v>
      </c>
      <c r="E120" s="450">
        <f t="shared" ca="1" si="5"/>
        <v>3.6663959295664052E-2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1.000105625</v>
      </c>
      <c r="D121" s="454">
        <f t="shared" ca="1" si="4"/>
        <v>1.0122263805534373</v>
      </c>
      <c r="E121" s="450">
        <f t="shared" ca="1" si="5"/>
        <v>3.6679141660311831E-2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1.000105625</v>
      </c>
      <c r="D122" s="454">
        <f t="shared" ca="1" si="4"/>
        <v>1.0123332969648833</v>
      </c>
      <c r="E122" s="450">
        <f t="shared" ca="1" si="5"/>
        <v>3.6694106672380003E-2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1.000105625</v>
      </c>
      <c r="D123" s="454">
        <f t="shared" ca="1" si="4"/>
        <v>1.0124402246693751</v>
      </c>
      <c r="E123" s="450">
        <f t="shared" ca="1" si="5"/>
        <v>3.6708859680123281E-2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1.000105625</v>
      </c>
      <c r="D124" s="454">
        <f t="shared" ca="1" si="4"/>
        <v>1.0125471636681058</v>
      </c>
      <c r="E124" s="450">
        <f t="shared" ca="1" si="5"/>
        <v>3.6723405857870692E-2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1.000316875</v>
      </c>
      <c r="D125" s="454">
        <f t="shared" ca="1" si="4"/>
        <v>1.0128680145505931</v>
      </c>
      <c r="E125" s="450">
        <f t="shared" ca="1" si="5"/>
        <v>3.7358751921076606E-2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1.0128680145505931</v>
      </c>
      <c r="E126" s="450">
        <f t="shared" ca="1" si="5"/>
        <v>3.7059881905707998E-2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1.0128680145505931</v>
      </c>
      <c r="E127" s="450">
        <f t="shared" ca="1" si="5"/>
        <v>3.6765755858837297E-2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1.000105625</v>
      </c>
      <c r="D128" s="454">
        <f t="shared" ca="1" si="4"/>
        <v>1.0129749987346299</v>
      </c>
      <c r="E128" s="450">
        <f t="shared" ca="1" si="5"/>
        <v>3.6779523972179325E-2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1.000105625</v>
      </c>
      <c r="D129" s="454">
        <f t="shared" ca="1" si="4"/>
        <v>1.0130819942188714</v>
      </c>
      <c r="E129" s="450">
        <f t="shared" ca="1" si="5"/>
        <v>3.6793108740575675E-2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1.000105625</v>
      </c>
      <c r="D130" s="454">
        <f t="shared" ca="1" si="4"/>
        <v>1.0131890010045108</v>
      </c>
      <c r="E130" s="450">
        <f t="shared" ca="1" si="5"/>
        <v>3.6806514431192969E-2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1.000105625</v>
      </c>
      <c r="D131" s="454">
        <f t="shared" ca="1" si="4"/>
        <v>1.0132960190927418</v>
      </c>
      <c r="E131" s="450">
        <f t="shared" ca="1" si="5"/>
        <v>3.6819745179900387E-2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1.0004225</v>
      </c>
      <c r="D132" s="454">
        <f t="shared" ref="D132:D195" ca="1" si="7">D131*C132</f>
        <v>1.0137241366608085</v>
      </c>
      <c r="E132" s="450">
        <f t="shared" ref="E132:E195" ca="1" si="8">(D132/1-1)*360/(B132-A$2)</f>
        <v>3.7715184716725698E-2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1.0137241366608085</v>
      </c>
      <c r="E133" s="450">
        <f t="shared" ca="1" si="8"/>
        <v>3.7429463620386863E-2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1.0137241366608085</v>
      </c>
      <c r="E134" s="450">
        <f t="shared" ca="1" si="8"/>
        <v>3.7148039081887713E-2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1.0137241366608085</v>
      </c>
      <c r="E135" s="450">
        <f t="shared" ca="1" si="8"/>
        <v>3.6870814909634821E-2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1.000105625</v>
      </c>
      <c r="D136" s="454">
        <f t="shared" ca="1" si="7"/>
        <v>1.0138312112727432</v>
      </c>
      <c r="E136" s="450">
        <f t="shared" ca="1" si="8"/>
        <v>3.6883230060648607E-2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1.000105625</v>
      </c>
      <c r="D137" s="454">
        <f t="shared" ca="1" si="7"/>
        <v>1.013938297194434</v>
      </c>
      <c r="E137" s="450">
        <f t="shared" ca="1" si="8"/>
        <v>3.6895492573501651E-2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1.000105625</v>
      </c>
      <c r="D138" s="454">
        <f t="shared" ca="1" si="7"/>
        <v>1.0140453944270751</v>
      </c>
      <c r="E138" s="450">
        <f t="shared" ca="1" si="8"/>
        <v>3.6907605793773952E-2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1.000316875</v>
      </c>
      <c r="D139" s="454">
        <f t="shared" ca="1" si="7"/>
        <v>1.0143667200614341</v>
      </c>
      <c r="E139" s="450">
        <f t="shared" ca="1" si="8"/>
        <v>3.7478400160262958E-2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1.0143667200614341</v>
      </c>
      <c r="E140" s="450">
        <f t="shared" ca="1" si="8"/>
        <v>3.7208771382131571E-2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1.0143667200614341</v>
      </c>
      <c r="E141" s="450">
        <f t="shared" ca="1" si="8"/>
        <v>3.6942994443687774E-2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1.000105625</v>
      </c>
      <c r="D142" s="454">
        <f t="shared" ca="1" si="7"/>
        <v>1.0144738625462406</v>
      </c>
      <c r="E142" s="450">
        <f t="shared" ca="1" si="8"/>
        <v>3.695454267125263E-2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1.000105625</v>
      </c>
      <c r="D143" s="454">
        <f t="shared" ca="1" si="7"/>
        <v>1.014581016347972</v>
      </c>
      <c r="E143" s="450">
        <f t="shared" ca="1" si="8"/>
        <v>3.6965956938520672E-2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1.000105625</v>
      </c>
      <c r="D144" s="454">
        <f t="shared" ca="1" si="7"/>
        <v>1.0146881814678237</v>
      </c>
      <c r="E144" s="450">
        <f t="shared" ca="1" si="8"/>
        <v>3.6977240058856845E-2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1.000105625</v>
      </c>
      <c r="D145" s="454">
        <f t="shared" ca="1" si="7"/>
        <v>1.0147953579069913</v>
      </c>
      <c r="E145" s="450">
        <f t="shared" ca="1" si="8"/>
        <v>3.6988394767478172E-2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1.000316875</v>
      </c>
      <c r="D146" s="454">
        <f t="shared" ca="1" si="7"/>
        <v>1.015116921186028</v>
      </c>
      <c r="E146" s="450">
        <f t="shared" ca="1" si="8"/>
        <v>3.7531666392897185E-2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1.015116921186028</v>
      </c>
      <c r="E147" s="450">
        <f t="shared" ca="1" si="8"/>
        <v>3.7274600184726656E-2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1.015116921186028</v>
      </c>
      <c r="E148" s="450">
        <f t="shared" ca="1" si="8"/>
        <v>3.7021031475987017E-2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1.000105625</v>
      </c>
      <c r="D149" s="454">
        <f t="shared" ca="1" si="7"/>
        <v>1.0152241429108284</v>
      </c>
      <c r="E149" s="450">
        <f t="shared" ca="1" si="8"/>
        <v>3.7031698972285317E-2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1.000105625</v>
      </c>
      <c r="D150" s="454">
        <f t="shared" ca="1" si="7"/>
        <v>1.0153313759609233</v>
      </c>
      <c r="E150" s="450">
        <f t="shared" ca="1" si="8"/>
        <v>3.7042250643841444E-2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1.000105625</v>
      </c>
      <c r="D151" s="454">
        <f t="shared" ca="1" si="7"/>
        <v>1.0154386203375092</v>
      </c>
      <c r="E151" s="450">
        <f t="shared" ca="1" si="8"/>
        <v>3.7052688810022084E-2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1.0001077777777778</v>
      </c>
      <c r="D152" s="454">
        <f t="shared" ca="1" si="7"/>
        <v>1.0155480620554789</v>
      </c>
      <c r="E152" s="450">
        <f t="shared" ca="1" si="8"/>
        <v>3.7068227417035721E-2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1.0003233333333332</v>
      </c>
      <c r="D153" s="454">
        <f t="shared" ca="1" si="7"/>
        <v>1.0158764225955434</v>
      </c>
      <c r="E153" s="450">
        <f t="shared" ca="1" si="8"/>
        <v>3.7602053515760799E-2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1.0158764225955434</v>
      </c>
      <c r="E154" s="450">
        <f t="shared" ca="1" si="8"/>
        <v>3.7356288460102235E-2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1.0158764225955434</v>
      </c>
      <c r="E155" s="450">
        <f t="shared" ca="1" si="8"/>
        <v>3.711371515841326E-2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1.0001077777777778</v>
      </c>
      <c r="D156" s="454">
        <f t="shared" ca="1" si="7"/>
        <v>1.0159859114988676</v>
      </c>
      <c r="E156" s="450">
        <f t="shared" ca="1" si="8"/>
        <v>3.7128568642531279E-2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1.0001077777777778</v>
      </c>
      <c r="D157" s="454">
        <f t="shared" ca="1" si="7"/>
        <v>1.0160954122026626</v>
      </c>
      <c r="E157" s="450">
        <f t="shared" ca="1" si="8"/>
        <v>3.7143258929221476E-2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1.0001077777777778</v>
      </c>
      <c r="D158" s="454">
        <f t="shared" ca="1" si="7"/>
        <v>1.0162049247082001</v>
      </c>
      <c r="E158" s="450">
        <f t="shared" ca="1" si="8"/>
        <v>3.7157789139821928E-2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1.0001077777777778</v>
      </c>
      <c r="D159" s="454">
        <f t="shared" ca="1" si="7"/>
        <v>1.0163144490167519</v>
      </c>
      <c r="E159" s="450">
        <f t="shared" ca="1" si="8"/>
        <v>3.7172162316649993E-2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1.0003233333333332</v>
      </c>
      <c r="D160" s="454">
        <f t="shared" ca="1" si="7"/>
        <v>1.0166430573552672</v>
      </c>
      <c r="E160" s="450">
        <f t="shared" ca="1" si="8"/>
        <v>3.7682394011925656E-2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1.0166430573552672</v>
      </c>
      <c r="E161" s="450">
        <f t="shared" ca="1" si="8"/>
        <v>3.7446879049351123E-2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1.0166430573552672</v>
      </c>
      <c r="E162" s="450">
        <f t="shared" ca="1" si="8"/>
        <v>3.721428973848559E-2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1.0001077777777778</v>
      </c>
      <c r="D163" s="454">
        <f t="shared" ca="1" si="7"/>
        <v>1.0167526288847821</v>
      </c>
      <c r="E163" s="450">
        <f t="shared" ca="1" si="8"/>
        <v>3.7228064188404728E-2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1.0002155555555556</v>
      </c>
      <c r="D164" s="454">
        <f t="shared" ca="1" si="7"/>
        <v>1.0169717955625641</v>
      </c>
      <c r="E164" s="450">
        <f t="shared" ca="1" si="8"/>
        <v>3.7483720260877804E-2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1.0169717955625641</v>
      </c>
      <c r="E165" s="450">
        <f t="shared" ca="1" si="8"/>
        <v>3.7255160990994407E-2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1.0001077777777778</v>
      </c>
      <c r="D166" s="454">
        <f t="shared" ca="1" si="7"/>
        <v>1.0170814025227526</v>
      </c>
      <c r="E166" s="450">
        <f t="shared" ca="1" si="8"/>
        <v>3.7268514595096551E-2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1.0003233333333332</v>
      </c>
      <c r="D167" s="454">
        <f t="shared" ca="1" si="7"/>
        <v>1.0174102588429015</v>
      </c>
      <c r="E167" s="450">
        <f t="shared" ca="1" si="8"/>
        <v>3.7757187852075505E-2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1.0174102588429015</v>
      </c>
      <c r="E168" s="450">
        <f t="shared" ca="1" si="8"/>
        <v>3.7531096906853495E-2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1.0174102588429015</v>
      </c>
      <c r="E169" s="450">
        <f t="shared" ca="1" si="8"/>
        <v>3.7307697520503176E-2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1.0001077777777778</v>
      </c>
      <c r="D170" s="454">
        <f t="shared" ca="1" si="7"/>
        <v>1.0175199130596879</v>
      </c>
      <c r="E170" s="450">
        <f t="shared" ca="1" si="8"/>
        <v>3.7320524860873672E-2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1.0001077777777778</v>
      </c>
      <c r="D171" s="454">
        <f t="shared" ca="1" si="7"/>
        <v>1.0176295790947623</v>
      </c>
      <c r="E171" s="450">
        <f t="shared" ca="1" si="8"/>
        <v>3.7333226318320083E-2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1.0001077777777778</v>
      </c>
      <c r="D172" s="454">
        <f t="shared" ca="1" si="7"/>
        <v>1.0177392569493982</v>
      </c>
      <c r="E172" s="450">
        <f t="shared" ca="1" si="8"/>
        <v>3.7345804103996107E-2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1.0001077777777778</v>
      </c>
      <c r="D173" s="454">
        <f t="shared" ca="1" si="7"/>
        <v>1.0178489466248695</v>
      </c>
      <c r="E173" s="450">
        <f t="shared" ca="1" si="8"/>
        <v>3.7358260377633769E-2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1.0003233333333332</v>
      </c>
      <c r="D174" s="454">
        <f t="shared" ca="1" si="7"/>
        <v>1.0181780511176115</v>
      </c>
      <c r="E174" s="450">
        <f t="shared" ca="1" si="8"/>
        <v>3.7827158395029717E-2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1.0181780511176115</v>
      </c>
      <c r="E175" s="450">
        <f t="shared" ca="1" si="8"/>
        <v>3.7609760932989317E-2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1.0181780511176115</v>
      </c>
      <c r="E176" s="450">
        <f t="shared" ca="1" si="8"/>
        <v>3.7394848013372235E-2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1.0001077777777778</v>
      </c>
      <c r="D177" s="454">
        <f t="shared" ca="1" si="7"/>
        <v>1.0182877880853431</v>
      </c>
      <c r="E177" s="450">
        <f t="shared" ca="1" si="8"/>
        <v>3.7406839265474619E-2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1.0001077777777778</v>
      </c>
      <c r="D178" s="454">
        <f t="shared" ca="1" si="7"/>
        <v>1.0183975368802813</v>
      </c>
      <c r="E178" s="450">
        <f t="shared" ca="1" si="8"/>
        <v>3.7418719078538318E-2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1.0002155555555556</v>
      </c>
      <c r="D179" s="454">
        <f t="shared" ca="1" si="7"/>
        <v>1.0186170581271201</v>
      </c>
      <c r="E179" s="450">
        <f t="shared" ca="1" si="8"/>
        <v>3.7652477111029439E-2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1.0186170581271201</v>
      </c>
      <c r="E180" s="450">
        <f ca="1">(D180/1-1)*360/(B180-A$2)</f>
        <v>3.7442128076889611E-2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1.0003233333333332</v>
      </c>
      <c r="D181" s="454">
        <f t="shared" ca="1" si="7"/>
        <v>1.0189464109759145</v>
      </c>
      <c r="E181" s="450">
        <f t="shared" ca="1" si="8"/>
        <v>3.7892821951829081E-2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1.0189464109759145</v>
      </c>
      <c r="E182" s="450">
        <f t="shared" ca="1" si="8"/>
        <v>3.7683469344360412E-2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1.0189464109759145</v>
      </c>
      <c r="E183" s="450">
        <f t="shared" ca="1" si="8"/>
        <v>3.7476417314995791E-2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1.0001077777777778</v>
      </c>
      <c r="D184" s="454">
        <f t="shared" ca="1" si="7"/>
        <v>1.0190562307557642</v>
      </c>
      <c r="E184" s="450">
        <f t="shared" ca="1" si="8"/>
        <v>3.7487667060519807E-2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1.0001077777777778</v>
      </c>
      <c r="D185" s="454">
        <f t="shared" ca="1" si="7"/>
        <v>1.0191660623717458</v>
      </c>
      <c r="E185" s="450">
        <f t="shared" ca="1" si="8"/>
        <v>3.7498817683850445E-2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1.0001077777777778</v>
      </c>
      <c r="D186" s="454">
        <f t="shared" ca="1" si="7"/>
        <v>1.0192759058251348</v>
      </c>
      <c r="E186" s="450">
        <f t="shared" ca="1" si="8"/>
        <v>3.7509870794856973E-2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1.0001077777777778</v>
      </c>
      <c r="D187" s="454">
        <f t="shared" ca="1" si="7"/>
        <v>1.0193857611172072</v>
      </c>
      <c r="E187" s="450">
        <f t="shared" ca="1" si="8"/>
        <v>3.7520827968788216E-2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1.0003233333333332</v>
      </c>
      <c r="D188" s="454">
        <f t="shared" ca="1" si="7"/>
        <v>1.0197153625133017</v>
      </c>
      <c r="E188" s="450">
        <f t="shared" ca="1" si="8"/>
        <v>3.7954708581757375E-2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1.0197153625133017</v>
      </c>
      <c r="E189" s="450">
        <f t="shared" ca="1" si="8"/>
        <v>3.775282183398207E-2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1.0197153625133017</v>
      </c>
      <c r="E190" s="450">
        <f t="shared" ca="1" si="8"/>
        <v>3.7553071453908092E-2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1.0001077777777778</v>
      </c>
      <c r="D191" s="454">
        <f t="shared" ca="1" si="7"/>
        <v>1.0198252651690394</v>
      </c>
      <c r="E191" s="450">
        <f t="shared" ca="1" si="8"/>
        <v>3.756366032028513E-2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1.0001077777777778</v>
      </c>
      <c r="D192" s="454">
        <f t="shared" ca="1" si="7"/>
        <v>1.019935179669841</v>
      </c>
      <c r="E192" s="450">
        <f t="shared" ca="1" si="8"/>
        <v>3.7574160634255366E-2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1.0001077777777778</v>
      </c>
      <c r="D193" s="454">
        <f t="shared" ca="1" si="7"/>
        <v>1.0200451060169833</v>
      </c>
      <c r="E193" s="450">
        <f t="shared" ca="1" si="8"/>
        <v>3.7584573781843655E-2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1.0001120833333332</v>
      </c>
      <c r="D194" s="454">
        <f t="shared" ca="1" si="7"/>
        <v>1.0201594360726158</v>
      </c>
      <c r="E194" s="450">
        <f t="shared" ca="1" si="8"/>
        <v>3.7603093192444037E-2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1.0003362499999999</v>
      </c>
      <c r="D195" s="454">
        <f t="shared" ca="1" si="7"/>
        <v>1.0205024646829952</v>
      </c>
      <c r="E195" s="450">
        <f t="shared" ca="1" si="8"/>
        <v>3.8045810751949884E-2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1.0205024646829952</v>
      </c>
      <c r="E196" s="450">
        <f t="shared" ref="E196:E216" ca="1" si="11">(D196/1-1)*360/(B196-A$2)</f>
        <v>3.785070403014501E-2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1.0205024646829952</v>
      </c>
      <c r="E197" s="450">
        <f t="shared" ca="1" si="11"/>
        <v>3.7657588193256514E-2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1.0001120833333332</v>
      </c>
      <c r="D198" s="454">
        <f t="shared" ca="1" si="10"/>
        <v>1.0206168460009117</v>
      </c>
      <c r="E198" s="450">
        <f t="shared" ca="1" si="11"/>
        <v>3.7675454620955458E-2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1.0001120833333332</v>
      </c>
      <c r="D199" s="454">
        <f t="shared" ca="1" si="10"/>
        <v>1.0207312401390676</v>
      </c>
      <c r="E199" s="450">
        <f t="shared" ca="1" si="11"/>
        <v>3.7693163889213774E-2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1.0001120833333332</v>
      </c>
      <c r="D200" s="454">
        <f t="shared" ca="1" si="10"/>
        <v>1.0208456470988998</v>
      </c>
      <c r="E200" s="450">
        <f t="shared" ca="1" si="11"/>
        <v>3.7710718369868987E-2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1.0001120833333332</v>
      </c>
      <c r="D201" s="454">
        <f t="shared" ca="1" si="10"/>
        <v>1.0209600668818453</v>
      </c>
      <c r="E201" s="450">
        <f t="shared" ca="1" si="11"/>
        <v>3.772812038732147E-2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1.0003362499999999</v>
      </c>
      <c r="D202" s="454">
        <f t="shared" ca="1" si="10"/>
        <v>1.0213033647043341</v>
      </c>
      <c r="E202" s="450">
        <f t="shared" ca="1" si="11"/>
        <v>3.8155280067464124E-2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1.0213033647043341</v>
      </c>
      <c r="E203" s="450">
        <f t="shared" ca="1" si="11"/>
        <v>3.7966392542377672E-2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1.0213033647043341</v>
      </c>
      <c r="E204" s="450">
        <f t="shared" ca="1" si="11"/>
        <v>3.7779365978129503E-2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1.0001120833333332</v>
      </c>
      <c r="D205" s="454">
        <f t="shared" ca="1" si="10"/>
        <v>1.0214178357897947</v>
      </c>
      <c r="E205" s="450">
        <f t="shared" ca="1" si="11"/>
        <v>3.7796180805520108E-2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1.0001120833333332</v>
      </c>
      <c r="D206" s="454">
        <f t="shared" ca="1" si="10"/>
        <v>1.0215323197055561</v>
      </c>
      <c r="E206" s="450">
        <f t="shared" ca="1" si="11"/>
        <v>3.7812854117074191E-2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1.0001120833333332</v>
      </c>
      <c r="D207" s="454">
        <f t="shared" ca="1" si="10"/>
        <v>1.0216468164530563</v>
      </c>
      <c r="E207" s="450">
        <f t="shared" ca="1" si="11"/>
        <v>3.7829387976214941E-2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1.0004483333333334</v>
      </c>
      <c r="D208" s="454">
        <f t="shared" ca="1" si="10"/>
        <v>1.0221048547757661</v>
      </c>
      <c r="E208" s="450">
        <f t="shared" ca="1" si="11"/>
        <v>3.8443225696984468E-2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1.0221048547757661</v>
      </c>
      <c r="E209" s="450">
        <f t="shared" ca="1" si="11"/>
        <v>3.8258402496518198E-2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1.0221048547757661</v>
      </c>
      <c r="E210" s="450">
        <f t="shared" ca="1" si="11"/>
        <v>3.8075347939118591E-2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1.0221048547757661</v>
      </c>
      <c r="E211" s="450">
        <f t="shared" ca="1" si="11"/>
        <v>3.7894036758456116E-2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1.0001120833333332</v>
      </c>
      <c r="D212" s="454">
        <f t="shared" ca="1" si="10"/>
        <v>1.0222194156949054</v>
      </c>
      <c r="E212" s="450">
        <f t="shared" ca="1" si="11"/>
        <v>3.7909903555288796E-2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1.0001120833333332</v>
      </c>
      <c r="D213" s="454">
        <f t="shared" ca="1" si="10"/>
        <v>1.0223339894544143</v>
      </c>
      <c r="E213" s="450">
        <f t="shared" ca="1" si="11"/>
        <v>3.7925642469760198E-2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1.0001120833333332</v>
      </c>
      <c r="D214" s="454">
        <f t="shared" ca="1" si="10"/>
        <v>1.0224485760557323</v>
      </c>
      <c r="E214" s="450">
        <f t="shared" ca="1" si="11"/>
        <v>3.7941255305462961E-2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1.0004483333333334</v>
      </c>
      <c r="D215" s="454">
        <f t="shared" ca="1" si="10"/>
        <v>1.0229069738339973</v>
      </c>
      <c r="E215" s="450">
        <f t="shared" ca="1" si="11"/>
        <v>3.8535096169341275E-2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1.0229069738339973</v>
      </c>
      <c r="E216" s="450">
        <f t="shared" ca="1" si="11"/>
        <v>3.8355863163902479E-2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2026-09-04T13:16:08Z</dcterms:modified>
</cp:coreProperties>
</file>