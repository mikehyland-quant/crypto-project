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\git-projects\trading\spreadsheets\"/>
    </mc:Choice>
  </mc:AlternateContent>
  <xr:revisionPtr revIDLastSave="0" documentId="13_ncr:1_{20154645-CBE8-4A4F-9C17-B9FAEF829121}" xr6:coauthVersionLast="47" xr6:coauthVersionMax="47" xr10:uidLastSave="{00000000-0000-0000-0000-000000000000}"/>
  <bookViews>
    <workbookView xWindow="37110" yWindow="645" windowWidth="20340" windowHeight="8505" tabRatio="628" xr2:uid="{4CA692E2-E519-3D49-A8C7-FD777B309742}"/>
  </bookViews>
  <sheets>
    <sheet name="OUTPUT" sheetId="5" r:id="rId1"/>
    <sheet name="DAILY EXTRAPOLATION" sheetId="1" r:id="rId2"/>
    <sheet name="3M SOFR CALCS" sheetId="9" r:id="rId3"/>
    <sheet name="CALENDAR INFO" sheetId="4" r:id="rId4"/>
    <sheet name="INPUT" sheetId="6" r:id="rId5"/>
    <sheet name="PYTHON" sheetId="7" r:id="rId6"/>
    <sheet name="FV OUTPUT" sheetId="10" r:id="rId7"/>
  </sheets>
  <definedNames>
    <definedName name="solver_adj" localSheetId="1" hidden="1">'DAILY EXTRAPOLATION'!$B$94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itr" localSheetId="1" hidden="1">2147483647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opt" localSheetId="1" hidden="1">'DAILY EXTRAPOLATION'!#REF!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4" i="5" l="1"/>
  <c r="H52" i="6"/>
  <c r="I52" i="6" s="1"/>
  <c r="H51" i="6"/>
  <c r="I51" i="6" s="1"/>
  <c r="H50" i="6"/>
  <c r="I50" i="6" s="1"/>
  <c r="H49" i="6"/>
  <c r="I49" i="6" s="1"/>
  <c r="H48" i="6"/>
  <c r="I48" i="6" s="1"/>
  <c r="H47" i="6"/>
  <c r="I47" i="6" s="1"/>
  <c r="H46" i="6"/>
  <c r="I46" i="6" s="1"/>
  <c r="H45" i="6"/>
  <c r="I45" i="6" s="1"/>
  <c r="H44" i="6"/>
  <c r="I44" i="6" s="1"/>
  <c r="H23" i="6"/>
  <c r="I23" i="6" s="1"/>
  <c r="H24" i="6"/>
  <c r="I24" i="6" s="1"/>
  <c r="H25" i="6"/>
  <c r="I25" i="6" s="1"/>
  <c r="H26" i="6"/>
  <c r="I26" i="6" s="1"/>
  <c r="H27" i="6"/>
  <c r="I27" i="6" s="1"/>
  <c r="H28" i="6"/>
  <c r="I28" i="6" s="1"/>
  <c r="H29" i="6"/>
  <c r="I29" i="6" s="1"/>
  <c r="H30" i="6"/>
  <c r="I30" i="6" s="1"/>
  <c r="H31" i="6"/>
  <c r="I31" i="6" s="1"/>
  <c r="H32" i="6"/>
  <c r="I32" i="6" s="1"/>
  <c r="H33" i="6"/>
  <c r="I33" i="6" s="1"/>
  <c r="H34" i="6"/>
  <c r="I34" i="6" s="1"/>
  <c r="H35" i="6"/>
  <c r="I35" i="6" s="1"/>
  <c r="H7" i="6"/>
  <c r="I7" i="6" s="1"/>
  <c r="H8" i="6"/>
  <c r="I8" i="6" s="1"/>
  <c r="H9" i="6"/>
  <c r="I9" i="6" s="1"/>
  <c r="H10" i="6"/>
  <c r="I10" i="6" s="1"/>
  <c r="H11" i="6"/>
  <c r="I11" i="6" s="1"/>
  <c r="H12" i="6"/>
  <c r="I12" i="6" s="1"/>
  <c r="H13" i="6"/>
  <c r="I13" i="6" s="1"/>
  <c r="H14" i="6"/>
  <c r="I14" i="6" s="1"/>
  <c r="H15" i="6"/>
  <c r="I15" i="6" s="1"/>
  <c r="H16" i="6"/>
  <c r="I16" i="6" s="1"/>
  <c r="H17" i="6"/>
  <c r="I17" i="6" s="1"/>
  <c r="H18" i="6"/>
  <c r="I18" i="6" s="1"/>
  <c r="U2" i="5"/>
  <c r="U1" i="5"/>
  <c r="P1" i="5"/>
  <c r="G41" i="9" l="1"/>
  <c r="I2592" i="1" l="1"/>
  <c r="I2591" i="1"/>
  <c r="I2590" i="1"/>
  <c r="I2589" i="1"/>
  <c r="I2588" i="1"/>
  <c r="I2587" i="1"/>
  <c r="I2586" i="1"/>
  <c r="I2585" i="1"/>
  <c r="I2584" i="1"/>
  <c r="I2583" i="1"/>
  <c r="I2582" i="1"/>
  <c r="I2581" i="1"/>
  <c r="I2580" i="1"/>
  <c r="I2579" i="1"/>
  <c r="I2578" i="1"/>
  <c r="I2577" i="1"/>
  <c r="I2576" i="1"/>
  <c r="I2575" i="1"/>
  <c r="I2574" i="1"/>
  <c r="I2573" i="1"/>
  <c r="I2572" i="1"/>
  <c r="I2571" i="1"/>
  <c r="I2570" i="1"/>
  <c r="I2569" i="1"/>
  <c r="I2568" i="1"/>
  <c r="I2567" i="1"/>
  <c r="I2566" i="1"/>
  <c r="I2565" i="1"/>
  <c r="I2564" i="1"/>
  <c r="I2563" i="1"/>
  <c r="I2562" i="1"/>
  <c r="I2561" i="1"/>
  <c r="I2560" i="1"/>
  <c r="I2559" i="1"/>
  <c r="I2558" i="1"/>
  <c r="I2557" i="1"/>
  <c r="I2556" i="1"/>
  <c r="I2555" i="1"/>
  <c r="I2554" i="1"/>
  <c r="I2553" i="1"/>
  <c r="I2552" i="1"/>
  <c r="I2551" i="1"/>
  <c r="I2550" i="1"/>
  <c r="I2549" i="1"/>
  <c r="I2548" i="1"/>
  <c r="I2547" i="1"/>
  <c r="I2546" i="1"/>
  <c r="I2545" i="1"/>
  <c r="I2544" i="1"/>
  <c r="I2543" i="1"/>
  <c r="I2542" i="1"/>
  <c r="I2541" i="1"/>
  <c r="I2540" i="1"/>
  <c r="I2539" i="1"/>
  <c r="I2538" i="1"/>
  <c r="I2537" i="1"/>
  <c r="I2536" i="1"/>
  <c r="I2535" i="1"/>
  <c r="I2534" i="1"/>
  <c r="I2533" i="1"/>
  <c r="I2532" i="1"/>
  <c r="I2531" i="1"/>
  <c r="I2530" i="1"/>
  <c r="I2529" i="1"/>
  <c r="I2528" i="1"/>
  <c r="I2527" i="1"/>
  <c r="I2526" i="1"/>
  <c r="I2525" i="1"/>
  <c r="I2524" i="1"/>
  <c r="I2523" i="1"/>
  <c r="I2522" i="1"/>
  <c r="I2521" i="1"/>
  <c r="I2520" i="1"/>
  <c r="I2519" i="1"/>
  <c r="I2518" i="1"/>
  <c r="I2517" i="1"/>
  <c r="I2516" i="1"/>
  <c r="I2515" i="1"/>
  <c r="I2514" i="1"/>
  <c r="I2513" i="1"/>
  <c r="I2512" i="1"/>
  <c r="I2511" i="1"/>
  <c r="I2510" i="1"/>
  <c r="I2509" i="1"/>
  <c r="I2508" i="1"/>
  <c r="I2507" i="1"/>
  <c r="I2506" i="1"/>
  <c r="I2505" i="1"/>
  <c r="I2504" i="1"/>
  <c r="I2503" i="1"/>
  <c r="I2502" i="1"/>
  <c r="I2501" i="1"/>
  <c r="I2500" i="1"/>
  <c r="I2499" i="1"/>
  <c r="I2498" i="1"/>
  <c r="I2497" i="1"/>
  <c r="I2496" i="1"/>
  <c r="I2495" i="1"/>
  <c r="I2494" i="1"/>
  <c r="I2493" i="1"/>
  <c r="I2492" i="1"/>
  <c r="I2491" i="1"/>
  <c r="I2490" i="1"/>
  <c r="I2489" i="1"/>
  <c r="I2488" i="1"/>
  <c r="I2487" i="1"/>
  <c r="I2486" i="1"/>
  <c r="I2485" i="1"/>
  <c r="I2484" i="1"/>
  <c r="I2483" i="1"/>
  <c r="I2482" i="1"/>
  <c r="I2481" i="1"/>
  <c r="I2480" i="1"/>
  <c r="I2479" i="1"/>
  <c r="I2478" i="1"/>
  <c r="I2477" i="1"/>
  <c r="I2476" i="1"/>
  <c r="I2475" i="1"/>
  <c r="I2474" i="1"/>
  <c r="I2473" i="1"/>
  <c r="I2472" i="1"/>
  <c r="I2471" i="1"/>
  <c r="I2470" i="1"/>
  <c r="I2469" i="1"/>
  <c r="I2468" i="1"/>
  <c r="I2467" i="1"/>
  <c r="I2466" i="1"/>
  <c r="I2465" i="1"/>
  <c r="I2464" i="1"/>
  <c r="I2463" i="1"/>
  <c r="I2462" i="1"/>
  <c r="I2461" i="1"/>
  <c r="I2460" i="1"/>
  <c r="I2459" i="1"/>
  <c r="I2458" i="1"/>
  <c r="I2457" i="1"/>
  <c r="I2456" i="1"/>
  <c r="I2455" i="1"/>
  <c r="I2454" i="1"/>
  <c r="I2453" i="1"/>
  <c r="I2452" i="1"/>
  <c r="I2451" i="1"/>
  <c r="I2450" i="1"/>
  <c r="I2449" i="1"/>
  <c r="I2448" i="1"/>
  <c r="I2447" i="1"/>
  <c r="I2446" i="1"/>
  <c r="I2445" i="1"/>
  <c r="I2444" i="1"/>
  <c r="I2443" i="1"/>
  <c r="I2442" i="1"/>
  <c r="I2441" i="1"/>
  <c r="I2440" i="1"/>
  <c r="I2439" i="1"/>
  <c r="I2438" i="1"/>
  <c r="I2437" i="1"/>
  <c r="I2436" i="1"/>
  <c r="I2435" i="1"/>
  <c r="I2434" i="1"/>
  <c r="I2433" i="1"/>
  <c r="I2432" i="1"/>
  <c r="I2431" i="1"/>
  <c r="I2430" i="1"/>
  <c r="I2429" i="1"/>
  <c r="I2428" i="1"/>
  <c r="I2427" i="1"/>
  <c r="I2426" i="1"/>
  <c r="I2425" i="1"/>
  <c r="I2424" i="1"/>
  <c r="I2423" i="1"/>
  <c r="I2422" i="1"/>
  <c r="I2421" i="1"/>
  <c r="I2420" i="1"/>
  <c r="I2419" i="1"/>
  <c r="I2418" i="1"/>
  <c r="I2417" i="1"/>
  <c r="I2416" i="1"/>
  <c r="I2415" i="1"/>
  <c r="I2414" i="1"/>
  <c r="I2413" i="1"/>
  <c r="I2412" i="1"/>
  <c r="I2411" i="1"/>
  <c r="I2410" i="1"/>
  <c r="I2409" i="1"/>
  <c r="I2408" i="1"/>
  <c r="I2407" i="1"/>
  <c r="I2406" i="1"/>
  <c r="I2405" i="1"/>
  <c r="I2404" i="1"/>
  <c r="I2403" i="1"/>
  <c r="I2402" i="1"/>
  <c r="I2401" i="1"/>
  <c r="I2400" i="1"/>
  <c r="I2399" i="1"/>
  <c r="I2398" i="1"/>
  <c r="I2397" i="1"/>
  <c r="I2396" i="1"/>
  <c r="I2395" i="1"/>
  <c r="I2394" i="1"/>
  <c r="I2393" i="1"/>
  <c r="I2392" i="1"/>
  <c r="I2391" i="1"/>
  <c r="I2390" i="1"/>
  <c r="I2389" i="1"/>
  <c r="I2388" i="1"/>
  <c r="I2387" i="1"/>
  <c r="I2386" i="1"/>
  <c r="I2385" i="1"/>
  <c r="I2384" i="1"/>
  <c r="I2383" i="1"/>
  <c r="I2382" i="1"/>
  <c r="I2381" i="1"/>
  <c r="I2380" i="1"/>
  <c r="I2379" i="1"/>
  <c r="I2378" i="1"/>
  <c r="I2377" i="1"/>
  <c r="I2376" i="1"/>
  <c r="I2375" i="1"/>
  <c r="I2374" i="1"/>
  <c r="I2373" i="1"/>
  <c r="I2372" i="1"/>
  <c r="I2371" i="1"/>
  <c r="I2370" i="1"/>
  <c r="I2369" i="1"/>
  <c r="I2368" i="1"/>
  <c r="I2367" i="1"/>
  <c r="I2366" i="1"/>
  <c r="I2365" i="1"/>
  <c r="I2364" i="1"/>
  <c r="I2363" i="1"/>
  <c r="I2362" i="1"/>
  <c r="I2361" i="1"/>
  <c r="I2360" i="1"/>
  <c r="I2359" i="1"/>
  <c r="I2358" i="1"/>
  <c r="I2357" i="1"/>
  <c r="I2356" i="1"/>
  <c r="I2355" i="1"/>
  <c r="I2354" i="1"/>
  <c r="I2353" i="1"/>
  <c r="I2352" i="1"/>
  <c r="I2351" i="1"/>
  <c r="I2350" i="1"/>
  <c r="I2349" i="1"/>
  <c r="I2348" i="1"/>
  <c r="I2347" i="1"/>
  <c r="I2346" i="1"/>
  <c r="I2345" i="1"/>
  <c r="I2344" i="1"/>
  <c r="I2343" i="1"/>
  <c r="I2342" i="1"/>
  <c r="I2341" i="1"/>
  <c r="I2340" i="1"/>
  <c r="I2339" i="1"/>
  <c r="I2338" i="1"/>
  <c r="I2337" i="1"/>
  <c r="I2336" i="1"/>
  <c r="I2335" i="1"/>
  <c r="I2334" i="1"/>
  <c r="I2333" i="1"/>
  <c r="I2332" i="1"/>
  <c r="I2331" i="1"/>
  <c r="I2330" i="1"/>
  <c r="I2329" i="1"/>
  <c r="I2328" i="1"/>
  <c r="I2327" i="1"/>
  <c r="I2326" i="1"/>
  <c r="I2325" i="1"/>
  <c r="I2324" i="1"/>
  <c r="I2323" i="1"/>
  <c r="I2322" i="1"/>
  <c r="I2321" i="1"/>
  <c r="I2320" i="1"/>
  <c r="I2319" i="1"/>
  <c r="I2318" i="1"/>
  <c r="I2317" i="1"/>
  <c r="I2316" i="1"/>
  <c r="I2315" i="1"/>
  <c r="I2314" i="1"/>
  <c r="I2313" i="1"/>
  <c r="I2312" i="1"/>
  <c r="I2311" i="1"/>
  <c r="I2310" i="1"/>
  <c r="I2309" i="1"/>
  <c r="I2308" i="1"/>
  <c r="I2307" i="1"/>
  <c r="I2306" i="1"/>
  <c r="I2305" i="1"/>
  <c r="I2304" i="1"/>
  <c r="I2303" i="1"/>
  <c r="I2302" i="1"/>
  <c r="I2301" i="1"/>
  <c r="I2300" i="1"/>
  <c r="I2299" i="1"/>
  <c r="I2298" i="1"/>
  <c r="I2297" i="1"/>
  <c r="I2296" i="1"/>
  <c r="I2295" i="1"/>
  <c r="I2294" i="1"/>
  <c r="I2293" i="1"/>
  <c r="I2292" i="1"/>
  <c r="I2291" i="1"/>
  <c r="I2290" i="1"/>
  <c r="I2289" i="1"/>
  <c r="I2288" i="1"/>
  <c r="I2287" i="1"/>
  <c r="I2286" i="1"/>
  <c r="I2285" i="1"/>
  <c r="I2284" i="1"/>
  <c r="I2283" i="1"/>
  <c r="I2282" i="1"/>
  <c r="I2281" i="1"/>
  <c r="I2280" i="1"/>
  <c r="I2279" i="1"/>
  <c r="I2278" i="1"/>
  <c r="I2277" i="1"/>
  <c r="I2276" i="1"/>
  <c r="I2275" i="1"/>
  <c r="I2274" i="1"/>
  <c r="I2273" i="1"/>
  <c r="I2272" i="1"/>
  <c r="I2271" i="1"/>
  <c r="I2270" i="1"/>
  <c r="I2269" i="1"/>
  <c r="I2268" i="1"/>
  <c r="I2267" i="1"/>
  <c r="I2266" i="1"/>
  <c r="I2265" i="1"/>
  <c r="I2264" i="1"/>
  <c r="I2263" i="1"/>
  <c r="I2262" i="1"/>
  <c r="I2261" i="1"/>
  <c r="I2260" i="1"/>
  <c r="I2259" i="1"/>
  <c r="I2258" i="1"/>
  <c r="I2257" i="1"/>
  <c r="I2256" i="1"/>
  <c r="I2255" i="1"/>
  <c r="I2254" i="1"/>
  <c r="I2253" i="1"/>
  <c r="I2252" i="1"/>
  <c r="I2251" i="1"/>
  <c r="I2250" i="1"/>
  <c r="I2249" i="1"/>
  <c r="I2248" i="1"/>
  <c r="I2247" i="1"/>
  <c r="I2246" i="1"/>
  <c r="I2245" i="1"/>
  <c r="I2244" i="1"/>
  <c r="I2243" i="1"/>
  <c r="I2242" i="1"/>
  <c r="I2241" i="1"/>
  <c r="I2240" i="1"/>
  <c r="I2239" i="1"/>
  <c r="I2238" i="1"/>
  <c r="I2237" i="1"/>
  <c r="I2236" i="1"/>
  <c r="I2235" i="1"/>
  <c r="I2234" i="1"/>
  <c r="I2233" i="1"/>
  <c r="I2232" i="1"/>
  <c r="I2231" i="1"/>
  <c r="I2230" i="1"/>
  <c r="I2229" i="1"/>
  <c r="I2228" i="1"/>
  <c r="I2227" i="1"/>
  <c r="I2226" i="1"/>
  <c r="I2225" i="1"/>
  <c r="I2224" i="1"/>
  <c r="I2223" i="1"/>
  <c r="I2222" i="1"/>
  <c r="I2221" i="1"/>
  <c r="I2220" i="1"/>
  <c r="I2219" i="1"/>
  <c r="I2218" i="1"/>
  <c r="I2217" i="1"/>
  <c r="I2216" i="1"/>
  <c r="I2215" i="1"/>
  <c r="I2214" i="1"/>
  <c r="I2213" i="1"/>
  <c r="I2212" i="1"/>
  <c r="I2211" i="1"/>
  <c r="I2210" i="1"/>
  <c r="I2209" i="1"/>
  <c r="I2208" i="1"/>
  <c r="I2207" i="1"/>
  <c r="I2206" i="1"/>
  <c r="I2205" i="1"/>
  <c r="I2204" i="1"/>
  <c r="I2203" i="1"/>
  <c r="I2202" i="1"/>
  <c r="I2201" i="1"/>
  <c r="I2200" i="1"/>
  <c r="I2199" i="1"/>
  <c r="I2198" i="1"/>
  <c r="I2197" i="1"/>
  <c r="I2196" i="1"/>
  <c r="I2195" i="1"/>
  <c r="I2194" i="1"/>
  <c r="I2193" i="1"/>
  <c r="I2192" i="1"/>
  <c r="I2191" i="1"/>
  <c r="I2190" i="1"/>
  <c r="I2189" i="1"/>
  <c r="I2188" i="1"/>
  <c r="I2187" i="1"/>
  <c r="I2186" i="1"/>
  <c r="I2185" i="1"/>
  <c r="I2184" i="1"/>
  <c r="I2183" i="1"/>
  <c r="I2182" i="1"/>
  <c r="I2181" i="1"/>
  <c r="I2180" i="1"/>
  <c r="I2179" i="1"/>
  <c r="I2178" i="1"/>
  <c r="I2177" i="1"/>
  <c r="I2176" i="1"/>
  <c r="I2175" i="1"/>
  <c r="I2174" i="1"/>
  <c r="I2173" i="1"/>
  <c r="I2172" i="1"/>
  <c r="I2171" i="1"/>
  <c r="I2170" i="1"/>
  <c r="I2169" i="1"/>
  <c r="I2168" i="1"/>
  <c r="I2167" i="1"/>
  <c r="I2166" i="1"/>
  <c r="I2165" i="1"/>
  <c r="I2164" i="1"/>
  <c r="I2163" i="1"/>
  <c r="I2162" i="1"/>
  <c r="I2161" i="1"/>
  <c r="I2160" i="1"/>
  <c r="I2159" i="1"/>
  <c r="I2158" i="1"/>
  <c r="I2157" i="1"/>
  <c r="I2156" i="1"/>
  <c r="I2155" i="1"/>
  <c r="I2154" i="1"/>
  <c r="I2153" i="1"/>
  <c r="I2152" i="1"/>
  <c r="I2151" i="1"/>
  <c r="I2150" i="1"/>
  <c r="I2149" i="1"/>
  <c r="I2148" i="1"/>
  <c r="I2147" i="1"/>
  <c r="I2146" i="1"/>
  <c r="I2145" i="1"/>
  <c r="I2144" i="1"/>
  <c r="I2143" i="1"/>
  <c r="I2142" i="1"/>
  <c r="I2141" i="1"/>
  <c r="I2140" i="1"/>
  <c r="I2139" i="1"/>
  <c r="I2138" i="1"/>
  <c r="I2137" i="1"/>
  <c r="I2136" i="1"/>
  <c r="I2135" i="1"/>
  <c r="I2134" i="1"/>
  <c r="I2133" i="1"/>
  <c r="I2132" i="1"/>
  <c r="I2131" i="1"/>
  <c r="I2130" i="1"/>
  <c r="I2129" i="1"/>
  <c r="I2128" i="1"/>
  <c r="I2127" i="1"/>
  <c r="I2126" i="1"/>
  <c r="I2125" i="1"/>
  <c r="I2124" i="1"/>
  <c r="I2123" i="1"/>
  <c r="I2122" i="1"/>
  <c r="I2121" i="1"/>
  <c r="I2120" i="1"/>
  <c r="I2119" i="1"/>
  <c r="I2118" i="1"/>
  <c r="I2117" i="1"/>
  <c r="I2116" i="1"/>
  <c r="I2115" i="1"/>
  <c r="I2114" i="1"/>
  <c r="I2113" i="1"/>
  <c r="I2112" i="1"/>
  <c r="I2111" i="1"/>
  <c r="I2110" i="1"/>
  <c r="I2109" i="1"/>
  <c r="I2108" i="1"/>
  <c r="I2107" i="1"/>
  <c r="I2106" i="1"/>
  <c r="I2105" i="1"/>
  <c r="I2104" i="1"/>
  <c r="I2103" i="1"/>
  <c r="I2102" i="1"/>
  <c r="I2101" i="1"/>
  <c r="I2100" i="1"/>
  <c r="I2099" i="1"/>
  <c r="I2098" i="1"/>
  <c r="I2097" i="1"/>
  <c r="I2096" i="1"/>
  <c r="I2095" i="1"/>
  <c r="I2094" i="1"/>
  <c r="I2093" i="1"/>
  <c r="I2092" i="1"/>
  <c r="I2091" i="1"/>
  <c r="I2090" i="1"/>
  <c r="I2089" i="1"/>
  <c r="I2088" i="1"/>
  <c r="I2087" i="1"/>
  <c r="I2086" i="1"/>
  <c r="I2085" i="1"/>
  <c r="I2084" i="1"/>
  <c r="I2083" i="1"/>
  <c r="I2082" i="1"/>
  <c r="I2081" i="1"/>
  <c r="I2080" i="1"/>
  <c r="I2079" i="1"/>
  <c r="I2078" i="1"/>
  <c r="I2077" i="1"/>
  <c r="I2076" i="1"/>
  <c r="I2075" i="1"/>
  <c r="I2074" i="1"/>
  <c r="I2073" i="1"/>
  <c r="I2072" i="1"/>
  <c r="I2071" i="1"/>
  <c r="I2070" i="1"/>
  <c r="I2069" i="1"/>
  <c r="I2068" i="1"/>
  <c r="I2067" i="1"/>
  <c r="I2066" i="1"/>
  <c r="I2065" i="1"/>
  <c r="I2064" i="1"/>
  <c r="I2063" i="1"/>
  <c r="I2062" i="1"/>
  <c r="I2061" i="1"/>
  <c r="I2060" i="1"/>
  <c r="I2059" i="1"/>
  <c r="I2058" i="1"/>
  <c r="I2057" i="1"/>
  <c r="I2056" i="1"/>
  <c r="I2055" i="1"/>
  <c r="I2054" i="1"/>
  <c r="I2053" i="1"/>
  <c r="I2052" i="1"/>
  <c r="I2051" i="1"/>
  <c r="I2050" i="1"/>
  <c r="I2049" i="1"/>
  <c r="I2048" i="1"/>
  <c r="I2047" i="1"/>
  <c r="I2046" i="1"/>
  <c r="I2045" i="1"/>
  <c r="I2044" i="1"/>
  <c r="I2043" i="1"/>
  <c r="I2042" i="1"/>
  <c r="I2041" i="1"/>
  <c r="I2040" i="1"/>
  <c r="I2039" i="1"/>
  <c r="I2038" i="1"/>
  <c r="I2037" i="1"/>
  <c r="I2036" i="1"/>
  <c r="I2035" i="1"/>
  <c r="I2034" i="1"/>
  <c r="I2033" i="1"/>
  <c r="I2032" i="1"/>
  <c r="I2031" i="1"/>
  <c r="I2030" i="1"/>
  <c r="I2029" i="1"/>
  <c r="I2028" i="1"/>
  <c r="I2027" i="1"/>
  <c r="I2026" i="1"/>
  <c r="I2025" i="1"/>
  <c r="I2024" i="1"/>
  <c r="I2023" i="1"/>
  <c r="I2022" i="1"/>
  <c r="I2021" i="1"/>
  <c r="I2020" i="1"/>
  <c r="I2019" i="1"/>
  <c r="I2018" i="1"/>
  <c r="I2017" i="1"/>
  <c r="I2016" i="1"/>
  <c r="I2015" i="1"/>
  <c r="I2014" i="1"/>
  <c r="I2013" i="1"/>
  <c r="I2012" i="1"/>
  <c r="I2011" i="1"/>
  <c r="I2010" i="1"/>
  <c r="I2009" i="1"/>
  <c r="I2008" i="1"/>
  <c r="I2007" i="1"/>
  <c r="I2006" i="1"/>
  <c r="I2005" i="1"/>
  <c r="I2004" i="1"/>
  <c r="I2003" i="1"/>
  <c r="I2002" i="1"/>
  <c r="I2001" i="1"/>
  <c r="I2000" i="1"/>
  <c r="I1999" i="1"/>
  <c r="I1998" i="1"/>
  <c r="I1997" i="1"/>
  <c r="I1996" i="1"/>
  <c r="I1995" i="1"/>
  <c r="I1994" i="1"/>
  <c r="I1993" i="1"/>
  <c r="I1992" i="1"/>
  <c r="I1991" i="1"/>
  <c r="I1990" i="1"/>
  <c r="I1989" i="1"/>
  <c r="I1988" i="1"/>
  <c r="I1987" i="1"/>
  <c r="I1986" i="1"/>
  <c r="I1985" i="1"/>
  <c r="I1984" i="1"/>
  <c r="I1983" i="1"/>
  <c r="I1982" i="1"/>
  <c r="I1981" i="1"/>
  <c r="I1980" i="1"/>
  <c r="I1979" i="1"/>
  <c r="I1978" i="1"/>
  <c r="I1977" i="1"/>
  <c r="I1976" i="1"/>
  <c r="I1975" i="1"/>
  <c r="I1974" i="1"/>
  <c r="I1973" i="1"/>
  <c r="I1972" i="1"/>
  <c r="I1971" i="1"/>
  <c r="I1970" i="1"/>
  <c r="I1969" i="1"/>
  <c r="I1968" i="1"/>
  <c r="I1967" i="1"/>
  <c r="I1966" i="1"/>
  <c r="I1965" i="1"/>
  <c r="I1964" i="1"/>
  <c r="I1963" i="1"/>
  <c r="I1962" i="1"/>
  <c r="I1961" i="1"/>
  <c r="I1960" i="1"/>
  <c r="I1959" i="1"/>
  <c r="I1958" i="1"/>
  <c r="I1957" i="1"/>
  <c r="I1956" i="1"/>
  <c r="I1955" i="1"/>
  <c r="I1954" i="1"/>
  <c r="I1953" i="1"/>
  <c r="I1952" i="1"/>
  <c r="I1951" i="1"/>
  <c r="I1950" i="1"/>
  <c r="I1949" i="1"/>
  <c r="I1948" i="1"/>
  <c r="I1947" i="1"/>
  <c r="I1946" i="1"/>
  <c r="I1945" i="1"/>
  <c r="I1944" i="1"/>
  <c r="I1943" i="1"/>
  <c r="I1942" i="1"/>
  <c r="I1941" i="1"/>
  <c r="I1940" i="1"/>
  <c r="I1939" i="1"/>
  <c r="I1938" i="1"/>
  <c r="I1937" i="1"/>
  <c r="I1936" i="1"/>
  <c r="I1935" i="1"/>
  <c r="I1934" i="1"/>
  <c r="I1933" i="1"/>
  <c r="I1932" i="1"/>
  <c r="I1931" i="1"/>
  <c r="I1930" i="1"/>
  <c r="I1929" i="1"/>
  <c r="I1928" i="1"/>
  <c r="I1927" i="1"/>
  <c r="I1926" i="1"/>
  <c r="I1925" i="1"/>
  <c r="I1924" i="1"/>
  <c r="I1923" i="1"/>
  <c r="I1922" i="1"/>
  <c r="I1921" i="1"/>
  <c r="I1920" i="1"/>
  <c r="I1919" i="1"/>
  <c r="I1918" i="1"/>
  <c r="I1917" i="1"/>
  <c r="I1916" i="1"/>
  <c r="I1915" i="1"/>
  <c r="I1914" i="1"/>
  <c r="I1913" i="1"/>
  <c r="I1912" i="1"/>
  <c r="I1911" i="1"/>
  <c r="I1910" i="1"/>
  <c r="I1909" i="1"/>
  <c r="I1908" i="1"/>
  <c r="I1907" i="1"/>
  <c r="I1906" i="1"/>
  <c r="I1905" i="1"/>
  <c r="I1904" i="1"/>
  <c r="I1903" i="1"/>
  <c r="I1902" i="1"/>
  <c r="I1901" i="1"/>
  <c r="I1900" i="1"/>
  <c r="I1899" i="1"/>
  <c r="I1898" i="1"/>
  <c r="I1897" i="1"/>
  <c r="I1896" i="1"/>
  <c r="I1895" i="1"/>
  <c r="I1894" i="1"/>
  <c r="I1893" i="1"/>
  <c r="I1892" i="1"/>
  <c r="I1891" i="1"/>
  <c r="I1890" i="1"/>
  <c r="I1889" i="1"/>
  <c r="I1888" i="1"/>
  <c r="I1887" i="1"/>
  <c r="I1886" i="1"/>
  <c r="I1885" i="1"/>
  <c r="I1884" i="1"/>
  <c r="I1883" i="1"/>
  <c r="I1882" i="1"/>
  <c r="I1881" i="1"/>
  <c r="I1880" i="1"/>
  <c r="I1879" i="1"/>
  <c r="I1878" i="1"/>
  <c r="I1877" i="1"/>
  <c r="I1876" i="1"/>
  <c r="I1875" i="1"/>
  <c r="I1874" i="1"/>
  <c r="I1873" i="1"/>
  <c r="I1872" i="1"/>
  <c r="I1871" i="1"/>
  <c r="I1870" i="1"/>
  <c r="I1869" i="1"/>
  <c r="I1868" i="1"/>
  <c r="I1867" i="1"/>
  <c r="I1866" i="1"/>
  <c r="I1865" i="1"/>
  <c r="I1864" i="1"/>
  <c r="I1863" i="1"/>
  <c r="I1862" i="1"/>
  <c r="I1861" i="1"/>
  <c r="I1860" i="1"/>
  <c r="I1859" i="1"/>
  <c r="I1858" i="1"/>
  <c r="I1857" i="1"/>
  <c r="I1856" i="1"/>
  <c r="I1855" i="1"/>
  <c r="I1854" i="1"/>
  <c r="I1853" i="1"/>
  <c r="I1852" i="1"/>
  <c r="I1851" i="1"/>
  <c r="I1850" i="1"/>
  <c r="I1849" i="1"/>
  <c r="I1848" i="1"/>
  <c r="I1847" i="1"/>
  <c r="I1846" i="1"/>
  <c r="I1845" i="1"/>
  <c r="I1844" i="1"/>
  <c r="I1843" i="1"/>
  <c r="I1842" i="1"/>
  <c r="I1841" i="1"/>
  <c r="I1840" i="1"/>
  <c r="I1839" i="1"/>
  <c r="I1838" i="1"/>
  <c r="I1837" i="1"/>
  <c r="I1836" i="1"/>
  <c r="I1835" i="1"/>
  <c r="I1834" i="1"/>
  <c r="I1833" i="1"/>
  <c r="I1832" i="1"/>
  <c r="I1831" i="1"/>
  <c r="I1830" i="1"/>
  <c r="I1829" i="1"/>
  <c r="I1828" i="1"/>
  <c r="I1827" i="1"/>
  <c r="I1826" i="1"/>
  <c r="I1825" i="1"/>
  <c r="I1824" i="1"/>
  <c r="I1823" i="1"/>
  <c r="I1822" i="1"/>
  <c r="I1821" i="1"/>
  <c r="I1820" i="1"/>
  <c r="I1819" i="1"/>
  <c r="I1818" i="1"/>
  <c r="I1817" i="1"/>
  <c r="I1816" i="1"/>
  <c r="I1815" i="1"/>
  <c r="I1814" i="1"/>
  <c r="I1813" i="1"/>
  <c r="I1812" i="1"/>
  <c r="I1811" i="1"/>
  <c r="I1810" i="1"/>
  <c r="I1809" i="1"/>
  <c r="I1808" i="1"/>
  <c r="I1807" i="1"/>
  <c r="I1806" i="1"/>
  <c r="I1805" i="1"/>
  <c r="I1804" i="1"/>
  <c r="I1803" i="1"/>
  <c r="I1802" i="1"/>
  <c r="I1801" i="1"/>
  <c r="I1800" i="1"/>
  <c r="I1799" i="1"/>
  <c r="I1798" i="1"/>
  <c r="I1797" i="1"/>
  <c r="I1796" i="1"/>
  <c r="I1795" i="1"/>
  <c r="I1794" i="1"/>
  <c r="I1793" i="1"/>
  <c r="I1792" i="1"/>
  <c r="I1791" i="1"/>
  <c r="I1790" i="1"/>
  <c r="I1789" i="1"/>
  <c r="I1788" i="1"/>
  <c r="I1787" i="1"/>
  <c r="I1786" i="1"/>
  <c r="I1785" i="1"/>
  <c r="I1784" i="1"/>
  <c r="I1783" i="1"/>
  <c r="I1782" i="1"/>
  <c r="I1781" i="1"/>
  <c r="I1780" i="1"/>
  <c r="I1779" i="1"/>
  <c r="I1778" i="1"/>
  <c r="I1777" i="1"/>
  <c r="I1776" i="1"/>
  <c r="I1775" i="1"/>
  <c r="I1774" i="1"/>
  <c r="I1773" i="1"/>
  <c r="I1772" i="1"/>
  <c r="I1771" i="1"/>
  <c r="I1770" i="1"/>
  <c r="I1769" i="1"/>
  <c r="I1768" i="1"/>
  <c r="I1767" i="1"/>
  <c r="I1766" i="1"/>
  <c r="I1765" i="1"/>
  <c r="I1764" i="1"/>
  <c r="I1763" i="1"/>
  <c r="I1762" i="1"/>
  <c r="I1761" i="1"/>
  <c r="I1760" i="1"/>
  <c r="I1759" i="1"/>
  <c r="I1758" i="1"/>
  <c r="I1757" i="1"/>
  <c r="I1756" i="1"/>
  <c r="I1755" i="1"/>
  <c r="I1754" i="1"/>
  <c r="I1753" i="1"/>
  <c r="I1752" i="1"/>
  <c r="I1751" i="1"/>
  <c r="I1750" i="1"/>
  <c r="I1749" i="1"/>
  <c r="I1748" i="1"/>
  <c r="I1747" i="1"/>
  <c r="I1746" i="1"/>
  <c r="I1745" i="1"/>
  <c r="I1744" i="1"/>
  <c r="I1743" i="1"/>
  <c r="I1742" i="1"/>
  <c r="I1741" i="1"/>
  <c r="I1740" i="1"/>
  <c r="I1739" i="1"/>
  <c r="I1738" i="1"/>
  <c r="I1737" i="1"/>
  <c r="I1736" i="1"/>
  <c r="I1735" i="1"/>
  <c r="I1734" i="1"/>
  <c r="I1733" i="1"/>
  <c r="I1732" i="1"/>
  <c r="I1731" i="1"/>
  <c r="I1730" i="1"/>
  <c r="I1729" i="1"/>
  <c r="I1728" i="1"/>
  <c r="I1727" i="1"/>
  <c r="I1726" i="1"/>
  <c r="I1725" i="1"/>
  <c r="I1724" i="1"/>
  <c r="I1723" i="1"/>
  <c r="I1722" i="1"/>
  <c r="I1721" i="1"/>
  <c r="I1720" i="1"/>
  <c r="I1719" i="1"/>
  <c r="I1718" i="1"/>
  <c r="I1717" i="1"/>
  <c r="I1716" i="1"/>
  <c r="I1715" i="1"/>
  <c r="I1714" i="1"/>
  <c r="I1713" i="1"/>
  <c r="I1712" i="1"/>
  <c r="I1711" i="1"/>
  <c r="I1710" i="1"/>
  <c r="I1709" i="1"/>
  <c r="I1708" i="1"/>
  <c r="I1707" i="1"/>
  <c r="I1706" i="1"/>
  <c r="I1705" i="1"/>
  <c r="I1704" i="1"/>
  <c r="I1703" i="1"/>
  <c r="I1702" i="1"/>
  <c r="I1701" i="1"/>
  <c r="I1700" i="1"/>
  <c r="I1699" i="1"/>
  <c r="I1698" i="1"/>
  <c r="I1697" i="1"/>
  <c r="I1696" i="1"/>
  <c r="I1695" i="1"/>
  <c r="I1694" i="1"/>
  <c r="I1693" i="1"/>
  <c r="I1692" i="1"/>
  <c r="I1691" i="1"/>
  <c r="I1690" i="1"/>
  <c r="I1689" i="1"/>
  <c r="I1688" i="1"/>
  <c r="I1687" i="1"/>
  <c r="I1686" i="1"/>
  <c r="I1685" i="1"/>
  <c r="I1684" i="1"/>
  <c r="I1683" i="1"/>
  <c r="I1682" i="1"/>
  <c r="I1681" i="1"/>
  <c r="I1680" i="1"/>
  <c r="I1679" i="1"/>
  <c r="I1678" i="1"/>
  <c r="I1677" i="1"/>
  <c r="I1676" i="1"/>
  <c r="I1675" i="1"/>
  <c r="I1674" i="1"/>
  <c r="I1673" i="1"/>
  <c r="I1672" i="1"/>
  <c r="I1671" i="1"/>
  <c r="I1670" i="1"/>
  <c r="I1669" i="1"/>
  <c r="I1668" i="1"/>
  <c r="I1667" i="1"/>
  <c r="I1666" i="1"/>
  <c r="I1665" i="1"/>
  <c r="I1664" i="1"/>
  <c r="I1663" i="1"/>
  <c r="I1662" i="1"/>
  <c r="I1661" i="1"/>
  <c r="I1660" i="1"/>
  <c r="I1659" i="1"/>
  <c r="I1658" i="1"/>
  <c r="I1657" i="1"/>
  <c r="I1656" i="1"/>
  <c r="I1655" i="1"/>
  <c r="I1654" i="1"/>
  <c r="I1653" i="1"/>
  <c r="I1652" i="1"/>
  <c r="I1651" i="1"/>
  <c r="I1650" i="1"/>
  <c r="I1649" i="1"/>
  <c r="I1648" i="1"/>
  <c r="I1647" i="1"/>
  <c r="I1646" i="1"/>
  <c r="I1645" i="1"/>
  <c r="I1644" i="1"/>
  <c r="I1643" i="1"/>
  <c r="I1642" i="1"/>
  <c r="I1641" i="1"/>
  <c r="I1640" i="1"/>
  <c r="I1639" i="1"/>
  <c r="I1638" i="1"/>
  <c r="I1637" i="1"/>
  <c r="I1636" i="1"/>
  <c r="I1635" i="1"/>
  <c r="I1634" i="1"/>
  <c r="I1633" i="1"/>
  <c r="I1632" i="1"/>
  <c r="I1631" i="1"/>
  <c r="I1630" i="1"/>
  <c r="I1629" i="1"/>
  <c r="I1628" i="1"/>
  <c r="I1627" i="1"/>
  <c r="I1626" i="1"/>
  <c r="I1625" i="1"/>
  <c r="I1624" i="1"/>
  <c r="I1623" i="1"/>
  <c r="I1622" i="1"/>
  <c r="I1621" i="1"/>
  <c r="I1620" i="1"/>
  <c r="I1619" i="1"/>
  <c r="I1618" i="1"/>
  <c r="I1617" i="1"/>
  <c r="I1616" i="1"/>
  <c r="I1615" i="1"/>
  <c r="I1614" i="1"/>
  <c r="I1613" i="1"/>
  <c r="I1612" i="1"/>
  <c r="I1611" i="1"/>
  <c r="I1610" i="1"/>
  <c r="I1609" i="1"/>
  <c r="I1608" i="1"/>
  <c r="I1607" i="1"/>
  <c r="I1606" i="1"/>
  <c r="I1605" i="1"/>
  <c r="I1604" i="1"/>
  <c r="I1603" i="1"/>
  <c r="I1602" i="1"/>
  <c r="I1601" i="1"/>
  <c r="I1600" i="1"/>
  <c r="I1599" i="1"/>
  <c r="I1598" i="1"/>
  <c r="I1597" i="1"/>
  <c r="I1596" i="1"/>
  <c r="I1595" i="1"/>
  <c r="I1594" i="1"/>
  <c r="I1593" i="1"/>
  <c r="I1592" i="1"/>
  <c r="I1591" i="1"/>
  <c r="I1590" i="1"/>
  <c r="I1589" i="1"/>
  <c r="I1588" i="1"/>
  <c r="I1587" i="1"/>
  <c r="I1586" i="1"/>
  <c r="I1585" i="1"/>
  <c r="I1584" i="1"/>
  <c r="I1583" i="1"/>
  <c r="I1582" i="1"/>
  <c r="I1581" i="1"/>
  <c r="I1580" i="1"/>
  <c r="I1579" i="1"/>
  <c r="I1578" i="1"/>
  <c r="I1577" i="1"/>
  <c r="I1576" i="1"/>
  <c r="I1575" i="1"/>
  <c r="I1574" i="1"/>
  <c r="I1573" i="1"/>
  <c r="I1572" i="1"/>
  <c r="I1571" i="1"/>
  <c r="I1570" i="1"/>
  <c r="I1569" i="1"/>
  <c r="I1568" i="1"/>
  <c r="I1567" i="1"/>
  <c r="I1566" i="1"/>
  <c r="I1565" i="1"/>
  <c r="I1564" i="1"/>
  <c r="I1563" i="1"/>
  <c r="I1562" i="1"/>
  <c r="I1561" i="1"/>
  <c r="I1560" i="1"/>
  <c r="I1559" i="1"/>
  <c r="I1558" i="1"/>
  <c r="I1557" i="1"/>
  <c r="I1556" i="1"/>
  <c r="I1555" i="1"/>
  <c r="I1554" i="1"/>
  <c r="I1553" i="1"/>
  <c r="I1552" i="1"/>
  <c r="I1551" i="1"/>
  <c r="I1550" i="1"/>
  <c r="I1549" i="1"/>
  <c r="I1548" i="1"/>
  <c r="I1547" i="1"/>
  <c r="I1546" i="1"/>
  <c r="I1545" i="1"/>
  <c r="I1544" i="1"/>
  <c r="I1543" i="1"/>
  <c r="I1542" i="1"/>
  <c r="I1541" i="1"/>
  <c r="I1540" i="1"/>
  <c r="I1539" i="1"/>
  <c r="I1538" i="1"/>
  <c r="I1537" i="1"/>
  <c r="I1536" i="1"/>
  <c r="I1535" i="1"/>
  <c r="I1534" i="1"/>
  <c r="I1533" i="1"/>
  <c r="I1532" i="1"/>
  <c r="I1531" i="1"/>
  <c r="I1530" i="1"/>
  <c r="I1529" i="1"/>
  <c r="I1528" i="1"/>
  <c r="I1527" i="1"/>
  <c r="I1526" i="1"/>
  <c r="I1525" i="1"/>
  <c r="I1524" i="1"/>
  <c r="I1523" i="1"/>
  <c r="I1522" i="1"/>
  <c r="I1521" i="1"/>
  <c r="I1520" i="1"/>
  <c r="I1519" i="1"/>
  <c r="I1518" i="1"/>
  <c r="I1517" i="1"/>
  <c r="I1516" i="1"/>
  <c r="I1515" i="1"/>
  <c r="I1514" i="1"/>
  <c r="I1513" i="1"/>
  <c r="I1512" i="1"/>
  <c r="I1511" i="1"/>
  <c r="I1510" i="1"/>
  <c r="I1509" i="1"/>
  <c r="I1508" i="1"/>
  <c r="I1507" i="1"/>
  <c r="I1506" i="1"/>
  <c r="I1505" i="1"/>
  <c r="I1504" i="1"/>
  <c r="I1503" i="1"/>
  <c r="I1502" i="1"/>
  <c r="I1501" i="1"/>
  <c r="I1500" i="1"/>
  <c r="I1499" i="1"/>
  <c r="I1498" i="1"/>
  <c r="I1497" i="1"/>
  <c r="I1496" i="1"/>
  <c r="I1495" i="1"/>
  <c r="I1494" i="1"/>
  <c r="I1493" i="1"/>
  <c r="I1492" i="1"/>
  <c r="I1491" i="1"/>
  <c r="I1490" i="1"/>
  <c r="I1489" i="1"/>
  <c r="I1488" i="1"/>
  <c r="I1487" i="1"/>
  <c r="I1486" i="1"/>
  <c r="I1485" i="1"/>
  <c r="I1484" i="1"/>
  <c r="I1483" i="1"/>
  <c r="I1482" i="1"/>
  <c r="I1481" i="1"/>
  <c r="I1480" i="1"/>
  <c r="I1479" i="1"/>
  <c r="I1478" i="1"/>
  <c r="I1477" i="1"/>
  <c r="I1476" i="1"/>
  <c r="I1475" i="1"/>
  <c r="I1474" i="1"/>
  <c r="I1473" i="1"/>
  <c r="I1472" i="1"/>
  <c r="I1471" i="1"/>
  <c r="I1470" i="1"/>
  <c r="I1469" i="1"/>
  <c r="I1468" i="1"/>
  <c r="I1467" i="1"/>
  <c r="I1466" i="1"/>
  <c r="I1465" i="1"/>
  <c r="I1464" i="1"/>
  <c r="I1463" i="1"/>
  <c r="I1462" i="1"/>
  <c r="I1461" i="1"/>
  <c r="I1460" i="1"/>
  <c r="I1459" i="1"/>
  <c r="I1458" i="1"/>
  <c r="I1457" i="1"/>
  <c r="I1456" i="1"/>
  <c r="I1455" i="1"/>
  <c r="I1454" i="1"/>
  <c r="I1453" i="1"/>
  <c r="I1452" i="1"/>
  <c r="I1451" i="1"/>
  <c r="I1450" i="1"/>
  <c r="I1449" i="1"/>
  <c r="I1448" i="1"/>
  <c r="I1447" i="1"/>
  <c r="I1446" i="1"/>
  <c r="I1445" i="1"/>
  <c r="I1444" i="1"/>
  <c r="I1443" i="1"/>
  <c r="I1442" i="1"/>
  <c r="I1441" i="1"/>
  <c r="I1440" i="1"/>
  <c r="I1439" i="1"/>
  <c r="I1438" i="1"/>
  <c r="I1437" i="1"/>
  <c r="I1436" i="1"/>
  <c r="I1435" i="1"/>
  <c r="I1434" i="1"/>
  <c r="I1433" i="1"/>
  <c r="I1432" i="1"/>
  <c r="I1431" i="1"/>
  <c r="I1430" i="1"/>
  <c r="I1429" i="1"/>
  <c r="I1428" i="1"/>
  <c r="I1427" i="1"/>
  <c r="I1426" i="1"/>
  <c r="I1425" i="1"/>
  <c r="I1424" i="1"/>
  <c r="I1423" i="1"/>
  <c r="I1422" i="1"/>
  <c r="I1421" i="1"/>
  <c r="I1420" i="1"/>
  <c r="I1419" i="1"/>
  <c r="I1418" i="1"/>
  <c r="I1417" i="1"/>
  <c r="I1416" i="1"/>
  <c r="I1415" i="1"/>
  <c r="I1414" i="1"/>
  <c r="I1413" i="1"/>
  <c r="I1412" i="1"/>
  <c r="I1411" i="1"/>
  <c r="I1410" i="1"/>
  <c r="I1409" i="1"/>
  <c r="I1408" i="1"/>
  <c r="I1407" i="1"/>
  <c r="I1406" i="1"/>
  <c r="I1405" i="1"/>
  <c r="I1404" i="1"/>
  <c r="I1403" i="1"/>
  <c r="I1402" i="1"/>
  <c r="I1401" i="1"/>
  <c r="I1400" i="1"/>
  <c r="I1399" i="1"/>
  <c r="I1398" i="1"/>
  <c r="I1397" i="1"/>
  <c r="I1396" i="1"/>
  <c r="I1395" i="1"/>
  <c r="I1394" i="1"/>
  <c r="I1393" i="1"/>
  <c r="I1392" i="1"/>
  <c r="I1391" i="1"/>
  <c r="I1390" i="1"/>
  <c r="I1389" i="1"/>
  <c r="I1388" i="1"/>
  <c r="I1387" i="1"/>
  <c r="I1386" i="1"/>
  <c r="I1385" i="1"/>
  <c r="I1384" i="1"/>
  <c r="I1383" i="1"/>
  <c r="I1382" i="1"/>
  <c r="I1381" i="1"/>
  <c r="I1380" i="1"/>
  <c r="I1379" i="1"/>
  <c r="I1378" i="1"/>
  <c r="I1377" i="1"/>
  <c r="I1376" i="1"/>
  <c r="I1375" i="1"/>
  <c r="I1374" i="1"/>
  <c r="I1373" i="1"/>
  <c r="I1372" i="1"/>
  <c r="I1371" i="1"/>
  <c r="I1370" i="1"/>
  <c r="I1369" i="1"/>
  <c r="I1368" i="1"/>
  <c r="I1367" i="1"/>
  <c r="I1366" i="1"/>
  <c r="I1365" i="1"/>
  <c r="I1364" i="1"/>
  <c r="I1363" i="1"/>
  <c r="I1362" i="1"/>
  <c r="I1361" i="1"/>
  <c r="I1360" i="1"/>
  <c r="I1359" i="1"/>
  <c r="I1358" i="1"/>
  <c r="I1357" i="1"/>
  <c r="I1356" i="1"/>
  <c r="I1355" i="1"/>
  <c r="I1354" i="1"/>
  <c r="I1353" i="1"/>
  <c r="I1352" i="1"/>
  <c r="I1351" i="1"/>
  <c r="I1350" i="1"/>
  <c r="I1349" i="1"/>
  <c r="I1348" i="1"/>
  <c r="I1347" i="1"/>
  <c r="I1346" i="1"/>
  <c r="I1345" i="1"/>
  <c r="I1344" i="1"/>
  <c r="I1343" i="1"/>
  <c r="I1342" i="1"/>
  <c r="I1341" i="1"/>
  <c r="I1340" i="1"/>
  <c r="I1339" i="1"/>
  <c r="I1338" i="1"/>
  <c r="I1337" i="1"/>
  <c r="I1336" i="1"/>
  <c r="I1335" i="1"/>
  <c r="I1334" i="1"/>
  <c r="I1333" i="1"/>
  <c r="I1332" i="1"/>
  <c r="I1331" i="1"/>
  <c r="I1330" i="1"/>
  <c r="I1329" i="1"/>
  <c r="I1328" i="1"/>
  <c r="I1327" i="1"/>
  <c r="I1326" i="1"/>
  <c r="I1325" i="1"/>
  <c r="I1324" i="1"/>
  <c r="I1323" i="1"/>
  <c r="I1322" i="1"/>
  <c r="I1321" i="1"/>
  <c r="I1320" i="1"/>
  <c r="I1319" i="1"/>
  <c r="I1318" i="1"/>
  <c r="I1317" i="1"/>
  <c r="I1316" i="1"/>
  <c r="I1315" i="1"/>
  <c r="I1314" i="1"/>
  <c r="I1313" i="1"/>
  <c r="I1312" i="1"/>
  <c r="I1311" i="1"/>
  <c r="I1310" i="1"/>
  <c r="I1309" i="1"/>
  <c r="I1308" i="1"/>
  <c r="I1307" i="1"/>
  <c r="I1306" i="1"/>
  <c r="I1305" i="1"/>
  <c r="I1304" i="1"/>
  <c r="I1303" i="1"/>
  <c r="I1302" i="1"/>
  <c r="I1301" i="1"/>
  <c r="I1300" i="1"/>
  <c r="I1299" i="1"/>
  <c r="I1298" i="1"/>
  <c r="I1297" i="1"/>
  <c r="I1296" i="1"/>
  <c r="I1295" i="1"/>
  <c r="I1294" i="1"/>
  <c r="I1293" i="1"/>
  <c r="I1292" i="1"/>
  <c r="I1291" i="1"/>
  <c r="I1290" i="1"/>
  <c r="I1289" i="1"/>
  <c r="I1288" i="1"/>
  <c r="I1287" i="1"/>
  <c r="I1286" i="1"/>
  <c r="I1285" i="1"/>
  <c r="I1284" i="1"/>
  <c r="I1283" i="1"/>
  <c r="I1282" i="1"/>
  <c r="I1281" i="1"/>
  <c r="I1280" i="1"/>
  <c r="I1279" i="1"/>
  <c r="I1278" i="1"/>
  <c r="I1277" i="1"/>
  <c r="I1276" i="1"/>
  <c r="I1275" i="1"/>
  <c r="I1274" i="1"/>
  <c r="I1273" i="1"/>
  <c r="I1272" i="1"/>
  <c r="I1271" i="1"/>
  <c r="I1270" i="1"/>
  <c r="I1269" i="1"/>
  <c r="I1268" i="1"/>
  <c r="I1267" i="1"/>
  <c r="I1266" i="1"/>
  <c r="I1265" i="1"/>
  <c r="I1264" i="1"/>
  <c r="I1263" i="1"/>
  <c r="I1262" i="1"/>
  <c r="I1261" i="1"/>
  <c r="I1260" i="1"/>
  <c r="I1259" i="1"/>
  <c r="I1258" i="1"/>
  <c r="I1257" i="1"/>
  <c r="I1256" i="1"/>
  <c r="I1255" i="1"/>
  <c r="I1254" i="1"/>
  <c r="I1253" i="1"/>
  <c r="I1252" i="1"/>
  <c r="I1251" i="1"/>
  <c r="I1250" i="1"/>
  <c r="I1249" i="1"/>
  <c r="I1248" i="1"/>
  <c r="I1247" i="1"/>
  <c r="I1246" i="1"/>
  <c r="I1245" i="1"/>
  <c r="I1244" i="1"/>
  <c r="I1243" i="1"/>
  <c r="I1242" i="1"/>
  <c r="I1241" i="1"/>
  <c r="I1240" i="1"/>
  <c r="I1239" i="1"/>
  <c r="I1238" i="1"/>
  <c r="I1237" i="1"/>
  <c r="I1236" i="1"/>
  <c r="I1235" i="1"/>
  <c r="I1234" i="1"/>
  <c r="I1233" i="1"/>
  <c r="I1232" i="1"/>
  <c r="I1231" i="1"/>
  <c r="I1230" i="1"/>
  <c r="I1229" i="1"/>
  <c r="I1228" i="1"/>
  <c r="I1227" i="1"/>
  <c r="I1226" i="1"/>
  <c r="I1225" i="1"/>
  <c r="I1224" i="1"/>
  <c r="I1223" i="1"/>
  <c r="I1222" i="1"/>
  <c r="I1221" i="1"/>
  <c r="I1220" i="1"/>
  <c r="I1219" i="1"/>
  <c r="I1218" i="1"/>
  <c r="I1217" i="1"/>
  <c r="I1216" i="1"/>
  <c r="I1215" i="1"/>
  <c r="I1214" i="1"/>
  <c r="I1213" i="1"/>
  <c r="I1212" i="1"/>
  <c r="I1211" i="1"/>
  <c r="I1210" i="1"/>
  <c r="I1209" i="1"/>
  <c r="I1208" i="1"/>
  <c r="I1207" i="1"/>
  <c r="I1206" i="1"/>
  <c r="I1205" i="1"/>
  <c r="I1204" i="1"/>
  <c r="I1203" i="1"/>
  <c r="I1202" i="1"/>
  <c r="I1201" i="1"/>
  <c r="I1200" i="1"/>
  <c r="I1199" i="1"/>
  <c r="I1198" i="1"/>
  <c r="I1197" i="1"/>
  <c r="I1196" i="1"/>
  <c r="I1195" i="1"/>
  <c r="I1194" i="1"/>
  <c r="I1193" i="1"/>
  <c r="I1192" i="1"/>
  <c r="I1191" i="1"/>
  <c r="I1190" i="1"/>
  <c r="I1189" i="1"/>
  <c r="I1188" i="1"/>
  <c r="I1187" i="1"/>
  <c r="I1186" i="1"/>
  <c r="I1185" i="1"/>
  <c r="I1184" i="1"/>
  <c r="I1183" i="1"/>
  <c r="I1182" i="1"/>
  <c r="I1181" i="1"/>
  <c r="I1180" i="1"/>
  <c r="I1179" i="1"/>
  <c r="I1178" i="1"/>
  <c r="I1177" i="1"/>
  <c r="I1176" i="1"/>
  <c r="I1175" i="1"/>
  <c r="I1174" i="1"/>
  <c r="I1173" i="1"/>
  <c r="I1172" i="1"/>
  <c r="I1171" i="1"/>
  <c r="I1170" i="1"/>
  <c r="I1169" i="1"/>
  <c r="I1168" i="1"/>
  <c r="I1167" i="1"/>
  <c r="I1166" i="1"/>
  <c r="I1165" i="1"/>
  <c r="I1164" i="1"/>
  <c r="I1163" i="1"/>
  <c r="I1162" i="1"/>
  <c r="I1161" i="1"/>
  <c r="I1160" i="1"/>
  <c r="I1159" i="1"/>
  <c r="I1158" i="1"/>
  <c r="I1157" i="1"/>
  <c r="I1156" i="1"/>
  <c r="I1155" i="1"/>
  <c r="I1154" i="1"/>
  <c r="I1153" i="1"/>
  <c r="I1152" i="1"/>
  <c r="I1151" i="1"/>
  <c r="I1150" i="1"/>
  <c r="I1149" i="1"/>
  <c r="I1148" i="1"/>
  <c r="I1147" i="1"/>
  <c r="I1146" i="1"/>
  <c r="I1145" i="1"/>
  <c r="I1144" i="1"/>
  <c r="I1143" i="1"/>
  <c r="I1142" i="1"/>
  <c r="I1141" i="1"/>
  <c r="I1140" i="1"/>
  <c r="I1139" i="1"/>
  <c r="I1138" i="1"/>
  <c r="I1137" i="1"/>
  <c r="I1136" i="1"/>
  <c r="I1135" i="1"/>
  <c r="I1134" i="1"/>
  <c r="I1133" i="1"/>
  <c r="I1132" i="1"/>
  <c r="I1131" i="1"/>
  <c r="I1130" i="1"/>
  <c r="I1129" i="1"/>
  <c r="I1128" i="1"/>
  <c r="I1127" i="1"/>
  <c r="I1126" i="1"/>
  <c r="I1125" i="1"/>
  <c r="I1124" i="1"/>
  <c r="I1123" i="1"/>
  <c r="I1122" i="1"/>
  <c r="I1121" i="1"/>
  <c r="I1120" i="1"/>
  <c r="I1119" i="1"/>
  <c r="I1118" i="1"/>
  <c r="I1117" i="1"/>
  <c r="I1116" i="1"/>
  <c r="I1115" i="1"/>
  <c r="I1114" i="1"/>
  <c r="I1113" i="1"/>
  <c r="I1112" i="1"/>
  <c r="I1111" i="1"/>
  <c r="I1110" i="1"/>
  <c r="I1109" i="1"/>
  <c r="I1108" i="1"/>
  <c r="I1107" i="1"/>
  <c r="I1106" i="1"/>
  <c r="I1105" i="1"/>
  <c r="I1104" i="1"/>
  <c r="I1103" i="1"/>
  <c r="I1102" i="1"/>
  <c r="I1101" i="1"/>
  <c r="I1100" i="1"/>
  <c r="I1099" i="1"/>
  <c r="I1098" i="1"/>
  <c r="I1097" i="1"/>
  <c r="I1096" i="1"/>
  <c r="I1095" i="1"/>
  <c r="I1094" i="1"/>
  <c r="I1093" i="1"/>
  <c r="I1092" i="1"/>
  <c r="I1091" i="1"/>
  <c r="I1090" i="1"/>
  <c r="I1089" i="1"/>
  <c r="I1088" i="1"/>
  <c r="I1087" i="1"/>
  <c r="I1086" i="1"/>
  <c r="I1085" i="1"/>
  <c r="I1084" i="1"/>
  <c r="I1083" i="1"/>
  <c r="I1082" i="1"/>
  <c r="I1081" i="1"/>
  <c r="I1080" i="1"/>
  <c r="I1079" i="1"/>
  <c r="I1078" i="1"/>
  <c r="I1077" i="1"/>
  <c r="I1076" i="1"/>
  <c r="I1075" i="1"/>
  <c r="I1074" i="1"/>
  <c r="I1073" i="1"/>
  <c r="I1072" i="1"/>
  <c r="I1071" i="1"/>
  <c r="I1070" i="1"/>
  <c r="I1069" i="1"/>
  <c r="I1068" i="1"/>
  <c r="I1067" i="1"/>
  <c r="I1066" i="1"/>
  <c r="I1065" i="1"/>
  <c r="I1064" i="1"/>
  <c r="I1063" i="1"/>
  <c r="I1062" i="1"/>
  <c r="I1061" i="1"/>
  <c r="I1060" i="1"/>
  <c r="I1059" i="1"/>
  <c r="I1058" i="1"/>
  <c r="I1057" i="1"/>
  <c r="I1056" i="1"/>
  <c r="I1055" i="1"/>
  <c r="I1054" i="1"/>
  <c r="I1053" i="1"/>
  <c r="I1052" i="1"/>
  <c r="I1051" i="1"/>
  <c r="I1050" i="1"/>
  <c r="I1049" i="1"/>
  <c r="I1048" i="1"/>
  <c r="I1047" i="1"/>
  <c r="I1046" i="1"/>
  <c r="I1045" i="1"/>
  <c r="I1044" i="1"/>
  <c r="I1043" i="1"/>
  <c r="I1042" i="1"/>
  <c r="I1041" i="1"/>
  <c r="I1040" i="1"/>
  <c r="I1039" i="1"/>
  <c r="I1038" i="1"/>
  <c r="I1037" i="1"/>
  <c r="I1036" i="1"/>
  <c r="I1035" i="1"/>
  <c r="I1034" i="1"/>
  <c r="I1033" i="1"/>
  <c r="I1032" i="1"/>
  <c r="I1031" i="1"/>
  <c r="I1030" i="1"/>
  <c r="I1029" i="1"/>
  <c r="I1028" i="1"/>
  <c r="I1027" i="1"/>
  <c r="I1026" i="1"/>
  <c r="I1025" i="1"/>
  <c r="I1024" i="1"/>
  <c r="I1023" i="1"/>
  <c r="I1022" i="1"/>
  <c r="I1021" i="1"/>
  <c r="I1020" i="1"/>
  <c r="I1019" i="1"/>
  <c r="I1018" i="1"/>
  <c r="I1017" i="1"/>
  <c r="I1016" i="1"/>
  <c r="I1015" i="1"/>
  <c r="I1014" i="1"/>
  <c r="I1013" i="1"/>
  <c r="I1012" i="1"/>
  <c r="I1011" i="1"/>
  <c r="I1010" i="1"/>
  <c r="I1009" i="1"/>
  <c r="I1008" i="1"/>
  <c r="I1007" i="1"/>
  <c r="I1006" i="1"/>
  <c r="I1005" i="1"/>
  <c r="I1004" i="1"/>
  <c r="I1003" i="1"/>
  <c r="I1002" i="1"/>
  <c r="I1001" i="1"/>
  <c r="I1000" i="1"/>
  <c r="I999" i="1"/>
  <c r="I998" i="1"/>
  <c r="I997" i="1"/>
  <c r="I996" i="1"/>
  <c r="I995" i="1"/>
  <c r="I994" i="1"/>
  <c r="I993" i="1"/>
  <c r="I992" i="1"/>
  <c r="I991" i="1"/>
  <c r="I990" i="1"/>
  <c r="I989" i="1"/>
  <c r="I988" i="1"/>
  <c r="I987" i="1"/>
  <c r="I986" i="1"/>
  <c r="I985" i="1"/>
  <c r="I984" i="1"/>
  <c r="I983" i="1"/>
  <c r="I982" i="1"/>
  <c r="I981" i="1"/>
  <c r="I980" i="1"/>
  <c r="I979" i="1"/>
  <c r="I978" i="1"/>
  <c r="I977" i="1"/>
  <c r="I976" i="1"/>
  <c r="I975" i="1"/>
  <c r="I974" i="1"/>
  <c r="I973" i="1"/>
  <c r="I972" i="1"/>
  <c r="I971" i="1"/>
  <c r="I970" i="1"/>
  <c r="I969" i="1"/>
  <c r="I968" i="1"/>
  <c r="I967" i="1"/>
  <c r="I966" i="1"/>
  <c r="I965" i="1"/>
  <c r="I964" i="1"/>
  <c r="I963" i="1"/>
  <c r="I962" i="1"/>
  <c r="I961" i="1"/>
  <c r="I960" i="1"/>
  <c r="I959" i="1"/>
  <c r="I958" i="1"/>
  <c r="I957" i="1"/>
  <c r="I956" i="1"/>
  <c r="I955" i="1"/>
  <c r="I954" i="1"/>
  <c r="I953" i="1"/>
  <c r="I952" i="1"/>
  <c r="I951" i="1"/>
  <c r="I950" i="1"/>
  <c r="I949" i="1"/>
  <c r="I948" i="1"/>
  <c r="I947" i="1"/>
  <c r="I946" i="1"/>
  <c r="I945" i="1"/>
  <c r="I944" i="1"/>
  <c r="I943" i="1"/>
  <c r="I942" i="1"/>
  <c r="I941" i="1"/>
  <c r="I940" i="1"/>
  <c r="I939" i="1"/>
  <c r="I938" i="1"/>
  <c r="I937" i="1"/>
  <c r="I936" i="1"/>
  <c r="I935" i="1"/>
  <c r="I934" i="1"/>
  <c r="I933" i="1"/>
  <c r="I932" i="1"/>
  <c r="I931" i="1"/>
  <c r="I930" i="1"/>
  <c r="I929" i="1"/>
  <c r="I928" i="1"/>
  <c r="I927" i="1"/>
  <c r="I926" i="1"/>
  <c r="I925" i="1"/>
  <c r="I924" i="1"/>
  <c r="I923" i="1"/>
  <c r="I922" i="1"/>
  <c r="I921" i="1"/>
  <c r="I920" i="1"/>
  <c r="I919" i="1"/>
  <c r="I918" i="1"/>
  <c r="I917" i="1"/>
  <c r="I916" i="1"/>
  <c r="I915" i="1"/>
  <c r="I914" i="1"/>
  <c r="I913" i="1"/>
  <c r="I912" i="1"/>
  <c r="I911" i="1"/>
  <c r="I910" i="1"/>
  <c r="I909" i="1"/>
  <c r="I908" i="1"/>
  <c r="I907" i="1"/>
  <c r="I906" i="1"/>
  <c r="I905" i="1"/>
  <c r="I904" i="1"/>
  <c r="I903" i="1"/>
  <c r="I902" i="1"/>
  <c r="I901" i="1"/>
  <c r="I900" i="1"/>
  <c r="I899" i="1"/>
  <c r="I898" i="1"/>
  <c r="I897" i="1"/>
  <c r="I896" i="1"/>
  <c r="I895" i="1"/>
  <c r="I894" i="1"/>
  <c r="I893" i="1"/>
  <c r="I892" i="1"/>
  <c r="I891" i="1"/>
  <c r="I890" i="1"/>
  <c r="I889" i="1"/>
  <c r="I888" i="1"/>
  <c r="I887" i="1"/>
  <c r="I886" i="1"/>
  <c r="I885" i="1"/>
  <c r="I884" i="1"/>
  <c r="I883" i="1"/>
  <c r="I882" i="1"/>
  <c r="I881" i="1"/>
  <c r="I880" i="1"/>
  <c r="I879" i="1"/>
  <c r="I878" i="1"/>
  <c r="I877" i="1"/>
  <c r="I876" i="1"/>
  <c r="I875" i="1"/>
  <c r="I874" i="1"/>
  <c r="I873" i="1"/>
  <c r="I872" i="1"/>
  <c r="I871" i="1"/>
  <c r="I870" i="1"/>
  <c r="I869" i="1"/>
  <c r="I868" i="1"/>
  <c r="I867" i="1"/>
  <c r="I866" i="1"/>
  <c r="I865" i="1"/>
  <c r="I864" i="1"/>
  <c r="I863" i="1"/>
  <c r="I862" i="1"/>
  <c r="I861" i="1"/>
  <c r="I860" i="1"/>
  <c r="I859" i="1"/>
  <c r="I858" i="1"/>
  <c r="I857" i="1"/>
  <c r="I856" i="1"/>
  <c r="I855" i="1"/>
  <c r="I854" i="1"/>
  <c r="I853" i="1"/>
  <c r="I852" i="1"/>
  <c r="I851" i="1"/>
  <c r="I850" i="1"/>
  <c r="I849" i="1"/>
  <c r="I848" i="1"/>
  <c r="I847" i="1"/>
  <c r="I846" i="1"/>
  <c r="I845" i="1"/>
  <c r="I844" i="1"/>
  <c r="I843" i="1"/>
  <c r="I842" i="1"/>
  <c r="I841" i="1"/>
  <c r="I840" i="1"/>
  <c r="I839" i="1"/>
  <c r="I838" i="1"/>
  <c r="I837" i="1"/>
  <c r="I836" i="1"/>
  <c r="I835" i="1"/>
  <c r="I834" i="1"/>
  <c r="I833" i="1"/>
  <c r="I832" i="1"/>
  <c r="I831" i="1"/>
  <c r="I830" i="1"/>
  <c r="I829" i="1"/>
  <c r="I828" i="1"/>
  <c r="I827" i="1"/>
  <c r="I826" i="1"/>
  <c r="I825" i="1"/>
  <c r="I824" i="1"/>
  <c r="I823" i="1"/>
  <c r="I822" i="1"/>
  <c r="I821" i="1"/>
  <c r="I820" i="1"/>
  <c r="I819" i="1"/>
  <c r="I818" i="1"/>
  <c r="I817" i="1"/>
  <c r="I816" i="1"/>
  <c r="I815" i="1"/>
  <c r="I814" i="1"/>
  <c r="I813" i="1"/>
  <c r="I812" i="1"/>
  <c r="I811" i="1"/>
  <c r="I810" i="1"/>
  <c r="I809" i="1"/>
  <c r="I808" i="1"/>
  <c r="I807" i="1"/>
  <c r="I806" i="1"/>
  <c r="I805" i="1"/>
  <c r="I804" i="1"/>
  <c r="I803" i="1"/>
  <c r="I802" i="1"/>
  <c r="I801" i="1"/>
  <c r="I800" i="1"/>
  <c r="I799" i="1"/>
  <c r="I798" i="1"/>
  <c r="I797" i="1"/>
  <c r="I796" i="1"/>
  <c r="I795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8" i="1"/>
  <c r="I247" i="1"/>
  <c r="I246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G40" i="9"/>
  <c r="G38" i="9"/>
  <c r="G37" i="9"/>
  <c r="G35" i="9"/>
  <c r="G34" i="9"/>
  <c r="L2224" i="1"/>
  <c r="K2224" i="1"/>
  <c r="L2131" i="1"/>
  <c r="K2131" i="1"/>
  <c r="L2101" i="1"/>
  <c r="K2101" i="1"/>
  <c r="L2070" i="1"/>
  <c r="K2070" i="1"/>
  <c r="K2103" i="1"/>
  <c r="K2106" i="1"/>
  <c r="L2106" i="1" s="1"/>
  <c r="J2118" i="1"/>
  <c r="K2109" i="1" l="1"/>
  <c r="L2103" i="1"/>
  <c r="L2109" i="1" s="1"/>
  <c r="K2133" i="1" l="1"/>
  <c r="L2133" i="1" s="1"/>
  <c r="K2136" i="1"/>
  <c r="L2136" i="1" s="1"/>
  <c r="G6" i="9"/>
  <c r="G15" i="9"/>
  <c r="G14" i="9"/>
  <c r="G13" i="9"/>
  <c r="G12" i="9"/>
  <c r="G11" i="9"/>
  <c r="G10" i="9"/>
  <c r="G9" i="9"/>
  <c r="G8" i="9"/>
  <c r="G7" i="9"/>
  <c r="G42" i="9"/>
  <c r="I42" i="9" s="1"/>
  <c r="A42" i="9"/>
  <c r="I41" i="9"/>
  <c r="A41" i="9"/>
  <c r="I40" i="9"/>
  <c r="A40" i="9"/>
  <c r="G39" i="9"/>
  <c r="I39" i="9" s="1"/>
  <c r="A39" i="9"/>
  <c r="I38" i="9"/>
  <c r="A38" i="9"/>
  <c r="I37" i="9"/>
  <c r="A37" i="9"/>
  <c r="G36" i="9"/>
  <c r="I36" i="9" s="1"/>
  <c r="A36" i="9"/>
  <c r="I35" i="9"/>
  <c r="I34" i="9"/>
  <c r="G33" i="9"/>
  <c r="G32" i="9"/>
  <c r="G31" i="9"/>
  <c r="I31" i="9" s="1"/>
  <c r="K2440" i="1"/>
  <c r="K2562" i="1"/>
  <c r="K2532" i="1"/>
  <c r="K2501" i="1"/>
  <c r="K2471" i="1"/>
  <c r="K2409" i="1"/>
  <c r="K2379" i="1"/>
  <c r="K2348" i="1"/>
  <c r="K2318" i="1"/>
  <c r="K2287" i="1"/>
  <c r="J2544" i="1"/>
  <c r="K2529" i="1"/>
  <c r="L2529" i="1" s="1"/>
  <c r="J2483" i="1"/>
  <c r="K2468" i="1"/>
  <c r="L2468" i="1" s="1"/>
  <c r="I32" i="9" l="1"/>
  <c r="I33" i="9"/>
  <c r="K2535" i="1"/>
  <c r="L2532" i="1"/>
  <c r="L2535" i="1" s="1"/>
  <c r="K2474" i="1"/>
  <c r="L2471" i="1"/>
  <c r="L2474" i="1" s="1"/>
  <c r="J2421" i="1"/>
  <c r="K2406" i="1"/>
  <c r="L2406" i="1" l="1"/>
  <c r="K2412" i="1"/>
  <c r="L2409" i="1"/>
  <c r="J2360" i="1"/>
  <c r="K2345" i="1"/>
  <c r="L2345" i="1" s="1"/>
  <c r="L2412" i="1" l="1"/>
  <c r="K2351" i="1"/>
  <c r="L2348" i="1"/>
  <c r="L2351" i="1" s="1"/>
  <c r="J2299" i="1"/>
  <c r="K2284" i="1"/>
  <c r="L2284" i="1" s="1"/>
  <c r="K2290" i="1" l="1"/>
  <c r="L2287" i="1"/>
  <c r="L2290" i="1" s="1"/>
  <c r="J2574" i="1"/>
  <c r="K2559" i="1"/>
  <c r="L2559" i="1" s="1"/>
  <c r="J2513" i="1"/>
  <c r="K2498" i="1"/>
  <c r="L2498" i="1" s="1"/>
  <c r="J2452" i="1"/>
  <c r="K2437" i="1"/>
  <c r="L2437" i="1" s="1"/>
  <c r="J2391" i="1"/>
  <c r="K2376" i="1"/>
  <c r="L2376" i="1" s="1"/>
  <c r="J2330" i="1"/>
  <c r="K2315" i="1"/>
  <c r="L2315" i="1" s="1"/>
  <c r="K2259" i="1"/>
  <c r="J2271" i="1"/>
  <c r="K2256" i="1"/>
  <c r="L2256" i="1" s="1"/>
  <c r="K2228" i="1"/>
  <c r="J2240" i="1"/>
  <c r="K2225" i="1"/>
  <c r="L2225" i="1" s="1"/>
  <c r="K2197" i="1"/>
  <c r="J2209" i="1"/>
  <c r="K2194" i="1"/>
  <c r="L2194" i="1" s="1"/>
  <c r="K2075" i="1"/>
  <c r="K2167" i="1"/>
  <c r="J2179" i="1"/>
  <c r="K2164" i="1"/>
  <c r="L2164" i="1" s="1"/>
  <c r="J2148" i="1"/>
  <c r="L2562" i="1" l="1"/>
  <c r="K2565" i="1"/>
  <c r="K2504" i="1"/>
  <c r="L2501" i="1"/>
  <c r="L2504" i="1" s="1"/>
  <c r="L2440" i="1"/>
  <c r="K2443" i="1"/>
  <c r="K2382" i="1"/>
  <c r="L2379" i="1"/>
  <c r="L2382" i="1" s="1"/>
  <c r="L2318" i="1"/>
  <c r="K2321" i="1"/>
  <c r="K2262" i="1"/>
  <c r="L2259" i="1"/>
  <c r="L2262" i="1" s="1"/>
  <c r="K2231" i="1"/>
  <c r="L2228" i="1"/>
  <c r="L2231" i="1" s="1"/>
  <c r="K2200" i="1"/>
  <c r="L2197" i="1"/>
  <c r="L2200" i="1" s="1"/>
  <c r="K2170" i="1"/>
  <c r="L2167" i="1"/>
  <c r="L2170" i="1" s="1"/>
  <c r="K2139" i="1"/>
  <c r="K2072" i="1"/>
  <c r="K2078" i="1" s="1"/>
  <c r="J2087" i="1"/>
  <c r="L2081" i="1"/>
  <c r="K2081" i="1"/>
  <c r="K2590" i="1"/>
  <c r="L2590" i="1" s="1"/>
  <c r="K2094" i="1" l="1"/>
  <c r="L2072" i="1"/>
  <c r="L2565" i="1"/>
  <c r="L2443" i="1"/>
  <c r="L2321" i="1"/>
  <c r="L2139" i="1"/>
  <c r="K2089" i="1"/>
  <c r="J9" i="5" l="1"/>
  <c r="J8" i="5"/>
  <c r="J7" i="5"/>
  <c r="J6" i="5"/>
  <c r="J5" i="5"/>
  <c r="J4" i="5"/>
  <c r="J3" i="5"/>
  <c r="H36" i="6" l="1"/>
  <c r="H37" i="6"/>
  <c r="H3" i="5" s="1"/>
  <c r="H38" i="6"/>
  <c r="H4" i="5" s="1"/>
  <c r="H39" i="6"/>
  <c r="H5" i="5" s="1"/>
  <c r="H40" i="6"/>
  <c r="H41" i="6"/>
  <c r="H7" i="5" s="1"/>
  <c r="H42" i="6"/>
  <c r="H8" i="5" s="1"/>
  <c r="H19" i="6"/>
  <c r="H20" i="6"/>
  <c r="H21" i="6"/>
  <c r="E7" i="5" s="1"/>
  <c r="F7" i="5" s="1"/>
  <c r="L2509" i="1" s="1"/>
  <c r="H22" i="6"/>
  <c r="E8" i="5" s="1"/>
  <c r="F8" i="5" s="1"/>
  <c r="L2540" i="1" s="1"/>
  <c r="H2" i="6"/>
  <c r="H3" i="6"/>
  <c r="H4" i="6"/>
  <c r="B7" i="5" s="1"/>
  <c r="H5" i="6"/>
  <c r="B8" i="5" s="1"/>
  <c r="H6" i="6"/>
  <c r="I6" i="6" s="1"/>
  <c r="B5" i="7" a="1"/>
  <c r="B41" i="9" l="1"/>
  <c r="I8" i="5"/>
  <c r="C41" i="9" s="1"/>
  <c r="I5" i="5"/>
  <c r="C38" i="9" s="1"/>
  <c r="B38" i="9"/>
  <c r="I7" i="5"/>
  <c r="C40" i="9" s="1"/>
  <c r="B40" i="9"/>
  <c r="I4" i="5"/>
  <c r="C37" i="9" s="1"/>
  <c r="B37" i="9"/>
  <c r="D8" i="5"/>
  <c r="C8" i="5"/>
  <c r="K2540" i="1" s="1"/>
  <c r="Q8" i="5" s="1"/>
  <c r="L2538" i="1"/>
  <c r="B2529" i="1" s="1"/>
  <c r="L2507" i="1" s="1"/>
  <c r="D7" i="5"/>
  <c r="C7" i="5"/>
  <c r="K2509" i="1" s="1"/>
  <c r="I20" i="6"/>
  <c r="E6" i="5"/>
  <c r="F6" i="5" s="1"/>
  <c r="L2479" i="1" s="1"/>
  <c r="L2236" i="1"/>
  <c r="B9" i="5"/>
  <c r="I2" i="6"/>
  <c r="B5" i="5"/>
  <c r="E9" i="5"/>
  <c r="F9" i="5" s="1"/>
  <c r="L2570" i="1" s="1"/>
  <c r="I19" i="6"/>
  <c r="E5" i="5"/>
  <c r="F5" i="5" s="1"/>
  <c r="L2448" i="1" s="1"/>
  <c r="L2326" i="1"/>
  <c r="I42" i="6"/>
  <c r="I38" i="6"/>
  <c r="I4" i="6"/>
  <c r="I21" i="6"/>
  <c r="I3" i="6"/>
  <c r="B6" i="5"/>
  <c r="L2356" i="1"/>
  <c r="I39" i="6"/>
  <c r="I5" i="6"/>
  <c r="I22" i="6"/>
  <c r="L2417" i="1"/>
  <c r="L2295" i="1"/>
  <c r="I41" i="6"/>
  <c r="I37" i="6"/>
  <c r="L2387" i="1"/>
  <c r="L2267" i="1"/>
  <c r="I40" i="6"/>
  <c r="H6" i="5"/>
  <c r="I6" i="5" s="1"/>
  <c r="I36" i="6"/>
  <c r="L2546" i="1"/>
  <c r="L2551" i="1"/>
  <c r="I3" i="5" l="1"/>
  <c r="C36" i="9" s="1"/>
  <c r="B36" i="9"/>
  <c r="C39" i="9"/>
  <c r="B39" i="9"/>
  <c r="B2528" i="1"/>
  <c r="B2526" i="1"/>
  <c r="B2527" i="1"/>
  <c r="K2538" i="1"/>
  <c r="A2529" i="1" s="1"/>
  <c r="K2507" i="1" s="1"/>
  <c r="R7" i="5" s="1"/>
  <c r="L2446" i="1"/>
  <c r="L2354" i="1"/>
  <c r="L2265" i="1"/>
  <c r="C6" i="5"/>
  <c r="K2479" i="1" s="1"/>
  <c r="D6" i="5"/>
  <c r="C5" i="5"/>
  <c r="K2448" i="1" s="1"/>
  <c r="Q5" i="5" s="1"/>
  <c r="D5" i="5"/>
  <c r="K2417" i="1"/>
  <c r="K2387" i="1"/>
  <c r="C9" i="5"/>
  <c r="K2570" i="1" s="1"/>
  <c r="D9" i="5"/>
  <c r="K2356" i="1"/>
  <c r="L2362" i="1"/>
  <c r="L2273" i="1"/>
  <c r="K2546" i="1"/>
  <c r="L2278" i="1"/>
  <c r="K2551" i="1"/>
  <c r="L2367" i="1"/>
  <c r="L2459" i="1"/>
  <c r="L2454" i="1"/>
  <c r="K2326" i="1" l="1"/>
  <c r="K2295" i="1"/>
  <c r="K2267" i="1"/>
  <c r="K2236" i="1"/>
  <c r="A2526" i="1"/>
  <c r="A2527" i="1"/>
  <c r="A2528" i="1"/>
  <c r="L2415" i="1"/>
  <c r="L2324" i="1"/>
  <c r="K2446" i="1"/>
  <c r="K2354" i="1"/>
  <c r="L2234" i="1"/>
  <c r="K2362" i="1"/>
  <c r="K2454" i="1"/>
  <c r="K2367" i="1"/>
  <c r="K2459" i="1"/>
  <c r="K2265" i="1" l="1"/>
  <c r="K2234" i="1" s="1"/>
  <c r="K2415" i="1"/>
  <c r="K2324" i="1"/>
  <c r="K2273" i="1"/>
  <c r="K2278" i="1"/>
  <c r="L2175" i="1" l="1"/>
  <c r="L2173" i="1" l="1"/>
  <c r="L2144" i="1"/>
  <c r="L2186" i="1"/>
  <c r="L2181" i="1"/>
  <c r="L2142" i="1" l="1"/>
  <c r="G20" i="9"/>
  <c r="G25" i="9"/>
  <c r="L2114" i="1" l="1"/>
  <c r="G30" i="9"/>
  <c r="I30" i="9" s="1"/>
  <c r="G28" i="9"/>
  <c r="G27" i="9"/>
  <c r="G26" i="9"/>
  <c r="G24" i="9"/>
  <c r="G23" i="9"/>
  <c r="G22" i="9"/>
  <c r="I22" i="9" s="1"/>
  <c r="G21" i="9"/>
  <c r="I21" i="9" s="1"/>
  <c r="G19" i="9"/>
  <c r="I19" i="9" s="1"/>
  <c r="G18" i="9"/>
  <c r="G17" i="9"/>
  <c r="I17" i="9" s="1"/>
  <c r="G16" i="9"/>
  <c r="I16" i="9" s="1"/>
  <c r="C29" i="9"/>
  <c r="B29" i="9"/>
  <c r="C28" i="9"/>
  <c r="B28" i="9"/>
  <c r="B26" i="9"/>
  <c r="I25" i="9"/>
  <c r="K1896" i="1"/>
  <c r="L1895" i="1"/>
  <c r="K1891" i="1"/>
  <c r="K2016" i="1"/>
  <c r="L2015" i="1"/>
  <c r="K2011" i="1"/>
  <c r="K1955" i="1"/>
  <c r="L1954" i="1"/>
  <c r="K1950" i="1"/>
  <c r="L2075" i="1"/>
  <c r="K2046" i="1"/>
  <c r="L2045" i="1"/>
  <c r="K2041" i="1"/>
  <c r="K2051" i="1" s="1"/>
  <c r="K1985" i="1"/>
  <c r="L1984" i="1"/>
  <c r="K1980" i="1"/>
  <c r="K1987" i="1" s="1"/>
  <c r="K1924" i="1"/>
  <c r="L1923" i="1"/>
  <c r="K1919" i="1"/>
  <c r="K1865" i="1"/>
  <c r="L1864" i="1"/>
  <c r="K1860" i="1"/>
  <c r="K1870" i="1" s="1"/>
  <c r="L2211" i="1"/>
  <c r="L2216" i="1"/>
  <c r="L2078" i="1" l="1"/>
  <c r="G29" i="9"/>
  <c r="I29" i="9" s="1"/>
  <c r="L2028" i="1"/>
  <c r="K2049" i="1"/>
  <c r="K1960" i="1"/>
  <c r="K1958" i="1"/>
  <c r="K1901" i="1"/>
  <c r="K1899" i="1"/>
  <c r="K1990" i="1"/>
  <c r="K1988" i="1"/>
  <c r="K1929" i="1"/>
  <c r="K1927" i="1"/>
  <c r="K1926" i="1"/>
  <c r="K2021" i="1"/>
  <c r="K2018" i="1"/>
  <c r="K2019" i="1"/>
  <c r="L2083" i="1"/>
  <c r="L1980" i="1"/>
  <c r="L1950" i="1"/>
  <c r="L1860" i="1"/>
  <c r="L1870" i="1" s="1"/>
  <c r="I27" i="9"/>
  <c r="I23" i="9"/>
  <c r="I20" i="9"/>
  <c r="I24" i="9"/>
  <c r="I28" i="9"/>
  <c r="L2058" i="1"/>
  <c r="L1896" i="1"/>
  <c r="L1891" i="1"/>
  <c r="L1899" i="1" s="1"/>
  <c r="L2016" i="1"/>
  <c r="L2011" i="1"/>
  <c r="L1955" i="1"/>
  <c r="L2046" i="1"/>
  <c r="L2041" i="1"/>
  <c r="L2049" i="1" s="1"/>
  <c r="L1985" i="1"/>
  <c r="L1924" i="1"/>
  <c r="L1919" i="1"/>
  <c r="L1865" i="1"/>
  <c r="L2089" i="1" l="1"/>
  <c r="I26" i="9"/>
  <c r="L1960" i="1"/>
  <c r="L1958" i="1"/>
  <c r="L1926" i="1"/>
  <c r="L1927" i="1"/>
  <c r="L2019" i="1"/>
  <c r="L2018" i="1"/>
  <c r="L1990" i="1"/>
  <c r="L1988" i="1"/>
  <c r="L1987" i="1"/>
  <c r="L1997" i="1"/>
  <c r="L1901" i="1"/>
  <c r="L2021" i="1"/>
  <c r="L2051" i="1"/>
  <c r="L1929" i="1"/>
  <c r="L2094" i="1"/>
  <c r="I14" i="9" l="1"/>
  <c r="L2205" i="1" l="1"/>
  <c r="L1908" i="1"/>
  <c r="L1877" i="1"/>
  <c r="L1967" i="1"/>
  <c r="L1936" i="1"/>
  <c r="K2114" i="1" l="1"/>
  <c r="B24" i="9"/>
  <c r="C7" i="7"/>
  <c r="K2144" i="1" l="1"/>
  <c r="K2175" i="1"/>
  <c r="K2058" i="1"/>
  <c r="K1967" i="1"/>
  <c r="K1997" i="1"/>
  <c r="K2083" i="1"/>
  <c r="K2028" i="1"/>
  <c r="K1936" i="1"/>
  <c r="L1846" i="1"/>
  <c r="I13" i="9"/>
  <c r="K2173" i="1" l="1"/>
  <c r="K2142" i="1" s="1"/>
  <c r="I18" i="9"/>
  <c r="I11" i="9"/>
  <c r="I9" i="9"/>
  <c r="I15" i="9"/>
  <c r="I12" i="9"/>
  <c r="I8" i="9"/>
  <c r="A2" i="5"/>
  <c r="A1" i="5"/>
  <c r="K1407" i="1"/>
  <c r="L1406" i="1"/>
  <c r="K1402" i="1"/>
  <c r="K1410" i="1" s="1"/>
  <c r="K2181" i="1"/>
  <c r="K2186" i="1"/>
  <c r="L1407" i="1" l="1"/>
  <c r="L1402" i="1"/>
  <c r="K1834" i="1"/>
  <c r="L1834" i="1" s="1"/>
  <c r="L1833" i="1"/>
  <c r="K1829" i="1"/>
  <c r="L1816" i="1"/>
  <c r="K1804" i="1"/>
  <c r="L1804" i="1" s="1"/>
  <c r="L1803" i="1"/>
  <c r="K1799" i="1"/>
  <c r="K1806" i="1" s="1"/>
  <c r="K1773" i="1"/>
  <c r="L1773" i="1" s="1"/>
  <c r="L1772" i="1"/>
  <c r="K1768" i="1"/>
  <c r="K1743" i="1"/>
  <c r="L1742" i="1"/>
  <c r="K1738" i="1"/>
  <c r="K1712" i="1"/>
  <c r="L1712" i="1" s="1"/>
  <c r="L1711" i="1"/>
  <c r="K1707" i="1"/>
  <c r="K1715" i="1" s="1"/>
  <c r="K1681" i="1"/>
  <c r="L1681" i="1" s="1"/>
  <c r="L1680" i="1"/>
  <c r="K1676" i="1"/>
  <c r="K1684" i="1" s="1"/>
  <c r="K1651" i="1"/>
  <c r="L1650" i="1"/>
  <c r="K1646" i="1"/>
  <c r="K1654" i="1" s="1"/>
  <c r="K1620" i="1"/>
  <c r="L1620" i="1" s="1"/>
  <c r="L1619" i="1"/>
  <c r="K1615" i="1"/>
  <c r="K1623" i="1" s="1"/>
  <c r="K1590" i="1"/>
  <c r="L1589" i="1"/>
  <c r="K1585" i="1"/>
  <c r="L1585" i="1" s="1"/>
  <c r="K1559" i="1"/>
  <c r="L1559" i="1" s="1"/>
  <c r="L1558" i="1"/>
  <c r="K1554" i="1"/>
  <c r="K1562" i="1" s="1"/>
  <c r="K1530" i="1"/>
  <c r="L1530" i="1" s="1"/>
  <c r="L1529" i="1"/>
  <c r="K1525" i="1"/>
  <c r="K1533" i="1" s="1"/>
  <c r="K1499" i="1"/>
  <c r="L1499" i="1" s="1"/>
  <c r="L1498" i="1"/>
  <c r="K1494" i="1"/>
  <c r="K1502" i="1" s="1"/>
  <c r="K1468" i="1"/>
  <c r="L1467" i="1"/>
  <c r="K1463" i="1"/>
  <c r="K1471" i="1" s="1"/>
  <c r="Z1440" i="1"/>
  <c r="AB1440" i="1" s="1"/>
  <c r="L1437" i="1"/>
  <c r="K1438" i="1"/>
  <c r="L1438" i="1" s="1"/>
  <c r="K1433" i="1"/>
  <c r="K1441" i="1" s="1"/>
  <c r="K1778" i="1" l="1"/>
  <c r="K1776" i="1"/>
  <c r="L1738" i="1"/>
  <c r="L1748" i="1" s="1"/>
  <c r="K1746" i="1"/>
  <c r="K1745" i="1"/>
  <c r="K1809" i="1"/>
  <c r="K1807" i="1"/>
  <c r="K1837" i="1"/>
  <c r="L1593" i="1"/>
  <c r="L1615" i="1"/>
  <c r="L1623" i="1" s="1"/>
  <c r="L1646" i="1"/>
  <c r="L1654" i="1" s="1"/>
  <c r="L1799" i="1"/>
  <c r="L1806" i="1" s="1"/>
  <c r="L1433" i="1"/>
  <c r="L1441" i="1" s="1"/>
  <c r="L1554" i="1"/>
  <c r="L1562" i="1" s="1"/>
  <c r="L1463" i="1"/>
  <c r="L1471" i="1" s="1"/>
  <c r="K1748" i="1"/>
  <c r="L1676" i="1"/>
  <c r="L1684" i="1" s="1"/>
  <c r="L1707" i="1"/>
  <c r="L1715" i="1" s="1"/>
  <c r="K1593" i="1"/>
  <c r="L1768" i="1"/>
  <c r="L1494" i="1"/>
  <c r="L1502" i="1" s="1"/>
  <c r="L1525" i="1"/>
  <c r="L1533" i="1" s="1"/>
  <c r="L1410" i="1"/>
  <c r="K1839" i="1"/>
  <c r="L1829" i="1"/>
  <c r="L1743" i="1"/>
  <c r="L1651" i="1"/>
  <c r="L1590" i="1"/>
  <c r="L1468" i="1"/>
  <c r="C1860" i="1"/>
  <c r="C1861" i="1" s="1"/>
  <c r="F1859" i="1"/>
  <c r="I6" i="9"/>
  <c r="I5" i="9"/>
  <c r="N1011" i="1"/>
  <c r="N1008" i="1"/>
  <c r="N948" i="1"/>
  <c r="N945" i="1"/>
  <c r="N934" i="1"/>
  <c r="N931" i="1"/>
  <c r="N913" i="1"/>
  <c r="N910" i="1"/>
  <c r="N868" i="1"/>
  <c r="N867" i="1"/>
  <c r="N815" i="1"/>
  <c r="N812" i="1"/>
  <c r="N780" i="1"/>
  <c r="N777" i="1"/>
  <c r="N756" i="1"/>
  <c r="N755" i="1"/>
  <c r="N727" i="1"/>
  <c r="N726" i="1"/>
  <c r="N713" i="1"/>
  <c r="N712" i="1"/>
  <c r="N682" i="1"/>
  <c r="N679" i="1"/>
  <c r="N647" i="1"/>
  <c r="N644" i="1"/>
  <c r="N584" i="1"/>
  <c r="N581" i="1"/>
  <c r="N549" i="1"/>
  <c r="N546" i="1"/>
  <c r="N490" i="1"/>
  <c r="N489" i="1"/>
  <c r="N444" i="1"/>
  <c r="N441" i="1"/>
  <c r="N416" i="1"/>
  <c r="N413" i="1"/>
  <c r="N392" i="1"/>
  <c r="N391" i="1"/>
  <c r="L1778" i="1" l="1"/>
  <c r="L1776" i="1"/>
  <c r="L1745" i="1"/>
  <c r="L1746" i="1"/>
  <c r="L1809" i="1"/>
  <c r="L1807" i="1"/>
  <c r="L1839" i="1"/>
  <c r="L1837" i="1"/>
  <c r="F1861" i="1"/>
  <c r="M1861" i="1"/>
  <c r="C1862" i="1"/>
  <c r="M1862" i="1" s="1"/>
  <c r="F1860" i="1"/>
  <c r="I10" i="9"/>
  <c r="I7" i="9"/>
  <c r="I4" i="9"/>
  <c r="I3" i="9"/>
  <c r="K2216" i="1"/>
  <c r="K2211" i="1"/>
  <c r="C1863" i="1" l="1"/>
  <c r="M1863" i="1" s="1"/>
  <c r="F1862" i="1"/>
  <c r="K1373" i="1"/>
  <c r="L1373" i="1" s="1"/>
  <c r="K1342" i="1"/>
  <c r="L1342" i="1" s="1"/>
  <c r="K1311" i="1"/>
  <c r="L1311" i="1" s="1"/>
  <c r="K1281" i="1"/>
  <c r="L1281" i="1" s="1"/>
  <c r="K1250" i="1"/>
  <c r="L1250" i="1" s="1"/>
  <c r="K1220" i="1"/>
  <c r="L1220" i="1" s="1"/>
  <c r="K1189" i="1"/>
  <c r="L1189" i="1" s="1"/>
  <c r="K1161" i="1"/>
  <c r="L1161" i="1" s="1"/>
  <c r="K1130" i="1"/>
  <c r="L1130" i="1" s="1"/>
  <c r="K1099" i="1"/>
  <c r="L1099" i="1" s="1"/>
  <c r="K1069" i="1"/>
  <c r="L1069" i="1" s="1"/>
  <c r="K1038" i="1"/>
  <c r="K1008" i="1"/>
  <c r="K977" i="1"/>
  <c r="K946" i="1"/>
  <c r="K916" i="1"/>
  <c r="K885" i="1"/>
  <c r="K855" i="1"/>
  <c r="K824" i="1"/>
  <c r="K796" i="1"/>
  <c r="L796" i="1" s="1"/>
  <c r="K765" i="1"/>
  <c r="K734" i="1"/>
  <c r="L734" i="1" s="1"/>
  <c r="K704" i="1"/>
  <c r="L704" i="1" s="1"/>
  <c r="K673" i="1"/>
  <c r="L673" i="1" s="1"/>
  <c r="K643" i="1"/>
  <c r="L643" i="1" s="1"/>
  <c r="K612" i="1"/>
  <c r="L612" i="1" s="1"/>
  <c r="K581" i="1"/>
  <c r="L581" i="1" s="1"/>
  <c r="K551" i="1"/>
  <c r="L551" i="1" s="1"/>
  <c r="K520" i="1"/>
  <c r="L520" i="1" s="1"/>
  <c r="K490" i="1"/>
  <c r="L490" i="1" s="1"/>
  <c r="K459" i="1"/>
  <c r="L459" i="1" s="1"/>
  <c r="K431" i="1"/>
  <c r="L431" i="1" s="1"/>
  <c r="K400" i="1"/>
  <c r="L400" i="1" s="1"/>
  <c r="K369" i="1"/>
  <c r="L369" i="1" s="1"/>
  <c r="K339" i="1"/>
  <c r="L339" i="1" s="1"/>
  <c r="K308" i="1"/>
  <c r="L308" i="1" s="1"/>
  <c r="K278" i="1"/>
  <c r="L278" i="1" s="1"/>
  <c r="K247" i="1"/>
  <c r="L247" i="1" s="1"/>
  <c r="K216" i="1"/>
  <c r="L216" i="1" s="1"/>
  <c r="K186" i="1"/>
  <c r="L186" i="1" s="1"/>
  <c r="K155" i="1"/>
  <c r="L155" i="1" s="1"/>
  <c r="K125" i="1"/>
  <c r="L125" i="1" s="1"/>
  <c r="K94" i="1"/>
  <c r="L94" i="1" s="1"/>
  <c r="K65" i="1"/>
  <c r="L65" i="1" s="1"/>
  <c r="K34" i="1"/>
  <c r="L34" i="1" s="1"/>
  <c r="K3" i="1"/>
  <c r="I13" i="4"/>
  <c r="I14" i="4" s="1"/>
  <c r="I15" i="4" s="1"/>
  <c r="I16" i="4" s="1"/>
  <c r="I17" i="4" s="1"/>
  <c r="D5" i="4"/>
  <c r="E5" i="4" s="1"/>
  <c r="F5" i="4" s="1"/>
  <c r="G5" i="4" s="1"/>
  <c r="K2205" i="1" l="1"/>
  <c r="K1908" i="1"/>
  <c r="I18" i="4"/>
  <c r="I19" i="4" s="1"/>
  <c r="I20" i="4" s="1"/>
  <c r="I21" i="4" s="1"/>
  <c r="I22" i="4" s="1"/>
  <c r="I23" i="4" s="1"/>
  <c r="K1861" i="1"/>
  <c r="C1864" i="1"/>
  <c r="M1864" i="1" s="1"/>
  <c r="F1863" i="1"/>
  <c r="H43" i="6"/>
  <c r="H9" i="5" s="1"/>
  <c r="L1038" i="1"/>
  <c r="L1008" i="1"/>
  <c r="L977" i="1"/>
  <c r="L946" i="1"/>
  <c r="L916" i="1"/>
  <c r="L885" i="1"/>
  <c r="L855" i="1"/>
  <c r="L824" i="1"/>
  <c r="L765" i="1"/>
  <c r="L3" i="1"/>
  <c r="I9" i="5" l="1"/>
  <c r="C42" i="9" s="1"/>
  <c r="B42" i="9"/>
  <c r="K1877" i="1"/>
  <c r="K2" i="1"/>
  <c r="K4" i="1" s="1"/>
  <c r="L4" i="1" s="1"/>
  <c r="L7" i="1" s="1"/>
  <c r="I43" i="6"/>
  <c r="L1861" i="1"/>
  <c r="L1878" i="1" s="1"/>
  <c r="L1879" i="1" s="1"/>
  <c r="L1881" i="1" s="1"/>
  <c r="K1862" i="1"/>
  <c r="K1878" i="1"/>
  <c r="C1865" i="1"/>
  <c r="M1865" i="1" s="1"/>
  <c r="F1864" i="1"/>
  <c r="K1879" i="1" l="1"/>
  <c r="K1881" i="1" s="1"/>
  <c r="K7" i="1"/>
  <c r="K6" i="1"/>
  <c r="L2" i="1"/>
  <c r="L6" i="1"/>
  <c r="L1862" i="1"/>
  <c r="K1871" i="1"/>
  <c r="K1869" i="1"/>
  <c r="C1866" i="1"/>
  <c r="M1866" i="1" s="1"/>
  <c r="F1865" i="1"/>
  <c r="L1691" i="1"/>
  <c r="L1540" i="1"/>
  <c r="L1661" i="1"/>
  <c r="L1569" i="1"/>
  <c r="L1722" i="1"/>
  <c r="L1630" i="1"/>
  <c r="L1509" i="1"/>
  <c r="K1478" i="1"/>
  <c r="L1600" i="1"/>
  <c r="K1448" i="1"/>
  <c r="L1755" i="1"/>
  <c r="L1478" i="1"/>
  <c r="L1448" i="1"/>
  <c r="K1691" i="1"/>
  <c r="K1630" i="1"/>
  <c r="K1569" i="1"/>
  <c r="K1540" i="1"/>
  <c r="K1509" i="1"/>
  <c r="L9" i="1" l="1"/>
  <c r="K9" i="1"/>
  <c r="K1882" i="1"/>
  <c r="K1755" i="1"/>
  <c r="L1869" i="1"/>
  <c r="L1871" i="1"/>
  <c r="K1661" i="1"/>
  <c r="K1785" i="1"/>
  <c r="K1600" i="1"/>
  <c r="K1722" i="1"/>
  <c r="K1846" i="1"/>
  <c r="K1816" i="1"/>
  <c r="C1867" i="1"/>
  <c r="M1867" i="1" s="1"/>
  <c r="F1866" i="1"/>
  <c r="L1785" i="1"/>
  <c r="K1873" i="1"/>
  <c r="L1882" i="1" l="1"/>
  <c r="K1890" i="1"/>
  <c r="C1868" i="1"/>
  <c r="M1868" i="1" s="1"/>
  <c r="F1867" i="1"/>
  <c r="L1873" i="1"/>
  <c r="L1890" i="1" l="1"/>
  <c r="C1869" i="1"/>
  <c r="M1869" i="1" s="1"/>
  <c r="F1868" i="1"/>
  <c r="C2" i="7"/>
  <c r="B8" i="7"/>
  <c r="C1870" i="1" l="1"/>
  <c r="M1870" i="1" s="1"/>
  <c r="F1869" i="1"/>
  <c r="C1871" i="1" l="1"/>
  <c r="M1871" i="1" s="1"/>
  <c r="F1870" i="1"/>
  <c r="F2" i="1"/>
  <c r="C3" i="1"/>
  <c r="C1872" i="1" l="1"/>
  <c r="M1872" i="1" s="1"/>
  <c r="F1871" i="1"/>
  <c r="F3" i="1"/>
  <c r="C4" i="1"/>
  <c r="C1873" i="1" l="1"/>
  <c r="M1873" i="1" s="1"/>
  <c r="F1872" i="1"/>
  <c r="C5" i="1"/>
  <c r="F4" i="1"/>
  <c r="C1874" i="1" l="1"/>
  <c r="M1874" i="1" s="1"/>
  <c r="F1873" i="1"/>
  <c r="C6" i="1"/>
  <c r="F5" i="1"/>
  <c r="C1875" i="1" l="1"/>
  <c r="M1875" i="1" s="1"/>
  <c r="F1874" i="1"/>
  <c r="F6" i="1"/>
  <c r="C7" i="1"/>
  <c r="C1876" i="1" l="1"/>
  <c r="F1875" i="1"/>
  <c r="C8" i="1"/>
  <c r="F7" i="1"/>
  <c r="C1877" i="1" l="1"/>
  <c r="M1877" i="1" s="1"/>
  <c r="F1876" i="1"/>
  <c r="C9" i="1"/>
  <c r="F8" i="1"/>
  <c r="C1878" i="1" l="1"/>
  <c r="M1878" i="1" s="1"/>
  <c r="F1877" i="1"/>
  <c r="C10" i="1"/>
  <c r="F9" i="1"/>
  <c r="C1879" i="1" l="1"/>
  <c r="F1878" i="1"/>
  <c r="C11" i="1"/>
  <c r="F10" i="1"/>
  <c r="C1880" i="1" l="1"/>
  <c r="M1880" i="1" s="1"/>
  <c r="F1879" i="1"/>
  <c r="C12" i="1"/>
  <c r="F11" i="1"/>
  <c r="C1881" i="1" l="1"/>
  <c r="M1881" i="1" s="1"/>
  <c r="F1880" i="1"/>
  <c r="C13" i="1"/>
  <c r="F12" i="1"/>
  <c r="C1882" i="1" l="1"/>
  <c r="M1882" i="1" s="1"/>
  <c r="F1881" i="1"/>
  <c r="C14" i="1"/>
  <c r="F13" i="1"/>
  <c r="C1883" i="1" l="1"/>
  <c r="M1883" i="1" s="1"/>
  <c r="F1882" i="1"/>
  <c r="C15" i="1"/>
  <c r="F14" i="1"/>
  <c r="C1884" i="1" l="1"/>
  <c r="M1884" i="1" s="1"/>
  <c r="F1883" i="1"/>
  <c r="C16" i="1"/>
  <c r="F15" i="1"/>
  <c r="C1885" i="1" l="1"/>
  <c r="M1885" i="1" s="1"/>
  <c r="F1884" i="1"/>
  <c r="C17" i="1"/>
  <c r="F16" i="1"/>
  <c r="C1886" i="1" l="1"/>
  <c r="M1886" i="1" s="1"/>
  <c r="F1885" i="1"/>
  <c r="C18" i="1"/>
  <c r="F17" i="1"/>
  <c r="C1887" i="1" l="1"/>
  <c r="M1887" i="1" s="1"/>
  <c r="F1886" i="1"/>
  <c r="C19" i="1"/>
  <c r="F18" i="1"/>
  <c r="C1888" i="1" l="1"/>
  <c r="M1888" i="1" s="1"/>
  <c r="F1887" i="1"/>
  <c r="M19" i="1"/>
  <c r="N19" i="1" s="1"/>
  <c r="C20" i="1"/>
  <c r="F19" i="1"/>
  <c r="C1889" i="1" l="1"/>
  <c r="M1889" i="1" s="1"/>
  <c r="F1888" i="1"/>
  <c r="M20" i="1"/>
  <c r="N20" i="1" s="1"/>
  <c r="C21" i="1"/>
  <c r="F20" i="1"/>
  <c r="C1890" i="1" l="1"/>
  <c r="M1890" i="1" s="1"/>
  <c r="F1889" i="1"/>
  <c r="M21" i="1"/>
  <c r="N21" i="1" s="1"/>
  <c r="C22" i="1"/>
  <c r="F21" i="1"/>
  <c r="C1891" i="1" l="1"/>
  <c r="F1890" i="1"/>
  <c r="M22" i="1"/>
  <c r="N22" i="1" s="1"/>
  <c r="C23" i="1"/>
  <c r="F22" i="1"/>
  <c r="M1891" i="1" l="1"/>
  <c r="K1892" i="1"/>
  <c r="C1892" i="1"/>
  <c r="M1892" i="1" s="1"/>
  <c r="F1891" i="1"/>
  <c r="M23" i="1"/>
  <c r="N23" i="1" s="1"/>
  <c r="C24" i="1"/>
  <c r="F23" i="1"/>
  <c r="L1892" i="1" l="1"/>
  <c r="L1909" i="1" s="1"/>
  <c r="L1910" i="1" s="1"/>
  <c r="L1912" i="1" s="1"/>
  <c r="K1893" i="1"/>
  <c r="K1909" i="1"/>
  <c r="K1910" i="1" s="1"/>
  <c r="K1912" i="1" s="1"/>
  <c r="C1893" i="1"/>
  <c r="M1893" i="1" s="1"/>
  <c r="F1892" i="1"/>
  <c r="M24" i="1"/>
  <c r="N24" i="1" s="1"/>
  <c r="C25" i="1"/>
  <c r="F24" i="1"/>
  <c r="L1893" i="1" l="1"/>
  <c r="K1902" i="1"/>
  <c r="K1900" i="1"/>
  <c r="C1894" i="1"/>
  <c r="M1894" i="1" s="1"/>
  <c r="F1893" i="1"/>
  <c r="M25" i="1"/>
  <c r="N25" i="1" s="1"/>
  <c r="C26" i="1"/>
  <c r="F25" i="1"/>
  <c r="K1904" i="1" l="1"/>
  <c r="L1902" i="1"/>
  <c r="L1900" i="1"/>
  <c r="C1895" i="1"/>
  <c r="M1895" i="1" s="1"/>
  <c r="F1894" i="1"/>
  <c r="M26" i="1"/>
  <c r="N26" i="1" s="1"/>
  <c r="C27" i="1"/>
  <c r="F26" i="1"/>
  <c r="K1913" i="1"/>
  <c r="L1904" i="1" l="1"/>
  <c r="K1916" i="1"/>
  <c r="C1896" i="1"/>
  <c r="M1896" i="1" s="1"/>
  <c r="F1895" i="1"/>
  <c r="M27" i="1"/>
  <c r="N27" i="1" s="1"/>
  <c r="C28" i="1"/>
  <c r="F27" i="1"/>
  <c r="L1913" i="1"/>
  <c r="L1916" i="1" l="1"/>
  <c r="C1897" i="1"/>
  <c r="M1897" i="1" s="1"/>
  <c r="F1896" i="1"/>
  <c r="M28" i="1"/>
  <c r="N28" i="1" s="1"/>
  <c r="C29" i="1"/>
  <c r="F28" i="1"/>
  <c r="C1898" i="1" l="1"/>
  <c r="M1898" i="1" s="1"/>
  <c r="F1897" i="1"/>
  <c r="M29" i="1"/>
  <c r="N29" i="1" s="1"/>
  <c r="C30" i="1"/>
  <c r="F29" i="1"/>
  <c r="C1899" i="1" l="1"/>
  <c r="M1899" i="1" s="1"/>
  <c r="F1898" i="1"/>
  <c r="M30" i="1"/>
  <c r="N30" i="1" s="1"/>
  <c r="C31" i="1"/>
  <c r="F30" i="1"/>
  <c r="C1900" i="1" l="1"/>
  <c r="M1900" i="1" s="1"/>
  <c r="F1899" i="1"/>
  <c r="M31" i="1"/>
  <c r="N31" i="1" s="1"/>
  <c r="C32" i="1"/>
  <c r="F31" i="1"/>
  <c r="C1901" i="1" l="1"/>
  <c r="M1901" i="1" s="1"/>
  <c r="F1900" i="1"/>
  <c r="M32" i="1"/>
  <c r="N32" i="1" s="1"/>
  <c r="C33" i="1"/>
  <c r="K33" i="1" s="1"/>
  <c r="F32" i="1"/>
  <c r="L10" i="1"/>
  <c r="K10" i="1"/>
  <c r="K11" i="1" l="1"/>
  <c r="K13" i="1" s="1"/>
  <c r="K14" i="1" s="1"/>
  <c r="L11" i="1"/>
  <c r="L13" i="1" s="1"/>
  <c r="L14" i="1" s="1"/>
  <c r="C1902" i="1"/>
  <c r="M1902" i="1" s="1"/>
  <c r="F1901" i="1"/>
  <c r="L33" i="1"/>
  <c r="K35" i="1"/>
  <c r="M33" i="1"/>
  <c r="N33" i="1" s="1"/>
  <c r="C34" i="1"/>
  <c r="F33" i="1"/>
  <c r="C1903" i="1" l="1"/>
  <c r="M1903" i="1" s="1"/>
  <c r="F1902" i="1"/>
  <c r="L35" i="1"/>
  <c r="K38" i="1"/>
  <c r="K37" i="1"/>
  <c r="M34" i="1"/>
  <c r="N34" i="1" s="1"/>
  <c r="C35" i="1"/>
  <c r="F34" i="1"/>
  <c r="K40" i="1" l="1"/>
  <c r="C1904" i="1"/>
  <c r="F1903" i="1"/>
  <c r="L37" i="1"/>
  <c r="L38" i="1"/>
  <c r="M35" i="1"/>
  <c r="N35" i="1" s="1"/>
  <c r="C36" i="1"/>
  <c r="F35" i="1"/>
  <c r="L40" i="1" l="1"/>
  <c r="C1905" i="1"/>
  <c r="M1905" i="1" s="1"/>
  <c r="F1904" i="1"/>
  <c r="M36" i="1"/>
  <c r="N36" i="1" s="1"/>
  <c r="C37" i="1"/>
  <c r="F36" i="1"/>
  <c r="C1906" i="1" l="1"/>
  <c r="M1906" i="1" s="1"/>
  <c r="F1905" i="1"/>
  <c r="M37" i="1"/>
  <c r="N37" i="1" s="1"/>
  <c r="C38" i="1"/>
  <c r="F37" i="1"/>
  <c r="C1907" i="1" l="1"/>
  <c r="F1906" i="1"/>
  <c r="M38" i="1"/>
  <c r="N38" i="1" s="1"/>
  <c r="C39" i="1"/>
  <c r="F38" i="1"/>
  <c r="C1908" i="1" l="1"/>
  <c r="M1908" i="1" s="1"/>
  <c r="F1907" i="1"/>
  <c r="M39" i="1"/>
  <c r="N39" i="1" s="1"/>
  <c r="C40" i="1"/>
  <c r="F39" i="1"/>
  <c r="C1909" i="1" l="1"/>
  <c r="M1909" i="1" s="1"/>
  <c r="F1908" i="1"/>
  <c r="M40" i="1"/>
  <c r="N40" i="1" s="1"/>
  <c r="F40" i="1"/>
  <c r="C41" i="1"/>
  <c r="C1910" i="1" l="1"/>
  <c r="M1910" i="1" s="1"/>
  <c r="F1909" i="1"/>
  <c r="M41" i="1"/>
  <c r="N41" i="1" s="1"/>
  <c r="C42" i="1"/>
  <c r="F41" i="1"/>
  <c r="C1911" i="1" l="1"/>
  <c r="M1911" i="1" s="1"/>
  <c r="F1910" i="1"/>
  <c r="M42" i="1"/>
  <c r="N42" i="1" s="1"/>
  <c r="C43" i="1"/>
  <c r="F42" i="1"/>
  <c r="C1912" i="1" l="1"/>
  <c r="M1912" i="1" s="1"/>
  <c r="F1911" i="1"/>
  <c r="M43" i="1"/>
  <c r="N43" i="1" s="1"/>
  <c r="F43" i="1"/>
  <c r="C44" i="1"/>
  <c r="C1913" i="1" l="1"/>
  <c r="M1913" i="1" s="1"/>
  <c r="F1912" i="1"/>
  <c r="M44" i="1"/>
  <c r="N44" i="1" s="1"/>
  <c r="C45" i="1"/>
  <c r="F44" i="1"/>
  <c r="C1914" i="1" l="1"/>
  <c r="M1914" i="1" s="1"/>
  <c r="F1913" i="1"/>
  <c r="M45" i="1"/>
  <c r="N45" i="1" s="1"/>
  <c r="F45" i="1"/>
  <c r="C46" i="1"/>
  <c r="C1915" i="1" l="1"/>
  <c r="M1915" i="1" s="1"/>
  <c r="F1914" i="1"/>
  <c r="M46" i="1"/>
  <c r="N46" i="1" s="1"/>
  <c r="C47" i="1"/>
  <c r="F46" i="1"/>
  <c r="C1916" i="1" l="1"/>
  <c r="M1916" i="1" s="1"/>
  <c r="F1915" i="1"/>
  <c r="M47" i="1"/>
  <c r="N47" i="1" s="1"/>
  <c r="C48" i="1"/>
  <c r="F47" i="1"/>
  <c r="C1917" i="1" l="1"/>
  <c r="M1917" i="1" s="1"/>
  <c r="F1916" i="1"/>
  <c r="M48" i="1"/>
  <c r="N48" i="1" s="1"/>
  <c r="C49" i="1"/>
  <c r="F48" i="1"/>
  <c r="C1918" i="1" l="1"/>
  <c r="M1918" i="1" s="1"/>
  <c r="F1917" i="1"/>
  <c r="M49" i="1"/>
  <c r="N49" i="1" s="1"/>
  <c r="C50" i="1"/>
  <c r="F49" i="1"/>
  <c r="C1919" i="1" l="1"/>
  <c r="F1918" i="1"/>
  <c r="M50" i="1"/>
  <c r="N50" i="1" s="1"/>
  <c r="C51" i="1"/>
  <c r="F50" i="1"/>
  <c r="M1919" i="1" l="1"/>
  <c r="K1920" i="1"/>
  <c r="C1920" i="1"/>
  <c r="M1920" i="1" s="1"/>
  <c r="F1919" i="1"/>
  <c r="M51" i="1"/>
  <c r="N51" i="1" s="1"/>
  <c r="C52" i="1"/>
  <c r="F51" i="1"/>
  <c r="K1921" i="1" l="1"/>
  <c r="L1920" i="1"/>
  <c r="L1937" i="1" s="1"/>
  <c r="L1938" i="1" s="1"/>
  <c r="L1940" i="1" s="1"/>
  <c r="K1937" i="1"/>
  <c r="K1938" i="1" s="1"/>
  <c r="K1940" i="1" s="1"/>
  <c r="C1921" i="1"/>
  <c r="M1921" i="1" s="1"/>
  <c r="F1920" i="1"/>
  <c r="M52" i="1"/>
  <c r="N52" i="1" s="1"/>
  <c r="C53" i="1"/>
  <c r="F52" i="1"/>
  <c r="L1921" i="1" l="1"/>
  <c r="K1930" i="1"/>
  <c r="K1928" i="1"/>
  <c r="C1922" i="1"/>
  <c r="M1922" i="1" s="1"/>
  <c r="F1921" i="1"/>
  <c r="M53" i="1"/>
  <c r="N53" i="1" s="1"/>
  <c r="C54" i="1"/>
  <c r="F53" i="1"/>
  <c r="K1941" i="1" l="1"/>
  <c r="L1930" i="1"/>
  <c r="L1928" i="1"/>
  <c r="C1923" i="1"/>
  <c r="M1923" i="1" s="1"/>
  <c r="F1922" i="1"/>
  <c r="M54" i="1"/>
  <c r="N54" i="1" s="1"/>
  <c r="C55" i="1"/>
  <c r="F54" i="1"/>
  <c r="K1932" i="1"/>
  <c r="L1941" i="1" l="1"/>
  <c r="K1949" i="1"/>
  <c r="C1924" i="1"/>
  <c r="M1924" i="1" s="1"/>
  <c r="F1923" i="1"/>
  <c r="M55" i="1"/>
  <c r="N55" i="1" s="1"/>
  <c r="C56" i="1"/>
  <c r="F55" i="1"/>
  <c r="L1932" i="1"/>
  <c r="L1949" i="1" l="1"/>
  <c r="C1925" i="1"/>
  <c r="M1925" i="1" s="1"/>
  <c r="F1924" i="1"/>
  <c r="M56" i="1"/>
  <c r="N56" i="1" s="1"/>
  <c r="F56" i="1"/>
  <c r="C57" i="1"/>
  <c r="C1926" i="1" l="1"/>
  <c r="M1926" i="1" s="1"/>
  <c r="F1925" i="1"/>
  <c r="M57" i="1"/>
  <c r="N57" i="1" s="1"/>
  <c r="F57" i="1"/>
  <c r="C58" i="1"/>
  <c r="C1927" i="1" l="1"/>
  <c r="M1927" i="1" s="1"/>
  <c r="F1926" i="1"/>
  <c r="M58" i="1"/>
  <c r="N58" i="1" s="1"/>
  <c r="F58" i="1"/>
  <c r="C59" i="1"/>
  <c r="C1928" i="1" l="1"/>
  <c r="M1928" i="1" s="1"/>
  <c r="F1927" i="1"/>
  <c r="M59" i="1"/>
  <c r="N59" i="1" s="1"/>
  <c r="C60" i="1"/>
  <c r="F59" i="1"/>
  <c r="C1929" i="1" l="1"/>
  <c r="M1929" i="1" s="1"/>
  <c r="F1928" i="1"/>
  <c r="M60" i="1"/>
  <c r="N60" i="1" s="1"/>
  <c r="F60" i="1"/>
  <c r="C61" i="1"/>
  <c r="C1930" i="1" l="1"/>
  <c r="M1930" i="1" s="1"/>
  <c r="F1929" i="1"/>
  <c r="M61" i="1"/>
  <c r="N61" i="1" s="1"/>
  <c r="C62" i="1"/>
  <c r="F61" i="1"/>
  <c r="C1931" i="1" l="1"/>
  <c r="M1931" i="1" s="1"/>
  <c r="F1930" i="1"/>
  <c r="M62" i="1"/>
  <c r="N62" i="1" s="1"/>
  <c r="F62" i="1"/>
  <c r="C63" i="1"/>
  <c r="C1932" i="1" l="1"/>
  <c r="M1932" i="1" s="1"/>
  <c r="F1931" i="1"/>
  <c r="M63" i="1"/>
  <c r="N63" i="1" s="1"/>
  <c r="C64" i="1"/>
  <c r="K64" i="1" s="1"/>
  <c r="F63" i="1"/>
  <c r="L41" i="1"/>
  <c r="K41" i="1"/>
  <c r="K42" i="1" l="1"/>
  <c r="K44" i="1" s="1"/>
  <c r="K45" i="1" s="1"/>
  <c r="L42" i="1"/>
  <c r="L44" i="1" s="1"/>
  <c r="L45" i="1" s="1"/>
  <c r="C1933" i="1"/>
  <c r="M1933" i="1" s="1"/>
  <c r="F1932" i="1"/>
  <c r="K66" i="1"/>
  <c r="L64" i="1"/>
  <c r="M64" i="1"/>
  <c r="N64" i="1" s="1"/>
  <c r="F64" i="1"/>
  <c r="C65" i="1"/>
  <c r="C1934" i="1" l="1"/>
  <c r="M1934" i="1" s="1"/>
  <c r="F1933" i="1"/>
  <c r="L66" i="1"/>
  <c r="K68" i="1"/>
  <c r="K69" i="1"/>
  <c r="M65" i="1"/>
  <c r="N65" i="1" s="1"/>
  <c r="F65" i="1"/>
  <c r="C66" i="1"/>
  <c r="K71" i="1" l="1"/>
  <c r="C1935" i="1"/>
  <c r="M1935" i="1" s="1"/>
  <c r="F1934" i="1"/>
  <c r="L68" i="1"/>
  <c r="L69" i="1"/>
  <c r="M66" i="1"/>
  <c r="N66" i="1" s="1"/>
  <c r="C67" i="1"/>
  <c r="F66" i="1"/>
  <c r="L71" i="1" l="1"/>
  <c r="C1936" i="1"/>
  <c r="M1936" i="1" s="1"/>
  <c r="F1935" i="1"/>
  <c r="M67" i="1"/>
  <c r="N67" i="1" s="1"/>
  <c r="F67" i="1"/>
  <c r="C68" i="1"/>
  <c r="C1937" i="1" l="1"/>
  <c r="M1937" i="1" s="1"/>
  <c r="F1936" i="1"/>
  <c r="M68" i="1"/>
  <c r="N68" i="1" s="1"/>
  <c r="C69" i="1"/>
  <c r="F68" i="1"/>
  <c r="C1938" i="1" l="1"/>
  <c r="M1938" i="1" s="1"/>
  <c r="F1937" i="1"/>
  <c r="M69" i="1"/>
  <c r="N69" i="1" s="1"/>
  <c r="F69" i="1"/>
  <c r="C70" i="1"/>
  <c r="C1939" i="1" l="1"/>
  <c r="M1939" i="1" s="1"/>
  <c r="F1938" i="1"/>
  <c r="M70" i="1"/>
  <c r="N70" i="1" s="1"/>
  <c r="C71" i="1"/>
  <c r="F70" i="1"/>
  <c r="C1940" i="1" l="1"/>
  <c r="M1940" i="1" s="1"/>
  <c r="F1939" i="1"/>
  <c r="M71" i="1"/>
  <c r="N71" i="1" s="1"/>
  <c r="F71" i="1"/>
  <c r="C72" i="1"/>
  <c r="C1941" i="1" l="1"/>
  <c r="M1941" i="1" s="1"/>
  <c r="F1940" i="1"/>
  <c r="M72" i="1"/>
  <c r="N72" i="1" s="1"/>
  <c r="F72" i="1"/>
  <c r="C73" i="1"/>
  <c r="C1942" i="1" l="1"/>
  <c r="M1942" i="1" s="1"/>
  <c r="F1941" i="1"/>
  <c r="M73" i="1"/>
  <c r="N73" i="1" s="1"/>
  <c r="F73" i="1"/>
  <c r="C74" i="1"/>
  <c r="C1943" i="1" l="1"/>
  <c r="M1943" i="1" s="1"/>
  <c r="F1942" i="1"/>
  <c r="M74" i="1"/>
  <c r="N74" i="1" s="1"/>
  <c r="F74" i="1"/>
  <c r="C75" i="1"/>
  <c r="C1944" i="1" l="1"/>
  <c r="M1944" i="1" s="1"/>
  <c r="F1943" i="1"/>
  <c r="M75" i="1"/>
  <c r="N75" i="1" s="1"/>
  <c r="F75" i="1"/>
  <c r="C76" i="1"/>
  <c r="C1945" i="1" l="1"/>
  <c r="M1945" i="1" s="1"/>
  <c r="F1944" i="1"/>
  <c r="M76" i="1"/>
  <c r="N76" i="1" s="1"/>
  <c r="C77" i="1"/>
  <c r="F76" i="1"/>
  <c r="C1946" i="1" l="1"/>
  <c r="M1946" i="1" s="1"/>
  <c r="F1945" i="1"/>
  <c r="M77" i="1"/>
  <c r="N77" i="1" s="1"/>
  <c r="F77" i="1"/>
  <c r="C78" i="1"/>
  <c r="C1947" i="1" l="1"/>
  <c r="M1947" i="1" s="1"/>
  <c r="F1946" i="1"/>
  <c r="M78" i="1"/>
  <c r="N78" i="1" s="1"/>
  <c r="C79" i="1"/>
  <c r="F78" i="1"/>
  <c r="C1948" i="1" l="1"/>
  <c r="M1948" i="1" s="1"/>
  <c r="F1947" i="1"/>
  <c r="M79" i="1"/>
  <c r="N79" i="1" s="1"/>
  <c r="F79" i="1"/>
  <c r="C80" i="1"/>
  <c r="C1949" i="1" l="1"/>
  <c r="M1949" i="1" s="1"/>
  <c r="F1948" i="1"/>
  <c r="M80" i="1"/>
  <c r="N80" i="1" s="1"/>
  <c r="C81" i="1"/>
  <c r="F80" i="1"/>
  <c r="C1950" i="1" l="1"/>
  <c r="F1949" i="1"/>
  <c r="M81" i="1"/>
  <c r="N81" i="1" s="1"/>
  <c r="F81" i="1"/>
  <c r="C82" i="1"/>
  <c r="M1950" i="1" l="1"/>
  <c r="K1951" i="1"/>
  <c r="C1951" i="1"/>
  <c r="M1951" i="1" s="1"/>
  <c r="F1950" i="1"/>
  <c r="M82" i="1"/>
  <c r="N82" i="1" s="1"/>
  <c r="C83" i="1"/>
  <c r="F82" i="1"/>
  <c r="K1952" i="1" l="1"/>
  <c r="L1951" i="1"/>
  <c r="L1968" i="1" s="1"/>
  <c r="L1969" i="1" s="1"/>
  <c r="L1971" i="1" s="1"/>
  <c r="K1968" i="1"/>
  <c r="K1969" i="1" s="1"/>
  <c r="K1971" i="1" s="1"/>
  <c r="C1952" i="1"/>
  <c r="M1952" i="1" s="1"/>
  <c r="F1951" i="1"/>
  <c r="M83" i="1"/>
  <c r="N83" i="1" s="1"/>
  <c r="F83" i="1"/>
  <c r="C84" i="1"/>
  <c r="L1952" i="1" l="1"/>
  <c r="K1961" i="1"/>
  <c r="K1959" i="1"/>
  <c r="C1953" i="1"/>
  <c r="M1953" i="1" s="1"/>
  <c r="F1952" i="1"/>
  <c r="M84" i="1"/>
  <c r="N84" i="1" s="1"/>
  <c r="C85" i="1"/>
  <c r="F84" i="1"/>
  <c r="K1972" i="1" l="1"/>
  <c r="L1959" i="1"/>
  <c r="L1961" i="1"/>
  <c r="C1954" i="1"/>
  <c r="M1954" i="1" s="1"/>
  <c r="F1953" i="1"/>
  <c r="M85" i="1"/>
  <c r="N85" i="1" s="1"/>
  <c r="F85" i="1"/>
  <c r="C86" i="1"/>
  <c r="K1963" i="1"/>
  <c r="L1963" i="1" l="1"/>
  <c r="K1979" i="1"/>
  <c r="C1955" i="1"/>
  <c r="M1955" i="1" s="1"/>
  <c r="F1954" i="1"/>
  <c r="M86" i="1"/>
  <c r="N86" i="1" s="1"/>
  <c r="C87" i="1"/>
  <c r="F86" i="1"/>
  <c r="L1972" i="1"/>
  <c r="L1979" i="1" l="1"/>
  <c r="C1956" i="1"/>
  <c r="M1956" i="1" s="1"/>
  <c r="F1955" i="1"/>
  <c r="M87" i="1"/>
  <c r="N87" i="1" s="1"/>
  <c r="F87" i="1"/>
  <c r="C88" i="1"/>
  <c r="C1957" i="1" l="1"/>
  <c r="M1957" i="1" s="1"/>
  <c r="F1956" i="1"/>
  <c r="M88" i="1"/>
  <c r="N88" i="1" s="1"/>
  <c r="C89" i="1"/>
  <c r="F88" i="1"/>
  <c r="C1958" i="1" l="1"/>
  <c r="M1958" i="1" s="1"/>
  <c r="F1957" i="1"/>
  <c r="M89" i="1"/>
  <c r="N89" i="1" s="1"/>
  <c r="C90" i="1"/>
  <c r="F89" i="1"/>
  <c r="C1959" i="1" l="1"/>
  <c r="M1959" i="1" s="1"/>
  <c r="F1958" i="1"/>
  <c r="M90" i="1"/>
  <c r="N90" i="1" s="1"/>
  <c r="C91" i="1"/>
  <c r="F90" i="1"/>
  <c r="C1960" i="1" l="1"/>
  <c r="M1960" i="1" s="1"/>
  <c r="F1959" i="1"/>
  <c r="M91" i="1"/>
  <c r="N91" i="1" s="1"/>
  <c r="F91" i="1"/>
  <c r="C92" i="1"/>
  <c r="L72" i="1"/>
  <c r="K72" i="1"/>
  <c r="K73" i="1" l="1"/>
  <c r="K75" i="1" s="1"/>
  <c r="K76" i="1" s="1"/>
  <c r="L73" i="1"/>
  <c r="L75" i="1" s="1"/>
  <c r="L76" i="1" s="1"/>
  <c r="C1961" i="1"/>
  <c r="M1961" i="1" s="1"/>
  <c r="F1960" i="1"/>
  <c r="M92" i="1"/>
  <c r="N92" i="1" s="1"/>
  <c r="C93" i="1"/>
  <c r="K93" i="1" s="1"/>
  <c r="F92" i="1"/>
  <c r="C1962" i="1" l="1"/>
  <c r="M1962" i="1" s="1"/>
  <c r="F1961" i="1"/>
  <c r="K95" i="1"/>
  <c r="L93" i="1"/>
  <c r="M93" i="1"/>
  <c r="N93" i="1" s="1"/>
  <c r="F93" i="1"/>
  <c r="C94" i="1"/>
  <c r="C1963" i="1" l="1"/>
  <c r="M1963" i="1" s="1"/>
  <c r="F1962" i="1"/>
  <c r="L95" i="1"/>
  <c r="K97" i="1"/>
  <c r="K98" i="1"/>
  <c r="M94" i="1"/>
  <c r="N94" i="1" s="1"/>
  <c r="C95" i="1"/>
  <c r="F94" i="1"/>
  <c r="K100" i="1" l="1"/>
  <c r="C1964" i="1"/>
  <c r="M1964" i="1" s="1"/>
  <c r="F1963" i="1"/>
  <c r="L97" i="1"/>
  <c r="L98" i="1"/>
  <c r="M95" i="1"/>
  <c r="N95" i="1" s="1"/>
  <c r="F95" i="1"/>
  <c r="C96" i="1"/>
  <c r="L100" i="1" l="1"/>
  <c r="C1965" i="1"/>
  <c r="M1965" i="1" s="1"/>
  <c r="F1964" i="1"/>
  <c r="M96" i="1"/>
  <c r="N96" i="1" s="1"/>
  <c r="C97" i="1"/>
  <c r="F96" i="1"/>
  <c r="C1966" i="1" l="1"/>
  <c r="F1965" i="1"/>
  <c r="M97" i="1"/>
  <c r="N97" i="1" s="1"/>
  <c r="F97" i="1"/>
  <c r="C98" i="1"/>
  <c r="C1967" i="1" l="1"/>
  <c r="F1966" i="1"/>
  <c r="M98" i="1"/>
  <c r="N98" i="1" s="1"/>
  <c r="C99" i="1"/>
  <c r="F98" i="1"/>
  <c r="C1968" i="1" l="1"/>
  <c r="M1968" i="1" s="1"/>
  <c r="F1967" i="1"/>
  <c r="M99" i="1"/>
  <c r="N99" i="1" s="1"/>
  <c r="F99" i="1"/>
  <c r="C100" i="1"/>
  <c r="C1969" i="1" l="1"/>
  <c r="M1969" i="1" s="1"/>
  <c r="F1968" i="1"/>
  <c r="M100" i="1"/>
  <c r="N100" i="1" s="1"/>
  <c r="C101" i="1"/>
  <c r="F100" i="1"/>
  <c r="C1970" i="1" l="1"/>
  <c r="M1970" i="1" s="1"/>
  <c r="F1969" i="1"/>
  <c r="M101" i="1"/>
  <c r="N101" i="1" s="1"/>
  <c r="F101" i="1"/>
  <c r="C102" i="1"/>
  <c r="C1971" i="1" l="1"/>
  <c r="M1971" i="1" s="1"/>
  <c r="F1970" i="1"/>
  <c r="M102" i="1"/>
  <c r="N102" i="1" s="1"/>
  <c r="C103" i="1"/>
  <c r="F102" i="1"/>
  <c r="C1972" i="1" l="1"/>
  <c r="M1972" i="1" s="1"/>
  <c r="F1971" i="1"/>
  <c r="M103" i="1"/>
  <c r="N103" i="1" s="1"/>
  <c r="C104" i="1"/>
  <c r="F103" i="1"/>
  <c r="C1973" i="1" l="1"/>
  <c r="M1973" i="1" s="1"/>
  <c r="F1972" i="1"/>
  <c r="M104" i="1"/>
  <c r="N104" i="1" s="1"/>
  <c r="C105" i="1"/>
  <c r="F104" i="1"/>
  <c r="C1974" i="1" l="1"/>
  <c r="M1974" i="1" s="1"/>
  <c r="F1973" i="1"/>
  <c r="M105" i="1"/>
  <c r="N105" i="1" s="1"/>
  <c r="F105" i="1"/>
  <c r="C106" i="1"/>
  <c r="C1975" i="1" l="1"/>
  <c r="M1975" i="1" s="1"/>
  <c r="F1974" i="1"/>
  <c r="M106" i="1"/>
  <c r="N106" i="1" s="1"/>
  <c r="F106" i="1"/>
  <c r="C107" i="1"/>
  <c r="C1976" i="1" l="1"/>
  <c r="M1976" i="1" s="1"/>
  <c r="F1975" i="1"/>
  <c r="M107" i="1"/>
  <c r="N107" i="1" s="1"/>
  <c r="F107" i="1"/>
  <c r="C108" i="1"/>
  <c r="C1977" i="1" l="1"/>
  <c r="M1977" i="1" s="1"/>
  <c r="F1976" i="1"/>
  <c r="M108" i="1"/>
  <c r="N108" i="1" s="1"/>
  <c r="F108" i="1"/>
  <c r="C109" i="1"/>
  <c r="C1978" i="1" l="1"/>
  <c r="M1978" i="1" s="1"/>
  <c r="F1977" i="1"/>
  <c r="M109" i="1"/>
  <c r="N109" i="1" s="1"/>
  <c r="F109" i="1"/>
  <c r="C110" i="1"/>
  <c r="C1979" i="1" l="1"/>
  <c r="M1979" i="1" s="1"/>
  <c r="F1978" i="1"/>
  <c r="M110" i="1"/>
  <c r="N110" i="1" s="1"/>
  <c r="C111" i="1"/>
  <c r="F110" i="1"/>
  <c r="C1980" i="1" l="1"/>
  <c r="F1979" i="1"/>
  <c r="M111" i="1"/>
  <c r="N111" i="1" s="1"/>
  <c r="C112" i="1"/>
  <c r="F111" i="1"/>
  <c r="M1980" i="1" l="1"/>
  <c r="K1981" i="1"/>
  <c r="C1981" i="1"/>
  <c r="M1981" i="1" s="1"/>
  <c r="F1980" i="1"/>
  <c r="M112" i="1"/>
  <c r="N112" i="1" s="1"/>
  <c r="C113" i="1"/>
  <c r="F112" i="1"/>
  <c r="K1998" i="1" l="1"/>
  <c r="K1999" i="1" s="1"/>
  <c r="K2001" i="1" s="1"/>
  <c r="L1981" i="1"/>
  <c r="L1998" i="1" s="1"/>
  <c r="L1999" i="1" s="1"/>
  <c r="L2001" i="1" s="1"/>
  <c r="K1982" i="1"/>
  <c r="C1982" i="1"/>
  <c r="M1982" i="1" s="1"/>
  <c r="F1981" i="1"/>
  <c r="M113" i="1"/>
  <c r="N113" i="1" s="1"/>
  <c r="F113" i="1"/>
  <c r="C114" i="1"/>
  <c r="K1991" i="1" l="1"/>
  <c r="L1982" i="1"/>
  <c r="K1989" i="1"/>
  <c r="C1983" i="1"/>
  <c r="M1983" i="1" s="1"/>
  <c r="F1982" i="1"/>
  <c r="M114" i="1"/>
  <c r="N114" i="1" s="1"/>
  <c r="C115" i="1"/>
  <c r="F114" i="1"/>
  <c r="K2002" i="1" l="1"/>
  <c r="L1991" i="1"/>
  <c r="L1989" i="1"/>
  <c r="C1984" i="1"/>
  <c r="M1984" i="1" s="1"/>
  <c r="F1983" i="1"/>
  <c r="M115" i="1"/>
  <c r="N115" i="1" s="1"/>
  <c r="F115" i="1"/>
  <c r="C116" i="1"/>
  <c r="K1993" i="1"/>
  <c r="L1993" i="1" l="1"/>
  <c r="K2010" i="1"/>
  <c r="C1985" i="1"/>
  <c r="M1985" i="1" s="1"/>
  <c r="F1984" i="1"/>
  <c r="M116" i="1"/>
  <c r="N116" i="1" s="1"/>
  <c r="C117" i="1"/>
  <c r="F116" i="1"/>
  <c r="L2002" i="1"/>
  <c r="L2010" i="1" l="1"/>
  <c r="C1986" i="1"/>
  <c r="M1986" i="1" s="1"/>
  <c r="F1985" i="1"/>
  <c r="M117" i="1"/>
  <c r="N117" i="1" s="1"/>
  <c r="F117" i="1"/>
  <c r="C118" i="1"/>
  <c r="C1987" i="1" l="1"/>
  <c r="M1987" i="1" s="1"/>
  <c r="F1986" i="1"/>
  <c r="M118" i="1"/>
  <c r="N118" i="1" s="1"/>
  <c r="F118" i="1"/>
  <c r="C119" i="1"/>
  <c r="C1988" i="1" l="1"/>
  <c r="M1988" i="1" s="1"/>
  <c r="F1987" i="1"/>
  <c r="M119" i="1"/>
  <c r="N119" i="1" s="1"/>
  <c r="F119" i="1"/>
  <c r="C120" i="1"/>
  <c r="C1989" i="1" l="1"/>
  <c r="M1989" i="1" s="1"/>
  <c r="F1988" i="1"/>
  <c r="M120" i="1"/>
  <c r="N120" i="1" s="1"/>
  <c r="C121" i="1"/>
  <c r="F120" i="1"/>
  <c r="C1990" i="1" l="1"/>
  <c r="M1990" i="1" s="1"/>
  <c r="F1989" i="1"/>
  <c r="M121" i="1"/>
  <c r="N121" i="1" s="1"/>
  <c r="F121" i="1"/>
  <c r="C122" i="1"/>
  <c r="C1991" i="1" l="1"/>
  <c r="M1991" i="1" s="1"/>
  <c r="F1990" i="1"/>
  <c r="M122" i="1"/>
  <c r="N122" i="1" s="1"/>
  <c r="C123" i="1"/>
  <c r="F122" i="1"/>
  <c r="C1992" i="1" l="1"/>
  <c r="M1992" i="1" s="1"/>
  <c r="F1991" i="1"/>
  <c r="M123" i="1"/>
  <c r="N123" i="1" s="1"/>
  <c r="F123" i="1"/>
  <c r="C124" i="1"/>
  <c r="K124" i="1" s="1"/>
  <c r="L101" i="1"/>
  <c r="K101" i="1"/>
  <c r="K102" i="1" l="1"/>
  <c r="K104" i="1" s="1"/>
  <c r="K105" i="1" s="1"/>
  <c r="L102" i="1"/>
  <c r="L104" i="1" s="1"/>
  <c r="L105" i="1" s="1"/>
  <c r="C1993" i="1"/>
  <c r="M1993" i="1" s="1"/>
  <c r="F1992" i="1"/>
  <c r="K126" i="1"/>
  <c r="L124" i="1"/>
  <c r="M124" i="1"/>
  <c r="N124" i="1" s="1"/>
  <c r="C125" i="1"/>
  <c r="F124" i="1"/>
  <c r="C1994" i="1" l="1"/>
  <c r="M1994" i="1" s="1"/>
  <c r="F1993" i="1"/>
  <c r="L126" i="1"/>
  <c r="K128" i="1"/>
  <c r="K129" i="1"/>
  <c r="M125" i="1"/>
  <c r="N125" i="1" s="1"/>
  <c r="F125" i="1"/>
  <c r="C126" i="1"/>
  <c r="K131" i="1" l="1"/>
  <c r="C1995" i="1"/>
  <c r="M1995" i="1" s="1"/>
  <c r="F1994" i="1"/>
  <c r="L128" i="1"/>
  <c r="L129" i="1"/>
  <c r="M126" i="1"/>
  <c r="N126" i="1" s="1"/>
  <c r="C127" i="1"/>
  <c r="F126" i="1"/>
  <c r="L131" i="1" l="1"/>
  <c r="C1996" i="1"/>
  <c r="M1996" i="1" s="1"/>
  <c r="F1995" i="1"/>
  <c r="M127" i="1"/>
  <c r="N127" i="1" s="1"/>
  <c r="F127" i="1"/>
  <c r="C128" i="1"/>
  <c r="C1997" i="1" l="1"/>
  <c r="M1997" i="1" s="1"/>
  <c r="F1996" i="1"/>
  <c r="M128" i="1"/>
  <c r="N128" i="1" s="1"/>
  <c r="F128" i="1"/>
  <c r="C129" i="1"/>
  <c r="C1998" i="1" l="1"/>
  <c r="M1998" i="1" s="1"/>
  <c r="F1997" i="1"/>
  <c r="M129" i="1"/>
  <c r="N129" i="1" s="1"/>
  <c r="F129" i="1"/>
  <c r="C130" i="1"/>
  <c r="C1999" i="1" l="1"/>
  <c r="M1999" i="1" s="1"/>
  <c r="F1998" i="1"/>
  <c r="M130" i="1"/>
  <c r="N130" i="1" s="1"/>
  <c r="C131" i="1"/>
  <c r="F130" i="1"/>
  <c r="C2000" i="1" l="1"/>
  <c r="M2000" i="1" s="1"/>
  <c r="F1999" i="1"/>
  <c r="M131" i="1"/>
  <c r="N131" i="1" s="1"/>
  <c r="F131" i="1"/>
  <c r="C132" i="1"/>
  <c r="C2001" i="1" l="1"/>
  <c r="M2001" i="1" s="1"/>
  <c r="F2000" i="1"/>
  <c r="M132" i="1"/>
  <c r="N132" i="1" s="1"/>
  <c r="C133" i="1"/>
  <c r="F132" i="1"/>
  <c r="C2002" i="1" l="1"/>
  <c r="F2001" i="1"/>
  <c r="M133" i="1"/>
  <c r="N133" i="1" s="1"/>
  <c r="F133" i="1"/>
  <c r="C134" i="1"/>
  <c r="C2003" i="1" l="1"/>
  <c r="M2003" i="1" s="1"/>
  <c r="F2002" i="1"/>
  <c r="M134" i="1"/>
  <c r="N134" i="1" s="1"/>
  <c r="C135" i="1"/>
  <c r="F134" i="1"/>
  <c r="C2004" i="1" l="1"/>
  <c r="M2004" i="1" s="1"/>
  <c r="F2003" i="1"/>
  <c r="M135" i="1"/>
  <c r="N135" i="1" s="1"/>
  <c r="C136" i="1"/>
  <c r="F135" i="1"/>
  <c r="C2005" i="1" l="1"/>
  <c r="F2004" i="1"/>
  <c r="M136" i="1"/>
  <c r="N136" i="1" s="1"/>
  <c r="C137" i="1"/>
  <c r="F136" i="1"/>
  <c r="C2006" i="1" l="1"/>
  <c r="M2006" i="1" s="1"/>
  <c r="F2005" i="1"/>
  <c r="M137" i="1"/>
  <c r="N137" i="1" s="1"/>
  <c r="F137" i="1"/>
  <c r="C138" i="1"/>
  <c r="C2007" i="1" l="1"/>
  <c r="M2007" i="1" s="1"/>
  <c r="F2006" i="1"/>
  <c r="M138" i="1"/>
  <c r="N138" i="1" s="1"/>
  <c r="C139" i="1"/>
  <c r="F138" i="1"/>
  <c r="C2008" i="1" l="1"/>
  <c r="M2008" i="1" s="1"/>
  <c r="F2007" i="1"/>
  <c r="M139" i="1"/>
  <c r="N139" i="1" s="1"/>
  <c r="C140" i="1"/>
  <c r="F139" i="1"/>
  <c r="C2009" i="1" l="1"/>
  <c r="M2009" i="1" s="1"/>
  <c r="F2008" i="1"/>
  <c r="M140" i="1"/>
  <c r="N140" i="1" s="1"/>
  <c r="C141" i="1"/>
  <c r="F140" i="1"/>
  <c r="C2010" i="1" l="1"/>
  <c r="M2010" i="1" s="1"/>
  <c r="F2009" i="1"/>
  <c r="M141" i="1"/>
  <c r="N141" i="1" s="1"/>
  <c r="C142" i="1"/>
  <c r="F141" i="1"/>
  <c r="C2011" i="1" l="1"/>
  <c r="F2010" i="1"/>
  <c r="M142" i="1"/>
  <c r="N142" i="1" s="1"/>
  <c r="F142" i="1"/>
  <c r="C143" i="1"/>
  <c r="M2011" i="1" l="1"/>
  <c r="K2012" i="1"/>
  <c r="C2012" i="1"/>
  <c r="M2012" i="1" s="1"/>
  <c r="F2011" i="1"/>
  <c r="M143" i="1"/>
  <c r="N143" i="1" s="1"/>
  <c r="C144" i="1"/>
  <c r="F143" i="1"/>
  <c r="K2013" i="1" l="1"/>
  <c r="K2029" i="1"/>
  <c r="K2030" i="1" s="1"/>
  <c r="K2032" i="1" s="1"/>
  <c r="L2012" i="1"/>
  <c r="L2029" i="1" s="1"/>
  <c r="L2030" i="1" s="1"/>
  <c r="L2032" i="1" s="1"/>
  <c r="C2013" i="1"/>
  <c r="M2013" i="1" s="1"/>
  <c r="F2012" i="1"/>
  <c r="M144" i="1"/>
  <c r="N144" i="1" s="1"/>
  <c r="C145" i="1"/>
  <c r="F144" i="1"/>
  <c r="K2020" i="1" l="1"/>
  <c r="L2013" i="1"/>
  <c r="K2022" i="1"/>
  <c r="C2014" i="1"/>
  <c r="M2014" i="1" s="1"/>
  <c r="F2013" i="1"/>
  <c r="M145" i="1"/>
  <c r="N145" i="1" s="1"/>
  <c r="F145" i="1"/>
  <c r="C146" i="1"/>
  <c r="K2024" i="1" l="1"/>
  <c r="L2022" i="1"/>
  <c r="L2020" i="1"/>
  <c r="C2015" i="1"/>
  <c r="M2015" i="1" s="1"/>
  <c r="F2014" i="1"/>
  <c r="M146" i="1"/>
  <c r="N146" i="1" s="1"/>
  <c r="F146" i="1"/>
  <c r="C147" i="1"/>
  <c r="K2033" i="1"/>
  <c r="L2033" i="1" l="1"/>
  <c r="K2040" i="1"/>
  <c r="C2016" i="1"/>
  <c r="M2016" i="1" s="1"/>
  <c r="F2015" i="1"/>
  <c r="M147" i="1"/>
  <c r="N147" i="1" s="1"/>
  <c r="F147" i="1"/>
  <c r="C148" i="1"/>
  <c r="L2024" i="1"/>
  <c r="L2040" i="1" l="1"/>
  <c r="C2017" i="1"/>
  <c r="M2017" i="1" s="1"/>
  <c r="F2016" i="1"/>
  <c r="M148" i="1"/>
  <c r="N148" i="1" s="1"/>
  <c r="C149" i="1"/>
  <c r="F148" i="1"/>
  <c r="C2018" i="1" l="1"/>
  <c r="M2018" i="1" s="1"/>
  <c r="F2017" i="1"/>
  <c r="M149" i="1"/>
  <c r="N149" i="1" s="1"/>
  <c r="C150" i="1"/>
  <c r="F149" i="1"/>
  <c r="C2019" i="1" l="1"/>
  <c r="M2019" i="1" s="1"/>
  <c r="F2018" i="1"/>
  <c r="M150" i="1"/>
  <c r="N150" i="1" s="1"/>
  <c r="F150" i="1"/>
  <c r="C151" i="1"/>
  <c r="C2020" i="1" l="1"/>
  <c r="M2020" i="1" s="1"/>
  <c r="F2019" i="1"/>
  <c r="M151" i="1"/>
  <c r="N151" i="1" s="1"/>
  <c r="F151" i="1"/>
  <c r="C152" i="1"/>
  <c r="C2021" i="1" l="1"/>
  <c r="M2021" i="1" s="1"/>
  <c r="F2020" i="1"/>
  <c r="M152" i="1"/>
  <c r="N152" i="1" s="1"/>
  <c r="C153" i="1"/>
  <c r="F152" i="1"/>
  <c r="C2022" i="1" l="1"/>
  <c r="M2022" i="1" s="1"/>
  <c r="F2021" i="1"/>
  <c r="M153" i="1"/>
  <c r="N153" i="1" s="1"/>
  <c r="F153" i="1"/>
  <c r="C154" i="1"/>
  <c r="K154" i="1" s="1"/>
  <c r="L132" i="1"/>
  <c r="K132" i="1"/>
  <c r="K133" i="1" l="1"/>
  <c r="K135" i="1" s="1"/>
  <c r="K136" i="1" s="1"/>
  <c r="L133" i="1"/>
  <c r="L135" i="1" s="1"/>
  <c r="L136" i="1" s="1"/>
  <c r="C2023" i="1"/>
  <c r="M2023" i="1" s="1"/>
  <c r="F2022" i="1"/>
  <c r="K156" i="1"/>
  <c r="L154" i="1"/>
  <c r="M154" i="1"/>
  <c r="N154" i="1" s="1"/>
  <c r="C155" i="1"/>
  <c r="F154" i="1"/>
  <c r="C2024" i="1" l="1"/>
  <c r="M2024" i="1" s="1"/>
  <c r="F2023" i="1"/>
  <c r="L156" i="1"/>
  <c r="K159" i="1"/>
  <c r="K158" i="1"/>
  <c r="M155" i="1"/>
  <c r="N155" i="1" s="1"/>
  <c r="F155" i="1"/>
  <c r="C156" i="1"/>
  <c r="K161" i="1" l="1"/>
  <c r="C2025" i="1"/>
  <c r="M2025" i="1" s="1"/>
  <c r="F2024" i="1"/>
  <c r="L158" i="1"/>
  <c r="L159" i="1"/>
  <c r="M156" i="1"/>
  <c r="N156" i="1" s="1"/>
  <c r="C157" i="1"/>
  <c r="F156" i="1"/>
  <c r="L161" i="1" l="1"/>
  <c r="C2026" i="1"/>
  <c r="M2026" i="1" s="1"/>
  <c r="F2025" i="1"/>
  <c r="M157" i="1"/>
  <c r="N157" i="1" s="1"/>
  <c r="F157" i="1"/>
  <c r="C158" i="1"/>
  <c r="C2027" i="1" l="1"/>
  <c r="M2027" i="1" s="1"/>
  <c r="F2026" i="1"/>
  <c r="M158" i="1"/>
  <c r="N158" i="1" s="1"/>
  <c r="C159" i="1"/>
  <c r="F158" i="1"/>
  <c r="C2028" i="1" l="1"/>
  <c r="F2027" i="1"/>
  <c r="M159" i="1"/>
  <c r="N159" i="1" s="1"/>
  <c r="F159" i="1"/>
  <c r="C160" i="1"/>
  <c r="C2029" i="1" l="1"/>
  <c r="F2028" i="1"/>
  <c r="M160" i="1"/>
  <c r="N160" i="1" s="1"/>
  <c r="C161" i="1"/>
  <c r="F160" i="1"/>
  <c r="C2030" i="1" l="1"/>
  <c r="M2030" i="1" s="1"/>
  <c r="F2029" i="1"/>
  <c r="M161" i="1"/>
  <c r="N161" i="1" s="1"/>
  <c r="F161" i="1"/>
  <c r="C162" i="1"/>
  <c r="C2031" i="1" l="1"/>
  <c r="M2031" i="1" s="1"/>
  <c r="F2030" i="1"/>
  <c r="M162" i="1"/>
  <c r="N162" i="1" s="1"/>
  <c r="C163" i="1"/>
  <c r="F162" i="1"/>
  <c r="C2032" i="1" l="1"/>
  <c r="M2032" i="1" s="1"/>
  <c r="F2031" i="1"/>
  <c r="M163" i="1"/>
  <c r="N163" i="1" s="1"/>
  <c r="C164" i="1"/>
  <c r="F163" i="1"/>
  <c r="C2033" i="1" l="1"/>
  <c r="M2033" i="1" s="1"/>
  <c r="F2032" i="1"/>
  <c r="M164" i="1"/>
  <c r="N164" i="1" s="1"/>
  <c r="C165" i="1"/>
  <c r="F164" i="1"/>
  <c r="C2034" i="1" l="1"/>
  <c r="M2034" i="1" s="1"/>
  <c r="F2033" i="1"/>
  <c r="M165" i="1"/>
  <c r="N165" i="1" s="1"/>
  <c r="F165" i="1"/>
  <c r="C166" i="1"/>
  <c r="C2035" i="1" l="1"/>
  <c r="M2035" i="1" s="1"/>
  <c r="F2034" i="1"/>
  <c r="M166" i="1"/>
  <c r="N166" i="1" s="1"/>
  <c r="C167" i="1"/>
  <c r="F166" i="1"/>
  <c r="C2036" i="1" l="1"/>
  <c r="M2036" i="1" s="1"/>
  <c r="F2035" i="1"/>
  <c r="M167" i="1"/>
  <c r="N167" i="1" s="1"/>
  <c r="F167" i="1"/>
  <c r="C168" i="1"/>
  <c r="C2037" i="1" l="1"/>
  <c r="M2037" i="1" s="1"/>
  <c r="F2036" i="1"/>
  <c r="M168" i="1"/>
  <c r="N168" i="1" s="1"/>
  <c r="C169" i="1"/>
  <c r="F168" i="1"/>
  <c r="C2038" i="1" l="1"/>
  <c r="M2038" i="1" s="1"/>
  <c r="F2037" i="1"/>
  <c r="M169" i="1"/>
  <c r="N169" i="1" s="1"/>
  <c r="C170" i="1"/>
  <c r="F169" i="1"/>
  <c r="C2039" i="1" l="1"/>
  <c r="M2039" i="1" s="1"/>
  <c r="F2038" i="1"/>
  <c r="M170" i="1"/>
  <c r="N170" i="1" s="1"/>
  <c r="C171" i="1"/>
  <c r="F170" i="1"/>
  <c r="C2040" i="1" l="1"/>
  <c r="M2040" i="1" s="1"/>
  <c r="F2039" i="1"/>
  <c r="M171" i="1"/>
  <c r="N171" i="1" s="1"/>
  <c r="C172" i="1"/>
  <c r="F171" i="1"/>
  <c r="C2041" i="1" l="1"/>
  <c r="F2040" i="1"/>
  <c r="M172" i="1"/>
  <c r="N172" i="1" s="1"/>
  <c r="C173" i="1"/>
  <c r="F172" i="1"/>
  <c r="M2041" i="1" l="1"/>
  <c r="K2042" i="1"/>
  <c r="C2042" i="1"/>
  <c r="M2042" i="1" s="1"/>
  <c r="F2041" i="1"/>
  <c r="M173" i="1"/>
  <c r="N173" i="1" s="1"/>
  <c r="F173" i="1"/>
  <c r="C174" i="1"/>
  <c r="K2043" i="1" l="1"/>
  <c r="K2052" i="1" s="1"/>
  <c r="K2059" i="1"/>
  <c r="K2060" i="1" s="1"/>
  <c r="K2062" i="1" s="1"/>
  <c r="L2042" i="1"/>
  <c r="L2059" i="1" s="1"/>
  <c r="L2060" i="1" s="1"/>
  <c r="L2062" i="1" s="1"/>
  <c r="C2043" i="1"/>
  <c r="F2042" i="1"/>
  <c r="M174" i="1"/>
  <c r="N174" i="1" s="1"/>
  <c r="C175" i="1"/>
  <c r="F174" i="1"/>
  <c r="K2050" i="1" l="1"/>
  <c r="L2043" i="1"/>
  <c r="C2044" i="1"/>
  <c r="F2043" i="1"/>
  <c r="M175" i="1"/>
  <c r="N175" i="1" s="1"/>
  <c r="C176" i="1"/>
  <c r="F175" i="1"/>
  <c r="K2054" i="1" l="1"/>
  <c r="L2052" i="1"/>
  <c r="L2050" i="1"/>
  <c r="F2044" i="1"/>
  <c r="C2045" i="1"/>
  <c r="M176" i="1"/>
  <c r="N176" i="1" s="1"/>
  <c r="C177" i="1"/>
  <c r="F176" i="1"/>
  <c r="K2063" i="1"/>
  <c r="L2063" i="1" l="1"/>
  <c r="K2071" i="1"/>
  <c r="C2046" i="1"/>
  <c r="F2045" i="1"/>
  <c r="M177" i="1"/>
  <c r="N177" i="1" s="1"/>
  <c r="C178" i="1"/>
  <c r="F177" i="1"/>
  <c r="L2054" i="1"/>
  <c r="L2071" i="1" l="1"/>
  <c r="C2047" i="1"/>
  <c r="M2047" i="1" s="1"/>
  <c r="F2046" i="1"/>
  <c r="M178" i="1"/>
  <c r="N178" i="1" s="1"/>
  <c r="C179" i="1"/>
  <c r="F178" i="1"/>
  <c r="C2048" i="1" l="1"/>
  <c r="F2047" i="1"/>
  <c r="M179" i="1"/>
  <c r="N179" i="1" s="1"/>
  <c r="C180" i="1"/>
  <c r="F179" i="1"/>
  <c r="M2048" i="1" l="1"/>
  <c r="C2049" i="1"/>
  <c r="M2049" i="1" s="1"/>
  <c r="F2048" i="1"/>
  <c r="M180" i="1"/>
  <c r="N180" i="1" s="1"/>
  <c r="C181" i="1"/>
  <c r="F180" i="1"/>
  <c r="C2050" i="1" l="1"/>
  <c r="M2050" i="1" s="1"/>
  <c r="F2049" i="1"/>
  <c r="M181" i="1"/>
  <c r="N181" i="1" s="1"/>
  <c r="C182" i="1"/>
  <c r="F181" i="1"/>
  <c r="C2051" i="1" l="1"/>
  <c r="M2051" i="1" s="1"/>
  <c r="F2050" i="1"/>
  <c r="M182" i="1"/>
  <c r="N182" i="1" s="1"/>
  <c r="C183" i="1"/>
  <c r="F182" i="1"/>
  <c r="C2052" i="1" l="1"/>
  <c r="M2052" i="1" s="1"/>
  <c r="F2051" i="1"/>
  <c r="M183" i="1"/>
  <c r="N183" i="1" s="1"/>
  <c r="F183" i="1"/>
  <c r="C184" i="1"/>
  <c r="C2053" i="1" l="1"/>
  <c r="M2053" i="1" s="1"/>
  <c r="F2052" i="1"/>
  <c r="M184" i="1"/>
  <c r="N184" i="1" s="1"/>
  <c r="C185" i="1"/>
  <c r="K185" i="1" s="1"/>
  <c r="F184" i="1"/>
  <c r="K162" i="1"/>
  <c r="L162" i="1"/>
  <c r="K163" i="1" l="1"/>
  <c r="K165" i="1" s="1"/>
  <c r="K166" i="1" s="1"/>
  <c r="L163" i="1"/>
  <c r="L165" i="1" s="1"/>
  <c r="L166" i="1" s="1"/>
  <c r="C2054" i="1"/>
  <c r="M2054" i="1" s="1"/>
  <c r="F2053" i="1"/>
  <c r="L185" i="1"/>
  <c r="K187" i="1"/>
  <c r="M185" i="1"/>
  <c r="N185" i="1" s="1"/>
  <c r="F185" i="1"/>
  <c r="C186" i="1"/>
  <c r="C2055" i="1" l="1"/>
  <c r="M2055" i="1" s="1"/>
  <c r="F2054" i="1"/>
  <c r="L187" i="1"/>
  <c r="K189" i="1"/>
  <c r="K190" i="1"/>
  <c r="M186" i="1"/>
  <c r="N186" i="1" s="1"/>
  <c r="C187" i="1"/>
  <c r="F186" i="1"/>
  <c r="K192" i="1" l="1"/>
  <c r="C2056" i="1"/>
  <c r="M2056" i="1" s="1"/>
  <c r="F2055" i="1"/>
  <c r="L190" i="1"/>
  <c r="L189" i="1"/>
  <c r="M187" i="1"/>
  <c r="N187" i="1" s="1"/>
  <c r="C188" i="1"/>
  <c r="F187" i="1"/>
  <c r="L192" i="1" l="1"/>
  <c r="C2057" i="1"/>
  <c r="M2057" i="1" s="1"/>
  <c r="F2056" i="1"/>
  <c r="M188" i="1"/>
  <c r="N188" i="1" s="1"/>
  <c r="C189" i="1"/>
  <c r="F188" i="1"/>
  <c r="C2058" i="1" l="1"/>
  <c r="M2058" i="1" s="1"/>
  <c r="F2057" i="1"/>
  <c r="M189" i="1"/>
  <c r="N189" i="1" s="1"/>
  <c r="F189" i="1"/>
  <c r="C190" i="1"/>
  <c r="C2059" i="1" l="1"/>
  <c r="M2059" i="1" s="1"/>
  <c r="F2058" i="1"/>
  <c r="M190" i="1"/>
  <c r="N190" i="1" s="1"/>
  <c r="C191" i="1"/>
  <c r="F190" i="1"/>
  <c r="C2060" i="1" l="1"/>
  <c r="M2060" i="1" s="1"/>
  <c r="F2059" i="1"/>
  <c r="M191" i="1"/>
  <c r="N191" i="1" s="1"/>
  <c r="F191" i="1"/>
  <c r="C192" i="1"/>
  <c r="C2061" i="1" l="1"/>
  <c r="M2061" i="1" s="1"/>
  <c r="F2060" i="1"/>
  <c r="M192" i="1"/>
  <c r="N192" i="1" s="1"/>
  <c r="C193" i="1"/>
  <c r="F192" i="1"/>
  <c r="C2062" i="1" l="1"/>
  <c r="M2062" i="1" s="1"/>
  <c r="F2061" i="1"/>
  <c r="M193" i="1"/>
  <c r="N193" i="1" s="1"/>
  <c r="C194" i="1"/>
  <c r="F193" i="1"/>
  <c r="C2063" i="1" l="1"/>
  <c r="M2063" i="1" s="1"/>
  <c r="F2062" i="1"/>
  <c r="M194" i="1"/>
  <c r="N194" i="1" s="1"/>
  <c r="C195" i="1"/>
  <c r="F194" i="1"/>
  <c r="C2064" i="1" l="1"/>
  <c r="M2064" i="1" s="1"/>
  <c r="F2063" i="1"/>
  <c r="M195" i="1"/>
  <c r="N195" i="1" s="1"/>
  <c r="C196" i="1"/>
  <c r="F195" i="1"/>
  <c r="C2065" i="1" l="1"/>
  <c r="M2065" i="1" s="1"/>
  <c r="F2064" i="1"/>
  <c r="M196" i="1"/>
  <c r="N196" i="1" s="1"/>
  <c r="F196" i="1"/>
  <c r="C197" i="1"/>
  <c r="C2066" i="1" l="1"/>
  <c r="M2066" i="1" s="1"/>
  <c r="F2065" i="1"/>
  <c r="M197" i="1"/>
  <c r="N197" i="1" s="1"/>
  <c r="F197" i="1"/>
  <c r="C198" i="1"/>
  <c r="C2067" i="1" l="1"/>
  <c r="M2067" i="1" s="1"/>
  <c r="F2066" i="1"/>
  <c r="M198" i="1"/>
  <c r="N198" i="1" s="1"/>
  <c r="C199" i="1"/>
  <c r="F198" i="1"/>
  <c r="C2068" i="1" l="1"/>
  <c r="M2068" i="1" s="1"/>
  <c r="F2067" i="1"/>
  <c r="M199" i="1"/>
  <c r="N199" i="1" s="1"/>
  <c r="F199" i="1"/>
  <c r="C200" i="1"/>
  <c r="C2069" i="1" l="1"/>
  <c r="M2069" i="1" s="1"/>
  <c r="F2068" i="1"/>
  <c r="M200" i="1"/>
  <c r="N200" i="1" s="1"/>
  <c r="F200" i="1"/>
  <c r="C201" i="1"/>
  <c r="C2070" i="1" l="1"/>
  <c r="F2069" i="1"/>
  <c r="M201" i="1"/>
  <c r="N201" i="1" s="1"/>
  <c r="F201" i="1"/>
  <c r="C202" i="1"/>
  <c r="M2070" i="1" l="1"/>
  <c r="C2071" i="1"/>
  <c r="F2070" i="1"/>
  <c r="M202" i="1"/>
  <c r="N202" i="1" s="1"/>
  <c r="C203" i="1"/>
  <c r="F202" i="1"/>
  <c r="F2071" i="1" l="1"/>
  <c r="M2071" i="1"/>
  <c r="C2072" i="1"/>
  <c r="M203" i="1"/>
  <c r="N203" i="1" s="1"/>
  <c r="F203" i="1"/>
  <c r="C204" i="1"/>
  <c r="M2072" i="1" l="1"/>
  <c r="K2073" i="1"/>
  <c r="C2073" i="1"/>
  <c r="M2073" i="1" s="1"/>
  <c r="F2072" i="1"/>
  <c r="M204" i="1"/>
  <c r="N204" i="1" s="1"/>
  <c r="C205" i="1"/>
  <c r="F204" i="1"/>
  <c r="K2074" i="1" l="1"/>
  <c r="K2085" i="1"/>
  <c r="K2087" i="1" s="1"/>
  <c r="L2073" i="1"/>
  <c r="C2074" i="1"/>
  <c r="M2074" i="1" s="1"/>
  <c r="F2073" i="1"/>
  <c r="M205" i="1"/>
  <c r="N205" i="1" s="1"/>
  <c r="F205" i="1"/>
  <c r="C206" i="1"/>
  <c r="L2074" i="1" l="1"/>
  <c r="K2079" i="1"/>
  <c r="K2077" i="1"/>
  <c r="L2085" i="1"/>
  <c r="C2075" i="1"/>
  <c r="M2075" i="1" s="1"/>
  <c r="F2074" i="1"/>
  <c r="M206" i="1"/>
  <c r="N206" i="1" s="1"/>
  <c r="C207" i="1"/>
  <c r="F206" i="1"/>
  <c r="K2093" i="1" l="1"/>
  <c r="L2077" i="1"/>
  <c r="L2079" i="1"/>
  <c r="L2087" i="1"/>
  <c r="C2076" i="1"/>
  <c r="M2076" i="1" s="1"/>
  <c r="F2075" i="1"/>
  <c r="M207" i="1"/>
  <c r="N207" i="1" s="1"/>
  <c r="F207" i="1"/>
  <c r="C208" i="1"/>
  <c r="L2093" i="1" l="1"/>
  <c r="C2077" i="1"/>
  <c r="M2077" i="1" s="1"/>
  <c r="F2076" i="1"/>
  <c r="M208" i="1"/>
  <c r="N208" i="1" s="1"/>
  <c r="C209" i="1"/>
  <c r="F208" i="1"/>
  <c r="L2088" i="1"/>
  <c r="L2090" i="1" l="1"/>
  <c r="L2097" i="1" s="1"/>
  <c r="L2112" i="1"/>
  <c r="C2078" i="1"/>
  <c r="F2077" i="1"/>
  <c r="M209" i="1"/>
  <c r="N209" i="1" s="1"/>
  <c r="F209" i="1"/>
  <c r="C210" i="1"/>
  <c r="M2078" i="1" l="1"/>
  <c r="K2084" i="1"/>
  <c r="C2079" i="1"/>
  <c r="M2079" i="1" s="1"/>
  <c r="F2078" i="1"/>
  <c r="M210" i="1"/>
  <c r="N210" i="1" s="1"/>
  <c r="C211" i="1"/>
  <c r="F210" i="1"/>
  <c r="L2120" i="1"/>
  <c r="L2125" i="1"/>
  <c r="L2084" i="1" l="1"/>
  <c r="L2092" i="1" s="1"/>
  <c r="L2095" i="1" s="1"/>
  <c r="L2098" i="1" s="1"/>
  <c r="L2099" i="1" s="1"/>
  <c r="K2092" i="1"/>
  <c r="K2095" i="1" s="1"/>
  <c r="K2098" i="1" s="1"/>
  <c r="C2080" i="1"/>
  <c r="M2080" i="1" s="1"/>
  <c r="F2079" i="1"/>
  <c r="M211" i="1"/>
  <c r="N211" i="1" s="1"/>
  <c r="F211" i="1"/>
  <c r="C212" i="1"/>
  <c r="C2081" i="1" l="1"/>
  <c r="M2081" i="1" s="1"/>
  <c r="F2080" i="1"/>
  <c r="M212" i="1"/>
  <c r="N212" i="1" s="1"/>
  <c r="C213" i="1"/>
  <c r="F212" i="1"/>
  <c r="C2082" i="1" l="1"/>
  <c r="M2082" i="1" s="1"/>
  <c r="F2081" i="1"/>
  <c r="M213" i="1"/>
  <c r="N213" i="1" s="1"/>
  <c r="F213" i="1"/>
  <c r="C214" i="1"/>
  <c r="C2083" i="1" l="1"/>
  <c r="M2083" i="1" s="1"/>
  <c r="F2082" i="1"/>
  <c r="M214" i="1"/>
  <c r="N214" i="1" s="1"/>
  <c r="C215" i="1"/>
  <c r="K215" i="1" s="1"/>
  <c r="F214" i="1"/>
  <c r="L193" i="1"/>
  <c r="K193" i="1"/>
  <c r="K194" i="1" l="1"/>
  <c r="K196" i="1" s="1"/>
  <c r="K197" i="1" s="1"/>
  <c r="L194" i="1"/>
  <c r="L196" i="1" s="1"/>
  <c r="L197" i="1" s="1"/>
  <c r="C2084" i="1"/>
  <c r="M2084" i="1" s="1"/>
  <c r="F2083" i="1"/>
  <c r="K217" i="1"/>
  <c r="L215" i="1"/>
  <c r="M215" i="1"/>
  <c r="N215" i="1" s="1"/>
  <c r="F215" i="1"/>
  <c r="C216" i="1"/>
  <c r="C2085" i="1" l="1"/>
  <c r="M2085" i="1" s="1"/>
  <c r="F2084" i="1"/>
  <c r="L217" i="1"/>
  <c r="K220" i="1"/>
  <c r="K219" i="1"/>
  <c r="M216" i="1"/>
  <c r="N216" i="1" s="1"/>
  <c r="C217" i="1"/>
  <c r="F216" i="1"/>
  <c r="K222" i="1" l="1"/>
  <c r="C2086" i="1"/>
  <c r="M2086" i="1" s="1"/>
  <c r="F2085" i="1"/>
  <c r="L219" i="1"/>
  <c r="L220" i="1"/>
  <c r="M217" i="1"/>
  <c r="N217" i="1" s="1"/>
  <c r="F217" i="1"/>
  <c r="C218" i="1"/>
  <c r="L222" i="1" l="1"/>
  <c r="C2087" i="1"/>
  <c r="M2087" i="1" s="1"/>
  <c r="F2086" i="1"/>
  <c r="M218" i="1"/>
  <c r="N218" i="1" s="1"/>
  <c r="C219" i="1"/>
  <c r="F218" i="1"/>
  <c r="C2088" i="1" l="1"/>
  <c r="M2088" i="1" s="1"/>
  <c r="F2087" i="1"/>
  <c r="M219" i="1"/>
  <c r="N219" i="1" s="1"/>
  <c r="F219" i="1"/>
  <c r="C220" i="1"/>
  <c r="C2089" i="1" l="1"/>
  <c r="M2089" i="1" s="1"/>
  <c r="F2088" i="1"/>
  <c r="M220" i="1"/>
  <c r="N220" i="1" s="1"/>
  <c r="C221" i="1"/>
  <c r="F220" i="1"/>
  <c r="C2090" i="1" l="1"/>
  <c r="M2090" i="1" s="1"/>
  <c r="F2089" i="1"/>
  <c r="M221" i="1"/>
  <c r="N221" i="1" s="1"/>
  <c r="F221" i="1"/>
  <c r="C222" i="1"/>
  <c r="C2091" i="1" l="1"/>
  <c r="M2091" i="1" s="1"/>
  <c r="F2090" i="1"/>
  <c r="M222" i="1"/>
  <c r="N222" i="1" s="1"/>
  <c r="C223" i="1"/>
  <c r="F222" i="1"/>
  <c r="C2092" i="1" l="1"/>
  <c r="M2092" i="1" s="1"/>
  <c r="F2091" i="1"/>
  <c r="M223" i="1"/>
  <c r="N223" i="1" s="1"/>
  <c r="F223" i="1"/>
  <c r="C224" i="1"/>
  <c r="C2093" i="1" l="1"/>
  <c r="M2093" i="1" s="1"/>
  <c r="F2092" i="1"/>
  <c r="M224" i="1"/>
  <c r="N224" i="1" s="1"/>
  <c r="C225" i="1"/>
  <c r="F224" i="1"/>
  <c r="C2094" i="1" l="1"/>
  <c r="M2094" i="1" s="1"/>
  <c r="F2093" i="1"/>
  <c r="M225" i="1"/>
  <c r="N225" i="1" s="1"/>
  <c r="C226" i="1"/>
  <c r="F225" i="1"/>
  <c r="C2095" i="1" l="1"/>
  <c r="M2095" i="1" s="1"/>
  <c r="F2094" i="1"/>
  <c r="M226" i="1"/>
  <c r="N226" i="1" s="1"/>
  <c r="C227" i="1"/>
  <c r="F226" i="1"/>
  <c r="C2096" i="1" l="1"/>
  <c r="M2096" i="1" s="1"/>
  <c r="F2095" i="1"/>
  <c r="M227" i="1"/>
  <c r="N227" i="1" s="1"/>
  <c r="F227" i="1"/>
  <c r="C228" i="1"/>
  <c r="C2097" i="1" l="1"/>
  <c r="M2097" i="1" s="1"/>
  <c r="F2096" i="1"/>
  <c r="M228" i="1"/>
  <c r="N228" i="1" s="1"/>
  <c r="C229" i="1"/>
  <c r="F228" i="1"/>
  <c r="C2098" i="1" l="1"/>
  <c r="M2098" i="1" s="1"/>
  <c r="F2097" i="1"/>
  <c r="M229" i="1"/>
  <c r="N229" i="1" s="1"/>
  <c r="F229" i="1"/>
  <c r="C230" i="1"/>
  <c r="C2099" i="1" l="1"/>
  <c r="M2099" i="1" s="1"/>
  <c r="F2098" i="1"/>
  <c r="M230" i="1"/>
  <c r="N230" i="1" s="1"/>
  <c r="C231" i="1"/>
  <c r="F230" i="1"/>
  <c r="C2100" i="1" l="1"/>
  <c r="F2099" i="1"/>
  <c r="M231" i="1"/>
  <c r="N231" i="1" s="1"/>
  <c r="F231" i="1"/>
  <c r="C232" i="1"/>
  <c r="C2101" i="1" l="1"/>
  <c r="F2100" i="1"/>
  <c r="M232" i="1"/>
  <c r="N232" i="1" s="1"/>
  <c r="C233" i="1"/>
  <c r="F232" i="1"/>
  <c r="C2102" i="1" l="1"/>
  <c r="M2101" i="1"/>
  <c r="F2101" i="1"/>
  <c r="M233" i="1"/>
  <c r="N233" i="1" s="1"/>
  <c r="F233" i="1"/>
  <c r="C234" i="1"/>
  <c r="F2102" i="1" l="1"/>
  <c r="M2102" i="1"/>
  <c r="C2103" i="1"/>
  <c r="K2104" i="1" s="1"/>
  <c r="M234" i="1"/>
  <c r="N234" i="1" s="1"/>
  <c r="C235" i="1"/>
  <c r="F234" i="1"/>
  <c r="L2104" i="1" l="1"/>
  <c r="L2116" i="1" s="1"/>
  <c r="K2105" i="1"/>
  <c r="K2116" i="1"/>
  <c r="K2118" i="1" s="1"/>
  <c r="C2104" i="1"/>
  <c r="M2104" i="1" s="1"/>
  <c r="F2103" i="1"/>
  <c r="M235" i="1"/>
  <c r="N235" i="1" s="1"/>
  <c r="C236" i="1"/>
  <c r="F235" i="1"/>
  <c r="K2108" i="1" l="1"/>
  <c r="K2110" i="1"/>
  <c r="L2105" i="1"/>
  <c r="L2118" i="1"/>
  <c r="C2105" i="1"/>
  <c r="M2105" i="1" s="1"/>
  <c r="F2104" i="1"/>
  <c r="M236" i="1"/>
  <c r="N236" i="1" s="1"/>
  <c r="C237" i="1"/>
  <c r="F236" i="1"/>
  <c r="K2119" i="1" l="1"/>
  <c r="L2110" i="1"/>
  <c r="L2108" i="1"/>
  <c r="C2106" i="1"/>
  <c r="M2106" i="1" s="1"/>
  <c r="F2105" i="1"/>
  <c r="M237" i="1"/>
  <c r="N237" i="1" s="1"/>
  <c r="C238" i="1"/>
  <c r="F237" i="1"/>
  <c r="K2124" i="1"/>
  <c r="L2119" i="1" l="1"/>
  <c r="C2107" i="1"/>
  <c r="M2107" i="1" s="1"/>
  <c r="F2106" i="1"/>
  <c r="M238" i="1"/>
  <c r="N238" i="1" s="1"/>
  <c r="F238" i="1"/>
  <c r="C239" i="1"/>
  <c r="L2124" i="1"/>
  <c r="L2121" i="1" l="1"/>
  <c r="L2128" i="1" s="1"/>
  <c r="C2108" i="1"/>
  <c r="M2108" i="1" s="1"/>
  <c r="F2107" i="1"/>
  <c r="M239" i="1"/>
  <c r="N239" i="1" s="1"/>
  <c r="C240" i="1"/>
  <c r="F239" i="1"/>
  <c r="C2109" i="1" l="1"/>
  <c r="F2108" i="1"/>
  <c r="M240" i="1"/>
  <c r="N240" i="1" s="1"/>
  <c r="F240" i="1"/>
  <c r="C241" i="1"/>
  <c r="M2109" i="1" l="1"/>
  <c r="K2115" i="1"/>
  <c r="C2110" i="1"/>
  <c r="M2110" i="1" s="1"/>
  <c r="F2109" i="1"/>
  <c r="M241" i="1"/>
  <c r="N241" i="1" s="1"/>
  <c r="C242" i="1"/>
  <c r="F241" i="1"/>
  <c r="L2115" i="1" l="1"/>
  <c r="L2123" i="1" s="1"/>
  <c r="L2126" i="1" s="1"/>
  <c r="L2129" i="1" s="1"/>
  <c r="L2130" i="1" s="1"/>
  <c r="K2123" i="1"/>
  <c r="C2111" i="1"/>
  <c r="M2111" i="1" s="1"/>
  <c r="F2110" i="1"/>
  <c r="M242" i="1"/>
  <c r="N242" i="1" s="1"/>
  <c r="F242" i="1"/>
  <c r="C243" i="1"/>
  <c r="C2112" i="1" l="1"/>
  <c r="M2112" i="1" s="1"/>
  <c r="F2111" i="1"/>
  <c r="M243" i="1"/>
  <c r="N243" i="1" s="1"/>
  <c r="C244" i="1"/>
  <c r="F243" i="1"/>
  <c r="C2113" i="1" l="1"/>
  <c r="M2113" i="1" s="1"/>
  <c r="F2112" i="1"/>
  <c r="M244" i="1"/>
  <c r="N244" i="1" s="1"/>
  <c r="F244" i="1"/>
  <c r="C245" i="1"/>
  <c r="C2114" i="1" l="1"/>
  <c r="M2114" i="1" s="1"/>
  <c r="F2113" i="1"/>
  <c r="M245" i="1"/>
  <c r="N245" i="1" s="1"/>
  <c r="F245" i="1"/>
  <c r="C246" i="1"/>
  <c r="K246" i="1" s="1"/>
  <c r="K223" i="1"/>
  <c r="L223" i="1"/>
  <c r="K224" i="1" l="1"/>
  <c r="K226" i="1" s="1"/>
  <c r="K227" i="1" s="1"/>
  <c r="L224" i="1"/>
  <c r="L226" i="1" s="1"/>
  <c r="L227" i="1" s="1"/>
  <c r="C2115" i="1"/>
  <c r="M2115" i="1" s="1"/>
  <c r="F2114" i="1"/>
  <c r="K248" i="1"/>
  <c r="L246" i="1"/>
  <c r="M246" i="1"/>
  <c r="N246" i="1" s="1"/>
  <c r="F246" i="1"/>
  <c r="C247" i="1"/>
  <c r="C2116" i="1" l="1"/>
  <c r="M2116" i="1" s="1"/>
  <c r="F2115" i="1"/>
  <c r="L248" i="1"/>
  <c r="K250" i="1"/>
  <c r="K251" i="1"/>
  <c r="M247" i="1"/>
  <c r="N247" i="1" s="1"/>
  <c r="F247" i="1"/>
  <c r="C248" i="1"/>
  <c r="K253" i="1" l="1"/>
  <c r="C2117" i="1"/>
  <c r="M2117" i="1" s="1"/>
  <c r="F2116" i="1"/>
  <c r="L250" i="1"/>
  <c r="L251" i="1"/>
  <c r="M248" i="1"/>
  <c r="N248" i="1" s="1"/>
  <c r="C249" i="1"/>
  <c r="F248" i="1"/>
  <c r="L253" i="1" l="1"/>
  <c r="C2118" i="1"/>
  <c r="M2118" i="1" s="1"/>
  <c r="F2117" i="1"/>
  <c r="M249" i="1"/>
  <c r="N249" i="1" s="1"/>
  <c r="F249" i="1"/>
  <c r="C250" i="1"/>
  <c r="C2119" i="1" l="1"/>
  <c r="M2119" i="1" s="1"/>
  <c r="F2118" i="1"/>
  <c r="M250" i="1"/>
  <c r="N250" i="1" s="1"/>
  <c r="C251" i="1"/>
  <c r="F250" i="1"/>
  <c r="C2120" i="1" l="1"/>
  <c r="M2120" i="1" s="1"/>
  <c r="F2119" i="1"/>
  <c r="M251" i="1"/>
  <c r="N251" i="1" s="1"/>
  <c r="F251" i="1"/>
  <c r="C252" i="1"/>
  <c r="C2121" i="1" l="1"/>
  <c r="M2121" i="1" s="1"/>
  <c r="F2120" i="1"/>
  <c r="M252" i="1"/>
  <c r="N252" i="1" s="1"/>
  <c r="C253" i="1"/>
  <c r="F252" i="1"/>
  <c r="C2122" i="1" l="1"/>
  <c r="M2122" i="1" s="1"/>
  <c r="F2121" i="1"/>
  <c r="M253" i="1"/>
  <c r="N253" i="1" s="1"/>
  <c r="F253" i="1"/>
  <c r="C254" i="1"/>
  <c r="C2123" i="1" l="1"/>
  <c r="M2123" i="1" s="1"/>
  <c r="F2122" i="1"/>
  <c r="M254" i="1"/>
  <c r="N254" i="1" s="1"/>
  <c r="F254" i="1"/>
  <c r="C255" i="1"/>
  <c r="C2124" i="1" l="1"/>
  <c r="M2124" i="1" s="1"/>
  <c r="F2123" i="1"/>
  <c r="M255" i="1"/>
  <c r="N255" i="1" s="1"/>
  <c r="F255" i="1"/>
  <c r="C256" i="1"/>
  <c r="C2125" i="1" l="1"/>
  <c r="M2125" i="1" s="1"/>
  <c r="F2124" i="1"/>
  <c r="M256" i="1"/>
  <c r="N256" i="1" s="1"/>
  <c r="C257" i="1"/>
  <c r="F256" i="1"/>
  <c r="C2126" i="1" l="1"/>
  <c r="M2126" i="1" s="1"/>
  <c r="F2125" i="1"/>
  <c r="M257" i="1"/>
  <c r="N257" i="1" s="1"/>
  <c r="F257" i="1"/>
  <c r="C258" i="1"/>
  <c r="C2127" i="1" l="1"/>
  <c r="M2127" i="1" s="1"/>
  <c r="F2126" i="1"/>
  <c r="M258" i="1"/>
  <c r="N258" i="1" s="1"/>
  <c r="C259" i="1"/>
  <c r="F258" i="1"/>
  <c r="C2128" i="1" l="1"/>
  <c r="M2128" i="1" s="1"/>
  <c r="F2127" i="1"/>
  <c r="M259" i="1"/>
  <c r="N259" i="1" s="1"/>
  <c r="F259" i="1"/>
  <c r="C260" i="1"/>
  <c r="C2129" i="1" l="1"/>
  <c r="M2129" i="1" s="1"/>
  <c r="F2128" i="1"/>
  <c r="M260" i="1"/>
  <c r="N260" i="1" s="1"/>
  <c r="C261" i="1"/>
  <c r="F260" i="1"/>
  <c r="C2130" i="1" l="1"/>
  <c r="M2130" i="1" s="1"/>
  <c r="F2129" i="1"/>
  <c r="M261" i="1"/>
  <c r="N261" i="1" s="1"/>
  <c r="F261" i="1"/>
  <c r="C262" i="1"/>
  <c r="C2131" i="1" l="1"/>
  <c r="F2130" i="1"/>
  <c r="M262" i="1"/>
  <c r="N262" i="1" s="1"/>
  <c r="F262" i="1"/>
  <c r="C263" i="1"/>
  <c r="M2131" i="1" l="1"/>
  <c r="C2132" i="1"/>
  <c r="F2131" i="1"/>
  <c r="M263" i="1"/>
  <c r="N263" i="1" s="1"/>
  <c r="F263" i="1"/>
  <c r="C264" i="1"/>
  <c r="F2132" i="1" l="1"/>
  <c r="M2132" i="1"/>
  <c r="C2133" i="1"/>
  <c r="K2134" i="1" s="1"/>
  <c r="M264" i="1"/>
  <c r="N264" i="1" s="1"/>
  <c r="C265" i="1"/>
  <c r="F264" i="1"/>
  <c r="L2134" i="1" l="1"/>
  <c r="L2146" i="1" s="1"/>
  <c r="L2148" i="1" s="1"/>
  <c r="K2135" i="1"/>
  <c r="K2146" i="1"/>
  <c r="K2148" i="1" s="1"/>
  <c r="M2133" i="1"/>
  <c r="C2134" i="1"/>
  <c r="M2134" i="1" s="1"/>
  <c r="F2133" i="1"/>
  <c r="M265" i="1"/>
  <c r="N265" i="1" s="1"/>
  <c r="F265" i="1"/>
  <c r="C266" i="1"/>
  <c r="L2135" i="1" l="1"/>
  <c r="K2140" i="1"/>
  <c r="K2138" i="1"/>
  <c r="C2135" i="1"/>
  <c r="M2135" i="1" s="1"/>
  <c r="F2134" i="1"/>
  <c r="M266" i="1"/>
  <c r="N266" i="1" s="1"/>
  <c r="C267" i="1"/>
  <c r="F266" i="1"/>
  <c r="K2149" i="1" l="1"/>
  <c r="K2155" i="1"/>
  <c r="L2140" i="1"/>
  <c r="L2138" i="1"/>
  <c r="C2136" i="1"/>
  <c r="M2136" i="1" s="1"/>
  <c r="F2135" i="1"/>
  <c r="M267" i="1"/>
  <c r="N267" i="1" s="1"/>
  <c r="F267" i="1"/>
  <c r="C268" i="1"/>
  <c r="K2154" i="1"/>
  <c r="K2150" i="1"/>
  <c r="L2150" i="1" l="1"/>
  <c r="L2154" i="1"/>
  <c r="C2137" i="1"/>
  <c r="M2137" i="1" s="1"/>
  <c r="F2136" i="1"/>
  <c r="M268" i="1"/>
  <c r="N268" i="1" s="1"/>
  <c r="C269" i="1"/>
  <c r="F268" i="1"/>
  <c r="L2149" i="1"/>
  <c r="L2155" i="1"/>
  <c r="C2138" i="1" l="1"/>
  <c r="M2138" i="1" s="1"/>
  <c r="F2137" i="1"/>
  <c r="M269" i="1"/>
  <c r="N269" i="1" s="1"/>
  <c r="F269" i="1"/>
  <c r="C270" i="1"/>
  <c r="C2139" i="1" l="1"/>
  <c r="F2138" i="1"/>
  <c r="M270" i="1"/>
  <c r="N270" i="1" s="1"/>
  <c r="F270" i="1"/>
  <c r="C271" i="1"/>
  <c r="M2139" i="1" l="1"/>
  <c r="K2145" i="1"/>
  <c r="C2140" i="1"/>
  <c r="M2140" i="1" s="1"/>
  <c r="F2139" i="1"/>
  <c r="M271" i="1"/>
  <c r="N271" i="1" s="1"/>
  <c r="F271" i="1"/>
  <c r="C272" i="1"/>
  <c r="K2153" i="1" l="1"/>
  <c r="L2145" i="1"/>
  <c r="L2153" i="1" s="1"/>
  <c r="C2141" i="1"/>
  <c r="M2141" i="1" s="1"/>
  <c r="F2140" i="1"/>
  <c r="M272" i="1"/>
  <c r="N272" i="1" s="1"/>
  <c r="C273" i="1"/>
  <c r="F272" i="1"/>
  <c r="C2142" i="1" l="1"/>
  <c r="F2141" i="1"/>
  <c r="M273" i="1"/>
  <c r="N273" i="1" s="1"/>
  <c r="C274" i="1"/>
  <c r="F273" i="1"/>
  <c r="C2143" i="1" l="1"/>
  <c r="M2143" i="1" s="1"/>
  <c r="F2142" i="1"/>
  <c r="M274" i="1"/>
  <c r="N274" i="1" s="1"/>
  <c r="C275" i="1"/>
  <c r="F274" i="1"/>
  <c r="C2144" i="1" l="1"/>
  <c r="M2144" i="1" s="1"/>
  <c r="F2143" i="1"/>
  <c r="M275" i="1"/>
  <c r="N275" i="1" s="1"/>
  <c r="F275" i="1"/>
  <c r="C276" i="1"/>
  <c r="C2145" i="1" l="1"/>
  <c r="F2144" i="1"/>
  <c r="M276" i="1"/>
  <c r="N276" i="1" s="1"/>
  <c r="C277" i="1"/>
  <c r="K277" i="1" s="1"/>
  <c r="F276" i="1"/>
  <c r="K254" i="1"/>
  <c r="L254" i="1"/>
  <c r="K255" i="1" l="1"/>
  <c r="K257" i="1" s="1"/>
  <c r="K258" i="1" s="1"/>
  <c r="L255" i="1"/>
  <c r="L257" i="1" s="1"/>
  <c r="L258" i="1" s="1"/>
  <c r="C2146" i="1"/>
  <c r="M2146" i="1" s="1"/>
  <c r="F2145" i="1"/>
  <c r="K279" i="1"/>
  <c r="L277" i="1"/>
  <c r="M277" i="1"/>
  <c r="N277" i="1" s="1"/>
  <c r="F277" i="1"/>
  <c r="C278" i="1"/>
  <c r="C2147" i="1" l="1"/>
  <c r="M2147" i="1" s="1"/>
  <c r="F2146" i="1"/>
  <c r="L279" i="1"/>
  <c r="K281" i="1"/>
  <c r="K282" i="1"/>
  <c r="M278" i="1"/>
  <c r="N278" i="1" s="1"/>
  <c r="F278" i="1"/>
  <c r="C279" i="1"/>
  <c r="K284" i="1" l="1"/>
  <c r="C2148" i="1"/>
  <c r="M2148" i="1" s="1"/>
  <c r="F2147" i="1"/>
  <c r="L281" i="1"/>
  <c r="L282" i="1"/>
  <c r="M279" i="1"/>
  <c r="N279" i="1" s="1"/>
  <c r="C280" i="1"/>
  <c r="F279" i="1"/>
  <c r="L284" i="1" l="1"/>
  <c r="C2149" i="1"/>
  <c r="M2149" i="1" s="1"/>
  <c r="F2148" i="1"/>
  <c r="M280" i="1"/>
  <c r="N280" i="1" s="1"/>
  <c r="C281" i="1"/>
  <c r="F280" i="1"/>
  <c r="C2150" i="1" l="1"/>
  <c r="M2150" i="1" s="1"/>
  <c r="F2149" i="1"/>
  <c r="M281" i="1"/>
  <c r="N281" i="1" s="1"/>
  <c r="F281" i="1"/>
  <c r="C282" i="1"/>
  <c r="F2150" i="1" l="1"/>
  <c r="C2151" i="1"/>
  <c r="M2151" i="1" s="1"/>
  <c r="M282" i="1"/>
  <c r="N282" i="1" s="1"/>
  <c r="C283" i="1"/>
  <c r="F282" i="1"/>
  <c r="F2151" i="1" l="1"/>
  <c r="C2152" i="1"/>
  <c r="M2152" i="1" s="1"/>
  <c r="M283" i="1"/>
  <c r="N283" i="1" s="1"/>
  <c r="F283" i="1"/>
  <c r="C284" i="1"/>
  <c r="F2152" i="1" l="1"/>
  <c r="C2153" i="1"/>
  <c r="M2153" i="1" s="1"/>
  <c r="M284" i="1"/>
  <c r="N284" i="1" s="1"/>
  <c r="F284" i="1"/>
  <c r="C285" i="1"/>
  <c r="C2154" i="1" l="1"/>
  <c r="M2154" i="1" s="1"/>
  <c r="F2153" i="1"/>
  <c r="M285" i="1"/>
  <c r="N285" i="1" s="1"/>
  <c r="F285" i="1"/>
  <c r="C286" i="1"/>
  <c r="C2155" i="1" l="1"/>
  <c r="M2155" i="1" s="1"/>
  <c r="F2154" i="1"/>
  <c r="M286" i="1"/>
  <c r="N286" i="1" s="1"/>
  <c r="F286" i="1"/>
  <c r="C287" i="1"/>
  <c r="C2156" i="1" l="1"/>
  <c r="M2156" i="1" s="1"/>
  <c r="F2155" i="1"/>
  <c r="M287" i="1"/>
  <c r="N287" i="1" s="1"/>
  <c r="F287" i="1"/>
  <c r="C288" i="1"/>
  <c r="C2157" i="1" l="1"/>
  <c r="M2157" i="1" s="1"/>
  <c r="F2156" i="1"/>
  <c r="M288" i="1"/>
  <c r="N288" i="1" s="1"/>
  <c r="F288" i="1"/>
  <c r="C289" i="1"/>
  <c r="C2158" i="1" l="1"/>
  <c r="M2158" i="1" s="1"/>
  <c r="F2157" i="1"/>
  <c r="M289" i="1"/>
  <c r="N289" i="1" s="1"/>
  <c r="C290" i="1"/>
  <c r="F289" i="1"/>
  <c r="C2159" i="1" l="1"/>
  <c r="M2159" i="1" s="1"/>
  <c r="F2158" i="1"/>
  <c r="M290" i="1"/>
  <c r="N290" i="1" s="1"/>
  <c r="C291" i="1"/>
  <c r="F290" i="1"/>
  <c r="C2160" i="1" l="1"/>
  <c r="M2160" i="1" s="1"/>
  <c r="F2159" i="1"/>
  <c r="M291" i="1"/>
  <c r="N291" i="1" s="1"/>
  <c r="C292" i="1"/>
  <c r="F291" i="1"/>
  <c r="C2161" i="1" l="1"/>
  <c r="M2161" i="1" s="1"/>
  <c r="F2160" i="1"/>
  <c r="M292" i="1"/>
  <c r="N292" i="1" s="1"/>
  <c r="C293" i="1"/>
  <c r="F292" i="1"/>
  <c r="C2162" i="1" l="1"/>
  <c r="F2161" i="1"/>
  <c r="M293" i="1"/>
  <c r="N293" i="1" s="1"/>
  <c r="F293" i="1"/>
  <c r="C294" i="1"/>
  <c r="C2163" i="1" l="1"/>
  <c r="M2162" i="1"/>
  <c r="F2162" i="1"/>
  <c r="M294" i="1"/>
  <c r="N294" i="1" s="1"/>
  <c r="F294" i="1"/>
  <c r="C295" i="1"/>
  <c r="F2163" i="1" l="1"/>
  <c r="M2163" i="1"/>
  <c r="C2164" i="1"/>
  <c r="K2165" i="1" s="1"/>
  <c r="M295" i="1"/>
  <c r="N295" i="1" s="1"/>
  <c r="F295" i="1"/>
  <c r="C296" i="1"/>
  <c r="L2165" i="1" l="1"/>
  <c r="L2177" i="1" s="1"/>
  <c r="K2166" i="1"/>
  <c r="K2177" i="1"/>
  <c r="M2164" i="1"/>
  <c r="C2165" i="1"/>
  <c r="M2165" i="1" s="1"/>
  <c r="F2164" i="1"/>
  <c r="M296" i="1"/>
  <c r="N296" i="1" s="1"/>
  <c r="C297" i="1"/>
  <c r="F296" i="1"/>
  <c r="K2179" i="1" l="1"/>
  <c r="L2166" i="1"/>
  <c r="K2169" i="1"/>
  <c r="K2171" i="1"/>
  <c r="L2179" i="1"/>
  <c r="C2166" i="1"/>
  <c r="M2166" i="1" s="1"/>
  <c r="F2165" i="1"/>
  <c r="M297" i="1"/>
  <c r="N297" i="1" s="1"/>
  <c r="C298" i="1"/>
  <c r="F297" i="1"/>
  <c r="K2180" i="1" l="1"/>
  <c r="L2169" i="1"/>
  <c r="L2171" i="1"/>
  <c r="C2167" i="1"/>
  <c r="M2167" i="1" s="1"/>
  <c r="F2166" i="1"/>
  <c r="M298" i="1"/>
  <c r="N298" i="1" s="1"/>
  <c r="C299" i="1"/>
  <c r="F298" i="1"/>
  <c r="K2185" i="1"/>
  <c r="L2185" i="1" l="1"/>
  <c r="K2182" i="1"/>
  <c r="K2189" i="1" s="1"/>
  <c r="C2168" i="1"/>
  <c r="M2168" i="1" s="1"/>
  <c r="F2167" i="1"/>
  <c r="M299" i="1"/>
  <c r="N299" i="1" s="1"/>
  <c r="F299" i="1"/>
  <c r="C300" i="1"/>
  <c r="L2180" i="1"/>
  <c r="L2182" i="1" l="1"/>
  <c r="L2189" i="1" s="1"/>
  <c r="C2169" i="1"/>
  <c r="M2169" i="1" s="1"/>
  <c r="F2168" i="1"/>
  <c r="M300" i="1"/>
  <c r="N300" i="1" s="1"/>
  <c r="F300" i="1"/>
  <c r="C301" i="1"/>
  <c r="C2170" i="1" l="1"/>
  <c r="K2176" i="1" s="1"/>
  <c r="F2169" i="1"/>
  <c r="M301" i="1"/>
  <c r="N301" i="1" s="1"/>
  <c r="F301" i="1"/>
  <c r="C302" i="1"/>
  <c r="K2184" i="1" l="1"/>
  <c r="K2187" i="1" s="1"/>
  <c r="K2190" i="1" s="1"/>
  <c r="K2191" i="1" s="1"/>
  <c r="K2203" i="1" s="1"/>
  <c r="L2176" i="1"/>
  <c r="L2184" i="1" s="1"/>
  <c r="L2187" i="1" s="1"/>
  <c r="L2190" i="1" s="1"/>
  <c r="L2191" i="1" s="1"/>
  <c r="L2203" i="1" s="1"/>
  <c r="C2171" i="1"/>
  <c r="M2171" i="1" s="1"/>
  <c r="F2170" i="1"/>
  <c r="M302" i="1"/>
  <c r="N302" i="1" s="1"/>
  <c r="F302" i="1"/>
  <c r="C303" i="1"/>
  <c r="C2172" i="1" l="1"/>
  <c r="M2172" i="1" s="1"/>
  <c r="F2171" i="1"/>
  <c r="M303" i="1"/>
  <c r="N303" i="1" s="1"/>
  <c r="F303" i="1"/>
  <c r="C304" i="1"/>
  <c r="C2173" i="1" l="1"/>
  <c r="F2172" i="1"/>
  <c r="M304" i="1"/>
  <c r="N304" i="1" s="1"/>
  <c r="F304" i="1"/>
  <c r="C305" i="1"/>
  <c r="C2174" i="1" l="1"/>
  <c r="F2173" i="1"/>
  <c r="M305" i="1"/>
  <c r="N305" i="1" s="1"/>
  <c r="F305" i="1"/>
  <c r="C306" i="1"/>
  <c r="C2175" i="1" l="1"/>
  <c r="M2175" i="1" s="1"/>
  <c r="F2174" i="1"/>
  <c r="M306" i="1"/>
  <c r="N306" i="1" s="1"/>
  <c r="C307" i="1"/>
  <c r="K307" i="1" s="1"/>
  <c r="F306" i="1"/>
  <c r="L285" i="1"/>
  <c r="K285" i="1"/>
  <c r="K286" i="1" l="1"/>
  <c r="K288" i="1" s="1"/>
  <c r="K289" i="1" s="1"/>
  <c r="L286" i="1"/>
  <c r="L288" i="1" s="1"/>
  <c r="L289" i="1" s="1"/>
  <c r="C2176" i="1"/>
  <c r="F2175" i="1"/>
  <c r="L307" i="1"/>
  <c r="K309" i="1"/>
  <c r="M307" i="1"/>
  <c r="N307" i="1" s="1"/>
  <c r="C308" i="1"/>
  <c r="F307" i="1"/>
  <c r="M2176" i="1" l="1"/>
  <c r="C2177" i="1"/>
  <c r="M2177" i="1" s="1"/>
  <c r="F2176" i="1"/>
  <c r="L309" i="1"/>
  <c r="K311" i="1"/>
  <c r="K312" i="1"/>
  <c r="M308" i="1"/>
  <c r="N308" i="1" s="1"/>
  <c r="C309" i="1"/>
  <c r="F308" i="1"/>
  <c r="K314" i="1" l="1"/>
  <c r="C2178" i="1"/>
  <c r="M2178" i="1" s="1"/>
  <c r="F2177" i="1"/>
  <c r="L311" i="1"/>
  <c r="L312" i="1"/>
  <c r="M309" i="1"/>
  <c r="N309" i="1" s="1"/>
  <c r="F309" i="1"/>
  <c r="C310" i="1"/>
  <c r="L314" i="1" l="1"/>
  <c r="C2179" i="1"/>
  <c r="M2179" i="1" s="1"/>
  <c r="F2178" i="1"/>
  <c r="M310" i="1"/>
  <c r="N310" i="1" s="1"/>
  <c r="F310" i="1"/>
  <c r="C311" i="1"/>
  <c r="C2180" i="1" l="1"/>
  <c r="M2180" i="1" s="1"/>
  <c r="F2179" i="1"/>
  <c r="M311" i="1"/>
  <c r="N311" i="1" s="1"/>
  <c r="F311" i="1"/>
  <c r="C312" i="1"/>
  <c r="C2181" i="1" l="1"/>
  <c r="M2181" i="1" s="1"/>
  <c r="F2180" i="1"/>
  <c r="M312" i="1"/>
  <c r="N312" i="1" s="1"/>
  <c r="C313" i="1"/>
  <c r="F312" i="1"/>
  <c r="C2182" i="1" l="1"/>
  <c r="M2182" i="1" s="1"/>
  <c r="F2181" i="1"/>
  <c r="M313" i="1"/>
  <c r="N313" i="1" s="1"/>
  <c r="C314" i="1"/>
  <c r="F313" i="1"/>
  <c r="C2183" i="1" l="1"/>
  <c r="M2183" i="1" s="1"/>
  <c r="F2182" i="1"/>
  <c r="M314" i="1"/>
  <c r="N314" i="1" s="1"/>
  <c r="C315" i="1"/>
  <c r="F314" i="1"/>
  <c r="C2184" i="1" l="1"/>
  <c r="M2184" i="1" s="1"/>
  <c r="F2183" i="1"/>
  <c r="M315" i="1"/>
  <c r="N315" i="1" s="1"/>
  <c r="F315" i="1"/>
  <c r="C316" i="1"/>
  <c r="C2185" i="1" l="1"/>
  <c r="M2185" i="1" s="1"/>
  <c r="F2184" i="1"/>
  <c r="M316" i="1"/>
  <c r="N316" i="1" s="1"/>
  <c r="F316" i="1"/>
  <c r="C317" i="1"/>
  <c r="C2186" i="1" l="1"/>
  <c r="M2186" i="1" s="1"/>
  <c r="F2185" i="1"/>
  <c r="M317" i="1"/>
  <c r="N317" i="1" s="1"/>
  <c r="C318" i="1"/>
  <c r="F317" i="1"/>
  <c r="C2187" i="1" l="1"/>
  <c r="M2187" i="1" s="1"/>
  <c r="F2186" i="1"/>
  <c r="M318" i="1"/>
  <c r="N318" i="1" s="1"/>
  <c r="F318" i="1"/>
  <c r="C319" i="1"/>
  <c r="C2188" i="1" l="1"/>
  <c r="M2188" i="1" s="1"/>
  <c r="F2187" i="1"/>
  <c r="M319" i="1"/>
  <c r="N319" i="1" s="1"/>
  <c r="C320" i="1"/>
  <c r="F319" i="1"/>
  <c r="C2189" i="1" l="1"/>
  <c r="F2188" i="1"/>
  <c r="M320" i="1"/>
  <c r="N320" i="1" s="1"/>
  <c r="F320" i="1"/>
  <c r="C321" i="1"/>
  <c r="C2190" i="1" l="1"/>
  <c r="F2189" i="1"/>
  <c r="M321" i="1"/>
  <c r="N321" i="1" s="1"/>
  <c r="F321" i="1"/>
  <c r="C322" i="1"/>
  <c r="C2191" i="1" l="1"/>
  <c r="M2191" i="1" s="1"/>
  <c r="F2190" i="1"/>
  <c r="M322" i="1"/>
  <c r="N322" i="1" s="1"/>
  <c r="F322" i="1"/>
  <c r="C323" i="1"/>
  <c r="C2192" i="1" l="1"/>
  <c r="F2191" i="1"/>
  <c r="M323" i="1"/>
  <c r="N323" i="1" s="1"/>
  <c r="C324" i="1"/>
  <c r="F323" i="1"/>
  <c r="M2192" i="1" l="1"/>
  <c r="C2193" i="1"/>
  <c r="F2192" i="1"/>
  <c r="M324" i="1"/>
  <c r="N324" i="1" s="1"/>
  <c r="F324" i="1"/>
  <c r="C325" i="1"/>
  <c r="F2193" i="1" l="1"/>
  <c r="M2193" i="1"/>
  <c r="C2194" i="1"/>
  <c r="K2195" i="1" s="1"/>
  <c r="M325" i="1"/>
  <c r="N325" i="1" s="1"/>
  <c r="F325" i="1"/>
  <c r="C326" i="1"/>
  <c r="L2195" i="1" l="1"/>
  <c r="L2207" i="1" s="1"/>
  <c r="K2196" i="1"/>
  <c r="K2207" i="1"/>
  <c r="K2209" i="1" s="1"/>
  <c r="M2194" i="1"/>
  <c r="C2195" i="1"/>
  <c r="M2195" i="1" s="1"/>
  <c r="F2194" i="1"/>
  <c r="M326" i="1"/>
  <c r="N326" i="1" s="1"/>
  <c r="F326" i="1"/>
  <c r="C327" i="1"/>
  <c r="L2196" i="1" l="1"/>
  <c r="K2201" i="1"/>
  <c r="K2199" i="1"/>
  <c r="L2209" i="1"/>
  <c r="C2196" i="1"/>
  <c r="M2196" i="1" s="1"/>
  <c r="F2195" i="1"/>
  <c r="M327" i="1"/>
  <c r="N327" i="1" s="1"/>
  <c r="F327" i="1"/>
  <c r="C328" i="1"/>
  <c r="K2215" i="1" l="1"/>
  <c r="L2199" i="1"/>
  <c r="L2201" i="1"/>
  <c r="C2197" i="1"/>
  <c r="M2197" i="1" s="1"/>
  <c r="F2196" i="1"/>
  <c r="M328" i="1"/>
  <c r="N328" i="1" s="1"/>
  <c r="F328" i="1"/>
  <c r="C329" i="1"/>
  <c r="K2210" i="1"/>
  <c r="L2210" i="1" l="1"/>
  <c r="C2198" i="1"/>
  <c r="M2198" i="1" s="1"/>
  <c r="F2197" i="1"/>
  <c r="M329" i="1"/>
  <c r="N329" i="1" s="1"/>
  <c r="F329" i="1"/>
  <c r="C330" i="1"/>
  <c r="L2215" i="1"/>
  <c r="L2212" i="1" l="1"/>
  <c r="L2219" i="1" s="1"/>
  <c r="C2199" i="1"/>
  <c r="M2199" i="1" s="1"/>
  <c r="F2198" i="1"/>
  <c r="M330" i="1"/>
  <c r="N330" i="1" s="1"/>
  <c r="F330" i="1"/>
  <c r="C331" i="1"/>
  <c r="C2200" i="1" l="1"/>
  <c r="F2199" i="1"/>
  <c r="M331" i="1"/>
  <c r="N331" i="1" s="1"/>
  <c r="F331" i="1"/>
  <c r="C332" i="1"/>
  <c r="M2200" i="1" l="1"/>
  <c r="K2206" i="1"/>
  <c r="C2201" i="1"/>
  <c r="M2201" i="1" s="1"/>
  <c r="F2200" i="1"/>
  <c r="M332" i="1"/>
  <c r="N332" i="1" s="1"/>
  <c r="F332" i="1"/>
  <c r="C333" i="1"/>
  <c r="K2214" i="1" l="1"/>
  <c r="L2206" i="1"/>
  <c r="L2214" i="1" s="1"/>
  <c r="L2217" i="1" s="1"/>
  <c r="L2220" i="1" s="1"/>
  <c r="L2221" i="1" s="1"/>
  <c r="C2202" i="1"/>
  <c r="M2202" i="1" s="1"/>
  <c r="F2201" i="1"/>
  <c r="M333" i="1"/>
  <c r="N333" i="1" s="1"/>
  <c r="C334" i="1"/>
  <c r="F333" i="1"/>
  <c r="C2203" i="1" l="1"/>
  <c r="M2203" i="1" s="1"/>
  <c r="F2202" i="1"/>
  <c r="M334" i="1"/>
  <c r="N334" i="1" s="1"/>
  <c r="F334" i="1"/>
  <c r="C335" i="1"/>
  <c r="C2204" i="1" l="1"/>
  <c r="M2204" i="1" s="1"/>
  <c r="F2203" i="1"/>
  <c r="M335" i="1"/>
  <c r="N335" i="1" s="1"/>
  <c r="F335" i="1"/>
  <c r="C336" i="1"/>
  <c r="C2205" i="1" l="1"/>
  <c r="M2205" i="1" s="1"/>
  <c r="F2204" i="1"/>
  <c r="M336" i="1"/>
  <c r="N336" i="1" s="1"/>
  <c r="F336" i="1"/>
  <c r="C337" i="1"/>
  <c r="C2206" i="1" l="1"/>
  <c r="M2206" i="1" s="1"/>
  <c r="F2205" i="1"/>
  <c r="M337" i="1"/>
  <c r="N337" i="1" s="1"/>
  <c r="F337" i="1"/>
  <c r="C338" i="1"/>
  <c r="K338" i="1" s="1"/>
  <c r="K315" i="1"/>
  <c r="L315" i="1"/>
  <c r="K316" i="1" l="1"/>
  <c r="K318" i="1" s="1"/>
  <c r="K319" i="1" s="1"/>
  <c r="L316" i="1"/>
  <c r="L318" i="1" s="1"/>
  <c r="L319" i="1" s="1"/>
  <c r="C2207" i="1"/>
  <c r="M2207" i="1" s="1"/>
  <c r="F2206" i="1"/>
  <c r="L338" i="1"/>
  <c r="K340" i="1"/>
  <c r="M338" i="1"/>
  <c r="N338" i="1" s="1"/>
  <c r="F338" i="1"/>
  <c r="C339" i="1"/>
  <c r="C2208" i="1" l="1"/>
  <c r="F2207" i="1"/>
  <c r="L340" i="1"/>
  <c r="K342" i="1"/>
  <c r="K343" i="1"/>
  <c r="M339" i="1"/>
  <c r="N339" i="1" s="1"/>
  <c r="F339" i="1"/>
  <c r="C340" i="1"/>
  <c r="K345" i="1" l="1"/>
  <c r="M2208" i="1"/>
  <c r="C2209" i="1"/>
  <c r="M2209" i="1" s="1"/>
  <c r="F2208" i="1"/>
  <c r="L342" i="1"/>
  <c r="L343" i="1"/>
  <c r="M340" i="1"/>
  <c r="N340" i="1" s="1"/>
  <c r="C341" i="1"/>
  <c r="F340" i="1"/>
  <c r="L345" i="1" l="1"/>
  <c r="C2210" i="1"/>
  <c r="M2210" i="1" s="1"/>
  <c r="F2209" i="1"/>
  <c r="M341" i="1"/>
  <c r="N341" i="1" s="1"/>
  <c r="F341" i="1"/>
  <c r="C342" i="1"/>
  <c r="C2211" i="1" l="1"/>
  <c r="M2211" i="1" s="1"/>
  <c r="F2210" i="1"/>
  <c r="M342" i="1"/>
  <c r="N342" i="1" s="1"/>
  <c r="C343" i="1"/>
  <c r="F342" i="1"/>
  <c r="C2212" i="1" l="1"/>
  <c r="M2212" i="1" s="1"/>
  <c r="F2211" i="1"/>
  <c r="M343" i="1"/>
  <c r="N343" i="1" s="1"/>
  <c r="C344" i="1"/>
  <c r="F343" i="1"/>
  <c r="C2213" i="1" l="1"/>
  <c r="M2213" i="1" s="1"/>
  <c r="F2212" i="1"/>
  <c r="M344" i="1"/>
  <c r="N344" i="1" s="1"/>
  <c r="F344" i="1"/>
  <c r="C345" i="1"/>
  <c r="C2214" i="1" l="1"/>
  <c r="M2214" i="1" s="1"/>
  <c r="F2213" i="1"/>
  <c r="M345" i="1"/>
  <c r="N345" i="1" s="1"/>
  <c r="C346" i="1"/>
  <c r="F345" i="1"/>
  <c r="C2215" i="1" l="1"/>
  <c r="M2215" i="1" s="1"/>
  <c r="F2214" i="1"/>
  <c r="M346" i="1"/>
  <c r="N346" i="1" s="1"/>
  <c r="C347" i="1"/>
  <c r="F346" i="1"/>
  <c r="C2216" i="1" l="1"/>
  <c r="M2216" i="1" s="1"/>
  <c r="F2215" i="1"/>
  <c r="M347" i="1"/>
  <c r="N347" i="1" s="1"/>
  <c r="F347" i="1"/>
  <c r="C348" i="1"/>
  <c r="C2217" i="1" l="1"/>
  <c r="F2216" i="1"/>
  <c r="M348" i="1"/>
  <c r="N348" i="1" s="1"/>
  <c r="F348" i="1"/>
  <c r="C349" i="1"/>
  <c r="C2218" i="1" l="1"/>
  <c r="F2217" i="1"/>
  <c r="M349" i="1"/>
  <c r="N349" i="1" s="1"/>
  <c r="F349" i="1"/>
  <c r="C350" i="1"/>
  <c r="C2219" i="1" l="1"/>
  <c r="M2219" i="1" s="1"/>
  <c r="F2218" i="1"/>
  <c r="M350" i="1"/>
  <c r="N350" i="1" s="1"/>
  <c r="F350" i="1"/>
  <c r="C351" i="1"/>
  <c r="C2220" i="1" l="1"/>
  <c r="M2220" i="1" s="1"/>
  <c r="F2219" i="1"/>
  <c r="M351" i="1"/>
  <c r="N351" i="1" s="1"/>
  <c r="C352" i="1"/>
  <c r="F351" i="1"/>
  <c r="C2221" i="1" l="1"/>
  <c r="M2221" i="1" s="1"/>
  <c r="F2220" i="1"/>
  <c r="M352" i="1"/>
  <c r="N352" i="1" s="1"/>
  <c r="C353" i="1"/>
  <c r="F352" i="1"/>
  <c r="C2222" i="1" l="1"/>
  <c r="M2222" i="1" s="1"/>
  <c r="F2221" i="1"/>
  <c r="M353" i="1"/>
  <c r="N353" i="1" s="1"/>
  <c r="F353" i="1"/>
  <c r="C354" i="1"/>
  <c r="C2223" i="1" l="1"/>
  <c r="F2222" i="1"/>
  <c r="M354" i="1"/>
  <c r="N354" i="1" s="1"/>
  <c r="C355" i="1"/>
  <c r="F354" i="1"/>
  <c r="C2224" i="1" l="1"/>
  <c r="M2223" i="1"/>
  <c r="F2223" i="1"/>
  <c r="M355" i="1"/>
  <c r="N355" i="1" s="1"/>
  <c r="F355" i="1"/>
  <c r="C356" i="1"/>
  <c r="F2224" i="1" l="1"/>
  <c r="C2225" i="1"/>
  <c r="K2226" i="1" s="1"/>
  <c r="M356" i="1"/>
  <c r="N356" i="1" s="1"/>
  <c r="F356" i="1"/>
  <c r="C357" i="1"/>
  <c r="L2226" i="1" l="1"/>
  <c r="L2238" i="1" s="1"/>
  <c r="K2227" i="1"/>
  <c r="K2238" i="1"/>
  <c r="N2225" i="1"/>
  <c r="C2226" i="1"/>
  <c r="F2225" i="1"/>
  <c r="M357" i="1"/>
  <c r="N357" i="1" s="1"/>
  <c r="F357" i="1"/>
  <c r="C358" i="1"/>
  <c r="K2240" i="1" l="1"/>
  <c r="L2227" i="1"/>
  <c r="K2232" i="1"/>
  <c r="K2230" i="1"/>
  <c r="L2240" i="1"/>
  <c r="C2227" i="1"/>
  <c r="M2226" i="1"/>
  <c r="N2226" i="1" s="1"/>
  <c r="F2226" i="1"/>
  <c r="M358" i="1"/>
  <c r="N358" i="1" s="1"/>
  <c r="C359" i="1"/>
  <c r="F358" i="1"/>
  <c r="K2247" i="1" l="1"/>
  <c r="K2246" i="1"/>
  <c r="L2230" i="1"/>
  <c r="L2232" i="1"/>
  <c r="F2227" i="1"/>
  <c r="M2227" i="1"/>
  <c r="N2227" i="1" s="1"/>
  <c r="C2228" i="1"/>
  <c r="M359" i="1"/>
  <c r="N359" i="1" s="1"/>
  <c r="F359" i="1"/>
  <c r="C360" i="1"/>
  <c r="K2241" i="1"/>
  <c r="K2242" i="1"/>
  <c r="L2241" i="1" l="1"/>
  <c r="L2242" i="1"/>
  <c r="K2243" i="1"/>
  <c r="K2250" i="1" s="1"/>
  <c r="C2229" i="1"/>
  <c r="M2228" i="1"/>
  <c r="N2228" i="1" s="1"/>
  <c r="F2228" i="1"/>
  <c r="M360" i="1"/>
  <c r="N360" i="1" s="1"/>
  <c r="C361" i="1"/>
  <c r="F360" i="1"/>
  <c r="L2247" i="1"/>
  <c r="L2246" i="1"/>
  <c r="L2243" i="1" l="1"/>
  <c r="L2250" i="1" s="1"/>
  <c r="F2229" i="1"/>
  <c r="M2229" i="1"/>
  <c r="N2229" i="1" s="1"/>
  <c r="C2230" i="1"/>
  <c r="M361" i="1"/>
  <c r="N361" i="1" s="1"/>
  <c r="F361" i="1"/>
  <c r="C362" i="1"/>
  <c r="C2231" i="1" l="1"/>
  <c r="K2237" i="1" s="1"/>
  <c r="M2230" i="1"/>
  <c r="N2230" i="1" s="1"/>
  <c r="F2230" i="1"/>
  <c r="M362" i="1"/>
  <c r="N362" i="1" s="1"/>
  <c r="C363" i="1"/>
  <c r="F362" i="1"/>
  <c r="K2245" i="1" l="1"/>
  <c r="K2248" i="1" s="1"/>
  <c r="K2251" i="1" s="1"/>
  <c r="K2252" i="1" s="1"/>
  <c r="L2237" i="1"/>
  <c r="L2245" i="1" s="1"/>
  <c r="L2248" i="1" s="1"/>
  <c r="L2251" i="1" s="1"/>
  <c r="L2252" i="1" s="1"/>
  <c r="F2231" i="1"/>
  <c r="M2231" i="1"/>
  <c r="N2231" i="1" s="1"/>
  <c r="C2232" i="1"/>
  <c r="M363" i="1"/>
  <c r="N363" i="1" s="1"/>
  <c r="F363" i="1"/>
  <c r="C364" i="1"/>
  <c r="C2233" i="1" l="1"/>
  <c r="M2232" i="1"/>
  <c r="N2232" i="1" s="1"/>
  <c r="F2232" i="1"/>
  <c r="M364" i="1"/>
  <c r="N364" i="1" s="1"/>
  <c r="C365" i="1"/>
  <c r="F364" i="1"/>
  <c r="F2233" i="1" l="1"/>
  <c r="M2233" i="1"/>
  <c r="N2233" i="1" s="1"/>
  <c r="C2234" i="1"/>
  <c r="M365" i="1"/>
  <c r="N365" i="1" s="1"/>
  <c r="F365" i="1"/>
  <c r="C366" i="1"/>
  <c r="C2235" i="1" l="1"/>
  <c r="M2234" i="1"/>
  <c r="N2234" i="1" s="1"/>
  <c r="F2234" i="1"/>
  <c r="M366" i="1"/>
  <c r="N366" i="1" s="1"/>
  <c r="C367" i="1"/>
  <c r="F366" i="1"/>
  <c r="M2235" i="1" l="1"/>
  <c r="N2235" i="1" s="1"/>
  <c r="F2235" i="1"/>
  <c r="C2236" i="1"/>
  <c r="M367" i="1"/>
  <c r="N367" i="1" s="1"/>
  <c r="F367" i="1"/>
  <c r="C368" i="1"/>
  <c r="K368" i="1" s="1"/>
  <c r="K346" i="1"/>
  <c r="L346" i="1"/>
  <c r="K347" i="1" l="1"/>
  <c r="K349" i="1" s="1"/>
  <c r="K350" i="1" s="1"/>
  <c r="L347" i="1"/>
  <c r="L349" i="1" s="1"/>
  <c r="L350" i="1" s="1"/>
  <c r="M2236" i="1"/>
  <c r="N2236" i="1" s="1"/>
  <c r="C2237" i="1"/>
  <c r="F2236" i="1"/>
  <c r="K370" i="1"/>
  <c r="L368" i="1"/>
  <c r="M368" i="1"/>
  <c r="N368" i="1" s="1"/>
  <c r="F368" i="1"/>
  <c r="C369" i="1"/>
  <c r="M2237" i="1" l="1"/>
  <c r="N2237" i="1" s="1"/>
  <c r="F2237" i="1"/>
  <c r="C2238" i="1"/>
  <c r="L370" i="1"/>
  <c r="K372" i="1"/>
  <c r="K373" i="1"/>
  <c r="M369" i="1"/>
  <c r="N369" i="1" s="1"/>
  <c r="F369" i="1"/>
  <c r="C370" i="1"/>
  <c r="K375" i="1" l="1"/>
  <c r="M2238" i="1"/>
  <c r="N2238" i="1" s="1"/>
  <c r="C2239" i="1"/>
  <c r="F2238" i="1"/>
  <c r="L372" i="1"/>
  <c r="L373" i="1"/>
  <c r="M370" i="1"/>
  <c r="N370" i="1" s="1"/>
  <c r="C371" i="1"/>
  <c r="F370" i="1"/>
  <c r="L375" i="1" l="1"/>
  <c r="M2239" i="1"/>
  <c r="N2239" i="1" s="1"/>
  <c r="C2240" i="1"/>
  <c r="F2239" i="1"/>
  <c r="M371" i="1"/>
  <c r="N371" i="1" s="1"/>
  <c r="F371" i="1"/>
  <c r="C372" i="1"/>
  <c r="N2240" i="1" l="1"/>
  <c r="C2241" i="1"/>
  <c r="F2240" i="1"/>
  <c r="M372" i="1"/>
  <c r="N372" i="1" s="1"/>
  <c r="F372" i="1"/>
  <c r="C373" i="1"/>
  <c r="M2241" i="1" l="1"/>
  <c r="N2241" i="1" s="1"/>
  <c r="F2241" i="1"/>
  <c r="C2242" i="1"/>
  <c r="M373" i="1"/>
  <c r="N373" i="1" s="1"/>
  <c r="F373" i="1"/>
  <c r="C374" i="1"/>
  <c r="M2242" i="1" l="1"/>
  <c r="N2242" i="1" s="1"/>
  <c r="C2243" i="1"/>
  <c r="F2242" i="1"/>
  <c r="M374" i="1"/>
  <c r="N374" i="1" s="1"/>
  <c r="C375" i="1"/>
  <c r="F374" i="1"/>
  <c r="N2243" i="1" l="1"/>
  <c r="F2243" i="1"/>
  <c r="C2244" i="1"/>
  <c r="M375" i="1"/>
  <c r="N375" i="1" s="1"/>
  <c r="F375" i="1"/>
  <c r="C376" i="1"/>
  <c r="M2244" i="1" l="1"/>
  <c r="N2244" i="1" s="1"/>
  <c r="C2245" i="1"/>
  <c r="F2244" i="1"/>
  <c r="M376" i="1"/>
  <c r="N376" i="1" s="1"/>
  <c r="C377" i="1"/>
  <c r="F376" i="1"/>
  <c r="M2245" i="1" l="1"/>
  <c r="N2245" i="1" s="1"/>
  <c r="F2245" i="1"/>
  <c r="C2246" i="1"/>
  <c r="M377" i="1"/>
  <c r="N377" i="1" s="1"/>
  <c r="F377" i="1"/>
  <c r="C378" i="1"/>
  <c r="M2246" i="1" l="1"/>
  <c r="N2246" i="1" s="1"/>
  <c r="F2246" i="1"/>
  <c r="C2247" i="1"/>
  <c r="M378" i="1"/>
  <c r="N378" i="1" s="1"/>
  <c r="C379" i="1"/>
  <c r="F378" i="1"/>
  <c r="M2247" i="1" l="1"/>
  <c r="N2247" i="1" s="1"/>
  <c r="F2247" i="1"/>
  <c r="C2248" i="1"/>
  <c r="M379" i="1"/>
  <c r="N379" i="1" s="1"/>
  <c r="F379" i="1"/>
  <c r="C380" i="1"/>
  <c r="M2248" i="1" l="1"/>
  <c r="N2248" i="1" s="1"/>
  <c r="C2249" i="1"/>
  <c r="F2248" i="1"/>
  <c r="M380" i="1"/>
  <c r="N380" i="1" s="1"/>
  <c r="C381" i="1"/>
  <c r="F380" i="1"/>
  <c r="M2249" i="1" l="1"/>
  <c r="N2249" i="1" s="1"/>
  <c r="F2249" i="1"/>
  <c r="C2250" i="1"/>
  <c r="M381" i="1"/>
  <c r="N381" i="1" s="1"/>
  <c r="F381" i="1"/>
  <c r="C382" i="1"/>
  <c r="M2250" i="1" l="1"/>
  <c r="N2250" i="1" s="1"/>
  <c r="C2251" i="1"/>
  <c r="F2250" i="1"/>
  <c r="M382" i="1"/>
  <c r="N382" i="1" s="1"/>
  <c r="C383" i="1"/>
  <c r="F382" i="1"/>
  <c r="M2251" i="1" l="1"/>
  <c r="N2251" i="1" s="1"/>
  <c r="F2251" i="1"/>
  <c r="C2252" i="1"/>
  <c r="M383" i="1"/>
  <c r="N383" i="1" s="1"/>
  <c r="F383" i="1"/>
  <c r="C384" i="1"/>
  <c r="M2252" i="1" l="1"/>
  <c r="N2252" i="1" s="1"/>
  <c r="C2253" i="1"/>
  <c r="F2252" i="1"/>
  <c r="M384" i="1"/>
  <c r="N384" i="1" s="1"/>
  <c r="C385" i="1"/>
  <c r="F384" i="1"/>
  <c r="M2253" i="1" l="1"/>
  <c r="N2253" i="1" s="1"/>
  <c r="F2253" i="1"/>
  <c r="C2254" i="1"/>
  <c r="M385" i="1"/>
  <c r="N385" i="1" s="1"/>
  <c r="F385" i="1"/>
  <c r="C386" i="1"/>
  <c r="M2254" i="1" l="1"/>
  <c r="N2254" i="1" s="1"/>
  <c r="C2255" i="1"/>
  <c r="F2254" i="1"/>
  <c r="M386" i="1"/>
  <c r="N386" i="1" s="1"/>
  <c r="C387" i="1"/>
  <c r="F386" i="1"/>
  <c r="M2255" i="1" l="1"/>
  <c r="N2255" i="1" s="1"/>
  <c r="F2255" i="1"/>
  <c r="C2256" i="1"/>
  <c r="K2257" i="1" s="1"/>
  <c r="M387" i="1"/>
  <c r="N387" i="1" s="1"/>
  <c r="F387" i="1"/>
  <c r="C388" i="1"/>
  <c r="L2257" i="1" l="1"/>
  <c r="L2269" i="1" s="1"/>
  <c r="K2258" i="1"/>
  <c r="K2269" i="1"/>
  <c r="M2256" i="1"/>
  <c r="N2256" i="1" s="1"/>
  <c r="C2257" i="1"/>
  <c r="F2256" i="1"/>
  <c r="M388" i="1"/>
  <c r="N388" i="1" s="1"/>
  <c r="C389" i="1"/>
  <c r="F388" i="1"/>
  <c r="K2271" i="1" l="1"/>
  <c r="L2258" i="1"/>
  <c r="K2263" i="1"/>
  <c r="K2261" i="1"/>
  <c r="L2271" i="1"/>
  <c r="M2257" i="1"/>
  <c r="N2257" i="1" s="1"/>
  <c r="F2257" i="1"/>
  <c r="C2258" i="1"/>
  <c r="M389" i="1"/>
  <c r="N389" i="1" s="1"/>
  <c r="F389" i="1"/>
  <c r="C390" i="1"/>
  <c r="K2277" i="1" l="1"/>
  <c r="L2261" i="1"/>
  <c r="L2263" i="1"/>
  <c r="M2258" i="1"/>
  <c r="N2258" i="1" s="1"/>
  <c r="C2259" i="1"/>
  <c r="F2258" i="1"/>
  <c r="M390" i="1"/>
  <c r="N390" i="1" s="1"/>
  <c r="C391" i="1"/>
  <c r="F390" i="1"/>
  <c r="K2272" i="1"/>
  <c r="L2277" i="1" l="1"/>
  <c r="K2274" i="1"/>
  <c r="K2281" i="1" s="1"/>
  <c r="M2259" i="1"/>
  <c r="N2259" i="1" s="1"/>
  <c r="C2260" i="1"/>
  <c r="F2259" i="1"/>
  <c r="F391" i="1"/>
  <c r="C392" i="1"/>
  <c r="L2272" i="1"/>
  <c r="L2274" i="1" l="1"/>
  <c r="L2281" i="1" s="1"/>
  <c r="M2260" i="1"/>
  <c r="N2260" i="1" s="1"/>
  <c r="F2260" i="1"/>
  <c r="C2261" i="1"/>
  <c r="C393" i="1"/>
  <c r="F392" i="1"/>
  <c r="M2261" i="1" l="1"/>
  <c r="N2261" i="1" s="1"/>
  <c r="F2261" i="1"/>
  <c r="C2262" i="1"/>
  <c r="K2268" i="1" s="1"/>
  <c r="M393" i="1"/>
  <c r="N393" i="1" s="1"/>
  <c r="F393" i="1"/>
  <c r="C394" i="1"/>
  <c r="K2276" i="1" l="1"/>
  <c r="K2279" i="1" s="1"/>
  <c r="K2282" i="1" s="1"/>
  <c r="K2283" i="1" s="1"/>
  <c r="L2268" i="1"/>
  <c r="L2276" i="1" s="1"/>
  <c r="L2279" i="1" s="1"/>
  <c r="L2282" i="1" s="1"/>
  <c r="L2283" i="1" s="1"/>
  <c r="M2262" i="1"/>
  <c r="N2262" i="1" s="1"/>
  <c r="C2263" i="1"/>
  <c r="F2262" i="1"/>
  <c r="M394" i="1"/>
  <c r="N394" i="1" s="1"/>
  <c r="C395" i="1"/>
  <c r="F394" i="1"/>
  <c r="M2263" i="1" l="1"/>
  <c r="N2263" i="1" s="1"/>
  <c r="C2264" i="1"/>
  <c r="F2263" i="1"/>
  <c r="M395" i="1"/>
  <c r="N395" i="1" s="1"/>
  <c r="F395" i="1"/>
  <c r="C396" i="1"/>
  <c r="M2264" i="1" l="1"/>
  <c r="N2264" i="1" s="1"/>
  <c r="C2265" i="1"/>
  <c r="F2264" i="1"/>
  <c r="M396" i="1"/>
  <c r="N396" i="1" s="1"/>
  <c r="F396" i="1"/>
  <c r="C397" i="1"/>
  <c r="M2265" i="1" l="1"/>
  <c r="N2265" i="1" s="1"/>
  <c r="F2265" i="1"/>
  <c r="C2266" i="1"/>
  <c r="M397" i="1"/>
  <c r="N397" i="1" s="1"/>
  <c r="F397" i="1"/>
  <c r="C398" i="1"/>
  <c r="M2266" i="1" l="1"/>
  <c r="N2266" i="1" s="1"/>
  <c r="C2267" i="1"/>
  <c r="F2266" i="1"/>
  <c r="M398" i="1"/>
  <c r="N398" i="1" s="1"/>
  <c r="C399" i="1"/>
  <c r="K399" i="1" s="1"/>
  <c r="F398" i="1"/>
  <c r="L376" i="1"/>
  <c r="K376" i="1"/>
  <c r="K377" i="1" l="1"/>
  <c r="K379" i="1" s="1"/>
  <c r="K380" i="1" s="1"/>
  <c r="L377" i="1"/>
  <c r="L379" i="1" s="1"/>
  <c r="L380" i="1" s="1"/>
  <c r="M2267" i="1"/>
  <c r="N2267" i="1" s="1"/>
  <c r="C2268" i="1"/>
  <c r="F2267" i="1"/>
  <c r="L399" i="1"/>
  <c r="K401" i="1"/>
  <c r="L401" i="1" s="1"/>
  <c r="M399" i="1"/>
  <c r="N399" i="1" s="1"/>
  <c r="C400" i="1"/>
  <c r="F399" i="1"/>
  <c r="N2268" i="1" l="1"/>
  <c r="C2269" i="1"/>
  <c r="F2268" i="1"/>
  <c r="K404" i="1"/>
  <c r="K403" i="1"/>
  <c r="F400" i="1"/>
  <c r="C401" i="1"/>
  <c r="M400" i="1"/>
  <c r="N400" i="1" s="1"/>
  <c r="K406" i="1" l="1"/>
  <c r="M2269" i="1"/>
  <c r="N2269" i="1" s="1"/>
  <c r="F2269" i="1"/>
  <c r="C2270" i="1"/>
  <c r="L403" i="1"/>
  <c r="L404" i="1"/>
  <c r="F401" i="1"/>
  <c r="M401" i="1"/>
  <c r="N401" i="1" s="1"/>
  <c r="C402" i="1"/>
  <c r="L406" i="1" l="1"/>
  <c r="M2270" i="1"/>
  <c r="N2270" i="1" s="1"/>
  <c r="C2271" i="1"/>
  <c r="F2270" i="1"/>
  <c r="F402" i="1"/>
  <c r="M402" i="1"/>
  <c r="N402" i="1" s="1"/>
  <c r="C403" i="1"/>
  <c r="N2271" i="1" l="1"/>
  <c r="F2271" i="1"/>
  <c r="C2272" i="1"/>
  <c r="F403" i="1"/>
  <c r="M403" i="1"/>
  <c r="N403" i="1" s="1"/>
  <c r="C404" i="1"/>
  <c r="M2272" i="1" l="1"/>
  <c r="N2272" i="1" s="1"/>
  <c r="C2273" i="1"/>
  <c r="F2272" i="1"/>
  <c r="F404" i="1"/>
  <c r="M404" i="1"/>
  <c r="N404" i="1" s="1"/>
  <c r="C405" i="1"/>
  <c r="M2273" i="1" l="1"/>
  <c r="N2273" i="1" s="1"/>
  <c r="C2274" i="1"/>
  <c r="F2273" i="1"/>
  <c r="F405" i="1"/>
  <c r="M405" i="1"/>
  <c r="N405" i="1" s="1"/>
  <c r="C406" i="1"/>
  <c r="M2274" i="1" l="1"/>
  <c r="N2274" i="1" s="1"/>
  <c r="C2275" i="1"/>
  <c r="F2274" i="1"/>
  <c r="F406" i="1"/>
  <c r="M406" i="1"/>
  <c r="N406" i="1" s="1"/>
  <c r="C407" i="1"/>
  <c r="M2275" i="1" l="1"/>
  <c r="N2275" i="1" s="1"/>
  <c r="F2275" i="1"/>
  <c r="C2276" i="1"/>
  <c r="F407" i="1"/>
  <c r="M407" i="1"/>
  <c r="N407" i="1" s="1"/>
  <c r="C408" i="1"/>
  <c r="M2276" i="1" l="1"/>
  <c r="N2276" i="1" s="1"/>
  <c r="C2277" i="1"/>
  <c r="F2276" i="1"/>
  <c r="F408" i="1"/>
  <c r="M408" i="1"/>
  <c r="N408" i="1" s="1"/>
  <c r="C409" i="1"/>
  <c r="M2277" i="1" l="1"/>
  <c r="N2277" i="1" s="1"/>
  <c r="F2277" i="1"/>
  <c r="C2278" i="1"/>
  <c r="F409" i="1"/>
  <c r="M409" i="1"/>
  <c r="N409" i="1" s="1"/>
  <c r="C410" i="1"/>
  <c r="M2278" i="1" l="1"/>
  <c r="N2278" i="1" s="1"/>
  <c r="C2279" i="1"/>
  <c r="F2278" i="1"/>
  <c r="F410" i="1"/>
  <c r="M410" i="1"/>
  <c r="N410" i="1" s="1"/>
  <c r="C411" i="1"/>
  <c r="M2279" i="1" l="1"/>
  <c r="N2279" i="1" s="1"/>
  <c r="F2279" i="1"/>
  <c r="C2280" i="1"/>
  <c r="M411" i="1"/>
  <c r="N411" i="1" s="1"/>
  <c r="F411" i="1"/>
  <c r="C412" i="1"/>
  <c r="M2280" i="1" l="1"/>
  <c r="N2280" i="1" s="1"/>
  <c r="C2281" i="1"/>
  <c r="F2280" i="1"/>
  <c r="M412" i="1"/>
  <c r="N412" i="1" s="1"/>
  <c r="F412" i="1"/>
  <c r="C413" i="1"/>
  <c r="M2281" i="1" l="1"/>
  <c r="N2281" i="1" s="1"/>
  <c r="F2281" i="1"/>
  <c r="C2282" i="1"/>
  <c r="F413" i="1"/>
  <c r="C414" i="1"/>
  <c r="M2282" i="1" l="1"/>
  <c r="N2282" i="1" s="1"/>
  <c r="C2283" i="1"/>
  <c r="F2282" i="1"/>
  <c r="M414" i="1"/>
  <c r="N414" i="1" s="1"/>
  <c r="F414" i="1"/>
  <c r="C415" i="1"/>
  <c r="M2283" i="1" l="1"/>
  <c r="N2283" i="1" s="1"/>
  <c r="C2284" i="1"/>
  <c r="F2283" i="1"/>
  <c r="M415" i="1"/>
  <c r="N415" i="1" s="1"/>
  <c r="F415" i="1"/>
  <c r="C416" i="1"/>
  <c r="K2285" i="1" l="1"/>
  <c r="L2285" i="1" s="1"/>
  <c r="L2297" i="1" s="1"/>
  <c r="M2284" i="1"/>
  <c r="C2285" i="1"/>
  <c r="F2284" i="1"/>
  <c r="F416" i="1"/>
  <c r="C417" i="1"/>
  <c r="K2297" i="1" l="1"/>
  <c r="K2299" i="1" s="1"/>
  <c r="K2286" i="1"/>
  <c r="L2286" i="1" s="1"/>
  <c r="N2284" i="1"/>
  <c r="L2299" i="1"/>
  <c r="M2285" i="1"/>
  <c r="F2285" i="1"/>
  <c r="C2286" i="1"/>
  <c r="M417" i="1"/>
  <c r="N417" i="1" s="1"/>
  <c r="F417" i="1"/>
  <c r="C418" i="1"/>
  <c r="K2291" i="1" l="1"/>
  <c r="K2289" i="1"/>
  <c r="N2285" i="1"/>
  <c r="L2289" i="1"/>
  <c r="L2291" i="1"/>
  <c r="M2286" i="1"/>
  <c r="C2287" i="1"/>
  <c r="F2286" i="1"/>
  <c r="M418" i="1"/>
  <c r="N418" i="1" s="1"/>
  <c r="F418" i="1"/>
  <c r="C419" i="1"/>
  <c r="L2300" i="1" l="1"/>
  <c r="K2300" i="1"/>
  <c r="N2286" i="1"/>
  <c r="M2287" i="1"/>
  <c r="C2288" i="1"/>
  <c r="F2287" i="1"/>
  <c r="M419" i="1"/>
  <c r="N419" i="1" s="1"/>
  <c r="F419" i="1"/>
  <c r="C420" i="1"/>
  <c r="L2305" i="1"/>
  <c r="K2305" i="1"/>
  <c r="N2287" i="1" l="1"/>
  <c r="M2288" i="1"/>
  <c r="F2288" i="1"/>
  <c r="C2289" i="1"/>
  <c r="M420" i="1"/>
  <c r="N420" i="1" s="1"/>
  <c r="F420" i="1"/>
  <c r="C421" i="1"/>
  <c r="N2288" i="1" l="1"/>
  <c r="M2289" i="1"/>
  <c r="F2289" i="1"/>
  <c r="C2290" i="1"/>
  <c r="M421" i="1"/>
  <c r="N421" i="1" s="1"/>
  <c r="F421" i="1"/>
  <c r="C422" i="1"/>
  <c r="K2296" i="1" l="1"/>
  <c r="N2289" i="1"/>
  <c r="M2290" i="1"/>
  <c r="C2291" i="1"/>
  <c r="F2290" i="1"/>
  <c r="M422" i="1"/>
  <c r="N422" i="1" s="1"/>
  <c r="F422" i="1"/>
  <c r="C423" i="1"/>
  <c r="K2304" i="1" l="1"/>
  <c r="K2312" i="1"/>
  <c r="K2313" i="1" s="1"/>
  <c r="L2296" i="1"/>
  <c r="N2290" i="1"/>
  <c r="M2291" i="1"/>
  <c r="F2291" i="1"/>
  <c r="C2292" i="1"/>
  <c r="M423" i="1"/>
  <c r="N423" i="1" s="1"/>
  <c r="F423" i="1"/>
  <c r="C424" i="1"/>
  <c r="L2304" i="1" l="1"/>
  <c r="L2312" i="1"/>
  <c r="L2313" i="1" s="1"/>
  <c r="N2291" i="1"/>
  <c r="M2292" i="1"/>
  <c r="C2293" i="1"/>
  <c r="F2292" i="1"/>
  <c r="M424" i="1"/>
  <c r="N424" i="1" s="1"/>
  <c r="F424" i="1"/>
  <c r="C425" i="1"/>
  <c r="N2292" i="1" l="1"/>
  <c r="M2293" i="1"/>
  <c r="F2293" i="1"/>
  <c r="C2294" i="1"/>
  <c r="M425" i="1"/>
  <c r="N425" i="1" s="1"/>
  <c r="F425" i="1"/>
  <c r="C426" i="1"/>
  <c r="N2293" i="1" l="1"/>
  <c r="M2294" i="1"/>
  <c r="C2295" i="1"/>
  <c r="F2294" i="1"/>
  <c r="M426" i="1"/>
  <c r="N426" i="1" s="1"/>
  <c r="F426" i="1"/>
  <c r="C427" i="1"/>
  <c r="N2294" i="1" l="1"/>
  <c r="M2295" i="1"/>
  <c r="F2295" i="1"/>
  <c r="C2296" i="1"/>
  <c r="M427" i="1"/>
  <c r="N427" i="1" s="1"/>
  <c r="F427" i="1"/>
  <c r="C428" i="1"/>
  <c r="M2296" i="1" l="1"/>
  <c r="F2296" i="1"/>
  <c r="C2297" i="1"/>
  <c r="M428" i="1"/>
  <c r="N428" i="1" s="1"/>
  <c r="F428" i="1"/>
  <c r="C429" i="1"/>
  <c r="M2297" i="1" l="1"/>
  <c r="F2297" i="1"/>
  <c r="C2298" i="1"/>
  <c r="M429" i="1"/>
  <c r="N429" i="1" s="1"/>
  <c r="F429" i="1"/>
  <c r="C430" i="1"/>
  <c r="K430" i="1" s="1"/>
  <c r="K407" i="1"/>
  <c r="L407" i="1"/>
  <c r="K408" i="1" l="1"/>
  <c r="K410" i="1" s="1"/>
  <c r="K411" i="1" s="1"/>
  <c r="L408" i="1"/>
  <c r="L410" i="1" s="1"/>
  <c r="L411" i="1" s="1"/>
  <c r="M2298" i="1"/>
  <c r="C2299" i="1"/>
  <c r="F2298" i="1"/>
  <c r="K432" i="1"/>
  <c r="L432" i="1" s="1"/>
  <c r="L430" i="1"/>
  <c r="M430" i="1"/>
  <c r="N430" i="1" s="1"/>
  <c r="F430" i="1"/>
  <c r="C431" i="1"/>
  <c r="M2299" i="1" l="1"/>
  <c r="F2299" i="1"/>
  <c r="C2300" i="1"/>
  <c r="K434" i="1"/>
  <c r="K435" i="1"/>
  <c r="M431" i="1"/>
  <c r="N431" i="1" s="1"/>
  <c r="F431" i="1"/>
  <c r="C432" i="1"/>
  <c r="K437" i="1" l="1"/>
  <c r="M2300" i="1"/>
  <c r="C2301" i="1"/>
  <c r="F2300" i="1"/>
  <c r="L435" i="1"/>
  <c r="L434" i="1"/>
  <c r="M432" i="1"/>
  <c r="N432" i="1" s="1"/>
  <c r="F432" i="1"/>
  <c r="C433" i="1"/>
  <c r="L437" i="1" l="1"/>
  <c r="M2301" i="1"/>
  <c r="F2301" i="1"/>
  <c r="C2302" i="1"/>
  <c r="M433" i="1"/>
  <c r="N433" i="1" s="1"/>
  <c r="F433" i="1"/>
  <c r="C434" i="1"/>
  <c r="M2302" i="1" l="1"/>
  <c r="C2303" i="1"/>
  <c r="F2302" i="1"/>
  <c r="M434" i="1"/>
  <c r="N434" i="1" s="1"/>
  <c r="F434" i="1"/>
  <c r="C435" i="1"/>
  <c r="M2303" i="1" l="1"/>
  <c r="F2303" i="1"/>
  <c r="C2304" i="1"/>
  <c r="M435" i="1"/>
  <c r="N435" i="1" s="1"/>
  <c r="F435" i="1"/>
  <c r="C436" i="1"/>
  <c r="M2304" i="1" l="1"/>
  <c r="F2304" i="1"/>
  <c r="C2305" i="1"/>
  <c r="M436" i="1"/>
  <c r="N436" i="1" s="1"/>
  <c r="F436" i="1"/>
  <c r="C437" i="1"/>
  <c r="M2305" i="1" l="1"/>
  <c r="F2305" i="1"/>
  <c r="C2306" i="1"/>
  <c r="M437" i="1"/>
  <c r="N437" i="1" s="1"/>
  <c r="F437" i="1"/>
  <c r="C438" i="1"/>
  <c r="M2306" i="1" l="1"/>
  <c r="C2307" i="1"/>
  <c r="F2306" i="1"/>
  <c r="M438" i="1"/>
  <c r="N438" i="1" s="1"/>
  <c r="F438" i="1"/>
  <c r="C439" i="1"/>
  <c r="M2307" i="1" l="1"/>
  <c r="C2308" i="1"/>
  <c r="F2307" i="1"/>
  <c r="M439" i="1"/>
  <c r="N439" i="1" s="1"/>
  <c r="F439" i="1"/>
  <c r="C440" i="1"/>
  <c r="M2308" i="1" l="1"/>
  <c r="F2308" i="1"/>
  <c r="C2309" i="1"/>
  <c r="M440" i="1"/>
  <c r="N440" i="1" s="1"/>
  <c r="F440" i="1"/>
  <c r="C441" i="1"/>
  <c r="M2309" i="1" l="1"/>
  <c r="F2309" i="1"/>
  <c r="C2310" i="1"/>
  <c r="F441" i="1"/>
  <c r="C442" i="1"/>
  <c r="M2310" i="1" l="1"/>
  <c r="C2311" i="1"/>
  <c r="F2310" i="1"/>
  <c r="M442" i="1"/>
  <c r="N442" i="1" s="1"/>
  <c r="F442" i="1"/>
  <c r="C443" i="1"/>
  <c r="M2311" i="1" l="1"/>
  <c r="F2311" i="1"/>
  <c r="C2312" i="1"/>
  <c r="M443" i="1"/>
  <c r="N443" i="1" s="1"/>
  <c r="F443" i="1"/>
  <c r="C444" i="1"/>
  <c r="M2312" i="1" l="1"/>
  <c r="F2312" i="1"/>
  <c r="C2313" i="1"/>
  <c r="F444" i="1"/>
  <c r="C445" i="1"/>
  <c r="M2313" i="1" l="1"/>
  <c r="F2313" i="1"/>
  <c r="C2314" i="1"/>
  <c r="M445" i="1"/>
  <c r="N445" i="1" s="1"/>
  <c r="F445" i="1"/>
  <c r="C446" i="1"/>
  <c r="M2314" i="1" l="1"/>
  <c r="F2314" i="1"/>
  <c r="C2315" i="1"/>
  <c r="M446" i="1"/>
  <c r="N446" i="1" s="1"/>
  <c r="F446" i="1"/>
  <c r="C447" i="1"/>
  <c r="K2316" i="1" l="1"/>
  <c r="L2316" i="1" s="1"/>
  <c r="L2328" i="1" s="1"/>
  <c r="M2315" i="1"/>
  <c r="C2316" i="1"/>
  <c r="F2315" i="1"/>
  <c r="M447" i="1"/>
  <c r="N447" i="1" s="1"/>
  <c r="F447" i="1"/>
  <c r="C448" i="1"/>
  <c r="K2328" i="1" l="1"/>
  <c r="K2330" i="1" s="1"/>
  <c r="K2317" i="1"/>
  <c r="K2322" i="1" s="1"/>
  <c r="L2330" i="1"/>
  <c r="M2316" i="1"/>
  <c r="F2316" i="1"/>
  <c r="C2317" i="1"/>
  <c r="M448" i="1"/>
  <c r="N448" i="1" s="1"/>
  <c r="F448" i="1"/>
  <c r="C449" i="1"/>
  <c r="K2332" i="1" l="1"/>
  <c r="K2320" i="1"/>
  <c r="L2317" i="1"/>
  <c r="L2320" i="1" s="1"/>
  <c r="F2317" i="1"/>
  <c r="C2318" i="1"/>
  <c r="M449" i="1"/>
  <c r="N449" i="1" s="1"/>
  <c r="F449" i="1"/>
  <c r="C450" i="1"/>
  <c r="K2337" i="1"/>
  <c r="L2331" i="1" l="1"/>
  <c r="K2331" i="1"/>
  <c r="L2322" i="1"/>
  <c r="M2318" i="1"/>
  <c r="F2318" i="1"/>
  <c r="C2319" i="1"/>
  <c r="M450" i="1"/>
  <c r="N450" i="1" s="1"/>
  <c r="F450" i="1"/>
  <c r="C451" i="1"/>
  <c r="K2336" i="1"/>
  <c r="L2336" i="1"/>
  <c r="K2333" i="1" l="1"/>
  <c r="L2337" i="1"/>
  <c r="M2319" i="1"/>
  <c r="C2320" i="1"/>
  <c r="F2319" i="1"/>
  <c r="M451" i="1"/>
  <c r="N451" i="1" s="1"/>
  <c r="F451" i="1"/>
  <c r="C452" i="1"/>
  <c r="L2332" i="1"/>
  <c r="K2340" i="1" l="1"/>
  <c r="L2333" i="1"/>
  <c r="F2320" i="1"/>
  <c r="C2321" i="1"/>
  <c r="M452" i="1"/>
  <c r="N452" i="1" s="1"/>
  <c r="F452" i="1"/>
  <c r="C453" i="1"/>
  <c r="L2340" i="1" l="1"/>
  <c r="K2327" i="1"/>
  <c r="M2321" i="1"/>
  <c r="F2321" i="1"/>
  <c r="C2322" i="1"/>
  <c r="M453" i="1"/>
  <c r="N453" i="1" s="1"/>
  <c r="F453" i="1"/>
  <c r="C454" i="1"/>
  <c r="K2335" i="1" l="1"/>
  <c r="K2338" i="1" s="1"/>
  <c r="K2341" i="1" s="1"/>
  <c r="K2342" i="1" s="1"/>
  <c r="K2343" i="1"/>
  <c r="L2327" i="1"/>
  <c r="N2318" i="1"/>
  <c r="N2317" i="1"/>
  <c r="N2321" i="1"/>
  <c r="N2316" i="1"/>
  <c r="N2320" i="1"/>
  <c r="N2319" i="1"/>
  <c r="K2293" i="1"/>
  <c r="M2322" i="1"/>
  <c r="C2323" i="1"/>
  <c r="F2322" i="1"/>
  <c r="M454" i="1"/>
  <c r="N454" i="1" s="1"/>
  <c r="F454" i="1"/>
  <c r="C455" i="1"/>
  <c r="L2335" i="1" l="1"/>
  <c r="L2338" i="1" s="1"/>
  <c r="L2341" i="1" s="1"/>
  <c r="L2342" i="1" s="1"/>
  <c r="L2343" i="1"/>
  <c r="N2322" i="1"/>
  <c r="L2293" i="1"/>
  <c r="N2315" i="1"/>
  <c r="M2323" i="1"/>
  <c r="F2323" i="1"/>
  <c r="C2324" i="1"/>
  <c r="M455" i="1"/>
  <c r="N455" i="1" s="1"/>
  <c r="F455" i="1"/>
  <c r="C456" i="1"/>
  <c r="K2301" i="1"/>
  <c r="K2306" i="1"/>
  <c r="N2323" i="1" l="1"/>
  <c r="K2307" i="1"/>
  <c r="K2310" i="1" s="1"/>
  <c r="K2302" i="1"/>
  <c r="K2309" i="1" s="1"/>
  <c r="N2312" i="1"/>
  <c r="N2304" i="1"/>
  <c r="N2314" i="1"/>
  <c r="N2303" i="1"/>
  <c r="N2309" i="1"/>
  <c r="N2308" i="1"/>
  <c r="N2307" i="1"/>
  <c r="N2310" i="1"/>
  <c r="N2305" i="1"/>
  <c r="N2313" i="1"/>
  <c r="N2311" i="1"/>
  <c r="N2306" i="1"/>
  <c r="M2324" i="1"/>
  <c r="C2325" i="1"/>
  <c r="F2324" i="1"/>
  <c r="M456" i="1"/>
  <c r="N456" i="1" s="1"/>
  <c r="F456" i="1"/>
  <c r="C457" i="1"/>
  <c r="L2301" i="1"/>
  <c r="L2306" i="1"/>
  <c r="N2324" i="1" l="1"/>
  <c r="K2311" i="1"/>
  <c r="L2307" i="1"/>
  <c r="L2310" i="1" s="1"/>
  <c r="L2302" i="1"/>
  <c r="L2309" i="1" s="1"/>
  <c r="N2302" i="1"/>
  <c r="M2325" i="1"/>
  <c r="F2325" i="1"/>
  <c r="C2326" i="1"/>
  <c r="M457" i="1"/>
  <c r="N457" i="1" s="1"/>
  <c r="F457" i="1"/>
  <c r="C458" i="1"/>
  <c r="K458" i="1" s="1"/>
  <c r="L438" i="1"/>
  <c r="K438" i="1"/>
  <c r="N2325" i="1" l="1"/>
  <c r="L2311" i="1"/>
  <c r="N2301" i="1" s="1"/>
  <c r="K439" i="1"/>
  <c r="K441" i="1" s="1"/>
  <c r="K442" i="1" s="1"/>
  <c r="L439" i="1"/>
  <c r="L441" i="1" s="1"/>
  <c r="L442" i="1" s="1"/>
  <c r="M2326" i="1"/>
  <c r="C2327" i="1"/>
  <c r="F2326" i="1"/>
  <c r="L458" i="1"/>
  <c r="K460" i="1"/>
  <c r="L460" i="1" s="1"/>
  <c r="M458" i="1"/>
  <c r="N458" i="1" s="1"/>
  <c r="F458" i="1"/>
  <c r="C459" i="1"/>
  <c r="N2326" i="1" l="1"/>
  <c r="N2299" i="1"/>
  <c r="N2296" i="1"/>
  <c r="N2298" i="1"/>
  <c r="N2300" i="1"/>
  <c r="N2295" i="1"/>
  <c r="N2297" i="1"/>
  <c r="M2327" i="1"/>
  <c r="C2328" i="1"/>
  <c r="F2327" i="1"/>
  <c r="K463" i="1"/>
  <c r="K462" i="1"/>
  <c r="M459" i="1"/>
  <c r="N459" i="1" s="1"/>
  <c r="F459" i="1"/>
  <c r="C460" i="1"/>
  <c r="K465" i="1" l="1"/>
  <c r="N2327" i="1"/>
  <c r="M2328" i="1"/>
  <c r="C2329" i="1"/>
  <c r="F2328" i="1"/>
  <c r="L462" i="1"/>
  <c r="L463" i="1"/>
  <c r="M460" i="1"/>
  <c r="N460" i="1" s="1"/>
  <c r="F460" i="1"/>
  <c r="C461" i="1"/>
  <c r="L465" i="1" l="1"/>
  <c r="N2328" i="1"/>
  <c r="M2329" i="1"/>
  <c r="C2330" i="1"/>
  <c r="F2329" i="1"/>
  <c r="M461" i="1"/>
  <c r="N461" i="1" s="1"/>
  <c r="F461" i="1"/>
  <c r="C462" i="1"/>
  <c r="N2329" i="1" l="1"/>
  <c r="M2330" i="1"/>
  <c r="F2330" i="1"/>
  <c r="C2331" i="1"/>
  <c r="M462" i="1"/>
  <c r="N462" i="1" s="1"/>
  <c r="F462" i="1"/>
  <c r="C463" i="1"/>
  <c r="N2330" i="1" l="1"/>
  <c r="M2331" i="1"/>
  <c r="C2332" i="1"/>
  <c r="F2331" i="1"/>
  <c r="M463" i="1"/>
  <c r="N463" i="1" s="1"/>
  <c r="F463" i="1"/>
  <c r="C464" i="1"/>
  <c r="N2331" i="1" l="1"/>
  <c r="M2332" i="1"/>
  <c r="F2332" i="1"/>
  <c r="C2333" i="1"/>
  <c r="M464" i="1"/>
  <c r="N464" i="1" s="1"/>
  <c r="F464" i="1"/>
  <c r="C465" i="1"/>
  <c r="N2332" i="1" l="1"/>
  <c r="M2333" i="1"/>
  <c r="C2334" i="1"/>
  <c r="F2333" i="1"/>
  <c r="M465" i="1"/>
  <c r="N465" i="1" s="1"/>
  <c r="F465" i="1"/>
  <c r="C466" i="1"/>
  <c r="N2333" i="1" l="1"/>
  <c r="M2334" i="1"/>
  <c r="F2334" i="1"/>
  <c r="C2335" i="1"/>
  <c r="M466" i="1"/>
  <c r="N466" i="1" s="1"/>
  <c r="F466" i="1"/>
  <c r="C467" i="1"/>
  <c r="N2334" i="1" l="1"/>
  <c r="M2335" i="1"/>
  <c r="C2336" i="1"/>
  <c r="F2335" i="1"/>
  <c r="M467" i="1"/>
  <c r="N467" i="1" s="1"/>
  <c r="F467" i="1"/>
  <c r="C468" i="1"/>
  <c r="N2335" i="1" l="1"/>
  <c r="M2336" i="1"/>
  <c r="F2336" i="1"/>
  <c r="C2337" i="1"/>
  <c r="M468" i="1"/>
  <c r="N468" i="1" s="1"/>
  <c r="F468" i="1"/>
  <c r="C469" i="1"/>
  <c r="N2336" i="1" l="1"/>
  <c r="M2337" i="1"/>
  <c r="F2337" i="1"/>
  <c r="C2338" i="1"/>
  <c r="M469" i="1"/>
  <c r="N469" i="1" s="1"/>
  <c r="F469" i="1"/>
  <c r="C470" i="1"/>
  <c r="N2337" i="1" l="1"/>
  <c r="M2338" i="1"/>
  <c r="C2339" i="1"/>
  <c r="F2338" i="1"/>
  <c r="M470" i="1"/>
  <c r="N470" i="1" s="1"/>
  <c r="F470" i="1"/>
  <c r="C471" i="1"/>
  <c r="N2338" i="1" l="1"/>
  <c r="M2339" i="1"/>
  <c r="C2340" i="1"/>
  <c r="F2339" i="1"/>
  <c r="M471" i="1"/>
  <c r="N471" i="1" s="1"/>
  <c r="F471" i="1"/>
  <c r="C472" i="1"/>
  <c r="N2339" i="1" l="1"/>
  <c r="M2340" i="1"/>
  <c r="F2340" i="1"/>
  <c r="C2341" i="1"/>
  <c r="M472" i="1"/>
  <c r="N472" i="1" s="1"/>
  <c r="F472" i="1"/>
  <c r="C473" i="1"/>
  <c r="N2340" i="1" l="1"/>
  <c r="M2341" i="1"/>
  <c r="F2341" i="1"/>
  <c r="C2342" i="1"/>
  <c r="C474" i="1"/>
  <c r="M473" i="1"/>
  <c r="N473" i="1" s="1"/>
  <c r="F473" i="1"/>
  <c r="N2341" i="1" l="1"/>
  <c r="M2342" i="1"/>
  <c r="C2343" i="1"/>
  <c r="F2342" i="1"/>
  <c r="M474" i="1"/>
  <c r="N474" i="1" s="1"/>
  <c r="F474" i="1"/>
  <c r="C475" i="1"/>
  <c r="N2342" i="1" l="1"/>
  <c r="M2343" i="1"/>
  <c r="F2343" i="1"/>
  <c r="C2344" i="1"/>
  <c r="M475" i="1"/>
  <c r="N475" i="1" s="1"/>
  <c r="C476" i="1"/>
  <c r="F475" i="1"/>
  <c r="N2343" i="1" l="1"/>
  <c r="M2344" i="1"/>
  <c r="C2345" i="1"/>
  <c r="F2344" i="1"/>
  <c r="C477" i="1"/>
  <c r="C478" i="1" s="1"/>
  <c r="F476" i="1"/>
  <c r="M476" i="1"/>
  <c r="N476" i="1" s="1"/>
  <c r="K2346" i="1" l="1"/>
  <c r="K2347" i="1" s="1"/>
  <c r="N2344" i="1"/>
  <c r="M2345" i="1"/>
  <c r="C2346" i="1"/>
  <c r="F2345" i="1"/>
  <c r="M477" i="1"/>
  <c r="N477" i="1" s="1"/>
  <c r="F477" i="1"/>
  <c r="M478" i="1"/>
  <c r="N478" i="1" s="1"/>
  <c r="F478" i="1"/>
  <c r="C479" i="1"/>
  <c r="K2358" i="1" l="1"/>
  <c r="K2360" i="1" s="1"/>
  <c r="L2346" i="1"/>
  <c r="L2358" i="1" s="1"/>
  <c r="L2360" i="1" s="1"/>
  <c r="N2345" i="1"/>
  <c r="L2347" i="1"/>
  <c r="K2352" i="1"/>
  <c r="K2350" i="1"/>
  <c r="M2346" i="1"/>
  <c r="C2347" i="1"/>
  <c r="F2346" i="1"/>
  <c r="M479" i="1"/>
  <c r="N479" i="1" s="1"/>
  <c r="F479" i="1"/>
  <c r="C480" i="1"/>
  <c r="K2361" i="1" l="1"/>
  <c r="L2350" i="1"/>
  <c r="L2352" i="1"/>
  <c r="M2347" i="1"/>
  <c r="C2348" i="1"/>
  <c r="F2347" i="1"/>
  <c r="M480" i="1"/>
  <c r="N480" i="1" s="1"/>
  <c r="F480" i="1"/>
  <c r="C481" i="1"/>
  <c r="K2366" i="1"/>
  <c r="K2363" i="1" l="1"/>
  <c r="L2366" i="1"/>
  <c r="M2348" i="1"/>
  <c r="C2349" i="1"/>
  <c r="F2348" i="1"/>
  <c r="M481" i="1"/>
  <c r="N481" i="1" s="1"/>
  <c r="F481" i="1"/>
  <c r="C482" i="1"/>
  <c r="L2361" i="1"/>
  <c r="K2370" i="1" l="1"/>
  <c r="L2363" i="1"/>
  <c r="L2370" i="1" s="1"/>
  <c r="M2349" i="1"/>
  <c r="F2349" i="1"/>
  <c r="C2350" i="1"/>
  <c r="M482" i="1"/>
  <c r="N482" i="1" s="1"/>
  <c r="F482" i="1"/>
  <c r="C483" i="1"/>
  <c r="M2350" i="1" l="1"/>
  <c r="C2351" i="1"/>
  <c r="F2350" i="1"/>
  <c r="M483" i="1"/>
  <c r="N483" i="1" s="1"/>
  <c r="F483" i="1"/>
  <c r="C484" i="1"/>
  <c r="K2357" i="1" l="1"/>
  <c r="M2351" i="1"/>
  <c r="F2351" i="1"/>
  <c r="C2352" i="1"/>
  <c r="M484" i="1"/>
  <c r="N484" i="1" s="1"/>
  <c r="F484" i="1"/>
  <c r="C485" i="1"/>
  <c r="L2357" i="1" l="1"/>
  <c r="K2374" i="1"/>
  <c r="K2365" i="1"/>
  <c r="K2368" i="1" s="1"/>
  <c r="K2371" i="1" s="1"/>
  <c r="K2372" i="1" s="1"/>
  <c r="N2350" i="1"/>
  <c r="N2347" i="1"/>
  <c r="N2346" i="1"/>
  <c r="N2351" i="1"/>
  <c r="N2348" i="1"/>
  <c r="N2349" i="1"/>
  <c r="M2352" i="1"/>
  <c r="C2353" i="1"/>
  <c r="F2352" i="1"/>
  <c r="M485" i="1"/>
  <c r="N485" i="1" s="1"/>
  <c r="F485" i="1"/>
  <c r="C486" i="1"/>
  <c r="L2374" i="1" l="1"/>
  <c r="L2365" i="1"/>
  <c r="L2368" i="1" s="1"/>
  <c r="L2371" i="1" s="1"/>
  <c r="L2372" i="1" s="1"/>
  <c r="N2352" i="1"/>
  <c r="M2353" i="1"/>
  <c r="F2353" i="1"/>
  <c r="C2354" i="1"/>
  <c r="M486" i="1"/>
  <c r="N486" i="1" s="1"/>
  <c r="F486" i="1"/>
  <c r="C487" i="1"/>
  <c r="N2353" i="1" l="1"/>
  <c r="M2354" i="1"/>
  <c r="C2355" i="1"/>
  <c r="F2354" i="1"/>
  <c r="M487" i="1"/>
  <c r="N487" i="1" s="1"/>
  <c r="F487" i="1"/>
  <c r="C488" i="1"/>
  <c r="N2354" i="1" l="1"/>
  <c r="M2355" i="1"/>
  <c r="C2356" i="1"/>
  <c r="F2355" i="1"/>
  <c r="C489" i="1"/>
  <c r="K489" i="1" s="1"/>
  <c r="M488" i="1"/>
  <c r="N488" i="1" s="1"/>
  <c r="F488" i="1"/>
  <c r="K466" i="1"/>
  <c r="L466" i="1"/>
  <c r="N2355" i="1" l="1"/>
  <c r="K467" i="1"/>
  <c r="K469" i="1" s="1"/>
  <c r="K470" i="1" s="1"/>
  <c r="L467" i="1"/>
  <c r="L469" i="1" s="1"/>
  <c r="L470" i="1" s="1"/>
  <c r="M2356" i="1"/>
  <c r="F2356" i="1"/>
  <c r="C2357" i="1"/>
  <c r="L489" i="1"/>
  <c r="K491" i="1"/>
  <c r="L491" i="1" s="1"/>
  <c r="C490" i="1"/>
  <c r="F490" i="1" s="1"/>
  <c r="F489" i="1"/>
  <c r="N2356" i="1" l="1"/>
  <c r="M2357" i="1"/>
  <c r="F2357" i="1"/>
  <c r="C2358" i="1"/>
  <c r="C491" i="1"/>
  <c r="C492" i="1" s="1"/>
  <c r="K493" i="1"/>
  <c r="K494" i="1"/>
  <c r="K496" i="1" l="1"/>
  <c r="N2357" i="1"/>
  <c r="M2358" i="1"/>
  <c r="C2359" i="1"/>
  <c r="F2358" i="1"/>
  <c r="F491" i="1"/>
  <c r="M491" i="1"/>
  <c r="N491" i="1" s="1"/>
  <c r="L493" i="1"/>
  <c r="L494" i="1"/>
  <c r="C493" i="1"/>
  <c r="M492" i="1"/>
  <c r="N492" i="1" s="1"/>
  <c r="F492" i="1"/>
  <c r="L496" i="1" l="1"/>
  <c r="N2358" i="1"/>
  <c r="M2359" i="1"/>
  <c r="F2359" i="1"/>
  <c r="C2360" i="1"/>
  <c r="C494" i="1"/>
  <c r="M493" i="1"/>
  <c r="N493" i="1" s="1"/>
  <c r="F493" i="1"/>
  <c r="N2359" i="1" l="1"/>
  <c r="M2360" i="1"/>
  <c r="C2361" i="1"/>
  <c r="F2360" i="1"/>
  <c r="C495" i="1"/>
  <c r="M494" i="1"/>
  <c r="N494" i="1" s="1"/>
  <c r="F494" i="1"/>
  <c r="N2360" i="1" l="1"/>
  <c r="M2361" i="1"/>
  <c r="F2361" i="1"/>
  <c r="C2362" i="1"/>
  <c r="C496" i="1"/>
  <c r="M495" i="1"/>
  <c r="N495" i="1" s="1"/>
  <c r="F495" i="1"/>
  <c r="N2361" i="1" l="1"/>
  <c r="M2362" i="1"/>
  <c r="C2363" i="1"/>
  <c r="F2362" i="1"/>
  <c r="C497" i="1"/>
  <c r="M496" i="1"/>
  <c r="N496" i="1" s="1"/>
  <c r="F496" i="1"/>
  <c r="N2362" i="1" l="1"/>
  <c r="M2363" i="1"/>
  <c r="F2363" i="1"/>
  <c r="C2364" i="1"/>
  <c r="C498" i="1"/>
  <c r="M497" i="1"/>
  <c r="N497" i="1" s="1"/>
  <c r="F497" i="1"/>
  <c r="N2363" i="1" l="1"/>
  <c r="M2364" i="1"/>
  <c r="C2365" i="1"/>
  <c r="F2364" i="1"/>
  <c r="C499" i="1"/>
  <c r="M498" i="1"/>
  <c r="N498" i="1" s="1"/>
  <c r="F498" i="1"/>
  <c r="N2364" i="1" l="1"/>
  <c r="M2365" i="1"/>
  <c r="F2365" i="1"/>
  <c r="C2366" i="1"/>
  <c r="C500" i="1"/>
  <c r="M499" i="1"/>
  <c r="N499" i="1" s="1"/>
  <c r="F499" i="1"/>
  <c r="N2365" i="1" l="1"/>
  <c r="N2366" i="1"/>
  <c r="C2367" i="1"/>
  <c r="F2366" i="1"/>
  <c r="C501" i="1"/>
  <c r="M500" i="1"/>
  <c r="N500" i="1" s="1"/>
  <c r="F500" i="1"/>
  <c r="M2367" i="1" l="1"/>
  <c r="F2367" i="1"/>
  <c r="C2368" i="1"/>
  <c r="C502" i="1"/>
  <c r="M501" i="1"/>
  <c r="N501" i="1" s="1"/>
  <c r="F501" i="1"/>
  <c r="N2367" i="1" l="1"/>
  <c r="M2368" i="1"/>
  <c r="C2369" i="1"/>
  <c r="F2368" i="1"/>
  <c r="C503" i="1"/>
  <c r="M502" i="1"/>
  <c r="N502" i="1" s="1"/>
  <c r="F502" i="1"/>
  <c r="N2368" i="1" l="1"/>
  <c r="N2369" i="1"/>
  <c r="C2370" i="1"/>
  <c r="F2369" i="1"/>
  <c r="C504" i="1"/>
  <c r="M503" i="1"/>
  <c r="N503" i="1" s="1"/>
  <c r="F503" i="1"/>
  <c r="M2370" i="1" l="1"/>
  <c r="C2371" i="1"/>
  <c r="F2370" i="1"/>
  <c r="C505" i="1"/>
  <c r="M504" i="1"/>
  <c r="N504" i="1" s="1"/>
  <c r="F504" i="1"/>
  <c r="N2370" i="1" l="1"/>
  <c r="M2371" i="1"/>
  <c r="F2371" i="1"/>
  <c r="C2372" i="1"/>
  <c r="C506" i="1"/>
  <c r="M505" i="1"/>
  <c r="N505" i="1" s="1"/>
  <c r="F505" i="1"/>
  <c r="N2371" i="1" l="1"/>
  <c r="M2372" i="1"/>
  <c r="C2373" i="1"/>
  <c r="F2372" i="1"/>
  <c r="C507" i="1"/>
  <c r="M506" i="1"/>
  <c r="N506" i="1" s="1"/>
  <c r="F506" i="1"/>
  <c r="N2372" i="1" l="1"/>
  <c r="M2373" i="1"/>
  <c r="F2373" i="1"/>
  <c r="C2374" i="1"/>
  <c r="C508" i="1"/>
  <c r="M507" i="1"/>
  <c r="N507" i="1" s="1"/>
  <c r="F507" i="1"/>
  <c r="N2373" i="1" l="1"/>
  <c r="M2374" i="1"/>
  <c r="C2375" i="1"/>
  <c r="F2374" i="1"/>
  <c r="C509" i="1"/>
  <c r="M508" i="1"/>
  <c r="N508" i="1" s="1"/>
  <c r="F508" i="1"/>
  <c r="N2374" i="1" l="1"/>
  <c r="M2375" i="1"/>
  <c r="F2375" i="1"/>
  <c r="C2376" i="1"/>
  <c r="C510" i="1"/>
  <c r="M509" i="1"/>
  <c r="N509" i="1" s="1"/>
  <c r="F509" i="1"/>
  <c r="M2376" i="1" l="1"/>
  <c r="N2376" i="1" s="1"/>
  <c r="C2" i="10" s="1"/>
  <c r="D2" i="10" s="1"/>
  <c r="A2" i="10"/>
  <c r="N2375" i="1"/>
  <c r="K2377" i="1"/>
  <c r="L2377" i="1" s="1"/>
  <c r="L2389" i="1" s="1"/>
  <c r="C2377" i="1"/>
  <c r="A3" i="10" s="1"/>
  <c r="B2" i="10" s="1"/>
  <c r="F2376" i="1"/>
  <c r="C511" i="1"/>
  <c r="M510" i="1"/>
  <c r="N510" i="1" s="1"/>
  <c r="F510" i="1"/>
  <c r="E2" i="10" l="1"/>
  <c r="K2389" i="1"/>
  <c r="K2391" i="1" s="1"/>
  <c r="K2378" i="1"/>
  <c r="K2383" i="1" s="1"/>
  <c r="L2391" i="1"/>
  <c r="M2377" i="1"/>
  <c r="C2378" i="1"/>
  <c r="A4" i="10" s="1"/>
  <c r="B3" i="10" s="1"/>
  <c r="F2377" i="1"/>
  <c r="C512" i="1"/>
  <c r="M511" i="1"/>
  <c r="N511" i="1" s="1"/>
  <c r="F511" i="1"/>
  <c r="L2378" i="1" l="1"/>
  <c r="L2381" i="1" s="1"/>
  <c r="K2381" i="1"/>
  <c r="M2378" i="1"/>
  <c r="C2379" i="1"/>
  <c r="A5" i="10" s="1"/>
  <c r="B4" i="10" s="1"/>
  <c r="F2378" i="1"/>
  <c r="C513" i="1"/>
  <c r="M512" i="1"/>
  <c r="N512" i="1" s="1"/>
  <c r="F512" i="1"/>
  <c r="L2397" i="1" l="1"/>
  <c r="K2392" i="1"/>
  <c r="L2383" i="1"/>
  <c r="M2379" i="1"/>
  <c r="F2379" i="1"/>
  <c r="C2380" i="1"/>
  <c r="A6" i="10" s="1"/>
  <c r="B5" i="10" s="1"/>
  <c r="C514" i="1"/>
  <c r="M513" i="1"/>
  <c r="N513" i="1" s="1"/>
  <c r="F513" i="1"/>
  <c r="K2397" i="1"/>
  <c r="L2392" i="1"/>
  <c r="M2380" i="1" l="1"/>
  <c r="C2381" i="1"/>
  <c r="A7" i="10" s="1"/>
  <c r="B6" i="10" s="1"/>
  <c r="F2380" i="1"/>
  <c r="C515" i="1"/>
  <c r="M514" i="1"/>
  <c r="N514" i="1" s="1"/>
  <c r="F514" i="1"/>
  <c r="M2381" i="1" l="1"/>
  <c r="F2381" i="1"/>
  <c r="C2382" i="1"/>
  <c r="A8" i="10" s="1"/>
  <c r="B7" i="10" s="1"/>
  <c r="C516" i="1"/>
  <c r="M515" i="1"/>
  <c r="N515" i="1" s="1"/>
  <c r="F515" i="1"/>
  <c r="K2388" i="1" l="1"/>
  <c r="M2382" i="1"/>
  <c r="C2383" i="1"/>
  <c r="A9" i="10" s="1"/>
  <c r="B8" i="10" s="1"/>
  <c r="F2382" i="1"/>
  <c r="C517" i="1"/>
  <c r="M516" i="1"/>
  <c r="N516" i="1" s="1"/>
  <c r="F516" i="1"/>
  <c r="K2396" i="1" l="1"/>
  <c r="K2405" i="1"/>
  <c r="K2404" i="1" s="1"/>
  <c r="L2388" i="1"/>
  <c r="M2383" i="1"/>
  <c r="F2383" i="1"/>
  <c r="C2384" i="1"/>
  <c r="A10" i="10" s="1"/>
  <c r="B9" i="10" s="1"/>
  <c r="C518" i="1"/>
  <c r="M517" i="1"/>
  <c r="N517" i="1" s="1"/>
  <c r="F517" i="1"/>
  <c r="L2396" i="1" l="1"/>
  <c r="L2405" i="1"/>
  <c r="L2404" i="1" s="1"/>
  <c r="M2384" i="1"/>
  <c r="C2385" i="1"/>
  <c r="A11" i="10" s="1"/>
  <c r="B10" i="10" s="1"/>
  <c r="F2384" i="1"/>
  <c r="C519" i="1"/>
  <c r="K519" i="1" s="1"/>
  <c r="M518" i="1"/>
  <c r="N518" i="1" s="1"/>
  <c r="F518" i="1"/>
  <c r="K497" i="1"/>
  <c r="L497" i="1"/>
  <c r="K498" i="1" l="1"/>
  <c r="K500" i="1" s="1"/>
  <c r="K501" i="1" s="1"/>
  <c r="L498" i="1"/>
  <c r="L500" i="1" s="1"/>
  <c r="L501" i="1" s="1"/>
  <c r="M2385" i="1"/>
  <c r="F2385" i="1"/>
  <c r="C2386" i="1"/>
  <c r="A12" i="10" s="1"/>
  <c r="B11" i="10" s="1"/>
  <c r="K521" i="1"/>
  <c r="L521" i="1" s="1"/>
  <c r="L519" i="1"/>
  <c r="C520" i="1"/>
  <c r="M519" i="1"/>
  <c r="N519" i="1" s="1"/>
  <c r="F519" i="1"/>
  <c r="M2386" i="1" l="1"/>
  <c r="C2387" i="1"/>
  <c r="A13" i="10" s="1"/>
  <c r="B12" i="10" s="1"/>
  <c r="F2386" i="1"/>
  <c r="K523" i="1"/>
  <c r="K524" i="1"/>
  <c r="C521" i="1"/>
  <c r="M520" i="1"/>
  <c r="N520" i="1" s="1"/>
  <c r="F520" i="1"/>
  <c r="K526" i="1" l="1"/>
  <c r="M2387" i="1"/>
  <c r="F2387" i="1"/>
  <c r="C2388" i="1"/>
  <c r="A14" i="10" s="1"/>
  <c r="B13" i="10" s="1"/>
  <c r="L524" i="1"/>
  <c r="L523" i="1"/>
  <c r="C522" i="1"/>
  <c r="M521" i="1"/>
  <c r="N521" i="1" s="1"/>
  <c r="F521" i="1"/>
  <c r="L526" i="1" l="1"/>
  <c r="M2388" i="1"/>
  <c r="C2389" i="1"/>
  <c r="A15" i="10" s="1"/>
  <c r="B14" i="10" s="1"/>
  <c r="F2388" i="1"/>
  <c r="C523" i="1"/>
  <c r="M522" i="1"/>
  <c r="N522" i="1" s="1"/>
  <c r="F522" i="1"/>
  <c r="M2389" i="1" l="1"/>
  <c r="C2390" i="1"/>
  <c r="A16" i="10" s="1"/>
  <c r="B15" i="10" s="1"/>
  <c r="F2389" i="1"/>
  <c r="C524" i="1"/>
  <c r="M523" i="1"/>
  <c r="N523" i="1" s="1"/>
  <c r="F523" i="1"/>
  <c r="M2390" i="1" l="1"/>
  <c r="F2390" i="1"/>
  <c r="C2391" i="1"/>
  <c r="A17" i="10" s="1"/>
  <c r="B16" i="10" s="1"/>
  <c r="C525" i="1"/>
  <c r="M524" i="1"/>
  <c r="N524" i="1" s="1"/>
  <c r="F524" i="1"/>
  <c r="M2391" i="1" l="1"/>
  <c r="F2391" i="1"/>
  <c r="C2392" i="1"/>
  <c r="A18" i="10" s="1"/>
  <c r="B17" i="10" s="1"/>
  <c r="C526" i="1"/>
  <c r="M525" i="1"/>
  <c r="N525" i="1" s="1"/>
  <c r="F525" i="1"/>
  <c r="M2392" i="1" l="1"/>
  <c r="C2393" i="1"/>
  <c r="A19" i="10" s="1"/>
  <c r="B18" i="10" s="1"/>
  <c r="F2392" i="1"/>
  <c r="C527" i="1"/>
  <c r="M526" i="1"/>
  <c r="N526" i="1" s="1"/>
  <c r="F526" i="1"/>
  <c r="F2393" i="1" l="1"/>
  <c r="C2394" i="1"/>
  <c r="A20" i="10" s="1"/>
  <c r="B19" i="10" s="1"/>
  <c r="C528" i="1"/>
  <c r="M527" i="1"/>
  <c r="N527" i="1" s="1"/>
  <c r="F527" i="1"/>
  <c r="C2395" i="1" l="1"/>
  <c r="A21" i="10" s="1"/>
  <c r="B20" i="10" s="1"/>
  <c r="F2394" i="1"/>
  <c r="C529" i="1"/>
  <c r="M528" i="1"/>
  <c r="N528" i="1" s="1"/>
  <c r="F528" i="1"/>
  <c r="M2395" i="1" l="1"/>
  <c r="F2395" i="1"/>
  <c r="C2396" i="1"/>
  <c r="A22" i="10" s="1"/>
  <c r="B21" i="10" s="1"/>
  <c r="C530" i="1"/>
  <c r="M529" i="1"/>
  <c r="N529" i="1" s="1"/>
  <c r="F529" i="1"/>
  <c r="M2396" i="1" l="1"/>
  <c r="C2397" i="1"/>
  <c r="A23" i="10" s="1"/>
  <c r="B22" i="10" s="1"/>
  <c r="F2396" i="1"/>
  <c r="C531" i="1"/>
  <c r="M530" i="1"/>
  <c r="N530" i="1" s="1"/>
  <c r="F530" i="1"/>
  <c r="M2397" i="1" l="1"/>
  <c r="F2397" i="1"/>
  <c r="C2398" i="1"/>
  <c r="A24" i="10" s="1"/>
  <c r="B23" i="10" s="1"/>
  <c r="C532" i="1"/>
  <c r="M531" i="1"/>
  <c r="N531" i="1" s="1"/>
  <c r="F531" i="1"/>
  <c r="M2398" i="1" l="1"/>
  <c r="F2398" i="1"/>
  <c r="C2399" i="1"/>
  <c r="A25" i="10" s="1"/>
  <c r="B24" i="10" s="1"/>
  <c r="C533" i="1"/>
  <c r="M532" i="1"/>
  <c r="N532" i="1" s="1"/>
  <c r="F532" i="1"/>
  <c r="M2399" i="1" l="1"/>
  <c r="C2400" i="1"/>
  <c r="A26" i="10" s="1"/>
  <c r="B25" i="10" s="1"/>
  <c r="F2399" i="1"/>
  <c r="C534" i="1"/>
  <c r="M533" i="1"/>
  <c r="N533" i="1" s="1"/>
  <c r="F533" i="1"/>
  <c r="M2400" i="1" l="1"/>
  <c r="F2400" i="1"/>
  <c r="C2401" i="1"/>
  <c r="A27" i="10" s="1"/>
  <c r="B26" i="10" s="1"/>
  <c r="C535" i="1"/>
  <c r="M534" i="1"/>
  <c r="N534" i="1" s="1"/>
  <c r="F534" i="1"/>
  <c r="M2401" i="1" l="1"/>
  <c r="F2401" i="1"/>
  <c r="C2402" i="1"/>
  <c r="A28" i="10" s="1"/>
  <c r="B27" i="10" s="1"/>
  <c r="C536" i="1"/>
  <c r="M535" i="1"/>
  <c r="N535" i="1" s="1"/>
  <c r="F535" i="1"/>
  <c r="M2402" i="1" l="1"/>
  <c r="F2402" i="1"/>
  <c r="C2403" i="1"/>
  <c r="A29" i="10" s="1"/>
  <c r="B28" i="10" s="1"/>
  <c r="C537" i="1"/>
  <c r="M536" i="1"/>
  <c r="N536" i="1" s="1"/>
  <c r="F536" i="1"/>
  <c r="M2403" i="1" l="1"/>
  <c r="C2404" i="1"/>
  <c r="A30" i="10" s="1"/>
  <c r="B29" i="10" s="1"/>
  <c r="F2403" i="1"/>
  <c r="C538" i="1"/>
  <c r="M537" i="1"/>
  <c r="N537" i="1" s="1"/>
  <c r="F537" i="1"/>
  <c r="M2404" i="1" l="1"/>
  <c r="F2404" i="1"/>
  <c r="C2405" i="1"/>
  <c r="A31" i="10" s="1"/>
  <c r="B30" i="10" s="1"/>
  <c r="C539" i="1"/>
  <c r="M538" i="1"/>
  <c r="N538" i="1" s="1"/>
  <c r="F538" i="1"/>
  <c r="M2405" i="1" l="1"/>
  <c r="F2405" i="1"/>
  <c r="C2406" i="1"/>
  <c r="A32" i="10" s="1"/>
  <c r="B31" i="10" s="1"/>
  <c r="C540" i="1"/>
  <c r="M539" i="1"/>
  <c r="N539" i="1" s="1"/>
  <c r="F539" i="1"/>
  <c r="K2407" i="1" l="1"/>
  <c r="L2407" i="1" s="1"/>
  <c r="L2419" i="1" s="1"/>
  <c r="M2406" i="1"/>
  <c r="F2406" i="1"/>
  <c r="C2407" i="1"/>
  <c r="A33" i="10" s="1"/>
  <c r="B32" i="10" s="1"/>
  <c r="C541" i="1"/>
  <c r="M540" i="1"/>
  <c r="N540" i="1" s="1"/>
  <c r="F540" i="1"/>
  <c r="K2419" i="1" l="1"/>
  <c r="K2421" i="1" s="1"/>
  <c r="K2408" i="1"/>
  <c r="L2408" i="1" s="1"/>
  <c r="L2421" i="1"/>
  <c r="F2407" i="1"/>
  <c r="C2408" i="1"/>
  <c r="A34" i="10" s="1"/>
  <c r="B33" i="10" s="1"/>
  <c r="C542" i="1"/>
  <c r="M541" i="1"/>
  <c r="N541" i="1" s="1"/>
  <c r="F541" i="1"/>
  <c r="K2411" i="1" l="1"/>
  <c r="K2413" i="1"/>
  <c r="L2411" i="1"/>
  <c r="L2413" i="1"/>
  <c r="F2408" i="1"/>
  <c r="C2409" i="1"/>
  <c r="A35" i="10" s="1"/>
  <c r="B34" i="10" s="1"/>
  <c r="C543" i="1"/>
  <c r="M542" i="1"/>
  <c r="N542" i="1" s="1"/>
  <c r="F542" i="1"/>
  <c r="K2422" i="1" l="1"/>
  <c r="K2423" i="1"/>
  <c r="L2427" i="1"/>
  <c r="L2428" i="1"/>
  <c r="M2409" i="1"/>
  <c r="F2409" i="1"/>
  <c r="C2410" i="1"/>
  <c r="A36" i="10" s="1"/>
  <c r="B35" i="10" s="1"/>
  <c r="C544" i="1"/>
  <c r="M543" i="1"/>
  <c r="N543" i="1" s="1"/>
  <c r="F543" i="1"/>
  <c r="L2422" i="1"/>
  <c r="L2423" i="1"/>
  <c r="K2427" i="1"/>
  <c r="K2428" i="1"/>
  <c r="K2424" i="1" l="1"/>
  <c r="K2431" i="1" s="1"/>
  <c r="L2424" i="1"/>
  <c r="L2431" i="1" s="1"/>
  <c r="M2410" i="1"/>
  <c r="C2411" i="1"/>
  <c r="A37" i="10" s="1"/>
  <c r="B36" i="10" s="1"/>
  <c r="F2410" i="1"/>
  <c r="C545" i="1"/>
  <c r="M544" i="1"/>
  <c r="N544" i="1" s="1"/>
  <c r="F544" i="1"/>
  <c r="M2411" i="1" l="1"/>
  <c r="F2411" i="1"/>
  <c r="C2412" i="1"/>
  <c r="A38" i="10" s="1"/>
  <c r="B37" i="10" s="1"/>
  <c r="C546" i="1"/>
  <c r="M545" i="1"/>
  <c r="N545" i="1" s="1"/>
  <c r="F545" i="1"/>
  <c r="K2418" i="1" l="1"/>
  <c r="K2426" i="1" s="1"/>
  <c r="K2429" i="1" s="1"/>
  <c r="K2432" i="1" s="1"/>
  <c r="K2433" i="1" s="1"/>
  <c r="M2412" i="1"/>
  <c r="F2412" i="1"/>
  <c r="C2413" i="1"/>
  <c r="A39" i="10" s="1"/>
  <c r="B38" i="10" s="1"/>
  <c r="C547" i="1"/>
  <c r="F546" i="1"/>
  <c r="L2418" i="1" l="1"/>
  <c r="L2426" i="1" s="1"/>
  <c r="L2429" i="1" s="1"/>
  <c r="L2432" i="1" s="1"/>
  <c r="L2433" i="1" s="1"/>
  <c r="K2385" i="1"/>
  <c r="M2413" i="1"/>
  <c r="F2413" i="1"/>
  <c r="C2414" i="1"/>
  <c r="A40" i="10" s="1"/>
  <c r="B39" i="10" s="1"/>
  <c r="C548" i="1"/>
  <c r="M547" i="1"/>
  <c r="N547" i="1" s="1"/>
  <c r="F547" i="1"/>
  <c r="N2409" i="1" l="1"/>
  <c r="C35" i="10" s="1"/>
  <c r="N2410" i="1"/>
  <c r="C36" i="10" s="1"/>
  <c r="N2413" i="1"/>
  <c r="C39" i="10" s="1"/>
  <c r="N2411" i="1"/>
  <c r="C37" i="10" s="1"/>
  <c r="N2408" i="1"/>
  <c r="C34" i="10" s="1"/>
  <c r="N2407" i="1"/>
  <c r="C33" i="10" s="1"/>
  <c r="N2412" i="1"/>
  <c r="C38" i="10" s="1"/>
  <c r="L2385" i="1"/>
  <c r="M2414" i="1"/>
  <c r="F2414" i="1"/>
  <c r="C2415" i="1"/>
  <c r="A41" i="10" s="1"/>
  <c r="B40" i="10" s="1"/>
  <c r="C549" i="1"/>
  <c r="M548" i="1"/>
  <c r="N548" i="1" s="1"/>
  <c r="F548" i="1"/>
  <c r="K2398" i="1"/>
  <c r="K2393" i="1"/>
  <c r="N2406" i="1" l="1"/>
  <c r="C32" i="10" s="1"/>
  <c r="N2414" i="1"/>
  <c r="C40" i="10" s="1"/>
  <c r="K2399" i="1"/>
  <c r="K2402" i="1" s="1"/>
  <c r="K2394" i="1"/>
  <c r="K2401" i="1" s="1"/>
  <c r="N2399" i="1"/>
  <c r="C25" i="10" s="1"/>
  <c r="N2396" i="1"/>
  <c r="C22" i="10" s="1"/>
  <c r="N2395" i="1"/>
  <c r="C21" i="10" s="1"/>
  <c r="N2404" i="1"/>
  <c r="C30" i="10" s="1"/>
  <c r="N2401" i="1"/>
  <c r="C27" i="10" s="1"/>
  <c r="N2398" i="1"/>
  <c r="C24" i="10" s="1"/>
  <c r="N2397" i="1"/>
  <c r="C23" i="10" s="1"/>
  <c r="N2394" i="1"/>
  <c r="C20" i="10" s="1"/>
  <c r="N2405" i="1"/>
  <c r="C31" i="10" s="1"/>
  <c r="N2402" i="1"/>
  <c r="C28" i="10" s="1"/>
  <c r="N2403" i="1"/>
  <c r="C29" i="10" s="1"/>
  <c r="N2400" i="1"/>
  <c r="C26" i="10" s="1"/>
  <c r="M2415" i="1"/>
  <c r="F2415" i="1"/>
  <c r="C2416" i="1"/>
  <c r="A42" i="10" s="1"/>
  <c r="B41" i="10" s="1"/>
  <c r="C550" i="1"/>
  <c r="K550" i="1" s="1"/>
  <c r="F549" i="1"/>
  <c r="L2393" i="1"/>
  <c r="L527" i="1"/>
  <c r="L2398" i="1"/>
  <c r="K527" i="1"/>
  <c r="N2415" i="1" l="1"/>
  <c r="C41" i="10" s="1"/>
  <c r="K2403" i="1"/>
  <c r="L2399" i="1"/>
  <c r="L2402" i="1" s="1"/>
  <c r="L2394" i="1"/>
  <c r="L2401" i="1" s="1"/>
  <c r="N2393" i="1"/>
  <c r="C19" i="10" s="1"/>
  <c r="K528" i="1"/>
  <c r="K530" i="1" s="1"/>
  <c r="K531" i="1" s="1"/>
  <c r="L528" i="1"/>
  <c r="L530" i="1" s="1"/>
  <c r="L531" i="1" s="1"/>
  <c r="M2416" i="1"/>
  <c r="F2416" i="1"/>
  <c r="C2417" i="1"/>
  <c r="A43" i="10" s="1"/>
  <c r="B42" i="10" s="1"/>
  <c r="L550" i="1"/>
  <c r="K552" i="1"/>
  <c r="L552" i="1" s="1"/>
  <c r="C551" i="1"/>
  <c r="M550" i="1"/>
  <c r="N550" i="1" s="1"/>
  <c r="F550" i="1"/>
  <c r="N2416" i="1" l="1"/>
  <c r="C42" i="10" s="1"/>
  <c r="L2403" i="1"/>
  <c r="N2386" i="1" s="1"/>
  <c r="M2417" i="1"/>
  <c r="F2417" i="1"/>
  <c r="C2418" i="1"/>
  <c r="A44" i="10" s="1"/>
  <c r="B43" i="10" s="1"/>
  <c r="K554" i="1"/>
  <c r="K555" i="1"/>
  <c r="C552" i="1"/>
  <c r="M551" i="1"/>
  <c r="N551" i="1" s="1"/>
  <c r="F551" i="1"/>
  <c r="C12" i="10" l="1"/>
  <c r="K557" i="1"/>
  <c r="N2417" i="1"/>
  <c r="C43" i="10" s="1"/>
  <c r="N2390" i="1"/>
  <c r="C16" i="10" s="1"/>
  <c r="N2379" i="1"/>
  <c r="C5" i="10" s="1"/>
  <c r="N2380" i="1"/>
  <c r="C6" i="10" s="1"/>
  <c r="N2385" i="1"/>
  <c r="C11" i="10" s="1"/>
  <c r="N2389" i="1"/>
  <c r="C15" i="10" s="1"/>
  <c r="N2387" i="1"/>
  <c r="N2384" i="1"/>
  <c r="C10" i="10" s="1"/>
  <c r="N2378" i="1"/>
  <c r="C4" i="10" s="1"/>
  <c r="N2391" i="1"/>
  <c r="C17" i="10" s="1"/>
  <c r="N2383" i="1"/>
  <c r="C9" i="10" s="1"/>
  <c r="N2377" i="1"/>
  <c r="C3" i="10" s="1"/>
  <c r="D3" i="10" s="1"/>
  <c r="N2382" i="1"/>
  <c r="C8" i="10" s="1"/>
  <c r="N2392" i="1"/>
  <c r="C18" i="10" s="1"/>
  <c r="N2388" i="1"/>
  <c r="C14" i="10" s="1"/>
  <c r="N2381" i="1"/>
  <c r="C7" i="10" s="1"/>
  <c r="M2418" i="1"/>
  <c r="F2418" i="1"/>
  <c r="C2419" i="1"/>
  <c r="A45" i="10" s="1"/>
  <c r="B44" i="10" s="1"/>
  <c r="L554" i="1"/>
  <c r="L555" i="1"/>
  <c r="C553" i="1"/>
  <c r="M552" i="1"/>
  <c r="N552" i="1" s="1"/>
  <c r="F552" i="1"/>
  <c r="E3" i="10" l="1"/>
  <c r="D4" i="10"/>
  <c r="C13" i="10"/>
  <c r="L557" i="1"/>
  <c r="N2418" i="1"/>
  <c r="C44" i="10" s="1"/>
  <c r="M2419" i="1"/>
  <c r="F2419" i="1"/>
  <c r="C2420" i="1"/>
  <c r="A46" i="10" s="1"/>
  <c r="B45" i="10" s="1"/>
  <c r="C554" i="1"/>
  <c r="M553" i="1"/>
  <c r="N553" i="1" s="1"/>
  <c r="F553" i="1"/>
  <c r="D5" i="10" l="1"/>
  <c r="E4" i="10"/>
  <c r="N2419" i="1"/>
  <c r="C45" i="10" s="1"/>
  <c r="M2420" i="1"/>
  <c r="F2420" i="1"/>
  <c r="C2421" i="1"/>
  <c r="A47" i="10" s="1"/>
  <c r="B46" i="10" s="1"/>
  <c r="C555" i="1"/>
  <c r="M554" i="1"/>
  <c r="N554" i="1" s="1"/>
  <c r="F554" i="1"/>
  <c r="D6" i="10" l="1"/>
  <c r="E5" i="10"/>
  <c r="N2420" i="1"/>
  <c r="C46" i="10" s="1"/>
  <c r="M2421" i="1"/>
  <c r="F2421" i="1"/>
  <c r="C2422" i="1"/>
  <c r="A48" i="10" s="1"/>
  <c r="B47" i="10" s="1"/>
  <c r="C556" i="1"/>
  <c r="M555" i="1"/>
  <c r="N555" i="1" s="1"/>
  <c r="F555" i="1"/>
  <c r="D7" i="10" l="1"/>
  <c r="E6" i="10"/>
  <c r="N2421" i="1"/>
  <c r="C47" i="10" s="1"/>
  <c r="M2422" i="1"/>
  <c r="F2422" i="1"/>
  <c r="C2423" i="1"/>
  <c r="A49" i="10" s="1"/>
  <c r="B48" i="10" s="1"/>
  <c r="C557" i="1"/>
  <c r="M556" i="1"/>
  <c r="N556" i="1" s="1"/>
  <c r="F556" i="1"/>
  <c r="D8" i="10" l="1"/>
  <c r="E7" i="10"/>
  <c r="N2422" i="1"/>
  <c r="C48" i="10" s="1"/>
  <c r="M2423" i="1"/>
  <c r="F2423" i="1"/>
  <c r="C2424" i="1"/>
  <c r="A50" i="10" s="1"/>
  <c r="B49" i="10" s="1"/>
  <c r="C558" i="1"/>
  <c r="M557" i="1"/>
  <c r="N557" i="1" s="1"/>
  <c r="F557" i="1"/>
  <c r="D9" i="10" l="1"/>
  <c r="E8" i="10"/>
  <c r="N2423" i="1"/>
  <c r="C49" i="10" s="1"/>
  <c r="M2424" i="1"/>
  <c r="F2424" i="1"/>
  <c r="C2425" i="1"/>
  <c r="A51" i="10" s="1"/>
  <c r="B50" i="10" s="1"/>
  <c r="C559" i="1"/>
  <c r="M558" i="1"/>
  <c r="N558" i="1" s="1"/>
  <c r="F558" i="1"/>
  <c r="D10" i="10" l="1"/>
  <c r="E9" i="10"/>
  <c r="N2424" i="1"/>
  <c r="C50" i="10" s="1"/>
  <c r="M2425" i="1"/>
  <c r="F2425" i="1"/>
  <c r="C2426" i="1"/>
  <c r="A52" i="10" s="1"/>
  <c r="B51" i="10" s="1"/>
  <c r="C560" i="1"/>
  <c r="M559" i="1"/>
  <c r="N559" i="1" s="1"/>
  <c r="F559" i="1"/>
  <c r="D11" i="10" l="1"/>
  <c r="E10" i="10"/>
  <c r="N2425" i="1"/>
  <c r="C51" i="10" s="1"/>
  <c r="M2426" i="1"/>
  <c r="F2426" i="1"/>
  <c r="C2427" i="1"/>
  <c r="A53" i="10" s="1"/>
  <c r="B52" i="10" s="1"/>
  <c r="C561" i="1"/>
  <c r="M560" i="1"/>
  <c r="N560" i="1" s="1"/>
  <c r="F560" i="1"/>
  <c r="D12" i="10" l="1"/>
  <c r="E11" i="10"/>
  <c r="N2426" i="1"/>
  <c r="C52" i="10" s="1"/>
  <c r="M2427" i="1"/>
  <c r="C2428" i="1"/>
  <c r="A54" i="10" s="1"/>
  <c r="B53" i="10" s="1"/>
  <c r="F2427" i="1"/>
  <c r="C562" i="1"/>
  <c r="M561" i="1"/>
  <c r="N561" i="1" s="1"/>
  <c r="F561" i="1"/>
  <c r="D13" i="10" l="1"/>
  <c r="E12" i="10"/>
  <c r="N2427" i="1"/>
  <c r="C53" i="10" s="1"/>
  <c r="M2428" i="1"/>
  <c r="F2428" i="1"/>
  <c r="C2429" i="1"/>
  <c r="A55" i="10" s="1"/>
  <c r="B54" i="10" s="1"/>
  <c r="C563" i="1"/>
  <c r="M562" i="1"/>
  <c r="N562" i="1" s="1"/>
  <c r="F562" i="1"/>
  <c r="D14" i="10" l="1"/>
  <c r="E13" i="10"/>
  <c r="N2428" i="1"/>
  <c r="C54" i="10" s="1"/>
  <c r="M2429" i="1"/>
  <c r="C2430" i="1"/>
  <c r="A56" i="10" s="1"/>
  <c r="B55" i="10" s="1"/>
  <c r="F2429" i="1"/>
  <c r="C564" i="1"/>
  <c r="M563" i="1"/>
  <c r="N563" i="1" s="1"/>
  <c r="F563" i="1"/>
  <c r="D15" i="10" l="1"/>
  <c r="E14" i="10"/>
  <c r="N2429" i="1"/>
  <c r="C55" i="10" s="1"/>
  <c r="M2430" i="1"/>
  <c r="C2431" i="1"/>
  <c r="A57" i="10" s="1"/>
  <c r="B56" i="10" s="1"/>
  <c r="F2430" i="1"/>
  <c r="C565" i="1"/>
  <c r="M564" i="1"/>
  <c r="N564" i="1" s="1"/>
  <c r="F564" i="1"/>
  <c r="D16" i="10" l="1"/>
  <c r="E15" i="10"/>
  <c r="N2430" i="1"/>
  <c r="C56" i="10" s="1"/>
  <c r="M2431" i="1"/>
  <c r="C2432" i="1"/>
  <c r="A58" i="10" s="1"/>
  <c r="B57" i="10" s="1"/>
  <c r="F2431" i="1"/>
  <c r="C566" i="1"/>
  <c r="M565" i="1"/>
  <c r="N565" i="1" s="1"/>
  <c r="F565" i="1"/>
  <c r="D17" i="10" l="1"/>
  <c r="E16" i="10"/>
  <c r="N2431" i="1"/>
  <c r="C57" i="10" s="1"/>
  <c r="M2432" i="1"/>
  <c r="F2432" i="1"/>
  <c r="C2433" i="1"/>
  <c r="A59" i="10" s="1"/>
  <c r="B58" i="10" s="1"/>
  <c r="C567" i="1"/>
  <c r="M566" i="1"/>
  <c r="N566" i="1" s="1"/>
  <c r="F566" i="1"/>
  <c r="D18" i="10" l="1"/>
  <c r="E17" i="10"/>
  <c r="N2432" i="1"/>
  <c r="C58" i="10" s="1"/>
  <c r="M2433" i="1"/>
  <c r="F2433" i="1"/>
  <c r="C2434" i="1"/>
  <c r="A60" i="10" s="1"/>
  <c r="B59" i="10" s="1"/>
  <c r="C568" i="1"/>
  <c r="M567" i="1"/>
  <c r="N567" i="1" s="1"/>
  <c r="F567" i="1"/>
  <c r="D19" i="10" l="1"/>
  <c r="E18" i="10"/>
  <c r="N2433" i="1"/>
  <c r="C59" i="10" s="1"/>
  <c r="M2434" i="1"/>
  <c r="F2434" i="1"/>
  <c r="C2435" i="1"/>
  <c r="A61" i="10" s="1"/>
  <c r="B60" i="10" s="1"/>
  <c r="C569" i="1"/>
  <c r="M568" i="1"/>
  <c r="N568" i="1" s="1"/>
  <c r="F568" i="1"/>
  <c r="D20" i="10" l="1"/>
  <c r="E19" i="10"/>
  <c r="N2434" i="1"/>
  <c r="C60" i="10" s="1"/>
  <c r="M2435" i="1"/>
  <c r="F2435" i="1"/>
  <c r="C2436" i="1"/>
  <c r="A62" i="10" s="1"/>
  <c r="B61" i="10" s="1"/>
  <c r="C570" i="1"/>
  <c r="M569" i="1"/>
  <c r="N569" i="1" s="1"/>
  <c r="F569" i="1"/>
  <c r="D21" i="10" l="1"/>
  <c r="E20" i="10"/>
  <c r="N2435" i="1"/>
  <c r="C61" i="10" s="1"/>
  <c r="M2436" i="1"/>
  <c r="C2437" i="1"/>
  <c r="A63" i="10" s="1"/>
  <c r="B62" i="10" s="1"/>
  <c r="F2436" i="1"/>
  <c r="C571" i="1"/>
  <c r="M570" i="1"/>
  <c r="N570" i="1" s="1"/>
  <c r="F570" i="1"/>
  <c r="D22" i="10" l="1"/>
  <c r="E21" i="10"/>
  <c r="N2436" i="1"/>
  <c r="C62" i="10" s="1"/>
  <c r="K2438" i="1"/>
  <c r="K2450" i="1" s="1"/>
  <c r="M2437" i="1"/>
  <c r="F2437" i="1"/>
  <c r="C2438" i="1"/>
  <c r="A64" i="10" s="1"/>
  <c r="B63" i="10" s="1"/>
  <c r="C572" i="1"/>
  <c r="M571" i="1"/>
  <c r="N571" i="1" s="1"/>
  <c r="F571" i="1"/>
  <c r="D23" i="10" l="1"/>
  <c r="E22" i="10"/>
  <c r="L2438" i="1"/>
  <c r="L2450" i="1" s="1"/>
  <c r="L2452" i="1" s="1"/>
  <c r="K2439" i="1"/>
  <c r="K2442" i="1" s="1"/>
  <c r="N2437" i="1"/>
  <c r="C63" i="10" s="1"/>
  <c r="K2452" i="1"/>
  <c r="M2438" i="1"/>
  <c r="F2438" i="1"/>
  <c r="C2439" i="1"/>
  <c r="A65" i="10" s="1"/>
  <c r="B64" i="10" s="1"/>
  <c r="C573" i="1"/>
  <c r="M572" i="1"/>
  <c r="N572" i="1" s="1"/>
  <c r="F572" i="1"/>
  <c r="D24" i="10" l="1"/>
  <c r="E23" i="10"/>
  <c r="L2439" i="1"/>
  <c r="K2458" i="1"/>
  <c r="K2444" i="1"/>
  <c r="M2439" i="1"/>
  <c r="F2439" i="1"/>
  <c r="C2440" i="1"/>
  <c r="A66" i="10" s="1"/>
  <c r="B65" i="10" s="1"/>
  <c r="C574" i="1"/>
  <c r="M573" i="1"/>
  <c r="N573" i="1" s="1"/>
  <c r="F573" i="1"/>
  <c r="K2453" i="1"/>
  <c r="D25" i="10" l="1"/>
  <c r="E24" i="10"/>
  <c r="L2442" i="1"/>
  <c r="L2444" i="1"/>
  <c r="K2455" i="1"/>
  <c r="K2462" i="1" s="1"/>
  <c r="M2440" i="1"/>
  <c r="F2440" i="1"/>
  <c r="C2441" i="1"/>
  <c r="A67" i="10" s="1"/>
  <c r="B66" i="10" s="1"/>
  <c r="C575" i="1"/>
  <c r="M574" i="1"/>
  <c r="N574" i="1" s="1"/>
  <c r="F574" i="1"/>
  <c r="D26" i="10" l="1"/>
  <c r="E25" i="10"/>
  <c r="L2453" i="1"/>
  <c r="L2458" i="1"/>
  <c r="M2441" i="1"/>
  <c r="F2441" i="1"/>
  <c r="C2442" i="1"/>
  <c r="A68" i="10" s="1"/>
  <c r="B67" i="10" s="1"/>
  <c r="C576" i="1"/>
  <c r="M575" i="1"/>
  <c r="N575" i="1" s="1"/>
  <c r="F575" i="1"/>
  <c r="D27" i="10" l="1"/>
  <c r="E26" i="10"/>
  <c r="L2455" i="1"/>
  <c r="L2462" i="1" s="1"/>
  <c r="M2442" i="1"/>
  <c r="F2442" i="1"/>
  <c r="C2443" i="1"/>
  <c r="A69" i="10" s="1"/>
  <c r="B68" i="10" s="1"/>
  <c r="C577" i="1"/>
  <c r="M576" i="1"/>
  <c r="N576" i="1" s="1"/>
  <c r="F576" i="1"/>
  <c r="D28" i="10" l="1"/>
  <c r="E27" i="10"/>
  <c r="K2449" i="1"/>
  <c r="K2457" i="1" s="1"/>
  <c r="K2460" i="1" s="1"/>
  <c r="K2463" i="1" s="1"/>
  <c r="K2464" i="1" s="1"/>
  <c r="M2443" i="1"/>
  <c r="F2443" i="1"/>
  <c r="C2444" i="1"/>
  <c r="A70" i="10" s="1"/>
  <c r="B69" i="10" s="1"/>
  <c r="C578" i="1"/>
  <c r="M577" i="1"/>
  <c r="N577" i="1" s="1"/>
  <c r="F577" i="1"/>
  <c r="D29" i="10" l="1"/>
  <c r="E28" i="10"/>
  <c r="L2449" i="1"/>
  <c r="L2457" i="1" s="1"/>
  <c r="L2460" i="1" s="1"/>
  <c r="L2463" i="1" s="1"/>
  <c r="L2464" i="1" s="1"/>
  <c r="A2461" i="1"/>
  <c r="A2460" i="1"/>
  <c r="A2465" i="1"/>
  <c r="A2462" i="1"/>
  <c r="A2459" i="1"/>
  <c r="A2457" i="1"/>
  <c r="A2466" i="1"/>
  <c r="A2467" i="1"/>
  <c r="A2458" i="1"/>
  <c r="A2464" i="1"/>
  <c r="A2463" i="1"/>
  <c r="M2444" i="1"/>
  <c r="F2444" i="1"/>
  <c r="C2445" i="1"/>
  <c r="A71" i="10" s="1"/>
  <c r="B70" i="10" s="1"/>
  <c r="C579" i="1"/>
  <c r="M578" i="1"/>
  <c r="N578" i="1" s="1"/>
  <c r="F578" i="1"/>
  <c r="D30" i="10" l="1"/>
  <c r="E29" i="10"/>
  <c r="N2438" i="1"/>
  <c r="C64" i="10" s="1"/>
  <c r="N2443" i="1"/>
  <c r="C69" i="10" s="1"/>
  <c r="B2463" i="1"/>
  <c r="B2462" i="1"/>
  <c r="B2465" i="1"/>
  <c r="B2459" i="1"/>
  <c r="B2467" i="1"/>
  <c r="N2442" i="1"/>
  <c r="C68" i="10" s="1"/>
  <c r="B2458" i="1"/>
  <c r="N2439" i="1"/>
  <c r="C65" i="10" s="1"/>
  <c r="B2466" i="1"/>
  <c r="N2441" i="1"/>
  <c r="C67" i="10" s="1"/>
  <c r="B2461" i="1"/>
  <c r="B2457" i="1"/>
  <c r="N2444" i="1"/>
  <c r="C70" i="10" s="1"/>
  <c r="B2464" i="1"/>
  <c r="N2440" i="1"/>
  <c r="C66" i="10" s="1"/>
  <c r="B2460" i="1"/>
  <c r="M2445" i="1"/>
  <c r="F2445" i="1"/>
  <c r="C2446" i="1"/>
  <c r="A72" i="10" s="1"/>
  <c r="B71" i="10" s="1"/>
  <c r="C580" i="1"/>
  <c r="K580" i="1" s="1"/>
  <c r="M579" i="1"/>
  <c r="N579" i="1" s="1"/>
  <c r="F579" i="1"/>
  <c r="L558" i="1"/>
  <c r="K558" i="1"/>
  <c r="D31" i="10" l="1"/>
  <c r="E30" i="10"/>
  <c r="N2445" i="1"/>
  <c r="C71" i="10" s="1"/>
  <c r="K559" i="1"/>
  <c r="K561" i="1" s="1"/>
  <c r="K562" i="1" s="1"/>
  <c r="L559" i="1"/>
  <c r="L561" i="1" s="1"/>
  <c r="L562" i="1" s="1"/>
  <c r="M2446" i="1"/>
  <c r="F2446" i="1"/>
  <c r="C2447" i="1"/>
  <c r="A73" i="10" s="1"/>
  <c r="B72" i="10" s="1"/>
  <c r="K582" i="1"/>
  <c r="L582" i="1" s="1"/>
  <c r="L580" i="1"/>
  <c r="C581" i="1"/>
  <c r="M580" i="1"/>
  <c r="N580" i="1" s="1"/>
  <c r="F580" i="1"/>
  <c r="D32" i="10" l="1"/>
  <c r="E31" i="10"/>
  <c r="N2446" i="1"/>
  <c r="C72" i="10" s="1"/>
  <c r="M2447" i="1"/>
  <c r="C2448" i="1"/>
  <c r="A74" i="10" s="1"/>
  <c r="B73" i="10" s="1"/>
  <c r="F2447" i="1"/>
  <c r="K584" i="1"/>
  <c r="K585" i="1"/>
  <c r="C582" i="1"/>
  <c r="F581" i="1"/>
  <c r="D33" i="10" l="1"/>
  <c r="E32" i="10"/>
  <c r="K587" i="1"/>
  <c r="N2447" i="1"/>
  <c r="C73" i="10" s="1"/>
  <c r="M2448" i="1"/>
  <c r="F2448" i="1"/>
  <c r="C2449" i="1"/>
  <c r="A75" i="10" s="1"/>
  <c r="B74" i="10" s="1"/>
  <c r="L585" i="1"/>
  <c r="L584" i="1"/>
  <c r="C583" i="1"/>
  <c r="M582" i="1"/>
  <c r="N582" i="1" s="1"/>
  <c r="F582" i="1"/>
  <c r="D34" i="10" l="1"/>
  <c r="E33" i="10"/>
  <c r="L587" i="1"/>
  <c r="N2448" i="1"/>
  <c r="C74" i="10" s="1"/>
  <c r="M2449" i="1"/>
  <c r="F2449" i="1"/>
  <c r="C2450" i="1"/>
  <c r="A76" i="10" s="1"/>
  <c r="B75" i="10" s="1"/>
  <c r="C584" i="1"/>
  <c r="M583" i="1"/>
  <c r="N583" i="1" s="1"/>
  <c r="F583" i="1"/>
  <c r="D35" i="10" l="1"/>
  <c r="E34" i="10"/>
  <c r="N2449" i="1"/>
  <c r="C75" i="10" s="1"/>
  <c r="M2450" i="1"/>
  <c r="C2451" i="1"/>
  <c r="A77" i="10" s="1"/>
  <c r="B76" i="10" s="1"/>
  <c r="F2450" i="1"/>
  <c r="C585" i="1"/>
  <c r="F584" i="1"/>
  <c r="D36" i="10" l="1"/>
  <c r="E35" i="10"/>
  <c r="N2450" i="1"/>
  <c r="C76" i="10" s="1"/>
  <c r="M2451" i="1"/>
  <c r="F2451" i="1"/>
  <c r="C2452" i="1"/>
  <c r="A78" i="10" s="1"/>
  <c r="B77" i="10" s="1"/>
  <c r="C586" i="1"/>
  <c r="M585" i="1"/>
  <c r="N585" i="1" s="1"/>
  <c r="F585" i="1"/>
  <c r="D37" i="10" l="1"/>
  <c r="E36" i="10"/>
  <c r="N2451" i="1"/>
  <c r="C77" i="10" s="1"/>
  <c r="M2452" i="1"/>
  <c r="C2453" i="1"/>
  <c r="A79" i="10" s="1"/>
  <c r="B78" i="10" s="1"/>
  <c r="F2452" i="1"/>
  <c r="C587" i="1"/>
  <c r="M586" i="1"/>
  <c r="N586" i="1" s="1"/>
  <c r="F586" i="1"/>
  <c r="D38" i="10" l="1"/>
  <c r="E37" i="10"/>
  <c r="N2452" i="1"/>
  <c r="C78" i="10" s="1"/>
  <c r="M2453" i="1"/>
  <c r="F2453" i="1"/>
  <c r="C2454" i="1"/>
  <c r="A80" i="10" s="1"/>
  <c r="B79" i="10" s="1"/>
  <c r="C588" i="1"/>
  <c r="M587" i="1"/>
  <c r="N587" i="1" s="1"/>
  <c r="F587" i="1"/>
  <c r="D39" i="10" l="1"/>
  <c r="E38" i="10"/>
  <c r="N2453" i="1"/>
  <c r="C79" i="10" s="1"/>
  <c r="M2454" i="1"/>
  <c r="F2454" i="1"/>
  <c r="C2455" i="1"/>
  <c r="A81" i="10" s="1"/>
  <c r="B80" i="10" s="1"/>
  <c r="C589" i="1"/>
  <c r="M588" i="1"/>
  <c r="N588" i="1" s="1"/>
  <c r="F588" i="1"/>
  <c r="D40" i="10" l="1"/>
  <c r="E39" i="10"/>
  <c r="N2454" i="1"/>
  <c r="C80" i="10" s="1"/>
  <c r="M2455" i="1"/>
  <c r="F2455" i="1"/>
  <c r="C2456" i="1"/>
  <c r="A82" i="10" s="1"/>
  <c r="B81" i="10" s="1"/>
  <c r="C590" i="1"/>
  <c r="M589" i="1"/>
  <c r="N589" i="1" s="1"/>
  <c r="F589" i="1"/>
  <c r="D41" i="10" l="1"/>
  <c r="E40" i="10"/>
  <c r="N2455" i="1"/>
  <c r="C81" i="10" s="1"/>
  <c r="M2456" i="1"/>
  <c r="C2457" i="1"/>
  <c r="A83" i="10" s="1"/>
  <c r="B82" i="10" s="1"/>
  <c r="F2456" i="1"/>
  <c r="C591" i="1"/>
  <c r="M590" i="1"/>
  <c r="N590" i="1" s="1"/>
  <c r="F590" i="1"/>
  <c r="D42" i="10" l="1"/>
  <c r="E41" i="10"/>
  <c r="N2456" i="1"/>
  <c r="C82" i="10" s="1"/>
  <c r="M2457" i="1"/>
  <c r="C2458" i="1"/>
  <c r="A84" i="10" s="1"/>
  <c r="B83" i="10" s="1"/>
  <c r="F2457" i="1"/>
  <c r="C592" i="1"/>
  <c r="M591" i="1"/>
  <c r="N591" i="1" s="1"/>
  <c r="F591" i="1"/>
  <c r="D43" i="10" l="1"/>
  <c r="E42" i="10"/>
  <c r="N2457" i="1"/>
  <c r="C83" i="10" s="1"/>
  <c r="M2458" i="1"/>
  <c r="C2459" i="1"/>
  <c r="A85" i="10" s="1"/>
  <c r="B84" i="10" s="1"/>
  <c r="F2458" i="1"/>
  <c r="C593" i="1"/>
  <c r="M592" i="1"/>
  <c r="N592" i="1" s="1"/>
  <c r="F592" i="1"/>
  <c r="D44" i="10" l="1"/>
  <c r="E43" i="10"/>
  <c r="N2458" i="1"/>
  <c r="C84" i="10" s="1"/>
  <c r="M2459" i="1"/>
  <c r="C2460" i="1"/>
  <c r="A86" i="10" s="1"/>
  <c r="B85" i="10" s="1"/>
  <c r="F2459" i="1"/>
  <c r="C594" i="1"/>
  <c r="M593" i="1"/>
  <c r="N593" i="1" s="1"/>
  <c r="F593" i="1"/>
  <c r="D45" i="10" l="1"/>
  <c r="E44" i="10"/>
  <c r="N2459" i="1"/>
  <c r="C85" i="10" s="1"/>
  <c r="M2460" i="1"/>
  <c r="F2460" i="1"/>
  <c r="C2461" i="1"/>
  <c r="A87" i="10" s="1"/>
  <c r="B86" i="10" s="1"/>
  <c r="C595" i="1"/>
  <c r="M594" i="1"/>
  <c r="N594" i="1" s="1"/>
  <c r="F594" i="1"/>
  <c r="D46" i="10" l="1"/>
  <c r="E45" i="10"/>
  <c r="N2460" i="1"/>
  <c r="C86" i="10" s="1"/>
  <c r="M2461" i="1"/>
  <c r="C2462" i="1"/>
  <c r="A88" i="10" s="1"/>
  <c r="B87" i="10" s="1"/>
  <c r="F2461" i="1"/>
  <c r="M595" i="1"/>
  <c r="N595" i="1" s="1"/>
  <c r="F595" i="1"/>
  <c r="C596" i="1"/>
  <c r="D47" i="10" l="1"/>
  <c r="E46" i="10"/>
  <c r="N2461" i="1"/>
  <c r="C87" i="10" s="1"/>
  <c r="M2462" i="1"/>
  <c r="F2462" i="1"/>
  <c r="C2463" i="1"/>
  <c r="A89" i="10" s="1"/>
  <c r="B88" i="10" s="1"/>
  <c r="M596" i="1"/>
  <c r="N596" i="1" s="1"/>
  <c r="F596" i="1"/>
  <c r="C597" i="1"/>
  <c r="D48" i="10" l="1"/>
  <c r="E47" i="10"/>
  <c r="N2462" i="1"/>
  <c r="C88" i="10" s="1"/>
  <c r="M2463" i="1"/>
  <c r="F2463" i="1"/>
  <c r="C2464" i="1"/>
  <c r="A90" i="10" s="1"/>
  <c r="B89" i="10" s="1"/>
  <c r="C598" i="1"/>
  <c r="M597" i="1"/>
  <c r="N597" i="1" s="1"/>
  <c r="F597" i="1"/>
  <c r="D49" i="10" l="1"/>
  <c r="E48" i="10"/>
  <c r="N2463" i="1"/>
  <c r="C89" i="10" s="1"/>
  <c r="M2464" i="1"/>
  <c r="C2465" i="1"/>
  <c r="A91" i="10" s="1"/>
  <c r="B90" i="10" s="1"/>
  <c r="F2464" i="1"/>
  <c r="M598" i="1"/>
  <c r="N598" i="1" s="1"/>
  <c r="C599" i="1"/>
  <c r="F598" i="1"/>
  <c r="D50" i="10" l="1"/>
  <c r="E49" i="10"/>
  <c r="N2464" i="1"/>
  <c r="C90" i="10" s="1"/>
  <c r="M2465" i="1"/>
  <c r="F2465" i="1"/>
  <c r="C2466" i="1"/>
  <c r="A92" i="10" s="1"/>
  <c r="B91" i="10" s="1"/>
  <c r="C600" i="1"/>
  <c r="M599" i="1"/>
  <c r="N599" i="1" s="1"/>
  <c r="F599" i="1"/>
  <c r="D51" i="10" l="1"/>
  <c r="E50" i="10"/>
  <c r="N2465" i="1"/>
  <c r="C91" i="10" s="1"/>
  <c r="M2466" i="1"/>
  <c r="F2466" i="1"/>
  <c r="C2467" i="1"/>
  <c r="A93" i="10" s="1"/>
  <c r="B92" i="10" s="1"/>
  <c r="C601" i="1"/>
  <c r="M600" i="1"/>
  <c r="N600" i="1" s="1"/>
  <c r="F600" i="1"/>
  <c r="D52" i="10" l="1"/>
  <c r="E51" i="10"/>
  <c r="N2466" i="1"/>
  <c r="C92" i="10" s="1"/>
  <c r="M2467" i="1"/>
  <c r="C2468" i="1"/>
  <c r="A94" i="10" s="1"/>
  <c r="B93" i="10" s="1"/>
  <c r="F2467" i="1"/>
  <c r="C602" i="1"/>
  <c r="M601" i="1"/>
  <c r="N601" i="1" s="1"/>
  <c r="F601" i="1"/>
  <c r="D53" i="10" l="1"/>
  <c r="E52" i="10"/>
  <c r="K2469" i="1"/>
  <c r="K2470" i="1" s="1"/>
  <c r="N2467" i="1"/>
  <c r="C93" i="10" s="1"/>
  <c r="M2468" i="1"/>
  <c r="C2469" i="1"/>
  <c r="A95" i="10" s="1"/>
  <c r="B94" i="10" s="1"/>
  <c r="F2468" i="1"/>
  <c r="M602" i="1"/>
  <c r="N602" i="1" s="1"/>
  <c r="F602" i="1"/>
  <c r="C603" i="1"/>
  <c r="D54" i="10" l="1"/>
  <c r="E53" i="10"/>
  <c r="L2469" i="1"/>
  <c r="L2481" i="1" s="1"/>
  <c r="L2483" i="1" s="1"/>
  <c r="K2481" i="1"/>
  <c r="K2483" i="1" s="1"/>
  <c r="M2469" i="1"/>
  <c r="L2470" i="1"/>
  <c r="K2473" i="1"/>
  <c r="K2475" i="1"/>
  <c r="F2469" i="1"/>
  <c r="C2470" i="1"/>
  <c r="A96" i="10" s="1"/>
  <c r="B95" i="10" s="1"/>
  <c r="C604" i="1"/>
  <c r="M603" i="1"/>
  <c r="N603" i="1" s="1"/>
  <c r="F603" i="1"/>
  <c r="D55" i="10" l="1"/>
  <c r="E54" i="10"/>
  <c r="K2484" i="1"/>
  <c r="M2470" i="1"/>
  <c r="L2473" i="1"/>
  <c r="L2475" i="1"/>
  <c r="F2470" i="1"/>
  <c r="C2471" i="1"/>
  <c r="A97" i="10" s="1"/>
  <c r="B96" i="10" s="1"/>
  <c r="C605" i="1"/>
  <c r="M604" i="1"/>
  <c r="N604" i="1" s="1"/>
  <c r="F604" i="1"/>
  <c r="K2489" i="1"/>
  <c r="D56" i="10" l="1"/>
  <c r="E55" i="10"/>
  <c r="L2484" i="1"/>
  <c r="F2471" i="1"/>
  <c r="C2472" i="1"/>
  <c r="A98" i="10" s="1"/>
  <c r="B97" i="10" s="1"/>
  <c r="C606" i="1"/>
  <c r="M605" i="1"/>
  <c r="N605" i="1" s="1"/>
  <c r="F605" i="1"/>
  <c r="L2489" i="1"/>
  <c r="D57" i="10" l="1"/>
  <c r="E56" i="10"/>
  <c r="M2472" i="1"/>
  <c r="C2473" i="1"/>
  <c r="A99" i="10" s="1"/>
  <c r="B98" i="10" s="1"/>
  <c r="F2472" i="1"/>
  <c r="C607" i="1"/>
  <c r="M606" i="1"/>
  <c r="N606" i="1" s="1"/>
  <c r="F606" i="1"/>
  <c r="D58" i="10" l="1"/>
  <c r="E57" i="10"/>
  <c r="M2473" i="1"/>
  <c r="F2473" i="1"/>
  <c r="C2474" i="1"/>
  <c r="A100" i="10" s="1"/>
  <c r="B99" i="10" s="1"/>
  <c r="C608" i="1"/>
  <c r="M607" i="1"/>
  <c r="N607" i="1" s="1"/>
  <c r="F607" i="1"/>
  <c r="D59" i="10" l="1"/>
  <c r="E58" i="10"/>
  <c r="K2480" i="1"/>
  <c r="K2488" i="1" s="1"/>
  <c r="F2474" i="1"/>
  <c r="C2475" i="1"/>
  <c r="A101" i="10" s="1"/>
  <c r="B100" i="10" s="1"/>
  <c r="C609" i="1"/>
  <c r="M608" i="1"/>
  <c r="N608" i="1" s="1"/>
  <c r="F608" i="1"/>
  <c r="D60" i="10" l="1"/>
  <c r="E59" i="10"/>
  <c r="L2480" i="1"/>
  <c r="L2488" i="1" s="1"/>
  <c r="M2475" i="1"/>
  <c r="F2475" i="1"/>
  <c r="C2476" i="1"/>
  <c r="A102" i="10" s="1"/>
  <c r="B101" i="10" s="1"/>
  <c r="C610" i="1"/>
  <c r="M609" i="1"/>
  <c r="N609" i="1" s="1"/>
  <c r="F609" i="1"/>
  <c r="D61" i="10" l="1"/>
  <c r="E60" i="10"/>
  <c r="M2476" i="1"/>
  <c r="F2476" i="1"/>
  <c r="C2477" i="1"/>
  <c r="A103" i="10" s="1"/>
  <c r="B102" i="10" s="1"/>
  <c r="C611" i="1"/>
  <c r="K611" i="1" s="1"/>
  <c r="M610" i="1"/>
  <c r="N610" i="1" s="1"/>
  <c r="F610" i="1"/>
  <c r="L588" i="1"/>
  <c r="K588" i="1"/>
  <c r="E61" i="10" l="1"/>
  <c r="D62" i="10"/>
  <c r="K589" i="1"/>
  <c r="K591" i="1" s="1"/>
  <c r="K592" i="1" s="1"/>
  <c r="L589" i="1"/>
  <c r="L591" i="1" s="1"/>
  <c r="L592" i="1" s="1"/>
  <c r="M2477" i="1"/>
  <c r="C2478" i="1"/>
  <c r="A104" i="10" s="1"/>
  <c r="B103" i="10" s="1"/>
  <c r="F2477" i="1"/>
  <c r="K613" i="1"/>
  <c r="L613" i="1" s="1"/>
  <c r="L611" i="1"/>
  <c r="C612" i="1"/>
  <c r="M611" i="1"/>
  <c r="N611" i="1" s="1"/>
  <c r="F611" i="1"/>
  <c r="D63" i="10" l="1"/>
  <c r="E62" i="10"/>
  <c r="M2478" i="1"/>
  <c r="C2479" i="1"/>
  <c r="A105" i="10" s="1"/>
  <c r="B104" i="10" s="1"/>
  <c r="F2478" i="1"/>
  <c r="K615" i="1"/>
  <c r="K616" i="1"/>
  <c r="C613" i="1"/>
  <c r="M612" i="1"/>
  <c r="N612" i="1" s="1"/>
  <c r="F612" i="1"/>
  <c r="D64" i="10" l="1"/>
  <c r="E63" i="10"/>
  <c r="K618" i="1"/>
  <c r="M2479" i="1"/>
  <c r="C2480" i="1"/>
  <c r="A106" i="10" s="1"/>
  <c r="B105" i="10" s="1"/>
  <c r="F2479" i="1"/>
  <c r="L615" i="1"/>
  <c r="L616" i="1"/>
  <c r="C614" i="1"/>
  <c r="M613" i="1"/>
  <c r="N613" i="1" s="1"/>
  <c r="F613" i="1"/>
  <c r="D65" i="10" l="1"/>
  <c r="E64" i="10"/>
  <c r="L618" i="1"/>
  <c r="M2480" i="1"/>
  <c r="C2481" i="1"/>
  <c r="A107" i="10" s="1"/>
  <c r="B106" i="10" s="1"/>
  <c r="F2480" i="1"/>
  <c r="C615" i="1"/>
  <c r="M614" i="1"/>
  <c r="N614" i="1" s="1"/>
  <c r="F614" i="1"/>
  <c r="D66" i="10" l="1"/>
  <c r="E65" i="10"/>
  <c r="M2481" i="1"/>
  <c r="C2482" i="1"/>
  <c r="A108" i="10" s="1"/>
  <c r="B107" i="10" s="1"/>
  <c r="F2481" i="1"/>
  <c r="C616" i="1"/>
  <c r="M615" i="1"/>
  <c r="N615" i="1" s="1"/>
  <c r="F615" i="1"/>
  <c r="D67" i="10" l="1"/>
  <c r="E66" i="10"/>
  <c r="M2482" i="1"/>
  <c r="C2483" i="1"/>
  <c r="A109" i="10" s="1"/>
  <c r="B108" i="10" s="1"/>
  <c r="F2482" i="1"/>
  <c r="C617" i="1"/>
  <c r="M616" i="1"/>
  <c r="N616" i="1" s="1"/>
  <c r="F616" i="1"/>
  <c r="D68" i="10" l="1"/>
  <c r="E67" i="10"/>
  <c r="M2483" i="1"/>
  <c r="F2483" i="1"/>
  <c r="C2484" i="1"/>
  <c r="A110" i="10" s="1"/>
  <c r="B109" i="10" s="1"/>
  <c r="C618" i="1"/>
  <c r="M617" i="1"/>
  <c r="N617" i="1" s="1"/>
  <c r="F617" i="1"/>
  <c r="D69" i="10" l="1"/>
  <c r="E68" i="10"/>
  <c r="M2484" i="1"/>
  <c r="C2485" i="1"/>
  <c r="A111" i="10" s="1"/>
  <c r="B110" i="10" s="1"/>
  <c r="F2484" i="1"/>
  <c r="C619" i="1"/>
  <c r="M618" i="1"/>
  <c r="N618" i="1" s="1"/>
  <c r="F618" i="1"/>
  <c r="D70" i="10" l="1"/>
  <c r="E69" i="10"/>
  <c r="M2485" i="1"/>
  <c r="C2486" i="1"/>
  <c r="A112" i="10" s="1"/>
  <c r="B111" i="10" s="1"/>
  <c r="F2485" i="1"/>
  <c r="C620" i="1"/>
  <c r="M619" i="1"/>
  <c r="N619" i="1" s="1"/>
  <c r="F619" i="1"/>
  <c r="D71" i="10" l="1"/>
  <c r="E70" i="10"/>
  <c r="M2486" i="1"/>
  <c r="F2486" i="1"/>
  <c r="C2487" i="1"/>
  <c r="A113" i="10" s="1"/>
  <c r="B112" i="10" s="1"/>
  <c r="C621" i="1"/>
  <c r="M620" i="1"/>
  <c r="N620" i="1" s="1"/>
  <c r="F620" i="1"/>
  <c r="D72" i="10" l="1"/>
  <c r="E71" i="10"/>
  <c r="M2487" i="1"/>
  <c r="F2487" i="1"/>
  <c r="C2488" i="1"/>
  <c r="A114" i="10" s="1"/>
  <c r="B113" i="10" s="1"/>
  <c r="C622" i="1"/>
  <c r="M621" i="1"/>
  <c r="N621" i="1" s="1"/>
  <c r="F621" i="1"/>
  <c r="D73" i="10" l="1"/>
  <c r="E72" i="10"/>
  <c r="M2488" i="1"/>
  <c r="F2488" i="1"/>
  <c r="C2489" i="1"/>
  <c r="A115" i="10" s="1"/>
  <c r="B114" i="10" s="1"/>
  <c r="C623" i="1"/>
  <c r="M622" i="1"/>
  <c r="N622" i="1" s="1"/>
  <c r="F622" i="1"/>
  <c r="D74" i="10" l="1"/>
  <c r="E73" i="10"/>
  <c r="M2489" i="1"/>
  <c r="F2489" i="1"/>
  <c r="C2490" i="1"/>
  <c r="A116" i="10" s="1"/>
  <c r="B115" i="10" s="1"/>
  <c r="C624" i="1"/>
  <c r="M623" i="1"/>
  <c r="N623" i="1" s="1"/>
  <c r="F623" i="1"/>
  <c r="D75" i="10" l="1"/>
  <c r="E74" i="10"/>
  <c r="M2490" i="1"/>
  <c r="F2490" i="1"/>
  <c r="C2491" i="1"/>
  <c r="A117" i="10" s="1"/>
  <c r="B116" i="10" s="1"/>
  <c r="C625" i="1"/>
  <c r="M624" i="1"/>
  <c r="N624" i="1" s="1"/>
  <c r="F624" i="1"/>
  <c r="D76" i="10" l="1"/>
  <c r="E75" i="10"/>
  <c r="M2491" i="1"/>
  <c r="F2491" i="1"/>
  <c r="C2492" i="1"/>
  <c r="A118" i="10" s="1"/>
  <c r="B117" i="10" s="1"/>
  <c r="C626" i="1"/>
  <c r="M625" i="1"/>
  <c r="N625" i="1" s="1"/>
  <c r="F625" i="1"/>
  <c r="D77" i="10" l="1"/>
  <c r="E76" i="10"/>
  <c r="M2492" i="1"/>
  <c r="C2493" i="1"/>
  <c r="A119" i="10" s="1"/>
  <c r="B118" i="10" s="1"/>
  <c r="F2492" i="1"/>
  <c r="C627" i="1"/>
  <c r="M626" i="1"/>
  <c r="N626" i="1" s="1"/>
  <c r="F626" i="1"/>
  <c r="D78" i="10" l="1"/>
  <c r="E77" i="10"/>
  <c r="M2493" i="1"/>
  <c r="C2494" i="1"/>
  <c r="A120" i="10" s="1"/>
  <c r="B119" i="10" s="1"/>
  <c r="F2493" i="1"/>
  <c r="C628" i="1"/>
  <c r="M627" i="1"/>
  <c r="N627" i="1" s="1"/>
  <c r="F627" i="1"/>
  <c r="D79" i="10" l="1"/>
  <c r="E78" i="10"/>
  <c r="M2494" i="1"/>
  <c r="C2495" i="1"/>
  <c r="A121" i="10" s="1"/>
  <c r="B120" i="10" s="1"/>
  <c r="F2494" i="1"/>
  <c r="C629" i="1"/>
  <c r="M628" i="1"/>
  <c r="N628" i="1" s="1"/>
  <c r="F628" i="1"/>
  <c r="D80" i="10" l="1"/>
  <c r="E79" i="10"/>
  <c r="M2495" i="1"/>
  <c r="C2496" i="1"/>
  <c r="A122" i="10" s="1"/>
  <c r="B121" i="10" s="1"/>
  <c r="F2495" i="1"/>
  <c r="C630" i="1"/>
  <c r="M629" i="1"/>
  <c r="N629" i="1" s="1"/>
  <c r="F629" i="1"/>
  <c r="D81" i="10" l="1"/>
  <c r="E80" i="10"/>
  <c r="M2496" i="1"/>
  <c r="C2497" i="1"/>
  <c r="A123" i="10" s="1"/>
  <c r="B122" i="10" s="1"/>
  <c r="F2496" i="1"/>
  <c r="C631" i="1"/>
  <c r="M630" i="1"/>
  <c r="N630" i="1" s="1"/>
  <c r="F630" i="1"/>
  <c r="D82" i="10" l="1"/>
  <c r="E81" i="10"/>
  <c r="M2497" i="1"/>
  <c r="C2498" i="1"/>
  <c r="A124" i="10" s="1"/>
  <c r="B123" i="10" s="1"/>
  <c r="F2497" i="1"/>
  <c r="C632" i="1"/>
  <c r="M631" i="1"/>
  <c r="N631" i="1" s="1"/>
  <c r="F631" i="1"/>
  <c r="D83" i="10" l="1"/>
  <c r="E82" i="10"/>
  <c r="K2499" i="1"/>
  <c r="K2500" i="1" s="1"/>
  <c r="M2498" i="1"/>
  <c r="C2499" i="1"/>
  <c r="A125" i="10" s="1"/>
  <c r="B124" i="10" s="1"/>
  <c r="F2498" i="1"/>
  <c r="C633" i="1"/>
  <c r="M632" i="1"/>
  <c r="N632" i="1" s="1"/>
  <c r="F632" i="1"/>
  <c r="D84" i="10" l="1"/>
  <c r="E83" i="10"/>
  <c r="K2511" i="1"/>
  <c r="K2513" i="1" s="1"/>
  <c r="L2499" i="1"/>
  <c r="L2511" i="1" s="1"/>
  <c r="L2513" i="1" s="1"/>
  <c r="L2500" i="1"/>
  <c r="K2503" i="1"/>
  <c r="K2505" i="1"/>
  <c r="M2499" i="1"/>
  <c r="C2500" i="1"/>
  <c r="A126" i="10" s="1"/>
  <c r="B125" i="10" s="1"/>
  <c r="F2499" i="1"/>
  <c r="C634" i="1"/>
  <c r="M633" i="1"/>
  <c r="N633" i="1" s="1"/>
  <c r="F633" i="1"/>
  <c r="D85" i="10" l="1"/>
  <c r="E84" i="10"/>
  <c r="K2519" i="1"/>
  <c r="K2515" i="1"/>
  <c r="L2503" i="1"/>
  <c r="L2505" i="1"/>
  <c r="M2500" i="1"/>
  <c r="F2500" i="1"/>
  <c r="C2501" i="1"/>
  <c r="A127" i="10" s="1"/>
  <c r="B126" i="10" s="1"/>
  <c r="C635" i="1"/>
  <c r="M634" i="1"/>
  <c r="N634" i="1" s="1"/>
  <c r="F634" i="1"/>
  <c r="K2514" i="1"/>
  <c r="K2520" i="1"/>
  <c r="D86" i="10" l="1"/>
  <c r="E85" i="10"/>
  <c r="L2514" i="1"/>
  <c r="L2520" i="1"/>
  <c r="K2516" i="1"/>
  <c r="K2523" i="1" s="1"/>
  <c r="M2501" i="1"/>
  <c r="C2502" i="1"/>
  <c r="A128" i="10" s="1"/>
  <c r="B127" i="10" s="1"/>
  <c r="F2501" i="1"/>
  <c r="C636" i="1"/>
  <c r="M635" i="1"/>
  <c r="N635" i="1" s="1"/>
  <c r="F635" i="1"/>
  <c r="L2519" i="1"/>
  <c r="L2515" i="1"/>
  <c r="D87" i="10" l="1"/>
  <c r="E86" i="10"/>
  <c r="L2516" i="1"/>
  <c r="L2523" i="1" s="1"/>
  <c r="M2502" i="1"/>
  <c r="C2503" i="1"/>
  <c r="A129" i="10" s="1"/>
  <c r="B128" i="10" s="1"/>
  <c r="F2502" i="1"/>
  <c r="C637" i="1"/>
  <c r="M636" i="1"/>
  <c r="N636" i="1" s="1"/>
  <c r="F636" i="1"/>
  <c r="D88" i="10" l="1"/>
  <c r="E87" i="10"/>
  <c r="M2503" i="1"/>
  <c r="C2504" i="1"/>
  <c r="A130" i="10" s="1"/>
  <c r="B129" i="10" s="1"/>
  <c r="F2503" i="1"/>
  <c r="C638" i="1"/>
  <c r="M637" i="1"/>
  <c r="N637" i="1" s="1"/>
  <c r="F637" i="1"/>
  <c r="D89" i="10" l="1"/>
  <c r="E88" i="10"/>
  <c r="K2510" i="1"/>
  <c r="K2518" i="1" s="1"/>
  <c r="K2521" i="1" s="1"/>
  <c r="K2524" i="1" s="1"/>
  <c r="K2525" i="1" s="1"/>
  <c r="M2504" i="1"/>
  <c r="C2505" i="1"/>
  <c r="A131" i="10" s="1"/>
  <c r="B130" i="10" s="1"/>
  <c r="F2504" i="1"/>
  <c r="C639" i="1"/>
  <c r="M638" i="1"/>
  <c r="N638" i="1" s="1"/>
  <c r="F638" i="1"/>
  <c r="D90" i="10" l="1"/>
  <c r="E89" i="10"/>
  <c r="L2510" i="1"/>
  <c r="L2518" i="1" s="1"/>
  <c r="L2521" i="1" s="1"/>
  <c r="L2524" i="1" s="1"/>
  <c r="L2525" i="1" s="1"/>
  <c r="B2516" i="1" s="1"/>
  <c r="P7" i="5"/>
  <c r="S7" i="5" s="1"/>
  <c r="A2525" i="1"/>
  <c r="A2523" i="1"/>
  <c r="A2522" i="1"/>
  <c r="A2500" i="1"/>
  <c r="A2521" i="1"/>
  <c r="A2524" i="1"/>
  <c r="A2504" i="1"/>
  <c r="A2506" i="1"/>
  <c r="A2511" i="1"/>
  <c r="A2517" i="1"/>
  <c r="A2515" i="1"/>
  <c r="A2498" i="1"/>
  <c r="A2519" i="1"/>
  <c r="A2509" i="1"/>
  <c r="A2507" i="1"/>
  <c r="A2503" i="1"/>
  <c r="A2502" i="1"/>
  <c r="A2501" i="1"/>
  <c r="A2499" i="1"/>
  <c r="K2477" i="1" s="1"/>
  <c r="A2513" i="1"/>
  <c r="A2514" i="1"/>
  <c r="A2520" i="1"/>
  <c r="A2518" i="1"/>
  <c r="A2505" i="1"/>
  <c r="A2512" i="1"/>
  <c r="A2510" i="1"/>
  <c r="A2516" i="1"/>
  <c r="A2508" i="1"/>
  <c r="M2505" i="1"/>
  <c r="F2505" i="1"/>
  <c r="C2506" i="1"/>
  <c r="A132" i="10" s="1"/>
  <c r="B131" i="10" s="1"/>
  <c r="C640" i="1"/>
  <c r="M639" i="1"/>
  <c r="N639" i="1" s="1"/>
  <c r="F639" i="1"/>
  <c r="D91" i="10" l="1"/>
  <c r="E90" i="10"/>
  <c r="B2504" i="1"/>
  <c r="N2504" i="1" s="1"/>
  <c r="C130" i="10" s="1"/>
  <c r="B2522" i="1"/>
  <c r="B2499" i="1"/>
  <c r="L2477" i="1" s="1"/>
  <c r="B2509" i="1"/>
  <c r="B2500" i="1"/>
  <c r="N2500" i="1" s="1"/>
  <c r="C126" i="10" s="1"/>
  <c r="B2511" i="1"/>
  <c r="B2525" i="1"/>
  <c r="B2517" i="1"/>
  <c r="B2508" i="1"/>
  <c r="B2498" i="1"/>
  <c r="N2498" i="1" s="1"/>
  <c r="C124" i="10" s="1"/>
  <c r="B2507" i="1"/>
  <c r="B2505" i="1"/>
  <c r="N2505" i="1" s="1"/>
  <c r="C131" i="10" s="1"/>
  <c r="B2520" i="1"/>
  <c r="B2523" i="1"/>
  <c r="B2510" i="1"/>
  <c r="B2519" i="1"/>
  <c r="B2514" i="1"/>
  <c r="B2521" i="1"/>
  <c r="B2524" i="1"/>
  <c r="B2501" i="1"/>
  <c r="N2501" i="1" s="1"/>
  <c r="C127" i="10" s="1"/>
  <c r="B2515" i="1"/>
  <c r="B2512" i="1"/>
  <c r="B2518" i="1"/>
  <c r="B2513" i="1"/>
  <c r="B2503" i="1"/>
  <c r="N2503" i="1" s="1"/>
  <c r="C129" i="10" s="1"/>
  <c r="B2502" i="1"/>
  <c r="N2502" i="1" s="1"/>
  <c r="C128" i="10" s="1"/>
  <c r="B2506" i="1"/>
  <c r="N2506" i="1" s="1"/>
  <c r="C132" i="10" s="1"/>
  <c r="R6" i="5"/>
  <c r="S6" i="5" s="1"/>
  <c r="A2485" i="1"/>
  <c r="A2484" i="1"/>
  <c r="A2496" i="1"/>
  <c r="A2497" i="1"/>
  <c r="A2494" i="1"/>
  <c r="A2487" i="1"/>
  <c r="A2495" i="1"/>
  <c r="A2492" i="1"/>
  <c r="A2493" i="1"/>
  <c r="A2490" i="1"/>
  <c r="A2489" i="1"/>
  <c r="A2491" i="1"/>
  <c r="A2488" i="1"/>
  <c r="A2486" i="1"/>
  <c r="C2507" i="1"/>
  <c r="A133" i="10" s="1"/>
  <c r="B132" i="10" s="1"/>
  <c r="F2506" i="1"/>
  <c r="C641" i="1"/>
  <c r="M640" i="1"/>
  <c r="N640" i="1" s="1"/>
  <c r="F640" i="1"/>
  <c r="K2485" i="1"/>
  <c r="K2490" i="1"/>
  <c r="D92" i="10" l="1"/>
  <c r="E92" i="10" s="1"/>
  <c r="E91" i="10"/>
  <c r="N2499" i="1"/>
  <c r="C125" i="10" s="1"/>
  <c r="B2496" i="1"/>
  <c r="N2496" i="1" s="1"/>
  <c r="C122" i="10" s="1"/>
  <c r="B2495" i="1"/>
  <c r="N2495" i="1" s="1"/>
  <c r="C121" i="10" s="1"/>
  <c r="B2485" i="1"/>
  <c r="N2485" i="1" s="1"/>
  <c r="C111" i="10" s="1"/>
  <c r="B2497" i="1"/>
  <c r="N2497" i="1" s="1"/>
  <c r="C123" i="10" s="1"/>
  <c r="B2494" i="1"/>
  <c r="N2494" i="1" s="1"/>
  <c r="C120" i="10" s="1"/>
  <c r="B2492" i="1"/>
  <c r="N2492" i="1" s="1"/>
  <c r="C118" i="10" s="1"/>
  <c r="B2484" i="1"/>
  <c r="B2493" i="1"/>
  <c r="N2493" i="1" s="1"/>
  <c r="C119" i="10" s="1"/>
  <c r="B2490" i="1"/>
  <c r="N2490" i="1" s="1"/>
  <c r="C116" i="10" s="1"/>
  <c r="B2491" i="1"/>
  <c r="N2491" i="1" s="1"/>
  <c r="C117" i="10" s="1"/>
  <c r="B2488" i="1"/>
  <c r="N2488" i="1" s="1"/>
  <c r="C114" i="10" s="1"/>
  <c r="B2489" i="1"/>
  <c r="N2489" i="1" s="1"/>
  <c r="C115" i="10" s="1"/>
  <c r="B2486" i="1"/>
  <c r="N2486" i="1" s="1"/>
  <c r="C112" i="10" s="1"/>
  <c r="B2487" i="1"/>
  <c r="N2487" i="1" s="1"/>
  <c r="C113" i="10" s="1"/>
  <c r="M2507" i="1"/>
  <c r="C2508" i="1"/>
  <c r="A134" i="10" s="1"/>
  <c r="B133" i="10" s="1"/>
  <c r="F2507" i="1"/>
  <c r="C642" i="1"/>
  <c r="K642" i="1" s="1"/>
  <c r="M641" i="1"/>
  <c r="N641" i="1" s="1"/>
  <c r="F641" i="1"/>
  <c r="K619" i="1"/>
  <c r="L2485" i="1"/>
  <c r="L619" i="1"/>
  <c r="L2490" i="1"/>
  <c r="N2507" i="1" l="1"/>
  <c r="C133" i="10" s="1"/>
  <c r="L2491" i="1"/>
  <c r="L2494" i="1" s="1"/>
  <c r="L2486" i="1"/>
  <c r="L2493" i="1" s="1"/>
  <c r="N2484" i="1"/>
  <c r="C110" i="10" s="1"/>
  <c r="K620" i="1"/>
  <c r="K622" i="1" s="1"/>
  <c r="K623" i="1" s="1"/>
  <c r="L620" i="1"/>
  <c r="L622" i="1" s="1"/>
  <c r="L623" i="1" s="1"/>
  <c r="M2508" i="1"/>
  <c r="C2509" i="1"/>
  <c r="A135" i="10" s="1"/>
  <c r="B134" i="10" s="1"/>
  <c r="F2508" i="1"/>
  <c r="L642" i="1"/>
  <c r="K644" i="1"/>
  <c r="L644" i="1" s="1"/>
  <c r="C643" i="1"/>
  <c r="M642" i="1"/>
  <c r="N642" i="1" s="1"/>
  <c r="F642" i="1"/>
  <c r="N2508" i="1" l="1"/>
  <c r="C134" i="10" s="1"/>
  <c r="L2495" i="1"/>
  <c r="B2483" i="1" s="1"/>
  <c r="N2483" i="1" s="1"/>
  <c r="C109" i="10" s="1"/>
  <c r="N2509" i="1"/>
  <c r="C135" i="10" s="1"/>
  <c r="F2509" i="1"/>
  <c r="C2510" i="1"/>
  <c r="A136" i="10" s="1"/>
  <c r="B135" i="10" s="1"/>
  <c r="K647" i="1"/>
  <c r="K646" i="1"/>
  <c r="C644" i="1"/>
  <c r="M643" i="1"/>
  <c r="N643" i="1" s="1"/>
  <c r="F643" i="1"/>
  <c r="K649" i="1" l="1"/>
  <c r="B2472" i="1"/>
  <c r="N2472" i="1" s="1"/>
  <c r="C98" i="10" s="1"/>
  <c r="B2480" i="1"/>
  <c r="N2480" i="1" s="1"/>
  <c r="C106" i="10" s="1"/>
  <c r="B2476" i="1"/>
  <c r="N2476" i="1" s="1"/>
  <c r="C102" i="10" s="1"/>
  <c r="B2482" i="1"/>
  <c r="N2482" i="1" s="1"/>
  <c r="C108" i="10" s="1"/>
  <c r="B2477" i="1"/>
  <c r="N2477" i="1" s="1"/>
  <c r="C103" i="10" s="1"/>
  <c r="B2469" i="1"/>
  <c r="N2469" i="1" s="1"/>
  <c r="C95" i="10" s="1"/>
  <c r="B2468" i="1"/>
  <c r="N2468" i="1" s="1"/>
  <c r="B2478" i="1"/>
  <c r="N2478" i="1" s="1"/>
  <c r="C104" i="10" s="1"/>
  <c r="B2481" i="1"/>
  <c r="N2481" i="1" s="1"/>
  <c r="C107" i="10" s="1"/>
  <c r="B2475" i="1"/>
  <c r="N2475" i="1" s="1"/>
  <c r="C101" i="10" s="1"/>
  <c r="B2479" i="1"/>
  <c r="N2479" i="1" s="1"/>
  <c r="C105" i="10" s="1"/>
  <c r="B2473" i="1"/>
  <c r="N2473" i="1" s="1"/>
  <c r="C99" i="10" s="1"/>
  <c r="B2471" i="1"/>
  <c r="N2471" i="1" s="1"/>
  <c r="C97" i="10" s="1"/>
  <c r="B2474" i="1"/>
  <c r="N2474" i="1" s="1"/>
  <c r="C100" i="10" s="1"/>
  <c r="B2470" i="1"/>
  <c r="N2470" i="1" s="1"/>
  <c r="C96" i="10" s="1"/>
  <c r="M2510" i="1"/>
  <c r="C2511" i="1"/>
  <c r="A137" i="10" s="1"/>
  <c r="B136" i="10" s="1"/>
  <c r="F2510" i="1"/>
  <c r="L646" i="1"/>
  <c r="L647" i="1"/>
  <c r="C645" i="1"/>
  <c r="F644" i="1"/>
  <c r="D93" i="10" l="1"/>
  <c r="E93" i="10" s="1"/>
  <c r="C94" i="10"/>
  <c r="L649" i="1"/>
  <c r="N2510" i="1"/>
  <c r="C136" i="10" s="1"/>
  <c r="M2511" i="1"/>
  <c r="C2512" i="1"/>
  <c r="A138" i="10" s="1"/>
  <c r="B137" i="10" s="1"/>
  <c r="F2511" i="1"/>
  <c r="C646" i="1"/>
  <c r="M645" i="1"/>
  <c r="N645" i="1" s="1"/>
  <c r="F645" i="1"/>
  <c r="D94" i="10" l="1"/>
  <c r="E94" i="10" s="1"/>
  <c r="N2511" i="1"/>
  <c r="C137" i="10" s="1"/>
  <c r="M2512" i="1"/>
  <c r="C2513" i="1"/>
  <c r="A139" i="10" s="1"/>
  <c r="B138" i="10" s="1"/>
  <c r="F2512" i="1"/>
  <c r="C647" i="1"/>
  <c r="M646" i="1"/>
  <c r="N646" i="1" s="1"/>
  <c r="F646" i="1"/>
  <c r="D95" i="10" l="1"/>
  <c r="E95" i="10" s="1"/>
  <c r="N2512" i="1"/>
  <c r="C138" i="10" s="1"/>
  <c r="M2513" i="1"/>
  <c r="F2513" i="1"/>
  <c r="C2514" i="1"/>
  <c r="A140" i="10" s="1"/>
  <c r="B139" i="10" s="1"/>
  <c r="C648" i="1"/>
  <c r="F647" i="1"/>
  <c r="D96" i="10" l="1"/>
  <c r="E96" i="10" s="1"/>
  <c r="N2513" i="1"/>
  <c r="C139" i="10" s="1"/>
  <c r="M2514" i="1"/>
  <c r="C2515" i="1"/>
  <c r="A141" i="10" s="1"/>
  <c r="B140" i="10" s="1"/>
  <c r="F2514" i="1"/>
  <c r="C649" i="1"/>
  <c r="M648" i="1"/>
  <c r="N648" i="1" s="1"/>
  <c r="F648" i="1"/>
  <c r="D97" i="10" l="1"/>
  <c r="E97" i="10" s="1"/>
  <c r="N2514" i="1"/>
  <c r="C140" i="10" s="1"/>
  <c r="M2515" i="1"/>
  <c r="C2516" i="1"/>
  <c r="A142" i="10" s="1"/>
  <c r="B141" i="10" s="1"/>
  <c r="F2515" i="1"/>
  <c r="C650" i="1"/>
  <c r="M649" i="1"/>
  <c r="N649" i="1" s="1"/>
  <c r="F649" i="1"/>
  <c r="D98" i="10" l="1"/>
  <c r="E98" i="10" s="1"/>
  <c r="N2515" i="1"/>
  <c r="C141" i="10" s="1"/>
  <c r="M2516" i="1"/>
  <c r="C2517" i="1"/>
  <c r="A143" i="10" s="1"/>
  <c r="B142" i="10" s="1"/>
  <c r="F2516" i="1"/>
  <c r="C651" i="1"/>
  <c r="M650" i="1"/>
  <c r="N650" i="1" s="1"/>
  <c r="F650" i="1"/>
  <c r="D99" i="10" l="1"/>
  <c r="E99" i="10" s="1"/>
  <c r="N2516" i="1"/>
  <c r="C142" i="10" s="1"/>
  <c r="M2517" i="1"/>
  <c r="F2517" i="1"/>
  <c r="C2518" i="1"/>
  <c r="A144" i="10" s="1"/>
  <c r="B143" i="10" s="1"/>
  <c r="C652" i="1"/>
  <c r="M651" i="1"/>
  <c r="N651" i="1" s="1"/>
  <c r="F651" i="1"/>
  <c r="D100" i="10" l="1"/>
  <c r="E100" i="10" s="1"/>
  <c r="N2517" i="1"/>
  <c r="C143" i="10" s="1"/>
  <c r="M2518" i="1"/>
  <c r="C2519" i="1"/>
  <c r="A145" i="10" s="1"/>
  <c r="B144" i="10" s="1"/>
  <c r="F2518" i="1"/>
  <c r="C653" i="1"/>
  <c r="M652" i="1"/>
  <c r="N652" i="1" s="1"/>
  <c r="F652" i="1"/>
  <c r="D101" i="10" l="1"/>
  <c r="E101" i="10" s="1"/>
  <c r="N2518" i="1"/>
  <c r="C144" i="10" s="1"/>
  <c r="M2519" i="1"/>
  <c r="C2520" i="1"/>
  <c r="A146" i="10" s="1"/>
  <c r="B145" i="10" s="1"/>
  <c r="F2519" i="1"/>
  <c r="C654" i="1"/>
  <c r="M653" i="1"/>
  <c r="N653" i="1" s="1"/>
  <c r="F653" i="1"/>
  <c r="D102" i="10" l="1"/>
  <c r="E102" i="10" s="1"/>
  <c r="N2519" i="1"/>
  <c r="C145" i="10" s="1"/>
  <c r="M2520" i="1"/>
  <c r="C2521" i="1"/>
  <c r="A147" i="10" s="1"/>
  <c r="B146" i="10" s="1"/>
  <c r="F2520" i="1"/>
  <c r="C655" i="1"/>
  <c r="M654" i="1"/>
  <c r="N654" i="1" s="1"/>
  <c r="F654" i="1"/>
  <c r="D103" i="10" l="1"/>
  <c r="E103" i="10" s="1"/>
  <c r="N2520" i="1"/>
  <c r="C146" i="10" s="1"/>
  <c r="M2521" i="1"/>
  <c r="F2521" i="1"/>
  <c r="C2522" i="1"/>
  <c r="A148" i="10" s="1"/>
  <c r="B147" i="10" s="1"/>
  <c r="C656" i="1"/>
  <c r="M655" i="1"/>
  <c r="N655" i="1" s="1"/>
  <c r="F655" i="1"/>
  <c r="D104" i="10" l="1"/>
  <c r="E104" i="10" s="1"/>
  <c r="N2521" i="1"/>
  <c r="C147" i="10" s="1"/>
  <c r="M2522" i="1"/>
  <c r="C2523" i="1"/>
  <c r="A149" i="10" s="1"/>
  <c r="B148" i="10" s="1"/>
  <c r="F2522" i="1"/>
  <c r="C657" i="1"/>
  <c r="M656" i="1"/>
  <c r="N656" i="1" s="1"/>
  <c r="F656" i="1"/>
  <c r="D105" i="10" l="1"/>
  <c r="E105" i="10" s="1"/>
  <c r="N2522" i="1"/>
  <c r="C148" i="10" s="1"/>
  <c r="M2523" i="1"/>
  <c r="C2524" i="1"/>
  <c r="A150" i="10" s="1"/>
  <c r="B149" i="10" s="1"/>
  <c r="F2523" i="1"/>
  <c r="C658" i="1"/>
  <c r="M657" i="1"/>
  <c r="N657" i="1" s="1"/>
  <c r="F657" i="1"/>
  <c r="D106" i="10" l="1"/>
  <c r="E106" i="10" s="1"/>
  <c r="N2523" i="1"/>
  <c r="C149" i="10" s="1"/>
  <c r="M2524" i="1"/>
  <c r="C2525" i="1"/>
  <c r="A151" i="10" s="1"/>
  <c r="B150" i="10" s="1"/>
  <c r="F2524" i="1"/>
  <c r="C659" i="1"/>
  <c r="M658" i="1"/>
  <c r="N658" i="1" s="1"/>
  <c r="F658" i="1"/>
  <c r="D107" i="10" l="1"/>
  <c r="E107" i="10" s="1"/>
  <c r="N2524" i="1"/>
  <c r="C150" i="10" s="1"/>
  <c r="M2525" i="1"/>
  <c r="F2525" i="1"/>
  <c r="C2526" i="1"/>
  <c r="A152" i="10" s="1"/>
  <c r="B151" i="10" s="1"/>
  <c r="C660" i="1"/>
  <c r="M659" i="1"/>
  <c r="N659" i="1" s="1"/>
  <c r="F659" i="1"/>
  <c r="D108" i="10" l="1"/>
  <c r="E108" i="10" s="1"/>
  <c r="N2525" i="1"/>
  <c r="C151" i="10" s="1"/>
  <c r="M2526" i="1"/>
  <c r="C2527" i="1"/>
  <c r="A153" i="10" s="1"/>
  <c r="B152" i="10" s="1"/>
  <c r="F2526" i="1"/>
  <c r="C661" i="1"/>
  <c r="M660" i="1"/>
  <c r="N660" i="1" s="1"/>
  <c r="F660" i="1"/>
  <c r="D109" i="10" l="1"/>
  <c r="E109" i="10" s="1"/>
  <c r="N2526" i="1"/>
  <c r="C152" i="10" s="1"/>
  <c r="M2527" i="1"/>
  <c r="C2528" i="1"/>
  <c r="A154" i="10" s="1"/>
  <c r="B153" i="10" s="1"/>
  <c r="F2527" i="1"/>
  <c r="C662" i="1"/>
  <c r="M661" i="1"/>
  <c r="N661" i="1" s="1"/>
  <c r="F661" i="1"/>
  <c r="D110" i="10" l="1"/>
  <c r="E110" i="10" s="1"/>
  <c r="N2527" i="1"/>
  <c r="C153" i="10" s="1"/>
  <c r="M2528" i="1"/>
  <c r="C2529" i="1"/>
  <c r="A155" i="10" s="1"/>
  <c r="B154" i="10" s="1"/>
  <c r="F2528" i="1"/>
  <c r="C663" i="1"/>
  <c r="M662" i="1"/>
  <c r="N662" i="1" s="1"/>
  <c r="F662" i="1"/>
  <c r="D111" i="10" l="1"/>
  <c r="E111" i="10" s="1"/>
  <c r="K2530" i="1"/>
  <c r="L2530" i="1" s="1"/>
  <c r="L2542" i="1" s="1"/>
  <c r="N2528" i="1"/>
  <c r="C154" i="10" s="1"/>
  <c r="M2529" i="1"/>
  <c r="C2530" i="1"/>
  <c r="A156" i="10" s="1"/>
  <c r="B155" i="10" s="1"/>
  <c r="F2529" i="1"/>
  <c r="C664" i="1"/>
  <c r="M663" i="1"/>
  <c r="N663" i="1" s="1"/>
  <c r="F663" i="1"/>
  <c r="D112" i="10" l="1"/>
  <c r="E112" i="10" s="1"/>
  <c r="K2542" i="1"/>
  <c r="K2531" i="1"/>
  <c r="N2529" i="1"/>
  <c r="C155" i="10" s="1"/>
  <c r="L2544" i="1"/>
  <c r="M2530" i="1"/>
  <c r="C2531" i="1"/>
  <c r="A157" i="10" s="1"/>
  <c r="B156" i="10" s="1"/>
  <c r="F2530" i="1"/>
  <c r="C665" i="1"/>
  <c r="M664" i="1"/>
  <c r="N664" i="1" s="1"/>
  <c r="F664" i="1"/>
  <c r="K2534" i="1" l="1"/>
  <c r="D113" i="10"/>
  <c r="E113" i="10" s="1"/>
  <c r="K2544" i="1"/>
  <c r="L2531" i="1"/>
  <c r="K2536" i="1"/>
  <c r="M2531" i="1"/>
  <c r="C2532" i="1"/>
  <c r="A158" i="10" s="1"/>
  <c r="B157" i="10" s="1"/>
  <c r="F2531" i="1"/>
  <c r="C666" i="1"/>
  <c r="M665" i="1"/>
  <c r="N665" i="1" s="1"/>
  <c r="F665" i="1"/>
  <c r="K2550" i="1" l="1"/>
  <c r="K2545" i="1"/>
  <c r="D114" i="10"/>
  <c r="E114" i="10" s="1"/>
  <c r="L2534" i="1"/>
  <c r="L2536" i="1"/>
  <c r="M2532" i="1"/>
  <c r="C2533" i="1"/>
  <c r="A159" i="10" s="1"/>
  <c r="B158" i="10" s="1"/>
  <c r="F2532" i="1"/>
  <c r="C667" i="1"/>
  <c r="M666" i="1"/>
  <c r="N666" i="1" s="1"/>
  <c r="F666" i="1"/>
  <c r="K2547" i="1" l="1"/>
  <c r="K2554" i="1" s="1"/>
  <c r="L2550" i="1"/>
  <c r="D115" i="10"/>
  <c r="E115" i="10" s="1"/>
  <c r="L2545" i="1"/>
  <c r="M2533" i="1"/>
  <c r="F2533" i="1"/>
  <c r="C2534" i="1"/>
  <c r="A160" i="10" s="1"/>
  <c r="B159" i="10" s="1"/>
  <c r="C668" i="1"/>
  <c r="M667" i="1"/>
  <c r="N667" i="1" s="1"/>
  <c r="F667" i="1"/>
  <c r="D116" i="10" l="1"/>
  <c r="E116" i="10" s="1"/>
  <c r="L2547" i="1"/>
  <c r="L2554" i="1" s="1"/>
  <c r="M2534" i="1"/>
  <c r="C2535" i="1"/>
  <c r="A161" i="10" s="1"/>
  <c r="B160" i="10" s="1"/>
  <c r="F2534" i="1"/>
  <c r="C669" i="1"/>
  <c r="M668" i="1"/>
  <c r="N668" i="1" s="1"/>
  <c r="F668" i="1"/>
  <c r="D117" i="10" l="1"/>
  <c r="K2541" i="1"/>
  <c r="K2549" i="1" s="1"/>
  <c r="K2552" i="1" s="1"/>
  <c r="K2555" i="1" s="1"/>
  <c r="K2556" i="1" s="1"/>
  <c r="M2535" i="1"/>
  <c r="C2536" i="1"/>
  <c r="A162" i="10" s="1"/>
  <c r="B161" i="10" s="1"/>
  <c r="F2535" i="1"/>
  <c r="C670" i="1"/>
  <c r="M669" i="1"/>
  <c r="N669" i="1" s="1"/>
  <c r="F669" i="1"/>
  <c r="E117" i="10" l="1"/>
  <c r="D118" i="10"/>
  <c r="E118" i="10" s="1"/>
  <c r="L2541" i="1"/>
  <c r="L2549" i="1" s="1"/>
  <c r="L2552" i="1" s="1"/>
  <c r="L2555" i="1" s="1"/>
  <c r="L2556" i="1" s="1"/>
  <c r="B2542" i="1" s="1"/>
  <c r="A2552" i="1"/>
  <c r="A2556" i="1"/>
  <c r="A2543" i="1"/>
  <c r="A2535" i="1"/>
  <c r="A2534" i="1"/>
  <c r="A2545" i="1"/>
  <c r="A2542" i="1"/>
  <c r="A2550" i="1"/>
  <c r="A2541" i="1"/>
  <c r="A2547" i="1"/>
  <c r="A2540" i="1"/>
  <c r="A2538" i="1"/>
  <c r="A2532" i="1"/>
  <c r="A2555" i="1"/>
  <c r="A2551" i="1"/>
  <c r="A2548" i="1"/>
  <c r="A2531" i="1"/>
  <c r="A2536" i="1"/>
  <c r="A2549" i="1"/>
  <c r="A2530" i="1"/>
  <c r="A2533" i="1"/>
  <c r="A2558" i="1"/>
  <c r="K2568" i="1" s="1"/>
  <c r="A2553" i="1"/>
  <c r="A2544" i="1"/>
  <c r="A2546" i="1"/>
  <c r="A2554" i="1"/>
  <c r="A2537" i="1"/>
  <c r="A2539" i="1"/>
  <c r="A2557" i="1"/>
  <c r="M2536" i="1"/>
  <c r="C2537" i="1"/>
  <c r="A163" i="10" s="1"/>
  <c r="B162" i="10" s="1"/>
  <c r="F2536" i="1"/>
  <c r="C671" i="1"/>
  <c r="M670" i="1"/>
  <c r="N670" i="1" s="1"/>
  <c r="F670" i="1"/>
  <c r="D119" i="10" l="1"/>
  <c r="E119" i="10" s="1"/>
  <c r="B2558" i="1"/>
  <c r="L2568" i="1" s="1"/>
  <c r="B2562" i="1" s="1"/>
  <c r="B2534" i="1"/>
  <c r="N2534" i="1" s="1"/>
  <c r="C160" i="10" s="1"/>
  <c r="B2552" i="1"/>
  <c r="B2544" i="1"/>
  <c r="B2530" i="1"/>
  <c r="N2530" i="1" s="1"/>
  <c r="C156" i="10" s="1"/>
  <c r="B2549" i="1"/>
  <c r="B2535" i="1"/>
  <c r="N2535" i="1" s="1"/>
  <c r="C161" i="10" s="1"/>
  <c r="B2555" i="1"/>
  <c r="B2533" i="1"/>
  <c r="N2533" i="1" s="1"/>
  <c r="C159" i="10" s="1"/>
  <c r="B2541" i="1"/>
  <c r="B2550" i="1"/>
  <c r="B2554" i="1"/>
  <c r="B2556" i="1"/>
  <c r="B2546" i="1"/>
  <c r="B2545" i="1"/>
  <c r="B2548" i="1"/>
  <c r="B2531" i="1"/>
  <c r="N2531" i="1" s="1"/>
  <c r="C157" i="10" s="1"/>
  <c r="B2538" i="1"/>
  <c r="B2557" i="1"/>
  <c r="B2553" i="1"/>
  <c r="B2547" i="1"/>
  <c r="B2543" i="1"/>
  <c r="B2540" i="1"/>
  <c r="B2539" i="1"/>
  <c r="B2551" i="1"/>
  <c r="B2532" i="1"/>
  <c r="N2532" i="1" s="1"/>
  <c r="C158" i="10" s="1"/>
  <c r="B2536" i="1"/>
  <c r="N2536" i="1" s="1"/>
  <c r="C162" i="10" s="1"/>
  <c r="B2537" i="1"/>
  <c r="A2567" i="1"/>
  <c r="A2560" i="1"/>
  <c r="A2559" i="1"/>
  <c r="P9" i="5"/>
  <c r="A2566" i="1"/>
  <c r="A2564" i="1"/>
  <c r="A2562" i="1"/>
  <c r="A2561" i="1"/>
  <c r="A2563" i="1"/>
  <c r="A2565" i="1"/>
  <c r="M2537" i="1"/>
  <c r="C2538" i="1"/>
  <c r="A164" i="10" s="1"/>
  <c r="B163" i="10" s="1"/>
  <c r="F2537" i="1"/>
  <c r="C672" i="1"/>
  <c r="K672" i="1" s="1"/>
  <c r="M671" i="1"/>
  <c r="N671" i="1" s="1"/>
  <c r="F671" i="1"/>
  <c r="K2576" i="1"/>
  <c r="L650" i="1"/>
  <c r="K2581" i="1"/>
  <c r="K650" i="1"/>
  <c r="D120" i="10" l="1"/>
  <c r="E120" i="10" s="1"/>
  <c r="B2565" i="1"/>
  <c r="B2561" i="1"/>
  <c r="B2559" i="1"/>
  <c r="B2563" i="1"/>
  <c r="B2560" i="1"/>
  <c r="B2564" i="1"/>
  <c r="B2566" i="1"/>
  <c r="B2567" i="1"/>
  <c r="N2537" i="1"/>
  <c r="C163" i="10" s="1"/>
  <c r="K651" i="1"/>
  <c r="K653" i="1" s="1"/>
  <c r="K654" i="1" s="1"/>
  <c r="L651" i="1"/>
  <c r="L653" i="1" s="1"/>
  <c r="L654" i="1" s="1"/>
  <c r="N2538" i="1"/>
  <c r="C164" i="10" s="1"/>
  <c r="C2539" i="1"/>
  <c r="A165" i="10" s="1"/>
  <c r="B164" i="10" s="1"/>
  <c r="F2538" i="1"/>
  <c r="K674" i="1"/>
  <c r="L674" i="1" s="1"/>
  <c r="L672" i="1"/>
  <c r="C673" i="1"/>
  <c r="M672" i="1"/>
  <c r="N672" i="1" s="1"/>
  <c r="F672" i="1"/>
  <c r="L2581" i="1"/>
  <c r="L2576" i="1"/>
  <c r="D121" i="10" l="1"/>
  <c r="E121" i="10" s="1"/>
  <c r="N2539" i="1"/>
  <c r="C165" i="10" s="1"/>
  <c r="C2540" i="1"/>
  <c r="A166" i="10" s="1"/>
  <c r="B165" i="10" s="1"/>
  <c r="F2539" i="1"/>
  <c r="K676" i="1"/>
  <c r="K677" i="1"/>
  <c r="C674" i="1"/>
  <c r="M673" i="1"/>
  <c r="N673" i="1" s="1"/>
  <c r="F673" i="1"/>
  <c r="D122" i="10" l="1"/>
  <c r="E122" i="10" s="1"/>
  <c r="K679" i="1"/>
  <c r="M2540" i="1"/>
  <c r="F2540" i="1"/>
  <c r="C2541" i="1"/>
  <c r="A167" i="10" s="1"/>
  <c r="B166" i="10" s="1"/>
  <c r="L676" i="1"/>
  <c r="L677" i="1"/>
  <c r="C675" i="1"/>
  <c r="M674" i="1"/>
  <c r="N674" i="1" s="1"/>
  <c r="F674" i="1"/>
  <c r="D123" i="10" l="1"/>
  <c r="E123" i="10" s="1"/>
  <c r="L679" i="1"/>
  <c r="N2540" i="1"/>
  <c r="C166" i="10" s="1"/>
  <c r="M2541" i="1"/>
  <c r="C2542" i="1"/>
  <c r="A168" i="10" s="1"/>
  <c r="B167" i="10" s="1"/>
  <c r="F2541" i="1"/>
  <c r="C676" i="1"/>
  <c r="M675" i="1"/>
  <c r="N675" i="1" s="1"/>
  <c r="F675" i="1"/>
  <c r="D124" i="10" l="1"/>
  <c r="E124" i="10" s="1"/>
  <c r="N2541" i="1"/>
  <c r="C167" i="10" s="1"/>
  <c r="M2542" i="1"/>
  <c r="C2543" i="1"/>
  <c r="A169" i="10" s="1"/>
  <c r="B168" i="10" s="1"/>
  <c r="F2542" i="1"/>
  <c r="C677" i="1"/>
  <c r="M676" i="1"/>
  <c r="N676" i="1" s="1"/>
  <c r="F676" i="1"/>
  <c r="D125" i="10" l="1"/>
  <c r="E125" i="10" s="1"/>
  <c r="N2542" i="1"/>
  <c r="C168" i="10" s="1"/>
  <c r="M2543" i="1"/>
  <c r="C2544" i="1"/>
  <c r="A170" i="10" s="1"/>
  <c r="B169" i="10" s="1"/>
  <c r="F2543" i="1"/>
  <c r="C678" i="1"/>
  <c r="M677" i="1"/>
  <c r="N677" i="1" s="1"/>
  <c r="F677" i="1"/>
  <c r="D126" i="10" l="1"/>
  <c r="E126" i="10" s="1"/>
  <c r="N2543" i="1"/>
  <c r="C169" i="10" s="1"/>
  <c r="M2544" i="1"/>
  <c r="C2545" i="1"/>
  <c r="A171" i="10" s="1"/>
  <c r="B170" i="10" s="1"/>
  <c r="F2544" i="1"/>
  <c r="C679" i="1"/>
  <c r="M678" i="1"/>
  <c r="N678" i="1" s="1"/>
  <c r="F678" i="1"/>
  <c r="D127" i="10" l="1"/>
  <c r="E127" i="10" s="1"/>
  <c r="N2544" i="1"/>
  <c r="C170" i="10" s="1"/>
  <c r="M2545" i="1"/>
  <c r="F2545" i="1"/>
  <c r="C2546" i="1"/>
  <c r="A172" i="10" s="1"/>
  <c r="B171" i="10" s="1"/>
  <c r="C680" i="1"/>
  <c r="F679" i="1"/>
  <c r="D128" i="10" l="1"/>
  <c r="E128" i="10" s="1"/>
  <c r="N2545" i="1"/>
  <c r="C171" i="10" s="1"/>
  <c r="M2546" i="1"/>
  <c r="C2547" i="1"/>
  <c r="A173" i="10" s="1"/>
  <c r="B172" i="10" s="1"/>
  <c r="F2546" i="1"/>
  <c r="C681" i="1"/>
  <c r="M680" i="1"/>
  <c r="N680" i="1" s="1"/>
  <c r="F680" i="1"/>
  <c r="D129" i="10" l="1"/>
  <c r="E129" i="10" s="1"/>
  <c r="N2546" i="1"/>
  <c r="C172" i="10" s="1"/>
  <c r="M2547" i="1"/>
  <c r="F2547" i="1"/>
  <c r="C2548" i="1"/>
  <c r="A174" i="10" s="1"/>
  <c r="B173" i="10" s="1"/>
  <c r="C682" i="1"/>
  <c r="M681" i="1"/>
  <c r="N681" i="1" s="1"/>
  <c r="F681" i="1"/>
  <c r="D130" i="10" l="1"/>
  <c r="E130" i="10" s="1"/>
  <c r="N2547" i="1"/>
  <c r="C173" i="10" s="1"/>
  <c r="M2548" i="1"/>
  <c r="C2549" i="1"/>
  <c r="A175" i="10" s="1"/>
  <c r="B174" i="10" s="1"/>
  <c r="F2548" i="1"/>
  <c r="C683" i="1"/>
  <c r="F682" i="1"/>
  <c r="D131" i="10" l="1"/>
  <c r="E131" i="10" s="1"/>
  <c r="N2548" i="1"/>
  <c r="C174" i="10" s="1"/>
  <c r="M2549" i="1"/>
  <c r="C2550" i="1"/>
  <c r="A176" i="10" s="1"/>
  <c r="B175" i="10" s="1"/>
  <c r="F2549" i="1"/>
  <c r="C684" i="1"/>
  <c r="M683" i="1"/>
  <c r="N683" i="1" s="1"/>
  <c r="F683" i="1"/>
  <c r="D132" i="10" l="1"/>
  <c r="E132" i="10" s="1"/>
  <c r="N2549" i="1"/>
  <c r="C175" i="10" s="1"/>
  <c r="M2550" i="1"/>
  <c r="F2550" i="1"/>
  <c r="C2551" i="1"/>
  <c r="A177" i="10" s="1"/>
  <c r="B176" i="10" s="1"/>
  <c r="C685" i="1"/>
  <c r="M684" i="1"/>
  <c r="N684" i="1" s="1"/>
  <c r="F684" i="1"/>
  <c r="D133" i="10" l="1"/>
  <c r="E133" i="10" s="1"/>
  <c r="N2550" i="1"/>
  <c r="C176" i="10" s="1"/>
  <c r="M2551" i="1"/>
  <c r="C2552" i="1"/>
  <c r="A178" i="10" s="1"/>
  <c r="B177" i="10" s="1"/>
  <c r="F2551" i="1"/>
  <c r="C686" i="1"/>
  <c r="M685" i="1"/>
  <c r="N685" i="1" s="1"/>
  <c r="F685" i="1"/>
  <c r="D134" i="10" l="1"/>
  <c r="E134" i="10" s="1"/>
  <c r="N2551" i="1"/>
  <c r="C177" i="10" s="1"/>
  <c r="M2552" i="1"/>
  <c r="C2553" i="1"/>
  <c r="A179" i="10" s="1"/>
  <c r="B178" i="10" s="1"/>
  <c r="F2552" i="1"/>
  <c r="C687" i="1"/>
  <c r="M686" i="1"/>
  <c r="N686" i="1" s="1"/>
  <c r="F686" i="1"/>
  <c r="D135" i="10" l="1"/>
  <c r="E135" i="10" s="1"/>
  <c r="N2552" i="1"/>
  <c r="C178" i="10" s="1"/>
  <c r="N2553" i="1"/>
  <c r="C179" i="10" s="1"/>
  <c r="C2554" i="1"/>
  <c r="A180" i="10" s="1"/>
  <c r="B179" i="10" s="1"/>
  <c r="F2553" i="1"/>
  <c r="C688" i="1"/>
  <c r="M687" i="1"/>
  <c r="N687" i="1" s="1"/>
  <c r="F687" i="1"/>
  <c r="D136" i="10" l="1"/>
  <c r="E136" i="10" s="1"/>
  <c r="N2554" i="1"/>
  <c r="C180" i="10" s="1"/>
  <c r="F2554" i="1"/>
  <c r="C2555" i="1"/>
  <c r="A181" i="10" s="1"/>
  <c r="B180" i="10" s="1"/>
  <c r="C689" i="1"/>
  <c r="M688" i="1"/>
  <c r="N688" i="1" s="1"/>
  <c r="F688" i="1"/>
  <c r="D137" i="10" l="1"/>
  <c r="E137" i="10" s="1"/>
  <c r="M2555" i="1"/>
  <c r="C2556" i="1"/>
  <c r="A182" i="10" s="1"/>
  <c r="B181" i="10" s="1"/>
  <c r="F2555" i="1"/>
  <c r="C690" i="1"/>
  <c r="M689" i="1"/>
  <c r="N689" i="1" s="1"/>
  <c r="F689" i="1"/>
  <c r="D138" i="10" l="1"/>
  <c r="E138" i="10" s="1"/>
  <c r="N2555" i="1"/>
  <c r="C181" i="10" s="1"/>
  <c r="M2556" i="1"/>
  <c r="C2557" i="1"/>
  <c r="A183" i="10" s="1"/>
  <c r="B182" i="10" s="1"/>
  <c r="F2556" i="1"/>
  <c r="C691" i="1"/>
  <c r="M690" i="1"/>
  <c r="N690" i="1" s="1"/>
  <c r="F690" i="1"/>
  <c r="D139" i="10" l="1"/>
  <c r="E139" i="10" s="1"/>
  <c r="N2556" i="1"/>
  <c r="C182" i="10" s="1"/>
  <c r="M2557" i="1"/>
  <c r="F2557" i="1"/>
  <c r="C2558" i="1"/>
  <c r="A184" i="10" s="1"/>
  <c r="B183" i="10" s="1"/>
  <c r="C692" i="1"/>
  <c r="M691" i="1"/>
  <c r="N691" i="1" s="1"/>
  <c r="F691" i="1"/>
  <c r="D140" i="10" l="1"/>
  <c r="E140" i="10" s="1"/>
  <c r="N2557" i="1"/>
  <c r="C183" i="10" s="1"/>
  <c r="M2558" i="1"/>
  <c r="C2559" i="1"/>
  <c r="A185" i="10" s="1"/>
  <c r="B184" i="10" s="1"/>
  <c r="F2558" i="1"/>
  <c r="C693" i="1"/>
  <c r="M692" i="1"/>
  <c r="N692" i="1" s="1"/>
  <c r="F692" i="1"/>
  <c r="D141" i="10" l="1"/>
  <c r="E141" i="10" s="1"/>
  <c r="N2558" i="1"/>
  <c r="C184" i="10" s="1"/>
  <c r="K2560" i="1"/>
  <c r="K2572" i="1" s="1"/>
  <c r="M2559" i="1"/>
  <c r="C2560" i="1"/>
  <c r="F2559" i="1"/>
  <c r="C694" i="1"/>
  <c r="M693" i="1"/>
  <c r="N693" i="1" s="1"/>
  <c r="F693" i="1"/>
  <c r="A186" i="10" l="1"/>
  <c r="B185" i="10" s="1"/>
  <c r="J33" i="9"/>
  <c r="D142" i="10"/>
  <c r="E142" i="10" s="1"/>
  <c r="L2560" i="1"/>
  <c r="L2572" i="1" s="1"/>
  <c r="L2574" i="1" s="1"/>
  <c r="K2561" i="1"/>
  <c r="L2561" i="1" s="1"/>
  <c r="N2559" i="1"/>
  <c r="C185" i="10" s="1"/>
  <c r="K31" i="9"/>
  <c r="J39" i="9"/>
  <c r="K33" i="9"/>
  <c r="J37" i="9"/>
  <c r="J34" i="9"/>
  <c r="K32" i="9"/>
  <c r="K34" i="9"/>
  <c r="J32" i="9"/>
  <c r="J38" i="9"/>
  <c r="K35" i="9"/>
  <c r="J35" i="9"/>
  <c r="J31" i="9"/>
  <c r="K36" i="9"/>
  <c r="J36" i="9"/>
  <c r="K37" i="9"/>
  <c r="J40" i="9"/>
  <c r="K2574" i="1"/>
  <c r="M2560" i="1"/>
  <c r="F2560" i="1"/>
  <c r="C2561" i="1"/>
  <c r="A187" i="10" s="1"/>
  <c r="B186" i="10" s="1"/>
  <c r="J27" i="9"/>
  <c r="K24" i="9"/>
  <c r="K27" i="9"/>
  <c r="J30" i="9"/>
  <c r="K30" i="9"/>
  <c r="C695" i="1"/>
  <c r="M694" i="1"/>
  <c r="N694" i="1" s="1"/>
  <c r="F694" i="1"/>
  <c r="L33" i="9" l="1"/>
  <c r="D143" i="10"/>
  <c r="E143" i="10" s="1"/>
  <c r="K2564" i="1"/>
  <c r="K2566" i="1"/>
  <c r="L31" i="9"/>
  <c r="L37" i="9"/>
  <c r="L27" i="9"/>
  <c r="L32" i="9"/>
  <c r="L36" i="9"/>
  <c r="L35" i="9"/>
  <c r="L30" i="9"/>
  <c r="L34" i="9"/>
  <c r="N2560" i="1"/>
  <c r="C186" i="10" s="1"/>
  <c r="L2564" i="1"/>
  <c r="L2566" i="1"/>
  <c r="M2561" i="1"/>
  <c r="F2561" i="1"/>
  <c r="C2562" i="1"/>
  <c r="A188" i="10" s="1"/>
  <c r="B187" i="10" s="1"/>
  <c r="C696" i="1"/>
  <c r="M695" i="1"/>
  <c r="N695" i="1" s="1"/>
  <c r="F695" i="1"/>
  <c r="D144" i="10" l="1"/>
  <c r="E144" i="10" s="1"/>
  <c r="K2575" i="1"/>
  <c r="K2580" i="1"/>
  <c r="L2575" i="1"/>
  <c r="M34" i="9"/>
  <c r="N2561" i="1"/>
  <c r="C187" i="10" s="1"/>
  <c r="M2562" i="1"/>
  <c r="F2562" i="1"/>
  <c r="C2563" i="1"/>
  <c r="A189" i="10" s="1"/>
  <c r="B188" i="10" s="1"/>
  <c r="C697" i="1"/>
  <c r="M696" i="1"/>
  <c r="N696" i="1" s="1"/>
  <c r="F696" i="1"/>
  <c r="L2580" i="1"/>
  <c r="D145" i="10" l="1"/>
  <c r="E145" i="10" s="1"/>
  <c r="K2577" i="1"/>
  <c r="K2584" i="1" s="1"/>
  <c r="E34" i="9"/>
  <c r="D34" i="9" s="1"/>
  <c r="F34" i="9" s="1"/>
  <c r="L2577" i="1"/>
  <c r="L2584" i="1" s="1"/>
  <c r="N2562" i="1"/>
  <c r="C188" i="10" s="1"/>
  <c r="M2563" i="1"/>
  <c r="C2564" i="1"/>
  <c r="A190" i="10" s="1"/>
  <c r="B189" i="10" s="1"/>
  <c r="F2563" i="1"/>
  <c r="C698" i="1"/>
  <c r="M697" i="1"/>
  <c r="N697" i="1" s="1"/>
  <c r="F697" i="1"/>
  <c r="D146" i="10" l="1"/>
  <c r="E146" i="10" s="1"/>
  <c r="N2563" i="1"/>
  <c r="C189" i="10" s="1"/>
  <c r="M2564" i="1"/>
  <c r="C2565" i="1"/>
  <c r="A191" i="10" s="1"/>
  <c r="B190" i="10" s="1"/>
  <c r="F2564" i="1"/>
  <c r="C699" i="1"/>
  <c r="M698" i="1"/>
  <c r="N698" i="1" s="1"/>
  <c r="F698" i="1"/>
  <c r="D147" i="10" l="1"/>
  <c r="E147" i="10" s="1"/>
  <c r="N2564" i="1"/>
  <c r="C190" i="10" s="1"/>
  <c r="K2571" i="1"/>
  <c r="L2571" i="1" s="1"/>
  <c r="L2579" i="1" s="1"/>
  <c r="L2582" i="1" s="1"/>
  <c r="L2585" i="1" s="1"/>
  <c r="L2586" i="1" s="1"/>
  <c r="M2565" i="1"/>
  <c r="F2565" i="1"/>
  <c r="C2566" i="1"/>
  <c r="A192" i="10" s="1"/>
  <c r="B191" i="10" s="1"/>
  <c r="C700" i="1"/>
  <c r="M699" i="1"/>
  <c r="N699" i="1" s="1"/>
  <c r="F699" i="1"/>
  <c r="D148" i="10" l="1"/>
  <c r="E148" i="10" s="1"/>
  <c r="K2579" i="1"/>
  <c r="K2582" i="1" s="1"/>
  <c r="K2585" i="1" s="1"/>
  <c r="K2586" i="1" s="1"/>
  <c r="A2577" i="1" s="1"/>
  <c r="N2565" i="1"/>
  <c r="C191" i="10" s="1"/>
  <c r="B2589" i="1"/>
  <c r="B2568" i="1"/>
  <c r="B2573" i="1"/>
  <c r="B2571" i="1"/>
  <c r="B2584" i="1"/>
  <c r="B2585" i="1"/>
  <c r="B2569" i="1"/>
  <c r="B2580" i="1"/>
  <c r="B2578" i="1"/>
  <c r="B2575" i="1"/>
  <c r="B2576" i="1"/>
  <c r="B2588" i="1"/>
  <c r="B2586" i="1"/>
  <c r="B2587" i="1"/>
  <c r="B2581" i="1"/>
  <c r="B2572" i="1"/>
  <c r="B2579" i="1"/>
  <c r="B2570" i="1"/>
  <c r="B2577" i="1"/>
  <c r="B2574" i="1"/>
  <c r="B2582" i="1"/>
  <c r="B2583" i="1"/>
  <c r="M2566" i="1"/>
  <c r="C2567" i="1"/>
  <c r="A193" i="10" s="1"/>
  <c r="B192" i="10" s="1"/>
  <c r="F2566" i="1"/>
  <c r="C701" i="1"/>
  <c r="M700" i="1"/>
  <c r="N700" i="1" s="1"/>
  <c r="F700" i="1"/>
  <c r="D149" i="10" l="1"/>
  <c r="E149" i="10" s="1"/>
  <c r="A2583" i="1"/>
  <c r="A2574" i="1"/>
  <c r="R9" i="5"/>
  <c r="S9" i="5" s="1"/>
  <c r="A2588" i="1"/>
  <c r="A2570" i="1"/>
  <c r="A2576" i="1"/>
  <c r="A2582" i="1"/>
  <c r="A2589" i="1"/>
  <c r="A2569" i="1"/>
  <c r="A2581" i="1"/>
  <c r="A2587" i="1"/>
  <c r="A2579" i="1"/>
  <c r="A2571" i="1"/>
  <c r="A2572" i="1"/>
  <c r="A2578" i="1"/>
  <c r="A2586" i="1"/>
  <c r="A2575" i="1"/>
  <c r="A2568" i="1"/>
  <c r="A2580" i="1"/>
  <c r="A2573" i="1"/>
  <c r="A2585" i="1"/>
  <c r="A2584" i="1"/>
  <c r="N2566" i="1"/>
  <c r="C192" i="10" s="1"/>
  <c r="M2567" i="1"/>
  <c r="C2568" i="1"/>
  <c r="A194" i="10" s="1"/>
  <c r="B193" i="10" s="1"/>
  <c r="F2567" i="1"/>
  <c r="C702" i="1"/>
  <c r="M701" i="1"/>
  <c r="N701" i="1" s="1"/>
  <c r="F701" i="1"/>
  <c r="D150" i="10" l="1"/>
  <c r="E150" i="10" s="1"/>
  <c r="N2567" i="1"/>
  <c r="C193" i="10" s="1"/>
  <c r="M2568" i="1"/>
  <c r="C2569" i="1"/>
  <c r="A195" i="10" s="1"/>
  <c r="B194" i="10" s="1"/>
  <c r="F2568" i="1"/>
  <c r="C703" i="1"/>
  <c r="K703" i="1" s="1"/>
  <c r="M702" i="1"/>
  <c r="N702" i="1" s="1"/>
  <c r="F702" i="1"/>
  <c r="L680" i="1"/>
  <c r="K680" i="1"/>
  <c r="D151" i="10" l="1"/>
  <c r="E151" i="10" s="1"/>
  <c r="N2568" i="1"/>
  <c r="C194" i="10" s="1"/>
  <c r="K681" i="1"/>
  <c r="K683" i="1" s="1"/>
  <c r="K684" i="1" s="1"/>
  <c r="L681" i="1"/>
  <c r="L683" i="1" s="1"/>
  <c r="L684" i="1" s="1"/>
  <c r="M2569" i="1"/>
  <c r="F2569" i="1"/>
  <c r="C2570" i="1"/>
  <c r="A196" i="10" s="1"/>
  <c r="B195" i="10" s="1"/>
  <c r="L703" i="1"/>
  <c r="K705" i="1"/>
  <c r="L705" i="1" s="1"/>
  <c r="C704" i="1"/>
  <c r="M703" i="1"/>
  <c r="N703" i="1" s="1"/>
  <c r="F703" i="1"/>
  <c r="D152" i="10" l="1"/>
  <c r="E152" i="10" s="1"/>
  <c r="N2569" i="1"/>
  <c r="C195" i="10" s="1"/>
  <c r="M2570" i="1"/>
  <c r="F2570" i="1"/>
  <c r="C2571" i="1"/>
  <c r="A197" i="10" s="1"/>
  <c r="B196" i="10" s="1"/>
  <c r="K708" i="1"/>
  <c r="K707" i="1"/>
  <c r="C705" i="1"/>
  <c r="M704" i="1"/>
  <c r="N704" i="1" s="1"/>
  <c r="F704" i="1"/>
  <c r="D153" i="10" l="1"/>
  <c r="K710" i="1"/>
  <c r="N2570" i="1"/>
  <c r="C196" i="10" s="1"/>
  <c r="M2571" i="1"/>
  <c r="C2572" i="1"/>
  <c r="A198" i="10" s="1"/>
  <c r="B197" i="10" s="1"/>
  <c r="F2571" i="1"/>
  <c r="L707" i="1"/>
  <c r="L708" i="1"/>
  <c r="C706" i="1"/>
  <c r="M705" i="1"/>
  <c r="N705" i="1" s="1"/>
  <c r="F705" i="1"/>
  <c r="E153" i="10" l="1"/>
  <c r="D154" i="10"/>
  <c r="L710" i="1"/>
  <c r="N2571" i="1"/>
  <c r="C197" i="10" s="1"/>
  <c r="M2572" i="1"/>
  <c r="F2572" i="1"/>
  <c r="C2573" i="1"/>
  <c r="A199" i="10" s="1"/>
  <c r="B198" i="10" s="1"/>
  <c r="C707" i="1"/>
  <c r="M706" i="1"/>
  <c r="N706" i="1" s="1"/>
  <c r="F706" i="1"/>
  <c r="E154" i="10" l="1"/>
  <c r="D155" i="10"/>
  <c r="E155" i="10" s="1"/>
  <c r="N2572" i="1"/>
  <c r="C198" i="10" s="1"/>
  <c r="M2573" i="1"/>
  <c r="F2573" i="1"/>
  <c r="C2574" i="1"/>
  <c r="A200" i="10" s="1"/>
  <c r="B199" i="10" s="1"/>
  <c r="C708" i="1"/>
  <c r="M707" i="1"/>
  <c r="N707" i="1" s="1"/>
  <c r="F707" i="1"/>
  <c r="D156" i="10" l="1"/>
  <c r="E156" i="10" s="1"/>
  <c r="N2573" i="1"/>
  <c r="C199" i="10" s="1"/>
  <c r="M2574" i="1"/>
  <c r="C2575" i="1"/>
  <c r="A201" i="10" s="1"/>
  <c r="B200" i="10" s="1"/>
  <c r="F2574" i="1"/>
  <c r="C709" i="1"/>
  <c r="M708" i="1"/>
  <c r="N708" i="1" s="1"/>
  <c r="F708" i="1"/>
  <c r="D157" i="10" l="1"/>
  <c r="E157" i="10" s="1"/>
  <c r="N2574" i="1"/>
  <c r="C200" i="10" s="1"/>
  <c r="M2575" i="1"/>
  <c r="C2576" i="1"/>
  <c r="A202" i="10" s="1"/>
  <c r="B201" i="10" s="1"/>
  <c r="F2575" i="1"/>
  <c r="C710" i="1"/>
  <c r="M709" i="1"/>
  <c r="N709" i="1" s="1"/>
  <c r="F709" i="1"/>
  <c r="D158" i="10" l="1"/>
  <c r="E158" i="10" s="1"/>
  <c r="N2575" i="1"/>
  <c r="C201" i="10" s="1"/>
  <c r="M2576" i="1"/>
  <c r="C2577" i="1"/>
  <c r="A203" i="10" s="1"/>
  <c r="B202" i="10" s="1"/>
  <c r="F2576" i="1"/>
  <c r="C711" i="1"/>
  <c r="M710" i="1"/>
  <c r="N710" i="1" s="1"/>
  <c r="F710" i="1"/>
  <c r="D159" i="10" l="1"/>
  <c r="E159" i="10" s="1"/>
  <c r="N2576" i="1"/>
  <c r="C202" i="10" s="1"/>
  <c r="M2577" i="1"/>
  <c r="F2577" i="1"/>
  <c r="C2578" i="1"/>
  <c r="A204" i="10" s="1"/>
  <c r="B203" i="10" s="1"/>
  <c r="C712" i="1"/>
  <c r="M711" i="1"/>
  <c r="N711" i="1" s="1"/>
  <c r="F711" i="1"/>
  <c r="D160" i="10" l="1"/>
  <c r="E160" i="10" s="1"/>
  <c r="N2577" i="1"/>
  <c r="C203" i="10" s="1"/>
  <c r="M2578" i="1"/>
  <c r="C2579" i="1"/>
  <c r="A205" i="10" s="1"/>
  <c r="B204" i="10" s="1"/>
  <c r="F2578" i="1"/>
  <c r="C713" i="1"/>
  <c r="F712" i="1"/>
  <c r="D161" i="10" l="1"/>
  <c r="E161" i="10" s="1"/>
  <c r="N2578" i="1"/>
  <c r="C204" i="10" s="1"/>
  <c r="M2579" i="1"/>
  <c r="F2579" i="1"/>
  <c r="C2580" i="1"/>
  <c r="A206" i="10" s="1"/>
  <c r="B205" i="10" s="1"/>
  <c r="C714" i="1"/>
  <c r="F713" i="1"/>
  <c r="D162" i="10" l="1"/>
  <c r="E162" i="10" s="1"/>
  <c r="N2579" i="1"/>
  <c r="C205" i="10" s="1"/>
  <c r="M2580" i="1"/>
  <c r="F2580" i="1"/>
  <c r="C2581" i="1"/>
  <c r="A207" i="10" s="1"/>
  <c r="B206" i="10" s="1"/>
  <c r="C715" i="1"/>
  <c r="M714" i="1"/>
  <c r="N714" i="1" s="1"/>
  <c r="F714" i="1"/>
  <c r="D163" i="10" l="1"/>
  <c r="E163" i="10" s="1"/>
  <c r="N2580" i="1"/>
  <c r="C206" i="10" s="1"/>
  <c r="M2581" i="1"/>
  <c r="C2582" i="1"/>
  <c r="A208" i="10" s="1"/>
  <c r="B207" i="10" s="1"/>
  <c r="F2581" i="1"/>
  <c r="C716" i="1"/>
  <c r="M715" i="1"/>
  <c r="N715" i="1" s="1"/>
  <c r="F715" i="1"/>
  <c r="D164" i="10" l="1"/>
  <c r="E164" i="10" s="1"/>
  <c r="N2581" i="1"/>
  <c r="C207" i="10" s="1"/>
  <c r="N2582" i="1"/>
  <c r="C208" i="10" s="1"/>
  <c r="C2583" i="1"/>
  <c r="A209" i="10" s="1"/>
  <c r="B208" i="10" s="1"/>
  <c r="F2582" i="1"/>
  <c r="C717" i="1"/>
  <c r="M716" i="1"/>
  <c r="N716" i="1" s="1"/>
  <c r="F716" i="1"/>
  <c r="D165" i="10" l="1"/>
  <c r="E165" i="10" s="1"/>
  <c r="N2583" i="1"/>
  <c r="C209" i="10" s="1"/>
  <c r="F2583" i="1"/>
  <c r="C2584" i="1"/>
  <c r="A210" i="10" s="1"/>
  <c r="B209" i="10" s="1"/>
  <c r="C718" i="1"/>
  <c r="M717" i="1"/>
  <c r="N717" i="1" s="1"/>
  <c r="F717" i="1"/>
  <c r="D166" i="10" l="1"/>
  <c r="E166" i="10" s="1"/>
  <c r="M2584" i="1"/>
  <c r="C2585" i="1"/>
  <c r="A211" i="10" s="1"/>
  <c r="B210" i="10" s="1"/>
  <c r="F2584" i="1"/>
  <c r="C719" i="1"/>
  <c r="M718" i="1"/>
  <c r="N718" i="1" s="1"/>
  <c r="F718" i="1"/>
  <c r="D167" i="10" l="1"/>
  <c r="E167" i="10" s="1"/>
  <c r="N2584" i="1"/>
  <c r="C210" i="10" s="1"/>
  <c r="M2585" i="1"/>
  <c r="C2586" i="1"/>
  <c r="A212" i="10" s="1"/>
  <c r="B211" i="10" s="1"/>
  <c r="F2585" i="1"/>
  <c r="C720" i="1"/>
  <c r="M719" i="1"/>
  <c r="N719" i="1" s="1"/>
  <c r="F719" i="1"/>
  <c r="D168" i="10" l="1"/>
  <c r="E168" i="10" s="1"/>
  <c r="N2585" i="1"/>
  <c r="C211" i="10" s="1"/>
  <c r="M2586" i="1"/>
  <c r="C2587" i="1"/>
  <c r="A213" i="10" s="1"/>
  <c r="B212" i="10" s="1"/>
  <c r="F2586" i="1"/>
  <c r="C721" i="1"/>
  <c r="M720" i="1"/>
  <c r="N720" i="1" s="1"/>
  <c r="F720" i="1"/>
  <c r="D169" i="10" l="1"/>
  <c r="E169" i="10" s="1"/>
  <c r="N2586" i="1"/>
  <c r="C212" i="10" s="1"/>
  <c r="M2587" i="1"/>
  <c r="F2587" i="1"/>
  <c r="C2588" i="1"/>
  <c r="A214" i="10" s="1"/>
  <c r="B213" i="10" s="1"/>
  <c r="C722" i="1"/>
  <c r="M721" i="1"/>
  <c r="N721" i="1" s="1"/>
  <c r="F721" i="1"/>
  <c r="D170" i="10" l="1"/>
  <c r="E170" i="10" s="1"/>
  <c r="N2587" i="1"/>
  <c r="C213" i="10" s="1"/>
  <c r="M2588" i="1"/>
  <c r="C2589" i="1"/>
  <c r="A215" i="10" s="1"/>
  <c r="B214" i="10" s="1"/>
  <c r="F2588" i="1"/>
  <c r="C723" i="1"/>
  <c r="M722" i="1"/>
  <c r="N722" i="1" s="1"/>
  <c r="F722" i="1"/>
  <c r="D171" i="10" l="1"/>
  <c r="E171" i="10" s="1"/>
  <c r="N2588" i="1"/>
  <c r="C214" i="10" s="1"/>
  <c r="N2589" i="1"/>
  <c r="C215" i="10" s="1"/>
  <c r="C2590" i="1"/>
  <c r="A216" i="10" s="1"/>
  <c r="B215" i="10" s="1"/>
  <c r="F2589" i="1"/>
  <c r="C724" i="1"/>
  <c r="M723" i="1"/>
  <c r="N723" i="1" s="1"/>
  <c r="F723" i="1"/>
  <c r="D172" i="10" l="1"/>
  <c r="E172" i="10" s="1"/>
  <c r="K2591" i="1"/>
  <c r="K2592" i="1" s="1"/>
  <c r="L2592" i="1" s="1"/>
  <c r="F2590" i="1"/>
  <c r="C2591" i="1"/>
  <c r="A217" i="10" s="1"/>
  <c r="B216" i="10" s="1"/>
  <c r="N2590" i="1"/>
  <c r="C216" i="10" s="1"/>
  <c r="C725" i="1"/>
  <c r="M724" i="1"/>
  <c r="N724" i="1" s="1"/>
  <c r="F724" i="1"/>
  <c r="D173" i="10" l="1"/>
  <c r="E173" i="10" s="1"/>
  <c r="L2591" i="1"/>
  <c r="C2592" i="1"/>
  <c r="M2591" i="1"/>
  <c r="F2591" i="1"/>
  <c r="C726" i="1"/>
  <c r="M725" i="1"/>
  <c r="N725" i="1" s="1"/>
  <c r="F725" i="1"/>
  <c r="D174" i="10" l="1"/>
  <c r="E174" i="10" s="1"/>
  <c r="N2591" i="1"/>
  <c r="K39" i="9"/>
  <c r="J42" i="9"/>
  <c r="K42" i="9"/>
  <c r="F2592" i="1"/>
  <c r="M2592" i="1"/>
  <c r="C727" i="1"/>
  <c r="F726" i="1"/>
  <c r="D175" i="10" l="1"/>
  <c r="E175" i="10" s="1"/>
  <c r="L39" i="9"/>
  <c r="L42" i="9"/>
  <c r="N2592" i="1"/>
  <c r="C728" i="1"/>
  <c r="F727" i="1"/>
  <c r="D176" i="10" l="1"/>
  <c r="E176" i="10" s="1"/>
  <c r="C729" i="1"/>
  <c r="M728" i="1"/>
  <c r="N728" i="1" s="1"/>
  <c r="F728" i="1"/>
  <c r="D177" i="10" l="1"/>
  <c r="E177" i="10" s="1"/>
  <c r="C730" i="1"/>
  <c r="M729" i="1"/>
  <c r="N729" i="1" s="1"/>
  <c r="F729" i="1"/>
  <c r="D178" i="10" l="1"/>
  <c r="E178" i="10" s="1"/>
  <c r="C731" i="1"/>
  <c r="M730" i="1"/>
  <c r="N730" i="1" s="1"/>
  <c r="F730" i="1"/>
  <c r="D179" i="10" l="1"/>
  <c r="E179" i="10" s="1"/>
  <c r="C732" i="1"/>
  <c r="M731" i="1"/>
  <c r="N731" i="1" s="1"/>
  <c r="F731" i="1"/>
  <c r="D180" i="10" l="1"/>
  <c r="E180" i="10" s="1"/>
  <c r="C733" i="1"/>
  <c r="K733" i="1" s="1"/>
  <c r="M732" i="1"/>
  <c r="N732" i="1" s="1"/>
  <c r="F732" i="1"/>
  <c r="K711" i="1"/>
  <c r="L711" i="1"/>
  <c r="D181" i="10" l="1"/>
  <c r="E181" i="10" s="1"/>
  <c r="K712" i="1"/>
  <c r="K714" i="1" s="1"/>
  <c r="K715" i="1" s="1"/>
  <c r="L712" i="1"/>
  <c r="L714" i="1" s="1"/>
  <c r="L715" i="1" s="1"/>
  <c r="L733" i="1"/>
  <c r="K735" i="1"/>
  <c r="L735" i="1" s="1"/>
  <c r="C734" i="1"/>
  <c r="M733" i="1"/>
  <c r="N733" i="1" s="1"/>
  <c r="F733" i="1"/>
  <c r="D182" i="10" l="1"/>
  <c r="E182" i="10" s="1"/>
  <c r="K738" i="1"/>
  <c r="K737" i="1"/>
  <c r="C735" i="1"/>
  <c r="M734" i="1"/>
  <c r="N734" i="1" s="1"/>
  <c r="F734" i="1"/>
  <c r="D183" i="10" l="1"/>
  <c r="E183" i="10" s="1"/>
  <c r="K740" i="1"/>
  <c r="L738" i="1"/>
  <c r="L737" i="1"/>
  <c r="C736" i="1"/>
  <c r="M735" i="1"/>
  <c r="N735" i="1" s="1"/>
  <c r="F735" i="1"/>
  <c r="D184" i="10" l="1"/>
  <c r="E184" i="10" s="1"/>
  <c r="L740" i="1"/>
  <c r="C737" i="1"/>
  <c r="M736" i="1"/>
  <c r="N736" i="1" s="1"/>
  <c r="F736" i="1"/>
  <c r="D185" i="10" l="1"/>
  <c r="E185" i="10" s="1"/>
  <c r="C738" i="1"/>
  <c r="M737" i="1"/>
  <c r="N737" i="1" s="1"/>
  <c r="F737" i="1"/>
  <c r="D186" i="10" l="1"/>
  <c r="E186" i="10" s="1"/>
  <c r="C739" i="1"/>
  <c r="M738" i="1"/>
  <c r="N738" i="1" s="1"/>
  <c r="F738" i="1"/>
  <c r="D187" i="10" l="1"/>
  <c r="E187" i="10" s="1"/>
  <c r="C740" i="1"/>
  <c r="M739" i="1"/>
  <c r="N739" i="1" s="1"/>
  <c r="F739" i="1"/>
  <c r="D188" i="10" l="1"/>
  <c r="E188" i="10" s="1"/>
  <c r="C741" i="1"/>
  <c r="M740" i="1"/>
  <c r="N740" i="1" s="1"/>
  <c r="F740" i="1"/>
  <c r="D189" i="10" l="1"/>
  <c r="E189" i="10" s="1"/>
  <c r="C742" i="1"/>
  <c r="M741" i="1"/>
  <c r="N741" i="1" s="1"/>
  <c r="F741" i="1"/>
  <c r="D190" i="10" l="1"/>
  <c r="E190" i="10" s="1"/>
  <c r="C743" i="1"/>
  <c r="M742" i="1"/>
  <c r="N742" i="1" s="1"/>
  <c r="F742" i="1"/>
  <c r="D191" i="10" l="1"/>
  <c r="E191" i="10" s="1"/>
  <c r="C744" i="1"/>
  <c r="M743" i="1"/>
  <c r="N743" i="1" s="1"/>
  <c r="F743" i="1"/>
  <c r="D192" i="10" l="1"/>
  <c r="E192" i="10" s="1"/>
  <c r="C745" i="1"/>
  <c r="M744" i="1"/>
  <c r="N744" i="1" s="1"/>
  <c r="F744" i="1"/>
  <c r="D193" i="10" l="1"/>
  <c r="E193" i="10" s="1"/>
  <c r="C746" i="1"/>
  <c r="M745" i="1"/>
  <c r="N745" i="1" s="1"/>
  <c r="F745" i="1"/>
  <c r="D194" i="10" l="1"/>
  <c r="E194" i="10" s="1"/>
  <c r="C747" i="1"/>
  <c r="M746" i="1"/>
  <c r="N746" i="1" s="1"/>
  <c r="F746" i="1"/>
  <c r="D195" i="10" l="1"/>
  <c r="E195" i="10" s="1"/>
  <c r="C748" i="1"/>
  <c r="M747" i="1"/>
  <c r="N747" i="1" s="1"/>
  <c r="F747" i="1"/>
  <c r="D196" i="10" l="1"/>
  <c r="E196" i="10" s="1"/>
  <c r="C749" i="1"/>
  <c r="M748" i="1"/>
  <c r="N748" i="1" s="1"/>
  <c r="F748" i="1"/>
  <c r="D197" i="10" l="1"/>
  <c r="E197" i="10" s="1"/>
  <c r="C750" i="1"/>
  <c r="M749" i="1"/>
  <c r="N749" i="1" s="1"/>
  <c r="F749" i="1"/>
  <c r="D198" i="10" l="1"/>
  <c r="E198" i="10" s="1"/>
  <c r="C751" i="1"/>
  <c r="M750" i="1"/>
  <c r="N750" i="1" s="1"/>
  <c r="F750" i="1"/>
  <c r="D199" i="10" l="1"/>
  <c r="E199" i="10" s="1"/>
  <c r="C752" i="1"/>
  <c r="M751" i="1"/>
  <c r="N751" i="1" s="1"/>
  <c r="F751" i="1"/>
  <c r="D200" i="10" l="1"/>
  <c r="E200" i="10" s="1"/>
  <c r="C753" i="1"/>
  <c r="M752" i="1"/>
  <c r="N752" i="1" s="1"/>
  <c r="F752" i="1"/>
  <c r="D201" i="10" l="1"/>
  <c r="E201" i="10" s="1"/>
  <c r="C754" i="1"/>
  <c r="M753" i="1"/>
  <c r="N753" i="1" s="1"/>
  <c r="F753" i="1"/>
  <c r="D202" i="10" l="1"/>
  <c r="E202" i="10" s="1"/>
  <c r="C755" i="1"/>
  <c r="M754" i="1"/>
  <c r="N754" i="1" s="1"/>
  <c r="F754" i="1"/>
  <c r="D203" i="10" l="1"/>
  <c r="E203" i="10" s="1"/>
  <c r="C756" i="1"/>
  <c r="F755" i="1"/>
  <c r="D204" i="10" l="1"/>
  <c r="E204" i="10" s="1"/>
  <c r="C757" i="1"/>
  <c r="F756" i="1"/>
  <c r="D205" i="10" l="1"/>
  <c r="E205" i="10" s="1"/>
  <c r="C758" i="1"/>
  <c r="M757" i="1"/>
  <c r="N757" i="1" s="1"/>
  <c r="F757" i="1"/>
  <c r="D206" i="10" l="1"/>
  <c r="E206" i="10" s="1"/>
  <c r="C759" i="1"/>
  <c r="M758" i="1"/>
  <c r="N758" i="1" s="1"/>
  <c r="F758" i="1"/>
  <c r="D207" i="10" l="1"/>
  <c r="C760" i="1"/>
  <c r="M759" i="1"/>
  <c r="N759" i="1" s="1"/>
  <c r="F759" i="1"/>
  <c r="E207" i="10" l="1"/>
  <c r="D208" i="10"/>
  <c r="E208" i="10" s="1"/>
  <c r="C761" i="1"/>
  <c r="M760" i="1"/>
  <c r="N760" i="1" s="1"/>
  <c r="F760" i="1"/>
  <c r="D209" i="10" l="1"/>
  <c r="E209" i="10" s="1"/>
  <c r="C762" i="1"/>
  <c r="M761" i="1"/>
  <c r="N761" i="1" s="1"/>
  <c r="F761" i="1"/>
  <c r="D210" i="10" l="1"/>
  <c r="E210" i="10" s="1"/>
  <c r="C763" i="1"/>
  <c r="M762" i="1"/>
  <c r="N762" i="1" s="1"/>
  <c r="F762" i="1"/>
  <c r="D211" i="10" l="1"/>
  <c r="E211" i="10" s="1"/>
  <c r="C764" i="1"/>
  <c r="K764" i="1" s="1"/>
  <c r="M763" i="1"/>
  <c r="N763" i="1" s="1"/>
  <c r="F763" i="1"/>
  <c r="K741" i="1"/>
  <c r="L741" i="1"/>
  <c r="D212" i="10" l="1"/>
  <c r="E212" i="10" s="1"/>
  <c r="K742" i="1"/>
  <c r="K744" i="1" s="1"/>
  <c r="K745" i="1" s="1"/>
  <c r="L742" i="1"/>
  <c r="L744" i="1" s="1"/>
  <c r="L745" i="1" s="1"/>
  <c r="L764" i="1"/>
  <c r="K766" i="1"/>
  <c r="M764" i="1"/>
  <c r="N764" i="1" s="1"/>
  <c r="C765" i="1"/>
  <c r="F764" i="1"/>
  <c r="D213" i="10" l="1"/>
  <c r="E213" i="10" s="1"/>
  <c r="L766" i="1"/>
  <c r="K768" i="1"/>
  <c r="K769" i="1"/>
  <c r="M765" i="1"/>
  <c r="N765" i="1" s="1"/>
  <c r="C766" i="1"/>
  <c r="F765" i="1"/>
  <c r="D214" i="10" l="1"/>
  <c r="E214" i="10" s="1"/>
  <c r="K771" i="1"/>
  <c r="L769" i="1"/>
  <c r="L768" i="1"/>
  <c r="M766" i="1"/>
  <c r="N766" i="1" s="1"/>
  <c r="C767" i="1"/>
  <c r="F766" i="1"/>
  <c r="D215" i="10" l="1"/>
  <c r="E215" i="10" s="1"/>
  <c r="L771" i="1"/>
  <c r="M767" i="1"/>
  <c r="N767" i="1" s="1"/>
  <c r="C768" i="1"/>
  <c r="F767" i="1"/>
  <c r="D216" i="10" l="1"/>
  <c r="E216" i="10" s="1"/>
  <c r="M768" i="1"/>
  <c r="N768" i="1" s="1"/>
  <c r="C769" i="1"/>
  <c r="F768" i="1"/>
  <c r="M769" i="1" l="1"/>
  <c r="N769" i="1" s="1"/>
  <c r="C770" i="1"/>
  <c r="F769" i="1"/>
  <c r="M770" i="1" l="1"/>
  <c r="N770" i="1" s="1"/>
  <c r="C771" i="1"/>
  <c r="F770" i="1"/>
  <c r="M771" i="1" l="1"/>
  <c r="N771" i="1" s="1"/>
  <c r="C772" i="1"/>
  <c r="F771" i="1"/>
  <c r="M772" i="1" l="1"/>
  <c r="N772" i="1" s="1"/>
  <c r="C773" i="1"/>
  <c r="F772" i="1"/>
  <c r="M773" i="1" l="1"/>
  <c r="N773" i="1" s="1"/>
  <c r="C774" i="1"/>
  <c r="F773" i="1"/>
  <c r="M774" i="1" l="1"/>
  <c r="N774" i="1" s="1"/>
  <c r="C775" i="1"/>
  <c r="F774" i="1"/>
  <c r="M775" i="1" l="1"/>
  <c r="N775" i="1" s="1"/>
  <c r="C776" i="1"/>
  <c r="F775" i="1"/>
  <c r="M776" i="1" l="1"/>
  <c r="N776" i="1" s="1"/>
  <c r="C777" i="1"/>
  <c r="F776" i="1"/>
  <c r="C778" i="1" l="1"/>
  <c r="F777" i="1"/>
  <c r="M778" i="1" l="1"/>
  <c r="N778" i="1" s="1"/>
  <c r="C779" i="1"/>
  <c r="F778" i="1"/>
  <c r="M779" i="1" l="1"/>
  <c r="N779" i="1" s="1"/>
  <c r="C780" i="1"/>
  <c r="F779" i="1"/>
  <c r="C781" i="1" l="1"/>
  <c r="F780" i="1"/>
  <c r="M781" i="1" l="1"/>
  <c r="N781" i="1" s="1"/>
  <c r="C782" i="1"/>
  <c r="F781" i="1"/>
  <c r="M782" i="1" l="1"/>
  <c r="N782" i="1" s="1"/>
  <c r="C783" i="1"/>
  <c r="F782" i="1"/>
  <c r="M783" i="1" l="1"/>
  <c r="N783" i="1" s="1"/>
  <c r="C784" i="1"/>
  <c r="F783" i="1"/>
  <c r="M784" i="1" l="1"/>
  <c r="N784" i="1" s="1"/>
  <c r="C785" i="1"/>
  <c r="F784" i="1"/>
  <c r="M785" i="1" l="1"/>
  <c r="N785" i="1" s="1"/>
  <c r="C786" i="1"/>
  <c r="F785" i="1"/>
  <c r="M786" i="1" l="1"/>
  <c r="N786" i="1" s="1"/>
  <c r="C787" i="1"/>
  <c r="F786" i="1"/>
  <c r="M787" i="1" l="1"/>
  <c r="N787" i="1" s="1"/>
  <c r="C788" i="1"/>
  <c r="F787" i="1"/>
  <c r="M788" i="1" l="1"/>
  <c r="N788" i="1" s="1"/>
  <c r="C789" i="1"/>
  <c r="F788" i="1"/>
  <c r="M789" i="1" l="1"/>
  <c r="N789" i="1" s="1"/>
  <c r="C790" i="1"/>
  <c r="F789" i="1"/>
  <c r="M790" i="1" l="1"/>
  <c r="N790" i="1" s="1"/>
  <c r="C791" i="1"/>
  <c r="F790" i="1"/>
  <c r="M791" i="1" l="1"/>
  <c r="N791" i="1" s="1"/>
  <c r="C792" i="1"/>
  <c r="F791" i="1"/>
  <c r="M792" i="1" l="1"/>
  <c r="N792" i="1" s="1"/>
  <c r="C793" i="1"/>
  <c r="F792" i="1"/>
  <c r="M793" i="1" l="1"/>
  <c r="N793" i="1" s="1"/>
  <c r="C794" i="1"/>
  <c r="F793" i="1"/>
  <c r="M794" i="1" l="1"/>
  <c r="N794" i="1" s="1"/>
  <c r="C795" i="1"/>
  <c r="K795" i="1" s="1"/>
  <c r="F794" i="1"/>
  <c r="L772" i="1"/>
  <c r="K772" i="1"/>
  <c r="K773" i="1" l="1"/>
  <c r="K775" i="1" s="1"/>
  <c r="K776" i="1" s="1"/>
  <c r="L773" i="1"/>
  <c r="L775" i="1" s="1"/>
  <c r="L776" i="1" s="1"/>
  <c r="L795" i="1"/>
  <c r="K797" i="1"/>
  <c r="M795" i="1"/>
  <c r="N795" i="1" s="1"/>
  <c r="C796" i="1"/>
  <c r="F795" i="1"/>
  <c r="K799" i="1" l="1"/>
  <c r="L797" i="1"/>
  <c r="K800" i="1"/>
  <c r="M796" i="1"/>
  <c r="N796" i="1" s="1"/>
  <c r="C797" i="1"/>
  <c r="F796" i="1"/>
  <c r="K802" i="1" l="1"/>
  <c r="L799" i="1"/>
  <c r="L800" i="1"/>
  <c r="M797" i="1"/>
  <c r="N797" i="1" s="1"/>
  <c r="C798" i="1"/>
  <c r="F797" i="1"/>
  <c r="L802" i="1" l="1"/>
  <c r="M798" i="1"/>
  <c r="N798" i="1" s="1"/>
  <c r="C799" i="1"/>
  <c r="F798" i="1"/>
  <c r="M799" i="1" l="1"/>
  <c r="N799" i="1" s="1"/>
  <c r="C800" i="1"/>
  <c r="F799" i="1"/>
  <c r="M800" i="1" l="1"/>
  <c r="N800" i="1" s="1"/>
  <c r="C801" i="1"/>
  <c r="F800" i="1"/>
  <c r="M801" i="1" l="1"/>
  <c r="N801" i="1" s="1"/>
  <c r="C802" i="1"/>
  <c r="F801" i="1"/>
  <c r="M802" i="1" l="1"/>
  <c r="N802" i="1" s="1"/>
  <c r="C803" i="1"/>
  <c r="F802" i="1"/>
  <c r="M803" i="1" l="1"/>
  <c r="N803" i="1" s="1"/>
  <c r="C804" i="1"/>
  <c r="F803" i="1"/>
  <c r="M804" i="1" l="1"/>
  <c r="N804" i="1" s="1"/>
  <c r="C805" i="1"/>
  <c r="F804" i="1"/>
  <c r="M805" i="1" l="1"/>
  <c r="N805" i="1" s="1"/>
  <c r="C806" i="1"/>
  <c r="F805" i="1"/>
  <c r="M806" i="1" l="1"/>
  <c r="N806" i="1" s="1"/>
  <c r="C807" i="1"/>
  <c r="F806" i="1"/>
  <c r="M807" i="1" l="1"/>
  <c r="N807" i="1" s="1"/>
  <c r="C808" i="1"/>
  <c r="F807" i="1"/>
  <c r="M808" i="1" l="1"/>
  <c r="N808" i="1" s="1"/>
  <c r="C809" i="1"/>
  <c r="F808" i="1"/>
  <c r="M809" i="1" l="1"/>
  <c r="N809" i="1" s="1"/>
  <c r="C810" i="1"/>
  <c r="F809" i="1"/>
  <c r="M810" i="1" l="1"/>
  <c r="N810" i="1" s="1"/>
  <c r="C811" i="1"/>
  <c r="F810" i="1"/>
  <c r="M811" i="1" l="1"/>
  <c r="N811" i="1" s="1"/>
  <c r="C812" i="1"/>
  <c r="F811" i="1"/>
  <c r="C813" i="1" l="1"/>
  <c r="F812" i="1"/>
  <c r="M813" i="1" l="1"/>
  <c r="N813" i="1" s="1"/>
  <c r="C814" i="1"/>
  <c r="F813" i="1"/>
  <c r="M814" i="1" l="1"/>
  <c r="N814" i="1" s="1"/>
  <c r="C815" i="1"/>
  <c r="F814" i="1"/>
  <c r="C816" i="1" l="1"/>
  <c r="F815" i="1"/>
  <c r="M816" i="1" l="1"/>
  <c r="N816" i="1" s="1"/>
  <c r="C817" i="1"/>
  <c r="F816" i="1"/>
  <c r="M817" i="1" l="1"/>
  <c r="N817" i="1" s="1"/>
  <c r="C818" i="1"/>
  <c r="F817" i="1"/>
  <c r="M818" i="1" l="1"/>
  <c r="N818" i="1" s="1"/>
  <c r="C819" i="1"/>
  <c r="F818" i="1"/>
  <c r="M819" i="1" l="1"/>
  <c r="N819" i="1" s="1"/>
  <c r="C820" i="1"/>
  <c r="F819" i="1"/>
  <c r="M820" i="1" l="1"/>
  <c r="N820" i="1" s="1"/>
  <c r="C821" i="1"/>
  <c r="F820" i="1"/>
  <c r="M821" i="1" l="1"/>
  <c r="N821" i="1" s="1"/>
  <c r="C822" i="1"/>
  <c r="F821" i="1"/>
  <c r="M822" i="1" l="1"/>
  <c r="N822" i="1" s="1"/>
  <c r="C823" i="1"/>
  <c r="K823" i="1" s="1"/>
  <c r="F822" i="1"/>
  <c r="K803" i="1"/>
  <c r="L803" i="1"/>
  <c r="K804" i="1" l="1"/>
  <c r="K806" i="1" s="1"/>
  <c r="K807" i="1" s="1"/>
  <c r="L804" i="1"/>
  <c r="L806" i="1" s="1"/>
  <c r="L807" i="1" s="1"/>
  <c r="L823" i="1"/>
  <c r="K825" i="1"/>
  <c r="M823" i="1"/>
  <c r="N823" i="1" s="1"/>
  <c r="C824" i="1"/>
  <c r="F823" i="1"/>
  <c r="L825" i="1" l="1"/>
  <c r="K828" i="1"/>
  <c r="K827" i="1"/>
  <c r="M824" i="1"/>
  <c r="N824" i="1" s="1"/>
  <c r="C825" i="1"/>
  <c r="F824" i="1"/>
  <c r="K830" i="1" l="1"/>
  <c r="L827" i="1"/>
  <c r="L828" i="1"/>
  <c r="M825" i="1"/>
  <c r="N825" i="1" s="1"/>
  <c r="C826" i="1"/>
  <c r="F825" i="1"/>
  <c r="L830" i="1" l="1"/>
  <c r="M826" i="1"/>
  <c r="N826" i="1" s="1"/>
  <c r="C827" i="1"/>
  <c r="F826" i="1"/>
  <c r="M827" i="1" l="1"/>
  <c r="N827" i="1" s="1"/>
  <c r="C828" i="1"/>
  <c r="F827" i="1"/>
  <c r="M828" i="1" l="1"/>
  <c r="N828" i="1" s="1"/>
  <c r="C829" i="1"/>
  <c r="F828" i="1"/>
  <c r="M829" i="1" l="1"/>
  <c r="N829" i="1" s="1"/>
  <c r="C830" i="1"/>
  <c r="F829" i="1"/>
  <c r="M830" i="1" l="1"/>
  <c r="N830" i="1" s="1"/>
  <c r="C831" i="1"/>
  <c r="F830" i="1"/>
  <c r="M831" i="1" l="1"/>
  <c r="N831" i="1" s="1"/>
  <c r="C832" i="1"/>
  <c r="F831" i="1"/>
  <c r="M832" i="1" l="1"/>
  <c r="N832" i="1" s="1"/>
  <c r="C833" i="1"/>
  <c r="F832" i="1"/>
  <c r="M833" i="1" l="1"/>
  <c r="N833" i="1" s="1"/>
  <c r="C834" i="1"/>
  <c r="F833" i="1"/>
  <c r="M834" i="1" l="1"/>
  <c r="N834" i="1" s="1"/>
  <c r="C835" i="1"/>
  <c r="F834" i="1"/>
  <c r="M835" i="1" l="1"/>
  <c r="N835" i="1" s="1"/>
  <c r="C836" i="1"/>
  <c r="F835" i="1"/>
  <c r="M836" i="1" l="1"/>
  <c r="N836" i="1" s="1"/>
  <c r="C837" i="1"/>
  <c r="F836" i="1"/>
  <c r="M837" i="1" l="1"/>
  <c r="N837" i="1" s="1"/>
  <c r="C838" i="1"/>
  <c r="F837" i="1"/>
  <c r="M838" i="1" l="1"/>
  <c r="N838" i="1" s="1"/>
  <c r="C839" i="1"/>
  <c r="F838" i="1"/>
  <c r="M839" i="1" l="1"/>
  <c r="N839" i="1" s="1"/>
  <c r="C840" i="1"/>
  <c r="F839" i="1"/>
  <c r="M840" i="1" l="1"/>
  <c r="N840" i="1" s="1"/>
  <c r="C841" i="1"/>
  <c r="F840" i="1"/>
  <c r="M841" i="1" l="1"/>
  <c r="N841" i="1" s="1"/>
  <c r="C842" i="1"/>
  <c r="F841" i="1"/>
  <c r="M842" i="1" l="1"/>
  <c r="N842" i="1" s="1"/>
  <c r="C843" i="1"/>
  <c r="F842" i="1"/>
  <c r="M843" i="1" l="1"/>
  <c r="N843" i="1" s="1"/>
  <c r="C844" i="1"/>
  <c r="F843" i="1"/>
  <c r="M844" i="1" l="1"/>
  <c r="N844" i="1" s="1"/>
  <c r="C845" i="1"/>
  <c r="F844" i="1"/>
  <c r="M845" i="1" l="1"/>
  <c r="N845" i="1" s="1"/>
  <c r="C846" i="1"/>
  <c r="F845" i="1"/>
  <c r="M846" i="1" l="1"/>
  <c r="N846" i="1" s="1"/>
  <c r="C847" i="1"/>
  <c r="F846" i="1"/>
  <c r="M847" i="1" l="1"/>
  <c r="N847" i="1" s="1"/>
  <c r="C848" i="1"/>
  <c r="F847" i="1"/>
  <c r="M848" i="1" l="1"/>
  <c r="N848" i="1" s="1"/>
  <c r="C849" i="1"/>
  <c r="F848" i="1"/>
  <c r="M849" i="1" l="1"/>
  <c r="N849" i="1" s="1"/>
  <c r="C850" i="1"/>
  <c r="F849" i="1"/>
  <c r="M850" i="1" l="1"/>
  <c r="N850" i="1" s="1"/>
  <c r="C851" i="1"/>
  <c r="F850" i="1"/>
  <c r="M851" i="1" l="1"/>
  <c r="N851" i="1" s="1"/>
  <c r="C852" i="1"/>
  <c r="F851" i="1"/>
  <c r="M852" i="1" l="1"/>
  <c r="N852" i="1" s="1"/>
  <c r="C853" i="1"/>
  <c r="F852" i="1"/>
  <c r="M853" i="1" l="1"/>
  <c r="N853" i="1" s="1"/>
  <c r="C854" i="1"/>
  <c r="K854" i="1" s="1"/>
  <c r="F853" i="1"/>
  <c r="L831" i="1"/>
  <c r="K831" i="1"/>
  <c r="K832" i="1" l="1"/>
  <c r="K834" i="1" s="1"/>
  <c r="K835" i="1" s="1"/>
  <c r="L832" i="1"/>
  <c r="L834" i="1" s="1"/>
  <c r="L835" i="1" s="1"/>
  <c r="L854" i="1"/>
  <c r="K856" i="1"/>
  <c r="M854" i="1"/>
  <c r="N854" i="1" s="1"/>
  <c r="C855" i="1"/>
  <c r="F854" i="1"/>
  <c r="L856" i="1" l="1"/>
  <c r="K858" i="1"/>
  <c r="K859" i="1"/>
  <c r="M855" i="1"/>
  <c r="N855" i="1" s="1"/>
  <c r="C856" i="1"/>
  <c r="F855" i="1"/>
  <c r="K861" i="1" l="1"/>
  <c r="L859" i="1"/>
  <c r="L858" i="1"/>
  <c r="M856" i="1"/>
  <c r="N856" i="1" s="1"/>
  <c r="C857" i="1"/>
  <c r="F856" i="1"/>
  <c r="L861" i="1" l="1"/>
  <c r="M857" i="1"/>
  <c r="N857" i="1" s="1"/>
  <c r="C858" i="1"/>
  <c r="F857" i="1"/>
  <c r="M858" i="1" l="1"/>
  <c r="N858" i="1" s="1"/>
  <c r="C859" i="1"/>
  <c r="F858" i="1"/>
  <c r="M859" i="1" l="1"/>
  <c r="N859" i="1" s="1"/>
  <c r="C860" i="1"/>
  <c r="F859" i="1"/>
  <c r="M860" i="1" l="1"/>
  <c r="N860" i="1" s="1"/>
  <c r="C861" i="1"/>
  <c r="F860" i="1"/>
  <c r="M861" i="1" l="1"/>
  <c r="N861" i="1" s="1"/>
  <c r="C862" i="1"/>
  <c r="F861" i="1"/>
  <c r="M862" i="1" l="1"/>
  <c r="N862" i="1" s="1"/>
  <c r="C863" i="1"/>
  <c r="F862" i="1"/>
  <c r="M863" i="1" l="1"/>
  <c r="N863" i="1" s="1"/>
  <c r="C864" i="1"/>
  <c r="F863" i="1"/>
  <c r="M864" i="1" l="1"/>
  <c r="N864" i="1" s="1"/>
  <c r="C865" i="1"/>
  <c r="F864" i="1"/>
  <c r="M865" i="1" l="1"/>
  <c r="N865" i="1" s="1"/>
  <c r="C866" i="1"/>
  <c r="F865" i="1"/>
  <c r="M866" i="1" l="1"/>
  <c r="N866" i="1" s="1"/>
  <c r="C867" i="1"/>
  <c r="F866" i="1"/>
  <c r="C868" i="1" l="1"/>
  <c r="F867" i="1"/>
  <c r="C869" i="1" l="1"/>
  <c r="F868" i="1"/>
  <c r="M869" i="1" l="1"/>
  <c r="N869" i="1" s="1"/>
  <c r="C870" i="1"/>
  <c r="F869" i="1"/>
  <c r="M870" i="1" l="1"/>
  <c r="N870" i="1" s="1"/>
  <c r="C871" i="1"/>
  <c r="F870" i="1"/>
  <c r="M871" i="1" l="1"/>
  <c r="N871" i="1" s="1"/>
  <c r="C872" i="1"/>
  <c r="F871" i="1"/>
  <c r="M872" i="1" l="1"/>
  <c r="N872" i="1" s="1"/>
  <c r="C873" i="1"/>
  <c r="F872" i="1"/>
  <c r="M873" i="1" l="1"/>
  <c r="N873" i="1" s="1"/>
  <c r="C874" i="1"/>
  <c r="F873" i="1"/>
  <c r="M874" i="1" l="1"/>
  <c r="N874" i="1" s="1"/>
  <c r="C875" i="1"/>
  <c r="F874" i="1"/>
  <c r="M875" i="1" l="1"/>
  <c r="N875" i="1" s="1"/>
  <c r="C876" i="1"/>
  <c r="F875" i="1"/>
  <c r="M876" i="1" l="1"/>
  <c r="N876" i="1" s="1"/>
  <c r="C877" i="1"/>
  <c r="F876" i="1"/>
  <c r="M877" i="1" l="1"/>
  <c r="N877" i="1" s="1"/>
  <c r="C878" i="1"/>
  <c r="F877" i="1"/>
  <c r="M878" i="1" l="1"/>
  <c r="N878" i="1" s="1"/>
  <c r="C879" i="1"/>
  <c r="F878" i="1"/>
  <c r="M879" i="1" l="1"/>
  <c r="N879" i="1" s="1"/>
  <c r="C880" i="1"/>
  <c r="F879" i="1"/>
  <c r="M880" i="1" l="1"/>
  <c r="N880" i="1" s="1"/>
  <c r="C881" i="1"/>
  <c r="F880" i="1"/>
  <c r="M881" i="1" l="1"/>
  <c r="N881" i="1" s="1"/>
  <c r="C882" i="1"/>
  <c r="F881" i="1"/>
  <c r="M882" i="1" l="1"/>
  <c r="N882" i="1" s="1"/>
  <c r="C883" i="1"/>
  <c r="F882" i="1"/>
  <c r="M883" i="1" l="1"/>
  <c r="N883" i="1" s="1"/>
  <c r="C884" i="1"/>
  <c r="K884" i="1" s="1"/>
  <c r="F883" i="1"/>
  <c r="K862" i="1"/>
  <c r="L862" i="1"/>
  <c r="K863" i="1" l="1"/>
  <c r="K865" i="1" s="1"/>
  <c r="K866" i="1" s="1"/>
  <c r="L863" i="1"/>
  <c r="L865" i="1" s="1"/>
  <c r="L866" i="1" s="1"/>
  <c r="K886" i="1"/>
  <c r="L884" i="1"/>
  <c r="M884" i="1"/>
  <c r="N884" i="1" s="1"/>
  <c r="C885" i="1"/>
  <c r="F884" i="1"/>
  <c r="L886" i="1" l="1"/>
  <c r="K888" i="1"/>
  <c r="K889" i="1"/>
  <c r="M885" i="1"/>
  <c r="N885" i="1" s="1"/>
  <c r="C886" i="1"/>
  <c r="F885" i="1"/>
  <c r="K891" i="1" l="1"/>
  <c r="L888" i="1"/>
  <c r="L889" i="1"/>
  <c r="M886" i="1"/>
  <c r="N886" i="1" s="1"/>
  <c r="C887" i="1"/>
  <c r="F886" i="1"/>
  <c r="L891" i="1" l="1"/>
  <c r="M887" i="1"/>
  <c r="N887" i="1" s="1"/>
  <c r="C888" i="1"/>
  <c r="F887" i="1"/>
  <c r="M888" i="1" l="1"/>
  <c r="N888" i="1" s="1"/>
  <c r="C889" i="1"/>
  <c r="F888" i="1"/>
  <c r="M889" i="1" l="1"/>
  <c r="N889" i="1" s="1"/>
  <c r="C890" i="1"/>
  <c r="F889" i="1"/>
  <c r="M890" i="1" l="1"/>
  <c r="N890" i="1" s="1"/>
  <c r="C891" i="1"/>
  <c r="F890" i="1"/>
  <c r="M891" i="1" l="1"/>
  <c r="N891" i="1" s="1"/>
  <c r="C892" i="1"/>
  <c r="F891" i="1"/>
  <c r="M892" i="1" l="1"/>
  <c r="N892" i="1" s="1"/>
  <c r="C893" i="1"/>
  <c r="F892" i="1"/>
  <c r="M893" i="1" l="1"/>
  <c r="N893" i="1" s="1"/>
  <c r="C894" i="1"/>
  <c r="F893" i="1"/>
  <c r="M894" i="1" l="1"/>
  <c r="N894" i="1" s="1"/>
  <c r="C895" i="1"/>
  <c r="F894" i="1"/>
  <c r="M895" i="1" l="1"/>
  <c r="N895" i="1" s="1"/>
  <c r="C896" i="1"/>
  <c r="F895" i="1"/>
  <c r="M896" i="1" l="1"/>
  <c r="N896" i="1" s="1"/>
  <c r="C897" i="1"/>
  <c r="F896" i="1"/>
  <c r="M897" i="1" l="1"/>
  <c r="N897" i="1" s="1"/>
  <c r="C898" i="1"/>
  <c r="F897" i="1"/>
  <c r="M898" i="1" l="1"/>
  <c r="N898" i="1" s="1"/>
  <c r="C899" i="1"/>
  <c r="F898" i="1"/>
  <c r="M899" i="1" l="1"/>
  <c r="N899" i="1" s="1"/>
  <c r="C900" i="1"/>
  <c r="F899" i="1"/>
  <c r="M900" i="1" l="1"/>
  <c r="N900" i="1" s="1"/>
  <c r="C901" i="1"/>
  <c r="F900" i="1"/>
  <c r="M901" i="1" l="1"/>
  <c r="N901" i="1" s="1"/>
  <c r="C902" i="1"/>
  <c r="F901" i="1"/>
  <c r="M902" i="1" l="1"/>
  <c r="N902" i="1" s="1"/>
  <c r="C903" i="1"/>
  <c r="F902" i="1"/>
  <c r="M903" i="1" l="1"/>
  <c r="N903" i="1" s="1"/>
  <c r="C904" i="1"/>
  <c r="F903" i="1"/>
  <c r="M904" i="1" l="1"/>
  <c r="N904" i="1" s="1"/>
  <c r="C905" i="1"/>
  <c r="F904" i="1"/>
  <c r="M905" i="1" l="1"/>
  <c r="N905" i="1" s="1"/>
  <c r="C906" i="1"/>
  <c r="F905" i="1"/>
  <c r="M906" i="1" l="1"/>
  <c r="N906" i="1" s="1"/>
  <c r="C907" i="1"/>
  <c r="F906" i="1"/>
  <c r="M907" i="1" l="1"/>
  <c r="N907" i="1" s="1"/>
  <c r="C908" i="1"/>
  <c r="F907" i="1"/>
  <c r="M908" i="1" l="1"/>
  <c r="N908" i="1" s="1"/>
  <c r="C909" i="1"/>
  <c r="F908" i="1"/>
  <c r="M909" i="1" l="1"/>
  <c r="N909" i="1" s="1"/>
  <c r="C910" i="1"/>
  <c r="F909" i="1"/>
  <c r="C911" i="1" l="1"/>
  <c r="F910" i="1"/>
  <c r="M911" i="1" l="1"/>
  <c r="N911" i="1" s="1"/>
  <c r="C912" i="1"/>
  <c r="F911" i="1"/>
  <c r="M912" i="1" l="1"/>
  <c r="N912" i="1" s="1"/>
  <c r="C913" i="1"/>
  <c r="F912" i="1"/>
  <c r="C914" i="1" l="1"/>
  <c r="F913" i="1"/>
  <c r="M914" i="1" l="1"/>
  <c r="N914" i="1" s="1"/>
  <c r="C915" i="1"/>
  <c r="K915" i="1" s="1"/>
  <c r="F914" i="1"/>
  <c r="L892" i="1"/>
  <c r="K892" i="1"/>
  <c r="K893" i="1" l="1"/>
  <c r="K895" i="1" s="1"/>
  <c r="K896" i="1" s="1"/>
  <c r="L893" i="1"/>
  <c r="L895" i="1" s="1"/>
  <c r="L896" i="1" s="1"/>
  <c r="L915" i="1"/>
  <c r="K917" i="1"/>
  <c r="M915" i="1"/>
  <c r="N915" i="1" s="1"/>
  <c r="C916" i="1"/>
  <c r="F915" i="1"/>
  <c r="L917" i="1" l="1"/>
  <c r="K919" i="1"/>
  <c r="K920" i="1"/>
  <c r="M916" i="1"/>
  <c r="N916" i="1" s="1"/>
  <c r="C917" i="1"/>
  <c r="F916" i="1"/>
  <c r="K922" i="1" l="1"/>
  <c r="L920" i="1"/>
  <c r="L919" i="1"/>
  <c r="M917" i="1"/>
  <c r="N917" i="1" s="1"/>
  <c r="C918" i="1"/>
  <c r="F917" i="1"/>
  <c r="L922" i="1" l="1"/>
  <c r="M918" i="1"/>
  <c r="N918" i="1" s="1"/>
  <c r="C919" i="1"/>
  <c r="F918" i="1"/>
  <c r="M919" i="1" l="1"/>
  <c r="N919" i="1" s="1"/>
  <c r="C920" i="1"/>
  <c r="F919" i="1"/>
  <c r="M920" i="1" l="1"/>
  <c r="N920" i="1" s="1"/>
  <c r="C921" i="1"/>
  <c r="F920" i="1"/>
  <c r="M921" i="1" l="1"/>
  <c r="N921" i="1" s="1"/>
  <c r="C922" i="1"/>
  <c r="F921" i="1"/>
  <c r="M922" i="1" l="1"/>
  <c r="N922" i="1" s="1"/>
  <c r="C923" i="1"/>
  <c r="F922" i="1"/>
  <c r="M923" i="1" l="1"/>
  <c r="N923" i="1" s="1"/>
  <c r="C924" i="1"/>
  <c r="F923" i="1"/>
  <c r="M924" i="1" l="1"/>
  <c r="N924" i="1" s="1"/>
  <c r="C925" i="1"/>
  <c r="F924" i="1"/>
  <c r="M925" i="1" l="1"/>
  <c r="N925" i="1" s="1"/>
  <c r="C926" i="1"/>
  <c r="F925" i="1"/>
  <c r="M926" i="1" l="1"/>
  <c r="N926" i="1" s="1"/>
  <c r="C927" i="1"/>
  <c r="F926" i="1"/>
  <c r="M927" i="1" l="1"/>
  <c r="N927" i="1" s="1"/>
  <c r="C928" i="1"/>
  <c r="F927" i="1"/>
  <c r="M928" i="1" l="1"/>
  <c r="N928" i="1" s="1"/>
  <c r="C929" i="1"/>
  <c r="F928" i="1"/>
  <c r="M929" i="1" l="1"/>
  <c r="N929" i="1" s="1"/>
  <c r="C930" i="1"/>
  <c r="F929" i="1"/>
  <c r="M930" i="1" l="1"/>
  <c r="N930" i="1" s="1"/>
  <c r="C931" i="1"/>
  <c r="F930" i="1"/>
  <c r="C932" i="1" l="1"/>
  <c r="F931" i="1"/>
  <c r="M932" i="1" l="1"/>
  <c r="N932" i="1" s="1"/>
  <c r="C933" i="1"/>
  <c r="F932" i="1"/>
  <c r="M933" i="1" l="1"/>
  <c r="N933" i="1" s="1"/>
  <c r="C934" i="1"/>
  <c r="F933" i="1"/>
  <c r="C935" i="1" l="1"/>
  <c r="F934" i="1"/>
  <c r="M935" i="1" l="1"/>
  <c r="N935" i="1" s="1"/>
  <c r="C936" i="1"/>
  <c r="F935" i="1"/>
  <c r="M936" i="1" l="1"/>
  <c r="N936" i="1" s="1"/>
  <c r="C937" i="1"/>
  <c r="F936" i="1"/>
  <c r="M937" i="1" l="1"/>
  <c r="N937" i="1" s="1"/>
  <c r="C938" i="1"/>
  <c r="F937" i="1"/>
  <c r="M938" i="1" l="1"/>
  <c r="N938" i="1" s="1"/>
  <c r="C939" i="1"/>
  <c r="F938" i="1"/>
  <c r="M939" i="1" l="1"/>
  <c r="N939" i="1" s="1"/>
  <c r="C940" i="1"/>
  <c r="F939" i="1"/>
  <c r="M940" i="1" l="1"/>
  <c r="N940" i="1" s="1"/>
  <c r="C941" i="1"/>
  <c r="F940" i="1"/>
  <c r="M941" i="1" l="1"/>
  <c r="N941" i="1" s="1"/>
  <c r="C942" i="1"/>
  <c r="F941" i="1"/>
  <c r="M942" i="1" l="1"/>
  <c r="N942" i="1" s="1"/>
  <c r="C943" i="1"/>
  <c r="F942" i="1"/>
  <c r="M943" i="1" l="1"/>
  <c r="N943" i="1" s="1"/>
  <c r="C944" i="1"/>
  <c r="F943" i="1"/>
  <c r="M944" i="1" l="1"/>
  <c r="N944" i="1" s="1"/>
  <c r="C945" i="1"/>
  <c r="K945" i="1" s="1"/>
  <c r="F944" i="1"/>
  <c r="K923" i="1"/>
  <c r="L923" i="1"/>
  <c r="K924" i="1" l="1"/>
  <c r="K926" i="1" s="1"/>
  <c r="K927" i="1" s="1"/>
  <c r="L924" i="1"/>
  <c r="L926" i="1" s="1"/>
  <c r="L927" i="1" s="1"/>
  <c r="K947" i="1"/>
  <c r="L945" i="1"/>
  <c r="C946" i="1"/>
  <c r="F945" i="1"/>
  <c r="L947" i="1" l="1"/>
  <c r="K950" i="1"/>
  <c r="K949" i="1"/>
  <c r="M946" i="1"/>
  <c r="N946" i="1" s="1"/>
  <c r="C947" i="1"/>
  <c r="F946" i="1"/>
  <c r="K952" i="1" l="1"/>
  <c r="L949" i="1"/>
  <c r="L950" i="1"/>
  <c r="M947" i="1"/>
  <c r="N947" i="1" s="1"/>
  <c r="C948" i="1"/>
  <c r="F947" i="1"/>
  <c r="L952" i="1" l="1"/>
  <c r="C949" i="1"/>
  <c r="F948" i="1"/>
  <c r="M949" i="1" l="1"/>
  <c r="N949" i="1" s="1"/>
  <c r="C950" i="1"/>
  <c r="F949" i="1"/>
  <c r="M950" i="1" l="1"/>
  <c r="N950" i="1" s="1"/>
  <c r="C951" i="1"/>
  <c r="F950" i="1"/>
  <c r="M951" i="1" l="1"/>
  <c r="N951" i="1" s="1"/>
  <c r="C952" i="1"/>
  <c r="F951" i="1"/>
  <c r="M952" i="1" l="1"/>
  <c r="N952" i="1" s="1"/>
  <c r="C953" i="1"/>
  <c r="F952" i="1"/>
  <c r="M953" i="1" l="1"/>
  <c r="N953" i="1" s="1"/>
  <c r="C954" i="1"/>
  <c r="F953" i="1"/>
  <c r="M954" i="1" l="1"/>
  <c r="N954" i="1" s="1"/>
  <c r="C955" i="1"/>
  <c r="F954" i="1"/>
  <c r="M955" i="1" l="1"/>
  <c r="N955" i="1" s="1"/>
  <c r="C956" i="1"/>
  <c r="F955" i="1"/>
  <c r="M956" i="1" l="1"/>
  <c r="N956" i="1" s="1"/>
  <c r="C957" i="1"/>
  <c r="F956" i="1"/>
  <c r="M957" i="1" l="1"/>
  <c r="N957" i="1" s="1"/>
  <c r="C958" i="1"/>
  <c r="F957" i="1"/>
  <c r="M958" i="1" l="1"/>
  <c r="N958" i="1" s="1"/>
  <c r="C959" i="1"/>
  <c r="F958" i="1"/>
  <c r="M959" i="1" l="1"/>
  <c r="N959" i="1" s="1"/>
  <c r="C960" i="1"/>
  <c r="F959" i="1"/>
  <c r="M960" i="1" l="1"/>
  <c r="N960" i="1" s="1"/>
  <c r="C961" i="1"/>
  <c r="F960" i="1"/>
  <c r="M961" i="1" l="1"/>
  <c r="N961" i="1" s="1"/>
  <c r="C962" i="1"/>
  <c r="F961" i="1"/>
  <c r="M962" i="1" l="1"/>
  <c r="N962" i="1" s="1"/>
  <c r="C963" i="1"/>
  <c r="F962" i="1"/>
  <c r="M963" i="1" l="1"/>
  <c r="N963" i="1" s="1"/>
  <c r="C964" i="1"/>
  <c r="F963" i="1"/>
  <c r="M964" i="1" l="1"/>
  <c r="N964" i="1" s="1"/>
  <c r="C965" i="1"/>
  <c r="F964" i="1"/>
  <c r="M965" i="1" l="1"/>
  <c r="N965" i="1" s="1"/>
  <c r="C966" i="1"/>
  <c r="F965" i="1"/>
  <c r="M966" i="1" l="1"/>
  <c r="N966" i="1" s="1"/>
  <c r="C967" i="1"/>
  <c r="F966" i="1"/>
  <c r="M967" i="1" l="1"/>
  <c r="N967" i="1" s="1"/>
  <c r="C968" i="1"/>
  <c r="F967" i="1"/>
  <c r="M968" i="1" l="1"/>
  <c r="N968" i="1" s="1"/>
  <c r="C969" i="1"/>
  <c r="F968" i="1"/>
  <c r="M969" i="1" l="1"/>
  <c r="N969" i="1" s="1"/>
  <c r="C970" i="1"/>
  <c r="F969" i="1"/>
  <c r="M970" i="1" l="1"/>
  <c r="N970" i="1" s="1"/>
  <c r="C971" i="1"/>
  <c r="F970" i="1"/>
  <c r="M971" i="1" l="1"/>
  <c r="N971" i="1" s="1"/>
  <c r="C972" i="1"/>
  <c r="F971" i="1"/>
  <c r="M972" i="1" l="1"/>
  <c r="N972" i="1" s="1"/>
  <c r="C973" i="1"/>
  <c r="F972" i="1"/>
  <c r="M973" i="1" l="1"/>
  <c r="N973" i="1" s="1"/>
  <c r="C974" i="1"/>
  <c r="F973" i="1"/>
  <c r="M974" i="1" l="1"/>
  <c r="N974" i="1" s="1"/>
  <c r="C975" i="1"/>
  <c r="F974" i="1"/>
  <c r="M975" i="1" l="1"/>
  <c r="N975" i="1" s="1"/>
  <c r="C976" i="1"/>
  <c r="K976" i="1" s="1"/>
  <c r="F975" i="1"/>
  <c r="L953" i="1"/>
  <c r="K953" i="1"/>
  <c r="K954" i="1" l="1"/>
  <c r="K956" i="1" s="1"/>
  <c r="K957" i="1" s="1"/>
  <c r="L954" i="1"/>
  <c r="L956" i="1" s="1"/>
  <c r="L957" i="1" s="1"/>
  <c r="L976" i="1"/>
  <c r="K978" i="1"/>
  <c r="M976" i="1"/>
  <c r="N976" i="1" s="1"/>
  <c r="C977" i="1"/>
  <c r="F976" i="1"/>
  <c r="L978" i="1" l="1"/>
  <c r="K980" i="1"/>
  <c r="K981" i="1"/>
  <c r="M977" i="1"/>
  <c r="N977" i="1" s="1"/>
  <c r="C978" i="1"/>
  <c r="F977" i="1"/>
  <c r="K983" i="1" l="1"/>
  <c r="L980" i="1"/>
  <c r="L981" i="1"/>
  <c r="M978" i="1"/>
  <c r="N978" i="1" s="1"/>
  <c r="C979" i="1"/>
  <c r="F978" i="1"/>
  <c r="L983" i="1" l="1"/>
  <c r="M979" i="1"/>
  <c r="N979" i="1" s="1"/>
  <c r="C980" i="1"/>
  <c r="F979" i="1"/>
  <c r="M980" i="1" l="1"/>
  <c r="N980" i="1" s="1"/>
  <c r="C981" i="1"/>
  <c r="F980" i="1"/>
  <c r="M981" i="1" l="1"/>
  <c r="N981" i="1" s="1"/>
  <c r="C982" i="1"/>
  <c r="F981" i="1"/>
  <c r="M982" i="1" l="1"/>
  <c r="N982" i="1" s="1"/>
  <c r="C983" i="1"/>
  <c r="F982" i="1"/>
  <c r="M983" i="1" l="1"/>
  <c r="N983" i="1" s="1"/>
  <c r="C984" i="1"/>
  <c r="F983" i="1"/>
  <c r="M984" i="1" l="1"/>
  <c r="N984" i="1" s="1"/>
  <c r="C985" i="1"/>
  <c r="F984" i="1"/>
  <c r="M985" i="1" l="1"/>
  <c r="N985" i="1" s="1"/>
  <c r="C986" i="1"/>
  <c r="F985" i="1"/>
  <c r="M986" i="1" l="1"/>
  <c r="N986" i="1" s="1"/>
  <c r="C987" i="1"/>
  <c r="F986" i="1"/>
  <c r="M987" i="1" l="1"/>
  <c r="N987" i="1" s="1"/>
  <c r="C988" i="1"/>
  <c r="F987" i="1"/>
  <c r="M988" i="1" l="1"/>
  <c r="N988" i="1" s="1"/>
  <c r="C989" i="1"/>
  <c r="F988" i="1"/>
  <c r="M989" i="1" l="1"/>
  <c r="N989" i="1" s="1"/>
  <c r="C990" i="1"/>
  <c r="F989" i="1"/>
  <c r="M990" i="1" l="1"/>
  <c r="N990" i="1" s="1"/>
  <c r="C991" i="1"/>
  <c r="F990" i="1"/>
  <c r="M991" i="1" l="1"/>
  <c r="N991" i="1" s="1"/>
  <c r="C992" i="1"/>
  <c r="F991" i="1"/>
  <c r="M992" i="1" l="1"/>
  <c r="N992" i="1" s="1"/>
  <c r="C993" i="1"/>
  <c r="F992" i="1"/>
  <c r="M993" i="1" l="1"/>
  <c r="N993" i="1" s="1"/>
  <c r="C994" i="1"/>
  <c r="F993" i="1"/>
  <c r="M994" i="1" l="1"/>
  <c r="N994" i="1" s="1"/>
  <c r="C995" i="1"/>
  <c r="F994" i="1"/>
  <c r="M995" i="1" l="1"/>
  <c r="N995" i="1" s="1"/>
  <c r="C996" i="1"/>
  <c r="F995" i="1"/>
  <c r="M996" i="1" l="1"/>
  <c r="N996" i="1" s="1"/>
  <c r="C997" i="1"/>
  <c r="F996" i="1"/>
  <c r="M997" i="1" l="1"/>
  <c r="N997" i="1" s="1"/>
  <c r="C998" i="1"/>
  <c r="F997" i="1"/>
  <c r="M998" i="1" l="1"/>
  <c r="N998" i="1" s="1"/>
  <c r="C999" i="1"/>
  <c r="F998" i="1"/>
  <c r="M999" i="1" l="1"/>
  <c r="N999" i="1" s="1"/>
  <c r="C1000" i="1"/>
  <c r="F999" i="1"/>
  <c r="M1000" i="1" l="1"/>
  <c r="N1000" i="1" s="1"/>
  <c r="F1000" i="1"/>
  <c r="C1001" i="1"/>
  <c r="M1001" i="1" l="1"/>
  <c r="N1001" i="1" s="1"/>
  <c r="F1001" i="1"/>
  <c r="C1002" i="1"/>
  <c r="M1002" i="1" l="1"/>
  <c r="N1002" i="1" s="1"/>
  <c r="C1003" i="1"/>
  <c r="F1002" i="1"/>
  <c r="M1003" i="1" l="1"/>
  <c r="N1003" i="1" s="1"/>
  <c r="C1004" i="1"/>
  <c r="F1003" i="1"/>
  <c r="M1004" i="1" l="1"/>
  <c r="N1004" i="1" s="1"/>
  <c r="C1005" i="1"/>
  <c r="F1004" i="1"/>
  <c r="M1005" i="1" l="1"/>
  <c r="N1005" i="1" s="1"/>
  <c r="C1006" i="1"/>
  <c r="F1005" i="1"/>
  <c r="M1006" i="1" l="1"/>
  <c r="N1006" i="1" s="1"/>
  <c r="C1007" i="1"/>
  <c r="K1007" i="1" s="1"/>
  <c r="F1006" i="1"/>
  <c r="K984" i="1"/>
  <c r="L984" i="1"/>
  <c r="K985" i="1" l="1"/>
  <c r="K987" i="1" s="1"/>
  <c r="K988" i="1" s="1"/>
  <c r="L985" i="1"/>
  <c r="L987" i="1" s="1"/>
  <c r="L988" i="1" s="1"/>
  <c r="L1007" i="1"/>
  <c r="K1009" i="1"/>
  <c r="M1007" i="1"/>
  <c r="N1007" i="1" s="1"/>
  <c r="C1008" i="1"/>
  <c r="F1007" i="1"/>
  <c r="L1009" i="1" l="1"/>
  <c r="K1011" i="1"/>
  <c r="K1012" i="1"/>
  <c r="C1009" i="1"/>
  <c r="F1008" i="1"/>
  <c r="K1014" i="1" l="1"/>
  <c r="L1011" i="1"/>
  <c r="L1012" i="1"/>
  <c r="M1009" i="1"/>
  <c r="N1009" i="1" s="1"/>
  <c r="C1010" i="1"/>
  <c r="F1009" i="1"/>
  <c r="L1014" i="1" l="1"/>
  <c r="M1010" i="1"/>
  <c r="N1010" i="1" s="1"/>
  <c r="C1011" i="1"/>
  <c r="F1010" i="1"/>
  <c r="C1012" i="1" l="1"/>
  <c r="F1011" i="1"/>
  <c r="M1012" i="1" l="1"/>
  <c r="N1012" i="1" s="1"/>
  <c r="C1013" i="1"/>
  <c r="F1012" i="1"/>
  <c r="M1013" i="1" l="1"/>
  <c r="N1013" i="1" s="1"/>
  <c r="C1014" i="1"/>
  <c r="F1013" i="1"/>
  <c r="M1014" i="1" l="1"/>
  <c r="N1014" i="1" s="1"/>
  <c r="C1015" i="1"/>
  <c r="F1014" i="1"/>
  <c r="M1015" i="1" l="1"/>
  <c r="N1015" i="1" s="1"/>
  <c r="C1016" i="1"/>
  <c r="F1015" i="1"/>
  <c r="M1016" i="1" l="1"/>
  <c r="N1016" i="1" s="1"/>
  <c r="C1017" i="1"/>
  <c r="F1016" i="1"/>
  <c r="M1017" i="1" l="1"/>
  <c r="N1017" i="1" s="1"/>
  <c r="C1018" i="1"/>
  <c r="F1017" i="1"/>
  <c r="M1018" i="1" l="1"/>
  <c r="N1018" i="1" s="1"/>
  <c r="C1019" i="1"/>
  <c r="F1018" i="1"/>
  <c r="M1019" i="1" l="1"/>
  <c r="N1019" i="1" s="1"/>
  <c r="C1020" i="1"/>
  <c r="F1019" i="1"/>
  <c r="M1020" i="1" l="1"/>
  <c r="N1020" i="1" s="1"/>
  <c r="C1021" i="1"/>
  <c r="F1020" i="1"/>
  <c r="M1021" i="1" l="1"/>
  <c r="N1021" i="1" s="1"/>
  <c r="C1022" i="1"/>
  <c r="F1021" i="1"/>
  <c r="M1022" i="1" l="1"/>
  <c r="N1022" i="1" s="1"/>
  <c r="C1023" i="1"/>
  <c r="F1022" i="1"/>
  <c r="M1023" i="1" l="1"/>
  <c r="N1023" i="1" s="1"/>
  <c r="C1024" i="1"/>
  <c r="F1023" i="1"/>
  <c r="K40" i="9" l="1"/>
  <c r="K38" i="9"/>
  <c r="K41" i="9"/>
  <c r="J41" i="9"/>
  <c r="K29" i="9"/>
  <c r="K26" i="9"/>
  <c r="J26" i="9"/>
  <c r="K25" i="9"/>
  <c r="J28" i="9"/>
  <c r="J25" i="9"/>
  <c r="K22" i="9"/>
  <c r="J29" i="9"/>
  <c r="K28" i="9"/>
  <c r="K23" i="9"/>
  <c r="M1024" i="1"/>
  <c r="N1024" i="1" s="1"/>
  <c r="C1025" i="1"/>
  <c r="F1024" i="1"/>
  <c r="L40" i="9" l="1"/>
  <c r="L38" i="9"/>
  <c r="L29" i="9"/>
  <c r="L25" i="9"/>
  <c r="L28" i="9"/>
  <c r="L26" i="9"/>
  <c r="M1025" i="1"/>
  <c r="N1025" i="1" s="1"/>
  <c r="C1026" i="1"/>
  <c r="F1025" i="1"/>
  <c r="L41" i="9"/>
  <c r="M1026" i="1" l="1"/>
  <c r="N1026" i="1" s="1"/>
  <c r="C1027" i="1"/>
  <c r="F1026" i="1"/>
  <c r="M1027" i="1" l="1"/>
  <c r="N1027" i="1" s="1"/>
  <c r="C1028" i="1"/>
  <c r="F1027" i="1"/>
  <c r="M1028" i="1" l="1"/>
  <c r="N1028" i="1" s="1"/>
  <c r="C1029" i="1"/>
  <c r="F1028" i="1"/>
  <c r="M1029" i="1" l="1"/>
  <c r="N1029" i="1" s="1"/>
  <c r="C1030" i="1"/>
  <c r="F1029" i="1"/>
  <c r="M1030" i="1" l="1"/>
  <c r="N1030" i="1" s="1"/>
  <c r="C1031" i="1"/>
  <c r="F1030" i="1"/>
  <c r="M1031" i="1" l="1"/>
  <c r="N1031" i="1" s="1"/>
  <c r="C1032" i="1"/>
  <c r="F1031" i="1"/>
  <c r="M1032" i="1" l="1"/>
  <c r="N1032" i="1" s="1"/>
  <c r="C1033" i="1"/>
  <c r="F1032" i="1"/>
  <c r="M1033" i="1" l="1"/>
  <c r="N1033" i="1" s="1"/>
  <c r="C1034" i="1"/>
  <c r="F1033" i="1"/>
  <c r="M1034" i="1" l="1"/>
  <c r="N1034" i="1" s="1"/>
  <c r="C1035" i="1"/>
  <c r="F1034" i="1"/>
  <c r="M1035" i="1" l="1"/>
  <c r="N1035" i="1" s="1"/>
  <c r="C1036" i="1"/>
  <c r="F1035" i="1"/>
  <c r="M1036" i="1" l="1"/>
  <c r="N1036" i="1" s="1"/>
  <c r="C1037" i="1"/>
  <c r="K1037" i="1" s="1"/>
  <c r="F1036" i="1"/>
  <c r="L1037" i="1" l="1"/>
  <c r="K1039" i="1"/>
  <c r="M1037" i="1"/>
  <c r="N1037" i="1" s="1"/>
  <c r="C1038" i="1"/>
  <c r="F1037" i="1"/>
  <c r="L1039" i="1" l="1"/>
  <c r="K1041" i="1"/>
  <c r="K1042" i="1"/>
  <c r="M1038" i="1"/>
  <c r="N1038" i="1" s="1"/>
  <c r="C1039" i="1"/>
  <c r="F1038" i="1"/>
  <c r="L1042" i="1" l="1"/>
  <c r="L1041" i="1"/>
  <c r="M1039" i="1"/>
  <c r="C1040" i="1"/>
  <c r="F1039" i="1"/>
  <c r="L1044" i="1" l="1"/>
  <c r="M1040" i="1"/>
  <c r="C1041" i="1"/>
  <c r="F1040" i="1"/>
  <c r="N1046" i="1" l="1"/>
  <c r="N1039" i="1"/>
  <c r="N1040" i="1"/>
  <c r="N1043" i="1"/>
  <c r="M1041" i="1"/>
  <c r="N1041" i="1" s="1"/>
  <c r="C1042" i="1"/>
  <c r="F1041" i="1"/>
  <c r="M1042" i="1" l="1"/>
  <c r="N1042" i="1" s="1"/>
  <c r="C1043" i="1"/>
  <c r="F1042" i="1"/>
  <c r="C1044" i="1" l="1"/>
  <c r="F1043" i="1"/>
  <c r="M1044" i="1" l="1"/>
  <c r="N1044" i="1" s="1"/>
  <c r="C1045" i="1"/>
  <c r="F1044" i="1"/>
  <c r="M1045" i="1" l="1"/>
  <c r="N1045" i="1" s="1"/>
  <c r="C1046" i="1"/>
  <c r="F1045" i="1"/>
  <c r="C1047" i="1" l="1"/>
  <c r="F1046" i="1"/>
  <c r="M1047" i="1" l="1"/>
  <c r="N1047" i="1" s="1"/>
  <c r="C1048" i="1"/>
  <c r="F1047" i="1"/>
  <c r="M1048" i="1" l="1"/>
  <c r="N1048" i="1" s="1"/>
  <c r="C1049" i="1"/>
  <c r="F1048" i="1"/>
  <c r="M1049" i="1" l="1"/>
  <c r="N1049" i="1" s="1"/>
  <c r="C1050" i="1"/>
  <c r="F1049" i="1"/>
  <c r="M1050" i="1" l="1"/>
  <c r="N1050" i="1" s="1"/>
  <c r="C1051" i="1"/>
  <c r="F1050" i="1"/>
  <c r="M1051" i="1" l="1"/>
  <c r="N1051" i="1" s="1"/>
  <c r="C1052" i="1"/>
  <c r="F1051" i="1"/>
  <c r="M1052" i="1" l="1"/>
  <c r="N1052" i="1" s="1"/>
  <c r="C1053" i="1"/>
  <c r="F1052" i="1"/>
  <c r="M1053" i="1" l="1"/>
  <c r="N1053" i="1" s="1"/>
  <c r="C1054" i="1"/>
  <c r="F1053" i="1"/>
  <c r="M1054" i="1" l="1"/>
  <c r="N1054" i="1" s="1"/>
  <c r="C1055" i="1"/>
  <c r="F1054" i="1"/>
  <c r="M1055" i="1" l="1"/>
  <c r="N1055" i="1" s="1"/>
  <c r="C1056" i="1"/>
  <c r="F1055" i="1"/>
  <c r="M1056" i="1" l="1"/>
  <c r="N1056" i="1" s="1"/>
  <c r="C1057" i="1"/>
  <c r="F1056" i="1"/>
  <c r="M1057" i="1" l="1"/>
  <c r="N1057" i="1" s="1"/>
  <c r="C1058" i="1"/>
  <c r="F1057" i="1"/>
  <c r="M1058" i="1" l="1"/>
  <c r="N1058" i="1" s="1"/>
  <c r="C1059" i="1"/>
  <c r="F1058" i="1"/>
  <c r="M1059" i="1" l="1"/>
  <c r="N1059" i="1" s="1"/>
  <c r="C1060" i="1"/>
  <c r="F1059" i="1"/>
  <c r="M1060" i="1" l="1"/>
  <c r="N1060" i="1" s="1"/>
  <c r="C1061" i="1"/>
  <c r="F1060" i="1"/>
  <c r="M1061" i="1" l="1"/>
  <c r="N1061" i="1" s="1"/>
  <c r="C1062" i="1"/>
  <c r="F1061" i="1"/>
  <c r="M1062" i="1" l="1"/>
  <c r="N1062" i="1" s="1"/>
  <c r="C1063" i="1"/>
  <c r="F1062" i="1"/>
  <c r="M1063" i="1" l="1"/>
  <c r="N1063" i="1" s="1"/>
  <c r="C1064" i="1"/>
  <c r="F1063" i="1"/>
  <c r="M1064" i="1" l="1"/>
  <c r="N1064" i="1" s="1"/>
  <c r="C1065" i="1"/>
  <c r="F1064" i="1"/>
  <c r="M1065" i="1" l="1"/>
  <c r="N1065" i="1" s="1"/>
  <c r="C1066" i="1"/>
  <c r="F1065" i="1"/>
  <c r="M1066" i="1" l="1"/>
  <c r="N1066" i="1" s="1"/>
  <c r="C1067" i="1"/>
  <c r="F1066" i="1"/>
  <c r="M1067" i="1" l="1"/>
  <c r="N1067" i="1" s="1"/>
  <c r="C1068" i="1"/>
  <c r="K1068" i="1" s="1"/>
  <c r="F1067" i="1"/>
  <c r="K1070" i="1" l="1"/>
  <c r="L1068" i="1"/>
  <c r="M1068" i="1"/>
  <c r="N1068" i="1" s="1"/>
  <c r="C1069" i="1"/>
  <c r="F1068" i="1"/>
  <c r="K1072" i="1" l="1"/>
  <c r="K1073" i="1"/>
  <c r="L1070" i="1"/>
  <c r="M1069" i="1"/>
  <c r="N1069" i="1" s="1"/>
  <c r="C1070" i="1"/>
  <c r="F1069" i="1"/>
  <c r="L1072" i="1" l="1"/>
  <c r="L1073" i="1"/>
  <c r="M1070" i="1"/>
  <c r="C1071" i="1"/>
  <c r="F1070" i="1"/>
  <c r="L1075" i="1" l="1"/>
  <c r="M1071" i="1"/>
  <c r="C1072" i="1"/>
  <c r="F1071" i="1"/>
  <c r="N1078" i="1" l="1"/>
  <c r="N1071" i="1"/>
  <c r="N1077" i="1"/>
  <c r="N1070" i="1"/>
  <c r="N1091" i="1"/>
  <c r="N1090" i="1"/>
  <c r="M1072" i="1"/>
  <c r="N1072" i="1" s="1"/>
  <c r="C1073" i="1"/>
  <c r="F1072" i="1"/>
  <c r="M1073" i="1" l="1"/>
  <c r="N1073" i="1" s="1"/>
  <c r="C1074" i="1"/>
  <c r="F1073" i="1"/>
  <c r="M1074" i="1" l="1"/>
  <c r="N1074" i="1" s="1"/>
  <c r="C1075" i="1"/>
  <c r="F1074" i="1"/>
  <c r="M1075" i="1" l="1"/>
  <c r="N1075" i="1" s="1"/>
  <c r="C1076" i="1"/>
  <c r="F1075" i="1"/>
  <c r="M1076" i="1" l="1"/>
  <c r="N1076" i="1" s="1"/>
  <c r="C1077" i="1"/>
  <c r="F1076" i="1"/>
  <c r="C1078" i="1" l="1"/>
  <c r="F1077" i="1"/>
  <c r="C1079" i="1" l="1"/>
  <c r="F1078" i="1"/>
  <c r="M1079" i="1" l="1"/>
  <c r="N1079" i="1" s="1"/>
  <c r="C1080" i="1"/>
  <c r="F1079" i="1"/>
  <c r="M1080" i="1" l="1"/>
  <c r="N1080" i="1" s="1"/>
  <c r="C1081" i="1"/>
  <c r="F1080" i="1"/>
  <c r="M1081" i="1" l="1"/>
  <c r="N1081" i="1" s="1"/>
  <c r="C1082" i="1"/>
  <c r="F1081" i="1"/>
  <c r="M1082" i="1" l="1"/>
  <c r="N1082" i="1" s="1"/>
  <c r="C1083" i="1"/>
  <c r="F1082" i="1"/>
  <c r="M1083" i="1" l="1"/>
  <c r="N1083" i="1" s="1"/>
  <c r="C1084" i="1"/>
  <c r="F1083" i="1"/>
  <c r="M1084" i="1" l="1"/>
  <c r="N1084" i="1" s="1"/>
  <c r="C1085" i="1"/>
  <c r="F1084" i="1"/>
  <c r="M1085" i="1" l="1"/>
  <c r="N1085" i="1" s="1"/>
  <c r="F1085" i="1"/>
  <c r="C1086" i="1"/>
  <c r="M1086" i="1" l="1"/>
  <c r="N1086" i="1" s="1"/>
  <c r="F1086" i="1"/>
  <c r="C1087" i="1"/>
  <c r="M1087" i="1" l="1"/>
  <c r="N1087" i="1" s="1"/>
  <c r="C1088" i="1"/>
  <c r="F1087" i="1"/>
  <c r="M1088" i="1" l="1"/>
  <c r="N1088" i="1" s="1"/>
  <c r="C1089" i="1"/>
  <c r="F1088" i="1"/>
  <c r="M1089" i="1" l="1"/>
  <c r="N1089" i="1" s="1"/>
  <c r="C1090" i="1"/>
  <c r="F1089" i="1"/>
  <c r="C1091" i="1" l="1"/>
  <c r="F1090" i="1"/>
  <c r="C1092" i="1" l="1"/>
  <c r="F1091" i="1"/>
  <c r="M1092" i="1" l="1"/>
  <c r="N1092" i="1" s="1"/>
  <c r="C1093" i="1"/>
  <c r="F1092" i="1"/>
  <c r="M1093" i="1" l="1"/>
  <c r="N1093" i="1" s="1"/>
  <c r="C1094" i="1"/>
  <c r="F1093" i="1"/>
  <c r="M1094" i="1" l="1"/>
  <c r="N1094" i="1" s="1"/>
  <c r="C1095" i="1"/>
  <c r="F1094" i="1"/>
  <c r="M1095" i="1" l="1"/>
  <c r="N1095" i="1" s="1"/>
  <c r="C1096" i="1"/>
  <c r="F1095" i="1"/>
  <c r="M1096" i="1" l="1"/>
  <c r="N1096" i="1" s="1"/>
  <c r="C1097" i="1"/>
  <c r="F1096" i="1"/>
  <c r="M1097" i="1" l="1"/>
  <c r="N1097" i="1" s="1"/>
  <c r="C1098" i="1"/>
  <c r="K1098" i="1" s="1"/>
  <c r="F1097" i="1"/>
  <c r="L1076" i="1"/>
  <c r="L1077" i="1" l="1"/>
  <c r="L1079" i="1" s="1"/>
  <c r="L1080" i="1" s="1"/>
  <c r="L1098" i="1"/>
  <c r="K1100" i="1"/>
  <c r="M1098" i="1"/>
  <c r="N1098" i="1" s="1"/>
  <c r="C1099" i="1"/>
  <c r="F1098" i="1"/>
  <c r="L1100" i="1" l="1"/>
  <c r="K1103" i="1"/>
  <c r="K1102" i="1"/>
  <c r="M1099" i="1"/>
  <c r="N1099" i="1" s="1"/>
  <c r="C1100" i="1"/>
  <c r="F1099" i="1"/>
  <c r="L1102" i="1" l="1"/>
  <c r="L1103" i="1"/>
  <c r="M1100" i="1"/>
  <c r="N1100" i="1" s="1"/>
  <c r="C1101" i="1"/>
  <c r="F1100" i="1"/>
  <c r="L1105" i="1" l="1"/>
  <c r="M1101" i="1"/>
  <c r="N1101" i="1" s="1"/>
  <c r="C1102" i="1"/>
  <c r="F1101" i="1"/>
  <c r="N1123" i="1" l="1"/>
  <c r="N1127" i="1"/>
  <c r="N1120" i="1"/>
  <c r="M1102" i="1"/>
  <c r="N1102" i="1" s="1"/>
  <c r="C1103" i="1"/>
  <c r="F1102" i="1"/>
  <c r="M1103" i="1" l="1"/>
  <c r="N1103" i="1" s="1"/>
  <c r="C1104" i="1"/>
  <c r="F1103" i="1"/>
  <c r="M1104" i="1" l="1"/>
  <c r="N1104" i="1" s="1"/>
  <c r="C1105" i="1"/>
  <c r="F1104" i="1"/>
  <c r="N1130" i="1" l="1"/>
  <c r="M1105" i="1"/>
  <c r="N1105" i="1" s="1"/>
  <c r="C1106" i="1"/>
  <c r="F1105" i="1"/>
  <c r="M1106" i="1" l="1"/>
  <c r="N1106" i="1" s="1"/>
  <c r="C1107" i="1"/>
  <c r="F1106" i="1"/>
  <c r="M1107" i="1" l="1"/>
  <c r="N1107" i="1" s="1"/>
  <c r="C1108" i="1"/>
  <c r="F1107" i="1"/>
  <c r="M1108" i="1" l="1"/>
  <c r="N1108" i="1" s="1"/>
  <c r="C1109" i="1"/>
  <c r="F1108" i="1"/>
  <c r="M1109" i="1" l="1"/>
  <c r="N1109" i="1" s="1"/>
  <c r="C1110" i="1"/>
  <c r="F1109" i="1"/>
  <c r="M1110" i="1" l="1"/>
  <c r="N1110" i="1" s="1"/>
  <c r="C1111" i="1"/>
  <c r="F1110" i="1"/>
  <c r="M1111" i="1" l="1"/>
  <c r="N1111" i="1" s="1"/>
  <c r="C1112" i="1"/>
  <c r="F1111" i="1"/>
  <c r="M1112" i="1" l="1"/>
  <c r="N1112" i="1" s="1"/>
  <c r="C1113" i="1"/>
  <c r="F1112" i="1"/>
  <c r="M1113" i="1" l="1"/>
  <c r="N1113" i="1" s="1"/>
  <c r="C1114" i="1"/>
  <c r="F1113" i="1"/>
  <c r="M1114" i="1" l="1"/>
  <c r="N1114" i="1" s="1"/>
  <c r="C1115" i="1"/>
  <c r="F1114" i="1"/>
  <c r="M1115" i="1" l="1"/>
  <c r="N1115" i="1" s="1"/>
  <c r="C1116" i="1"/>
  <c r="F1115" i="1"/>
  <c r="M1116" i="1" l="1"/>
  <c r="N1116" i="1" s="1"/>
  <c r="C1117" i="1"/>
  <c r="F1116" i="1"/>
  <c r="M1117" i="1" l="1"/>
  <c r="N1117" i="1" s="1"/>
  <c r="C1118" i="1"/>
  <c r="F1117" i="1"/>
  <c r="M1118" i="1" l="1"/>
  <c r="N1118" i="1" s="1"/>
  <c r="C1119" i="1"/>
  <c r="F1118" i="1"/>
  <c r="M1119" i="1" l="1"/>
  <c r="N1119" i="1" s="1"/>
  <c r="C1120" i="1"/>
  <c r="F1119" i="1"/>
  <c r="C1121" i="1" l="1"/>
  <c r="F1120" i="1"/>
  <c r="M1121" i="1" l="1"/>
  <c r="N1121" i="1" s="1"/>
  <c r="C1122" i="1"/>
  <c r="F1121" i="1"/>
  <c r="M1122" i="1" l="1"/>
  <c r="N1122" i="1" s="1"/>
  <c r="C1123" i="1"/>
  <c r="F1122" i="1"/>
  <c r="C1124" i="1" l="1"/>
  <c r="F1123" i="1"/>
  <c r="M1124" i="1" l="1"/>
  <c r="N1124" i="1" s="1"/>
  <c r="C1125" i="1"/>
  <c r="F1124" i="1"/>
  <c r="M1125" i="1" l="1"/>
  <c r="N1125" i="1" s="1"/>
  <c r="F1125" i="1"/>
  <c r="C1126" i="1"/>
  <c r="M1126" i="1" l="1"/>
  <c r="N1126" i="1" s="1"/>
  <c r="F1126" i="1"/>
  <c r="C1127" i="1"/>
  <c r="C1128" i="1" l="1"/>
  <c r="F1127" i="1"/>
  <c r="C1129" i="1" l="1"/>
  <c r="M1128" i="1"/>
  <c r="N1128" i="1" s="1"/>
  <c r="F1128" i="1"/>
  <c r="L1106" i="1"/>
  <c r="L1107" i="1" l="1"/>
  <c r="L1109" i="1" s="1"/>
  <c r="L1110" i="1" s="1"/>
  <c r="K1129" i="1"/>
  <c r="M1129" i="1"/>
  <c r="N1129" i="1" s="1"/>
  <c r="C1130" i="1"/>
  <c r="F1129" i="1"/>
  <c r="K1131" i="1" l="1"/>
  <c r="L1129" i="1"/>
  <c r="C1131" i="1"/>
  <c r="M1131" i="1" s="1"/>
  <c r="F1130" i="1"/>
  <c r="K1133" i="1" l="1"/>
  <c r="L1131" i="1"/>
  <c r="K1134" i="1"/>
  <c r="C1132" i="1"/>
  <c r="M1132" i="1" s="1"/>
  <c r="F1131" i="1"/>
  <c r="L1134" i="1" l="1"/>
  <c r="L1133" i="1"/>
  <c r="C1133" i="1"/>
  <c r="M1133" i="1" s="1"/>
  <c r="F1132" i="1"/>
  <c r="L1136" i="1" l="1"/>
  <c r="C1134" i="1"/>
  <c r="M1134" i="1" s="1"/>
  <c r="F1133" i="1"/>
  <c r="N1133" i="1" l="1"/>
  <c r="N1134" i="1"/>
  <c r="N1144" i="1"/>
  <c r="N1141" i="1"/>
  <c r="N1132" i="1"/>
  <c r="N1131" i="1"/>
  <c r="F1134" i="1"/>
  <c r="C1135" i="1"/>
  <c r="M1135" i="1" s="1"/>
  <c r="N1135" i="1" s="1"/>
  <c r="F1135" i="1" l="1"/>
  <c r="C1136" i="1"/>
  <c r="M1136" i="1" s="1"/>
  <c r="N1136" i="1" s="1"/>
  <c r="C1137" i="1" l="1"/>
  <c r="M1137" i="1" s="1"/>
  <c r="N1137" i="1" s="1"/>
  <c r="F1136" i="1"/>
  <c r="C1138" i="1" l="1"/>
  <c r="M1138" i="1" s="1"/>
  <c r="N1138" i="1" s="1"/>
  <c r="F1137" i="1"/>
  <c r="C1139" i="1" l="1"/>
  <c r="M1139" i="1" s="1"/>
  <c r="N1139" i="1" s="1"/>
  <c r="F1138" i="1"/>
  <c r="F1139" i="1" l="1"/>
  <c r="C1140" i="1"/>
  <c r="M1140" i="1" s="1"/>
  <c r="N1140" i="1" s="1"/>
  <c r="F1140" i="1" l="1"/>
  <c r="C1141" i="1"/>
  <c r="C1142" i="1" l="1"/>
  <c r="M1142" i="1" s="1"/>
  <c r="N1142" i="1" s="1"/>
  <c r="F1141" i="1"/>
  <c r="F1142" i="1" l="1"/>
  <c r="C1143" i="1"/>
  <c r="M1143" i="1" s="1"/>
  <c r="N1143" i="1" s="1"/>
  <c r="C1144" i="1" l="1"/>
  <c r="F1143" i="1"/>
  <c r="F1144" i="1" l="1"/>
  <c r="C1145" i="1"/>
  <c r="M1145" i="1" s="1"/>
  <c r="N1145" i="1" s="1"/>
  <c r="F1145" i="1" l="1"/>
  <c r="C1146" i="1"/>
  <c r="M1146" i="1" s="1"/>
  <c r="N1146" i="1" s="1"/>
  <c r="F1146" i="1" l="1"/>
  <c r="C1147" i="1"/>
  <c r="M1147" i="1" s="1"/>
  <c r="N1147" i="1" s="1"/>
  <c r="F1147" i="1" l="1"/>
  <c r="C1148" i="1"/>
  <c r="M1148" i="1" s="1"/>
  <c r="N1148" i="1" s="1"/>
  <c r="C1149" i="1" l="1"/>
  <c r="M1149" i="1" s="1"/>
  <c r="N1149" i="1" s="1"/>
  <c r="F1148" i="1"/>
  <c r="C1150" i="1" l="1"/>
  <c r="M1150" i="1" s="1"/>
  <c r="N1150" i="1" s="1"/>
  <c r="F1149" i="1"/>
  <c r="C1151" i="1" l="1"/>
  <c r="M1151" i="1" s="1"/>
  <c r="N1151" i="1" s="1"/>
  <c r="F1150" i="1"/>
  <c r="F1151" i="1" l="1"/>
  <c r="C1152" i="1"/>
  <c r="M1152" i="1" s="1"/>
  <c r="N1152" i="1" s="1"/>
  <c r="C1153" i="1" l="1"/>
  <c r="M1153" i="1" s="1"/>
  <c r="N1153" i="1" s="1"/>
  <c r="F1152" i="1"/>
  <c r="F1153" i="1" l="1"/>
  <c r="C1154" i="1"/>
  <c r="M1154" i="1" s="1"/>
  <c r="N1154" i="1" s="1"/>
  <c r="F1154" i="1" l="1"/>
  <c r="C1155" i="1"/>
  <c r="M1155" i="1" s="1"/>
  <c r="N1155" i="1" s="1"/>
  <c r="C1156" i="1" l="1"/>
  <c r="M1156" i="1" s="1"/>
  <c r="N1156" i="1" s="1"/>
  <c r="F1155" i="1"/>
  <c r="F1156" i="1" l="1"/>
  <c r="C1157" i="1"/>
  <c r="M1157" i="1" s="1"/>
  <c r="N1157" i="1" s="1"/>
  <c r="F1157" i="1" l="1"/>
  <c r="C1158" i="1"/>
  <c r="M1158" i="1" s="1"/>
  <c r="N1158" i="1" s="1"/>
  <c r="F1158" i="1" l="1"/>
  <c r="C1159" i="1"/>
  <c r="M1159" i="1" s="1"/>
  <c r="N1159" i="1" s="1"/>
  <c r="C1160" i="1" l="1"/>
  <c r="F1159" i="1"/>
  <c r="L1137" i="1"/>
  <c r="L1138" i="1" l="1"/>
  <c r="L1140" i="1" s="1"/>
  <c r="L1141" i="1" s="1"/>
  <c r="K1160" i="1"/>
  <c r="M1160" i="1"/>
  <c r="C1161" i="1"/>
  <c r="M1161" i="1" s="1"/>
  <c r="F1160" i="1"/>
  <c r="L1160" i="1" l="1"/>
  <c r="K1162" i="1"/>
  <c r="C1162" i="1"/>
  <c r="M1162" i="1" s="1"/>
  <c r="F1161" i="1"/>
  <c r="L1162" i="1" l="1"/>
  <c r="K1164" i="1"/>
  <c r="K1165" i="1"/>
  <c r="F1162" i="1"/>
  <c r="C1163" i="1"/>
  <c r="M1163" i="1" s="1"/>
  <c r="L1164" i="1" l="1"/>
  <c r="L1165" i="1"/>
  <c r="F1163" i="1"/>
  <c r="C1164" i="1"/>
  <c r="M1164" i="1" s="1"/>
  <c r="L1167" i="1" l="1"/>
  <c r="C1165" i="1"/>
  <c r="M1165" i="1" s="1"/>
  <c r="F1164" i="1"/>
  <c r="N1179" i="1" l="1"/>
  <c r="N1163" i="1"/>
  <c r="N1176" i="1"/>
  <c r="N1161" i="1"/>
  <c r="N1162" i="1"/>
  <c r="N1164" i="1"/>
  <c r="N1165" i="1"/>
  <c r="N1160" i="1"/>
  <c r="C1166" i="1"/>
  <c r="M1166" i="1" s="1"/>
  <c r="N1166" i="1" s="1"/>
  <c r="F1165" i="1"/>
  <c r="C1167" i="1" l="1"/>
  <c r="M1167" i="1" s="1"/>
  <c r="N1167" i="1" s="1"/>
  <c r="F1166" i="1"/>
  <c r="C1168" i="1" l="1"/>
  <c r="M1168" i="1" s="1"/>
  <c r="N1168" i="1" s="1"/>
  <c r="F1167" i="1"/>
  <c r="F1168" i="1" l="1"/>
  <c r="C1169" i="1"/>
  <c r="M1169" i="1" s="1"/>
  <c r="N1169" i="1" s="1"/>
  <c r="F1169" i="1" l="1"/>
  <c r="C1170" i="1"/>
  <c r="M1170" i="1" s="1"/>
  <c r="N1170" i="1" s="1"/>
  <c r="C1171" i="1" l="1"/>
  <c r="M1171" i="1" s="1"/>
  <c r="N1171" i="1" s="1"/>
  <c r="F1170" i="1"/>
  <c r="F1171" i="1" l="1"/>
  <c r="C1172" i="1"/>
  <c r="M1172" i="1" s="1"/>
  <c r="N1172" i="1" s="1"/>
  <c r="C1173" i="1" l="1"/>
  <c r="M1173" i="1" s="1"/>
  <c r="N1173" i="1" s="1"/>
  <c r="F1172" i="1"/>
  <c r="C1174" i="1" l="1"/>
  <c r="M1174" i="1" s="1"/>
  <c r="N1174" i="1" s="1"/>
  <c r="F1173" i="1"/>
  <c r="F1174" i="1" l="1"/>
  <c r="C1175" i="1"/>
  <c r="M1175" i="1" s="1"/>
  <c r="N1175" i="1" s="1"/>
  <c r="F1175" i="1" l="1"/>
  <c r="C1176" i="1"/>
  <c r="C1177" i="1" l="1"/>
  <c r="M1177" i="1" s="1"/>
  <c r="N1177" i="1" s="1"/>
  <c r="F1176" i="1"/>
  <c r="F1177" i="1" l="1"/>
  <c r="C1178" i="1"/>
  <c r="M1178" i="1" s="1"/>
  <c r="N1178" i="1" s="1"/>
  <c r="C1179" i="1" l="1"/>
  <c r="F1178" i="1"/>
  <c r="F1179" i="1" l="1"/>
  <c r="C1180" i="1"/>
  <c r="M1180" i="1" s="1"/>
  <c r="N1180" i="1" s="1"/>
  <c r="F1180" i="1" l="1"/>
  <c r="C1181" i="1"/>
  <c r="M1181" i="1" s="1"/>
  <c r="N1181" i="1" s="1"/>
  <c r="F1181" i="1" l="1"/>
  <c r="C1182" i="1"/>
  <c r="M1182" i="1" s="1"/>
  <c r="N1182" i="1" s="1"/>
  <c r="C1183" i="1" l="1"/>
  <c r="M1183" i="1" s="1"/>
  <c r="N1183" i="1" s="1"/>
  <c r="F1182" i="1"/>
  <c r="C1184" i="1" l="1"/>
  <c r="M1184" i="1" s="1"/>
  <c r="N1184" i="1" s="1"/>
  <c r="F1183" i="1"/>
  <c r="C1185" i="1" l="1"/>
  <c r="M1185" i="1" s="1"/>
  <c r="N1185" i="1" s="1"/>
  <c r="F1184" i="1"/>
  <c r="F1185" i="1" l="1"/>
  <c r="C1186" i="1"/>
  <c r="M1186" i="1" s="1"/>
  <c r="N1186" i="1" s="1"/>
  <c r="C1187" i="1" l="1"/>
  <c r="M1187" i="1" s="1"/>
  <c r="N1187" i="1" s="1"/>
  <c r="F1186" i="1"/>
  <c r="F1187" i="1" l="1"/>
  <c r="C1188" i="1"/>
  <c r="L1168" i="1"/>
  <c r="L1169" i="1" l="1"/>
  <c r="L1171" i="1" s="1"/>
  <c r="L1172" i="1" s="1"/>
  <c r="K1188" i="1"/>
  <c r="M1188" i="1"/>
  <c r="N1188" i="1" s="1"/>
  <c r="F1188" i="1"/>
  <c r="C1189" i="1"/>
  <c r="M1189" i="1" s="1"/>
  <c r="N1189" i="1" s="1"/>
  <c r="L1188" i="1" l="1"/>
  <c r="K1190" i="1"/>
  <c r="C1190" i="1"/>
  <c r="M1190" i="1" s="1"/>
  <c r="N1190" i="1" s="1"/>
  <c r="F1189" i="1"/>
  <c r="L1190" i="1" l="1"/>
  <c r="K1193" i="1"/>
  <c r="K1192" i="1"/>
  <c r="F1190" i="1"/>
  <c r="C1191" i="1"/>
  <c r="M1191" i="1" s="1"/>
  <c r="N1191" i="1" s="1"/>
  <c r="L1192" i="1" l="1"/>
  <c r="L1193" i="1"/>
  <c r="C1192" i="1"/>
  <c r="M1192" i="1" s="1"/>
  <c r="N1192" i="1" s="1"/>
  <c r="F1191" i="1"/>
  <c r="L1195" i="1" l="1"/>
  <c r="F1192" i="1"/>
  <c r="C1193" i="1"/>
  <c r="M1193" i="1" s="1"/>
  <c r="N1193" i="1" s="1"/>
  <c r="C1194" i="1" l="1"/>
  <c r="M1194" i="1" s="1"/>
  <c r="N1194" i="1" s="1"/>
  <c r="F1193" i="1"/>
  <c r="C1195" i="1" l="1"/>
  <c r="M1195" i="1" s="1"/>
  <c r="N1195" i="1" s="1"/>
  <c r="F1194" i="1"/>
  <c r="C1196" i="1" l="1"/>
  <c r="M1196" i="1" s="1"/>
  <c r="N1196" i="1" s="1"/>
  <c r="F1195" i="1"/>
  <c r="C1197" i="1" l="1"/>
  <c r="M1197" i="1" s="1"/>
  <c r="N1197" i="1" s="1"/>
  <c r="F1196" i="1"/>
  <c r="F1197" i="1" l="1"/>
  <c r="C1198" i="1"/>
  <c r="M1198" i="1" s="1"/>
  <c r="N1198" i="1" s="1"/>
  <c r="F1198" i="1" l="1"/>
  <c r="C1199" i="1"/>
  <c r="M1199" i="1" s="1"/>
  <c r="N1199" i="1" s="1"/>
  <c r="F1199" i="1" l="1"/>
  <c r="C1200" i="1"/>
  <c r="M1200" i="1" s="1"/>
  <c r="N1200" i="1" s="1"/>
  <c r="C1201" i="1" l="1"/>
  <c r="M1201" i="1" s="1"/>
  <c r="N1201" i="1" s="1"/>
  <c r="F1200" i="1"/>
  <c r="F1201" i="1" l="1"/>
  <c r="C1202" i="1"/>
  <c r="M1202" i="1" s="1"/>
  <c r="N1202" i="1" s="1"/>
  <c r="F1202" i="1" l="1"/>
  <c r="C1203" i="1"/>
  <c r="M1203" i="1" s="1"/>
  <c r="N1203" i="1" s="1"/>
  <c r="C1204" i="1" l="1"/>
  <c r="M1204" i="1" s="1"/>
  <c r="N1204" i="1" s="1"/>
  <c r="F1203" i="1"/>
  <c r="C1205" i="1" l="1"/>
  <c r="M1205" i="1" s="1"/>
  <c r="N1205" i="1" s="1"/>
  <c r="F1204" i="1"/>
  <c r="C1206" i="1" l="1"/>
  <c r="M1206" i="1" s="1"/>
  <c r="N1206" i="1" s="1"/>
  <c r="F1205" i="1"/>
  <c r="C1207" i="1" l="1"/>
  <c r="M1207" i="1" s="1"/>
  <c r="N1207" i="1" s="1"/>
  <c r="F1206" i="1"/>
  <c r="F1207" i="1" l="1"/>
  <c r="C1208" i="1"/>
  <c r="M1208" i="1" s="1"/>
  <c r="N1208" i="1" s="1"/>
  <c r="F1208" i="1" l="1"/>
  <c r="C1209" i="1"/>
  <c r="M1209" i="1" s="1"/>
  <c r="N1209" i="1" s="1"/>
  <c r="F1209" i="1" l="1"/>
  <c r="C1210" i="1"/>
  <c r="M1210" i="1" s="1"/>
  <c r="N1210" i="1" s="1"/>
  <c r="C1211" i="1" l="1"/>
  <c r="M1211" i="1" s="1"/>
  <c r="N1211" i="1" s="1"/>
  <c r="F1210" i="1"/>
  <c r="F1211" i="1" l="1"/>
  <c r="C1212" i="1"/>
  <c r="M1212" i="1" s="1"/>
  <c r="N1212" i="1" s="1"/>
  <c r="C1213" i="1" l="1"/>
  <c r="M1213" i="1" s="1"/>
  <c r="N1213" i="1" s="1"/>
  <c r="F1212" i="1"/>
  <c r="C1214" i="1" l="1"/>
  <c r="M1214" i="1" s="1"/>
  <c r="N1214" i="1" s="1"/>
  <c r="F1213" i="1"/>
  <c r="C1215" i="1" l="1"/>
  <c r="M1215" i="1" s="1"/>
  <c r="N1215" i="1" s="1"/>
  <c r="F1214" i="1"/>
  <c r="C1216" i="1" l="1"/>
  <c r="M1216" i="1" s="1"/>
  <c r="N1216" i="1" s="1"/>
  <c r="F1215" i="1"/>
  <c r="C1217" i="1" l="1"/>
  <c r="M1217" i="1" s="1"/>
  <c r="N1217" i="1" s="1"/>
  <c r="F1216" i="1"/>
  <c r="C1218" i="1" l="1"/>
  <c r="M1218" i="1" s="1"/>
  <c r="N1218" i="1" s="1"/>
  <c r="F1217" i="1"/>
  <c r="C1219" i="1" l="1"/>
  <c r="F1218" i="1"/>
  <c r="L1196" i="1"/>
  <c r="L1197" i="1" l="1"/>
  <c r="L1199" i="1" s="1"/>
  <c r="L1200" i="1" s="1"/>
  <c r="K1219" i="1"/>
  <c r="M1219" i="1"/>
  <c r="C1220" i="1"/>
  <c r="M1220" i="1" s="1"/>
  <c r="N1220" i="1" s="1"/>
  <c r="F1219" i="1"/>
  <c r="L1219" i="1" l="1"/>
  <c r="K1221" i="1"/>
  <c r="F1220" i="1"/>
  <c r="C1221" i="1"/>
  <c r="M1221" i="1" s="1"/>
  <c r="K1223" i="1" l="1"/>
  <c r="K1224" i="1"/>
  <c r="L1221" i="1"/>
  <c r="F1221" i="1"/>
  <c r="C1222" i="1"/>
  <c r="M1222" i="1" s="1"/>
  <c r="L1224" i="1" l="1"/>
  <c r="L1223" i="1"/>
  <c r="F1222" i="1"/>
  <c r="C1223" i="1"/>
  <c r="M1223" i="1" s="1"/>
  <c r="L1226" i="1" l="1"/>
  <c r="F1223" i="1"/>
  <c r="C1224" i="1"/>
  <c r="M1224" i="1" s="1"/>
  <c r="N1223" i="1" l="1"/>
  <c r="N1224" i="1"/>
  <c r="N1221" i="1"/>
  <c r="N1222" i="1"/>
  <c r="F1224" i="1"/>
  <c r="C1225" i="1"/>
  <c r="M1225" i="1" s="1"/>
  <c r="N1225" i="1" s="1"/>
  <c r="C1226" i="1" l="1"/>
  <c r="M1226" i="1" s="1"/>
  <c r="N1226" i="1" s="1"/>
  <c r="F1225" i="1"/>
  <c r="C1227" i="1" l="1"/>
  <c r="M1227" i="1" s="1"/>
  <c r="N1227" i="1" s="1"/>
  <c r="F1226" i="1"/>
  <c r="C1228" i="1" l="1"/>
  <c r="M1228" i="1" s="1"/>
  <c r="N1228" i="1" s="1"/>
  <c r="F1227" i="1"/>
  <c r="F1228" i="1" l="1"/>
  <c r="C1229" i="1"/>
  <c r="M1229" i="1" s="1"/>
  <c r="N1229" i="1" s="1"/>
  <c r="F1229" i="1" l="1"/>
  <c r="C1230" i="1"/>
  <c r="M1230" i="1" s="1"/>
  <c r="N1230" i="1" s="1"/>
  <c r="C1231" i="1" l="1"/>
  <c r="M1231" i="1" s="1"/>
  <c r="N1231" i="1" s="1"/>
  <c r="F1230" i="1"/>
  <c r="F1231" i="1" l="1"/>
  <c r="C1232" i="1"/>
  <c r="M1232" i="1" s="1"/>
  <c r="N1232" i="1" s="1"/>
  <c r="C1233" i="1" l="1"/>
  <c r="M1233" i="1" s="1"/>
  <c r="N1233" i="1" s="1"/>
  <c r="F1232" i="1"/>
  <c r="F1233" i="1" l="1"/>
  <c r="C1234" i="1"/>
  <c r="M1234" i="1" s="1"/>
  <c r="N1234" i="1" s="1"/>
  <c r="C1235" i="1" l="1"/>
  <c r="M1235" i="1" s="1"/>
  <c r="N1235" i="1" s="1"/>
  <c r="F1234" i="1"/>
  <c r="F1235" i="1" l="1"/>
  <c r="C1236" i="1"/>
  <c r="M1236" i="1" s="1"/>
  <c r="N1236" i="1" s="1"/>
  <c r="F1236" i="1" l="1"/>
  <c r="C1237" i="1"/>
  <c r="M1237" i="1" s="1"/>
  <c r="N1237" i="1" s="1"/>
  <c r="F1237" i="1" l="1"/>
  <c r="C1238" i="1"/>
  <c r="M1238" i="1" s="1"/>
  <c r="N1238" i="1" s="1"/>
  <c r="C1239" i="1" l="1"/>
  <c r="M1239" i="1" s="1"/>
  <c r="N1239" i="1" s="1"/>
  <c r="F1238" i="1"/>
  <c r="F1239" i="1" l="1"/>
  <c r="C1240" i="1"/>
  <c r="M1240" i="1" s="1"/>
  <c r="N1240" i="1" s="1"/>
  <c r="C1241" i="1" l="1"/>
  <c r="M1241" i="1" s="1"/>
  <c r="N1241" i="1" s="1"/>
  <c r="F1240" i="1"/>
  <c r="F1241" i="1" l="1"/>
  <c r="C1242" i="1"/>
  <c r="M1242" i="1" s="1"/>
  <c r="N1242" i="1" s="1"/>
  <c r="C1243" i="1" l="1"/>
  <c r="M1243" i="1" s="1"/>
  <c r="N1243" i="1" s="1"/>
  <c r="F1242" i="1"/>
  <c r="C1244" i="1" l="1"/>
  <c r="M1244" i="1" s="1"/>
  <c r="N1244" i="1" s="1"/>
  <c r="F1243" i="1"/>
  <c r="C1245" i="1" l="1"/>
  <c r="M1245" i="1" s="1"/>
  <c r="N1245" i="1" s="1"/>
  <c r="F1244" i="1"/>
  <c r="C1246" i="1" l="1"/>
  <c r="M1246" i="1" s="1"/>
  <c r="N1246" i="1" s="1"/>
  <c r="F1245" i="1"/>
  <c r="C1247" i="1" l="1"/>
  <c r="M1247" i="1" s="1"/>
  <c r="N1247" i="1" s="1"/>
  <c r="F1246" i="1"/>
  <c r="C1248" i="1" l="1"/>
  <c r="M1248" i="1" s="1"/>
  <c r="N1248" i="1" s="1"/>
  <c r="F1247" i="1"/>
  <c r="C1249" i="1" l="1"/>
  <c r="F1248" i="1"/>
  <c r="M1249" i="1" l="1"/>
  <c r="N1249" i="1" s="1"/>
  <c r="K1249" i="1"/>
  <c r="F1249" i="1"/>
  <c r="C1250" i="1"/>
  <c r="M1250" i="1" s="1"/>
  <c r="N1250" i="1" s="1"/>
  <c r="L1249" i="1" l="1"/>
  <c r="K1251" i="1"/>
  <c r="C1251" i="1"/>
  <c r="M1251" i="1" s="1"/>
  <c r="N1251" i="1" s="1"/>
  <c r="F1250" i="1"/>
  <c r="L1251" i="1" l="1"/>
  <c r="K1253" i="1"/>
  <c r="K1254" i="1"/>
  <c r="C1252" i="1"/>
  <c r="M1252" i="1" s="1"/>
  <c r="F1251" i="1"/>
  <c r="L1254" i="1" l="1"/>
  <c r="L1253" i="1"/>
  <c r="C1253" i="1"/>
  <c r="M1253" i="1" s="1"/>
  <c r="F1252" i="1"/>
  <c r="L1256" i="1" l="1"/>
  <c r="C1254" i="1"/>
  <c r="M1254" i="1" s="1"/>
  <c r="F1253" i="1"/>
  <c r="N1254" i="1" l="1"/>
  <c r="N1253" i="1"/>
  <c r="N1252" i="1"/>
  <c r="N1274" i="1"/>
  <c r="N1277" i="1"/>
  <c r="C1255" i="1"/>
  <c r="M1255" i="1" s="1"/>
  <c r="N1255" i="1" s="1"/>
  <c r="F1254" i="1"/>
  <c r="F1255" i="1" l="1"/>
  <c r="C1256" i="1"/>
  <c r="M1256" i="1" s="1"/>
  <c r="N1256" i="1" s="1"/>
  <c r="C1257" i="1" l="1"/>
  <c r="M1257" i="1" s="1"/>
  <c r="N1257" i="1" s="1"/>
  <c r="F1256" i="1"/>
  <c r="F1257" i="1" l="1"/>
  <c r="C1258" i="1"/>
  <c r="M1258" i="1" s="1"/>
  <c r="N1258" i="1" s="1"/>
  <c r="C1259" i="1" l="1"/>
  <c r="M1259" i="1" s="1"/>
  <c r="N1259" i="1" s="1"/>
  <c r="F1258" i="1"/>
  <c r="C1260" i="1" l="1"/>
  <c r="M1260" i="1" s="1"/>
  <c r="N1260" i="1" s="1"/>
  <c r="F1259" i="1"/>
  <c r="F1260" i="1" l="1"/>
  <c r="C1261" i="1"/>
  <c r="M1261" i="1" s="1"/>
  <c r="N1261" i="1" s="1"/>
  <c r="F1261" i="1" l="1"/>
  <c r="C1262" i="1"/>
  <c r="M1262" i="1" s="1"/>
  <c r="N1262" i="1" s="1"/>
  <c r="F1262" i="1" l="1"/>
  <c r="C1263" i="1"/>
  <c r="M1263" i="1" s="1"/>
  <c r="N1263" i="1" s="1"/>
  <c r="C1264" i="1" l="1"/>
  <c r="M1264" i="1" s="1"/>
  <c r="N1264" i="1" s="1"/>
  <c r="F1263" i="1"/>
  <c r="F1264" i="1" l="1"/>
  <c r="C1265" i="1"/>
  <c r="M1265" i="1" s="1"/>
  <c r="N1265" i="1" s="1"/>
  <c r="C1266" i="1" l="1"/>
  <c r="M1266" i="1" s="1"/>
  <c r="N1266" i="1" s="1"/>
  <c r="F1265" i="1"/>
  <c r="F1266" i="1" l="1"/>
  <c r="C1267" i="1"/>
  <c r="M1267" i="1" s="1"/>
  <c r="N1267" i="1" s="1"/>
  <c r="C1268" i="1" l="1"/>
  <c r="M1268" i="1" s="1"/>
  <c r="N1268" i="1" s="1"/>
  <c r="F1267" i="1"/>
  <c r="F1268" i="1" l="1"/>
  <c r="C1269" i="1"/>
  <c r="M1269" i="1" s="1"/>
  <c r="N1269" i="1" s="1"/>
  <c r="C1270" i="1" l="1"/>
  <c r="M1270" i="1" s="1"/>
  <c r="N1270" i="1" s="1"/>
  <c r="F1269" i="1"/>
  <c r="F1270" i="1" l="1"/>
  <c r="C1271" i="1"/>
  <c r="M1271" i="1" s="1"/>
  <c r="N1271" i="1" s="1"/>
  <c r="C1272" i="1" l="1"/>
  <c r="M1272" i="1" s="1"/>
  <c r="N1272" i="1" s="1"/>
  <c r="F1271" i="1"/>
  <c r="F1272" i="1" l="1"/>
  <c r="C1273" i="1"/>
  <c r="M1273" i="1" s="1"/>
  <c r="N1273" i="1" s="1"/>
  <c r="C1274" i="1" l="1"/>
  <c r="F1273" i="1"/>
  <c r="C1275" i="1" l="1"/>
  <c r="M1275" i="1" s="1"/>
  <c r="N1275" i="1" s="1"/>
  <c r="F1274" i="1"/>
  <c r="C1276" i="1" l="1"/>
  <c r="M1276" i="1" s="1"/>
  <c r="N1276" i="1" s="1"/>
  <c r="F1275" i="1"/>
  <c r="F1276" i="1" l="1"/>
  <c r="C1277" i="1"/>
  <c r="F1277" i="1" l="1"/>
  <c r="C1278" i="1"/>
  <c r="M1278" i="1" s="1"/>
  <c r="N1278" i="1" s="1"/>
  <c r="F1278" i="1" l="1"/>
  <c r="C1279" i="1"/>
  <c r="M1279" i="1" s="1"/>
  <c r="N1279" i="1" s="1"/>
  <c r="F1279" i="1" l="1"/>
  <c r="C1280" i="1"/>
  <c r="L1257" i="1"/>
  <c r="L1258" i="1" l="1"/>
  <c r="L1260" i="1" s="1"/>
  <c r="L1261" i="1" s="1"/>
  <c r="K1280" i="1"/>
  <c r="M1280" i="1"/>
  <c r="N1280" i="1" s="1"/>
  <c r="F1280" i="1"/>
  <c r="C1281" i="1"/>
  <c r="M1281" i="1" s="1"/>
  <c r="N1281" i="1" s="1"/>
  <c r="L1280" i="1" l="1"/>
  <c r="K1282" i="1"/>
  <c r="F1281" i="1"/>
  <c r="C1282" i="1"/>
  <c r="M1282" i="1" s="1"/>
  <c r="N1282" i="1" s="1"/>
  <c r="L1282" i="1" l="1"/>
  <c r="K1284" i="1"/>
  <c r="K1285" i="1"/>
  <c r="F1282" i="1"/>
  <c r="C1283" i="1"/>
  <c r="M1283" i="1" s="1"/>
  <c r="N1283" i="1" s="1"/>
  <c r="L1285" i="1" l="1"/>
  <c r="L1284" i="1"/>
  <c r="C1284" i="1"/>
  <c r="M1284" i="1" s="1"/>
  <c r="N1284" i="1" s="1"/>
  <c r="F1283" i="1"/>
  <c r="L1287" i="1" l="1"/>
  <c r="F1284" i="1"/>
  <c r="C1285" i="1"/>
  <c r="M1285" i="1" s="1"/>
  <c r="N1285" i="1" s="1"/>
  <c r="N1295" i="1" l="1"/>
  <c r="N1298" i="1"/>
  <c r="C1286" i="1"/>
  <c r="M1286" i="1" s="1"/>
  <c r="N1286" i="1" s="1"/>
  <c r="F1285" i="1"/>
  <c r="C1287" i="1" l="1"/>
  <c r="M1287" i="1" s="1"/>
  <c r="N1287" i="1" s="1"/>
  <c r="F1286" i="1"/>
  <c r="C1288" i="1" l="1"/>
  <c r="M1288" i="1" s="1"/>
  <c r="N1288" i="1" s="1"/>
  <c r="F1287" i="1"/>
  <c r="C1289" i="1" l="1"/>
  <c r="M1289" i="1" s="1"/>
  <c r="N1289" i="1" s="1"/>
  <c r="F1288" i="1"/>
  <c r="N1312" i="1" l="1"/>
  <c r="F1289" i="1"/>
  <c r="C1290" i="1"/>
  <c r="M1290" i="1" s="1"/>
  <c r="N1290" i="1" s="1"/>
  <c r="N1313" i="1" l="1"/>
  <c r="F1290" i="1"/>
  <c r="C1291" i="1"/>
  <c r="M1291" i="1" s="1"/>
  <c r="N1291" i="1" s="1"/>
  <c r="F1291" i="1" l="1"/>
  <c r="C1292" i="1"/>
  <c r="M1292" i="1" s="1"/>
  <c r="N1292" i="1" s="1"/>
  <c r="C1293" i="1" l="1"/>
  <c r="M1293" i="1" s="1"/>
  <c r="N1293" i="1" s="1"/>
  <c r="F1292" i="1"/>
  <c r="F1293" i="1" l="1"/>
  <c r="C1294" i="1"/>
  <c r="M1294" i="1" s="1"/>
  <c r="N1294" i="1" s="1"/>
  <c r="F1294" i="1" l="1"/>
  <c r="C1295" i="1"/>
  <c r="C1296" i="1" l="1"/>
  <c r="M1296" i="1" s="1"/>
  <c r="N1296" i="1" s="1"/>
  <c r="F1295" i="1"/>
  <c r="C1297" i="1" l="1"/>
  <c r="M1297" i="1" s="1"/>
  <c r="N1297" i="1" s="1"/>
  <c r="F1296" i="1"/>
  <c r="C1298" i="1" l="1"/>
  <c r="F1297" i="1"/>
  <c r="C1299" i="1" l="1"/>
  <c r="M1299" i="1" s="1"/>
  <c r="N1299" i="1" s="1"/>
  <c r="F1298" i="1"/>
  <c r="F1299" i="1" l="1"/>
  <c r="C1300" i="1"/>
  <c r="M1300" i="1" s="1"/>
  <c r="N1300" i="1" s="1"/>
  <c r="F1300" i="1" l="1"/>
  <c r="C1301" i="1"/>
  <c r="M1301" i="1" s="1"/>
  <c r="N1301" i="1" s="1"/>
  <c r="C1302" i="1" l="1"/>
  <c r="M1302" i="1" s="1"/>
  <c r="N1302" i="1" s="1"/>
  <c r="F1301" i="1"/>
  <c r="F1302" i="1" l="1"/>
  <c r="C1303" i="1"/>
  <c r="M1303" i="1" s="1"/>
  <c r="N1303" i="1" s="1"/>
  <c r="C1304" i="1" l="1"/>
  <c r="M1304" i="1" s="1"/>
  <c r="N1304" i="1" s="1"/>
  <c r="F1303" i="1"/>
  <c r="F1304" i="1" l="1"/>
  <c r="C1305" i="1"/>
  <c r="M1305" i="1" s="1"/>
  <c r="N1305" i="1" s="1"/>
  <c r="F1305" i="1" l="1"/>
  <c r="C1306" i="1"/>
  <c r="M1306" i="1" s="1"/>
  <c r="N1306" i="1" s="1"/>
  <c r="C1307" i="1" l="1"/>
  <c r="M1307" i="1" s="1"/>
  <c r="N1307" i="1" s="1"/>
  <c r="F1306" i="1"/>
  <c r="C1308" i="1" l="1"/>
  <c r="M1308" i="1" s="1"/>
  <c r="N1308" i="1" s="1"/>
  <c r="F1307" i="1"/>
  <c r="C1309" i="1" l="1"/>
  <c r="M1309" i="1" s="1"/>
  <c r="N1309" i="1" s="1"/>
  <c r="F1308" i="1"/>
  <c r="F1309" i="1" l="1"/>
  <c r="C1310" i="1"/>
  <c r="L1288" i="1"/>
  <c r="L1289" i="1" l="1"/>
  <c r="L1291" i="1" s="1"/>
  <c r="L1292" i="1" s="1"/>
  <c r="K1310" i="1"/>
  <c r="M1310" i="1"/>
  <c r="N1310" i="1" s="1"/>
  <c r="C1311" i="1"/>
  <c r="M1311" i="1" s="1"/>
  <c r="N1311" i="1" s="1"/>
  <c r="F1310" i="1"/>
  <c r="K1312" i="1" l="1"/>
  <c r="L1310" i="1"/>
  <c r="C1312" i="1"/>
  <c r="F1311" i="1"/>
  <c r="L1312" i="1" l="1"/>
  <c r="K1314" i="1"/>
  <c r="K1315" i="1"/>
  <c r="C1313" i="1"/>
  <c r="F1312" i="1"/>
  <c r="L1315" i="1" l="1"/>
  <c r="L1314" i="1"/>
  <c r="C1314" i="1"/>
  <c r="M1314" i="1" s="1"/>
  <c r="N1314" i="1" s="1"/>
  <c r="F1313" i="1"/>
  <c r="L1317" i="1" l="1"/>
  <c r="C1315" i="1"/>
  <c r="M1315" i="1" s="1"/>
  <c r="N1315" i="1" s="1"/>
  <c r="F1314" i="1"/>
  <c r="F1315" i="1" l="1"/>
  <c r="C1316" i="1"/>
  <c r="M1316" i="1" s="1"/>
  <c r="N1316" i="1" s="1"/>
  <c r="C1317" i="1" l="1"/>
  <c r="M1317" i="1" s="1"/>
  <c r="N1317" i="1" s="1"/>
  <c r="F1316" i="1"/>
  <c r="C1318" i="1" l="1"/>
  <c r="M1318" i="1" s="1"/>
  <c r="N1318" i="1" s="1"/>
  <c r="F1317" i="1"/>
  <c r="F1318" i="1" l="1"/>
  <c r="C1319" i="1"/>
  <c r="M1319" i="1" s="1"/>
  <c r="N1319" i="1" s="1"/>
  <c r="C1320" i="1" l="1"/>
  <c r="M1320" i="1" s="1"/>
  <c r="N1320" i="1" s="1"/>
  <c r="F1319" i="1"/>
  <c r="F1320" i="1" l="1"/>
  <c r="C1321" i="1"/>
  <c r="M1321" i="1" s="1"/>
  <c r="N1321" i="1" s="1"/>
  <c r="C1322" i="1" l="1"/>
  <c r="M1322" i="1" s="1"/>
  <c r="N1322" i="1" s="1"/>
  <c r="F1321" i="1"/>
  <c r="C1323" i="1" l="1"/>
  <c r="M1323" i="1" s="1"/>
  <c r="N1323" i="1" s="1"/>
  <c r="F1322" i="1"/>
  <c r="C1324" i="1" l="1"/>
  <c r="M1324" i="1" s="1"/>
  <c r="N1324" i="1" s="1"/>
  <c r="F1323" i="1"/>
  <c r="F1324" i="1" l="1"/>
  <c r="C1325" i="1"/>
  <c r="M1325" i="1" s="1"/>
  <c r="N1325" i="1" s="1"/>
  <c r="C1326" i="1" l="1"/>
  <c r="M1326" i="1" s="1"/>
  <c r="N1326" i="1" s="1"/>
  <c r="F1325" i="1"/>
  <c r="C1327" i="1" l="1"/>
  <c r="M1327" i="1" s="1"/>
  <c r="N1327" i="1" s="1"/>
  <c r="F1326" i="1"/>
  <c r="C1328" i="1" l="1"/>
  <c r="M1328" i="1" s="1"/>
  <c r="N1328" i="1" s="1"/>
  <c r="F1327" i="1"/>
  <c r="C1329" i="1" l="1"/>
  <c r="M1329" i="1" s="1"/>
  <c r="N1329" i="1" s="1"/>
  <c r="F1328" i="1"/>
  <c r="C1330" i="1" l="1"/>
  <c r="M1330" i="1" s="1"/>
  <c r="N1330" i="1" s="1"/>
  <c r="F1329" i="1"/>
  <c r="C1331" i="1" l="1"/>
  <c r="M1331" i="1" s="1"/>
  <c r="N1331" i="1" s="1"/>
  <c r="F1330" i="1"/>
  <c r="C1332" i="1" l="1"/>
  <c r="M1332" i="1" s="1"/>
  <c r="N1332" i="1" s="1"/>
  <c r="F1331" i="1"/>
  <c r="F1332" i="1" l="1"/>
  <c r="C1333" i="1"/>
  <c r="M1333" i="1" s="1"/>
  <c r="N1333" i="1" s="1"/>
  <c r="C1334" i="1" l="1"/>
  <c r="M1334" i="1" s="1"/>
  <c r="N1334" i="1" s="1"/>
  <c r="F1333" i="1"/>
  <c r="C1335" i="1" l="1"/>
  <c r="M1335" i="1" s="1"/>
  <c r="N1335" i="1" s="1"/>
  <c r="F1334" i="1"/>
  <c r="F1335" i="1" l="1"/>
  <c r="C1336" i="1"/>
  <c r="M1336" i="1" s="1"/>
  <c r="N1336" i="1" s="1"/>
  <c r="F1336" i="1" l="1"/>
  <c r="C1337" i="1"/>
  <c r="M1337" i="1" s="1"/>
  <c r="N1337" i="1" s="1"/>
  <c r="F1337" i="1" l="1"/>
  <c r="C1338" i="1"/>
  <c r="M1338" i="1" s="1"/>
  <c r="N1338" i="1" s="1"/>
  <c r="F1338" i="1" l="1"/>
  <c r="C1339" i="1"/>
  <c r="M1339" i="1" s="1"/>
  <c r="N1339" i="1" s="1"/>
  <c r="F1339" i="1" l="1"/>
  <c r="C1340" i="1"/>
  <c r="M1340" i="1" s="1"/>
  <c r="N1340" i="1" s="1"/>
  <c r="F1340" i="1" l="1"/>
  <c r="C1341" i="1"/>
  <c r="L1318" i="1"/>
  <c r="L1319" i="1" l="1"/>
  <c r="L1321" i="1" s="1"/>
  <c r="L1322" i="1" s="1"/>
  <c r="K1341" i="1"/>
  <c r="M1341" i="1"/>
  <c r="C1342" i="1"/>
  <c r="M1342" i="1" s="1"/>
  <c r="F1341" i="1"/>
  <c r="L1341" i="1" l="1"/>
  <c r="K1343" i="1"/>
  <c r="F1342" i="1"/>
  <c r="C1343" i="1"/>
  <c r="M1343" i="1" s="1"/>
  <c r="L1343" i="1" l="1"/>
  <c r="K1346" i="1"/>
  <c r="K1345" i="1"/>
  <c r="F1343" i="1"/>
  <c r="C1344" i="1"/>
  <c r="M1344" i="1" s="1"/>
  <c r="K1348" i="1" l="1"/>
  <c r="L1345" i="1"/>
  <c r="L1346" i="1"/>
  <c r="F1344" i="1"/>
  <c r="C1345" i="1"/>
  <c r="M1345" i="1" s="1"/>
  <c r="L1348" i="1" l="1"/>
  <c r="F1345" i="1"/>
  <c r="C1346" i="1"/>
  <c r="M1346" i="1" s="1"/>
  <c r="N1343" i="1" l="1"/>
  <c r="N1341" i="1"/>
  <c r="N1346" i="1"/>
  <c r="N1345" i="1"/>
  <c r="N1344" i="1"/>
  <c r="N1342" i="1"/>
  <c r="F1346" i="1"/>
  <c r="C1347" i="1"/>
  <c r="M1347" i="1" s="1"/>
  <c r="N1347" i="1" s="1"/>
  <c r="F1347" i="1" l="1"/>
  <c r="C1348" i="1"/>
  <c r="M1348" i="1" s="1"/>
  <c r="N1348" i="1" s="1"/>
  <c r="N1372" i="1" l="1"/>
  <c r="F1348" i="1"/>
  <c r="C1349" i="1"/>
  <c r="M1349" i="1" s="1"/>
  <c r="N1349" i="1" s="1"/>
  <c r="C1350" i="1" l="1"/>
  <c r="M1350" i="1" s="1"/>
  <c r="N1350" i="1" s="1"/>
  <c r="F1349" i="1"/>
  <c r="C1351" i="1" l="1"/>
  <c r="M1351" i="1" s="1"/>
  <c r="N1351" i="1" s="1"/>
  <c r="F1350" i="1"/>
  <c r="N1375" i="1" l="1"/>
  <c r="F1351" i="1"/>
  <c r="C1352" i="1"/>
  <c r="M1352" i="1" s="1"/>
  <c r="N1352" i="1" s="1"/>
  <c r="C1353" i="1" l="1"/>
  <c r="M1353" i="1" s="1"/>
  <c r="N1353" i="1" s="1"/>
  <c r="F1352" i="1"/>
  <c r="C1354" i="1" l="1"/>
  <c r="M1354" i="1" s="1"/>
  <c r="N1354" i="1" s="1"/>
  <c r="F1353" i="1"/>
  <c r="C1355" i="1" l="1"/>
  <c r="M1355" i="1" s="1"/>
  <c r="N1355" i="1" s="1"/>
  <c r="F1354" i="1"/>
  <c r="C1356" i="1" l="1"/>
  <c r="M1356" i="1" s="1"/>
  <c r="N1356" i="1" s="1"/>
  <c r="F1355" i="1"/>
  <c r="C1357" i="1" l="1"/>
  <c r="M1357" i="1" s="1"/>
  <c r="N1357" i="1" s="1"/>
  <c r="F1356" i="1"/>
  <c r="C1358" i="1" l="1"/>
  <c r="M1358" i="1" s="1"/>
  <c r="N1358" i="1" s="1"/>
  <c r="F1357" i="1"/>
  <c r="C1359" i="1" l="1"/>
  <c r="M1359" i="1" s="1"/>
  <c r="N1359" i="1" s="1"/>
  <c r="F1358" i="1"/>
  <c r="C1360" i="1" l="1"/>
  <c r="M1360" i="1" s="1"/>
  <c r="N1360" i="1" s="1"/>
  <c r="F1359" i="1"/>
  <c r="C1361" i="1" l="1"/>
  <c r="M1361" i="1" s="1"/>
  <c r="N1361" i="1" s="1"/>
  <c r="F1360" i="1"/>
  <c r="C1362" i="1" l="1"/>
  <c r="M1362" i="1" s="1"/>
  <c r="N1362" i="1" s="1"/>
  <c r="F1361" i="1"/>
  <c r="C1363" i="1" l="1"/>
  <c r="M1363" i="1" s="1"/>
  <c r="N1363" i="1" s="1"/>
  <c r="F1362" i="1"/>
  <c r="C1364" i="1" l="1"/>
  <c r="M1364" i="1" s="1"/>
  <c r="N1364" i="1" s="1"/>
  <c r="F1363" i="1"/>
  <c r="C1365" i="1" l="1"/>
  <c r="M1365" i="1" s="1"/>
  <c r="N1365" i="1" s="1"/>
  <c r="F1364" i="1"/>
  <c r="C1366" i="1" l="1"/>
  <c r="M1366" i="1" s="1"/>
  <c r="N1366" i="1" s="1"/>
  <c r="F1365" i="1"/>
  <c r="F1366" i="1" l="1"/>
  <c r="C1367" i="1"/>
  <c r="M1367" i="1" s="1"/>
  <c r="N1367" i="1" s="1"/>
  <c r="F1367" i="1" l="1"/>
  <c r="C1368" i="1"/>
  <c r="M1368" i="1" s="1"/>
  <c r="N1368" i="1" s="1"/>
  <c r="F1368" i="1" l="1"/>
  <c r="C1369" i="1"/>
  <c r="M1369" i="1" s="1"/>
  <c r="N1369" i="1" s="1"/>
  <c r="F1369" i="1" l="1"/>
  <c r="C1370" i="1"/>
  <c r="M1370" i="1" s="1"/>
  <c r="N1370" i="1" s="1"/>
  <c r="F1370" i="1" l="1"/>
  <c r="C1371" i="1"/>
  <c r="M1371" i="1" s="1"/>
  <c r="N1371" i="1" s="1"/>
  <c r="F1371" i="1" l="1"/>
  <c r="C1372" i="1"/>
  <c r="K1372" i="1" s="1"/>
  <c r="K1349" i="1"/>
  <c r="L1349" i="1"/>
  <c r="K1350" i="1" l="1"/>
  <c r="K1352" i="1" s="1"/>
  <c r="K1353" i="1" s="1"/>
  <c r="L1350" i="1"/>
  <c r="L1352" i="1" s="1"/>
  <c r="L1353" i="1" s="1"/>
  <c r="K1374" i="1"/>
  <c r="L1372" i="1"/>
  <c r="C1373" i="1"/>
  <c r="M1373" i="1" s="1"/>
  <c r="N1373" i="1" s="1"/>
  <c r="F1372" i="1"/>
  <c r="K1376" i="1" l="1"/>
  <c r="L1374" i="1"/>
  <c r="K1377" i="1"/>
  <c r="F1373" i="1"/>
  <c r="C1374" i="1"/>
  <c r="M1374" i="1" s="1"/>
  <c r="N1374" i="1" s="1"/>
  <c r="K1379" i="1" l="1"/>
  <c r="L1377" i="1"/>
  <c r="L1376" i="1"/>
  <c r="C1375" i="1"/>
  <c r="F1374" i="1"/>
  <c r="L1379" i="1" l="1"/>
  <c r="F1375" i="1"/>
  <c r="C1376" i="1"/>
  <c r="M1376" i="1" s="1"/>
  <c r="N1376" i="1" s="1"/>
  <c r="F1376" i="1" l="1"/>
  <c r="C1377" i="1"/>
  <c r="M1377" i="1" s="1"/>
  <c r="N1377" i="1" s="1"/>
  <c r="C1378" i="1" l="1"/>
  <c r="M1378" i="1" s="1"/>
  <c r="N1378" i="1" s="1"/>
  <c r="F1377" i="1"/>
  <c r="C1379" i="1" l="1"/>
  <c r="M1379" i="1" s="1"/>
  <c r="N1379" i="1" s="1"/>
  <c r="F1378" i="1"/>
  <c r="F1379" i="1" l="1"/>
  <c r="C1380" i="1"/>
  <c r="M1380" i="1" s="1"/>
  <c r="N1380" i="1" s="1"/>
  <c r="F1380" i="1" l="1"/>
  <c r="C1381" i="1"/>
  <c r="M1381" i="1" s="1"/>
  <c r="N1381" i="1" s="1"/>
  <c r="F1381" i="1" l="1"/>
  <c r="C1382" i="1"/>
  <c r="M1382" i="1" s="1"/>
  <c r="N1382" i="1" s="1"/>
  <c r="F1382" i="1" l="1"/>
  <c r="C1383" i="1"/>
  <c r="M1383" i="1" s="1"/>
  <c r="N1383" i="1" s="1"/>
  <c r="F1383" i="1" l="1"/>
  <c r="C1384" i="1"/>
  <c r="M1384" i="1" s="1"/>
  <c r="N1384" i="1" s="1"/>
  <c r="C1385" i="1" l="1"/>
  <c r="M1385" i="1" s="1"/>
  <c r="N1385" i="1" s="1"/>
  <c r="F1384" i="1"/>
  <c r="C1386" i="1" l="1"/>
  <c r="M1386" i="1" s="1"/>
  <c r="N1386" i="1" s="1"/>
  <c r="F1385" i="1"/>
  <c r="C1387" i="1" l="1"/>
  <c r="M1387" i="1" s="1"/>
  <c r="N1387" i="1" s="1"/>
  <c r="F1386" i="1"/>
  <c r="C1388" i="1" l="1"/>
  <c r="M1388" i="1" s="1"/>
  <c r="N1388" i="1" s="1"/>
  <c r="F1387" i="1"/>
  <c r="F1388" i="1" l="1"/>
  <c r="C1389" i="1"/>
  <c r="M1389" i="1" s="1"/>
  <c r="N1389" i="1" s="1"/>
  <c r="F1389" i="1" l="1"/>
  <c r="C1390" i="1"/>
  <c r="M1390" i="1" s="1"/>
  <c r="N1390" i="1" s="1"/>
  <c r="F1390" i="1" l="1"/>
  <c r="C1391" i="1"/>
  <c r="M1391" i="1" s="1"/>
  <c r="N1391" i="1" s="1"/>
  <c r="F1391" i="1" l="1"/>
  <c r="C1392" i="1"/>
  <c r="M1392" i="1" s="1"/>
  <c r="N1392" i="1" s="1"/>
  <c r="C1393" i="1" l="1"/>
  <c r="M1393" i="1" s="1"/>
  <c r="N1393" i="1" s="1"/>
  <c r="F1392" i="1"/>
  <c r="F1393" i="1" l="1"/>
  <c r="C1394" i="1"/>
  <c r="M1394" i="1" s="1"/>
  <c r="N1394" i="1" s="1"/>
  <c r="C1395" i="1" l="1"/>
  <c r="M1395" i="1" s="1"/>
  <c r="N1395" i="1" s="1"/>
  <c r="F1394" i="1"/>
  <c r="F1395" i="1" l="1"/>
  <c r="C1396" i="1"/>
  <c r="M1396" i="1" s="1"/>
  <c r="N1396" i="1" s="1"/>
  <c r="F1396" i="1" l="1"/>
  <c r="C1397" i="1"/>
  <c r="M1397" i="1" s="1"/>
  <c r="N1397" i="1" s="1"/>
  <c r="F1397" i="1" l="1"/>
  <c r="C1398" i="1"/>
  <c r="M1398" i="1" s="1"/>
  <c r="N1398" i="1" s="1"/>
  <c r="F1398" i="1" l="1"/>
  <c r="C1399" i="1"/>
  <c r="M1399" i="1" s="1"/>
  <c r="N1399" i="1" s="1"/>
  <c r="F1399" i="1" l="1"/>
  <c r="C1400" i="1"/>
  <c r="M1400" i="1" s="1"/>
  <c r="N1400" i="1" s="1"/>
  <c r="F1400" i="1" l="1"/>
  <c r="C1401" i="1"/>
  <c r="M1401" i="1" s="1"/>
  <c r="N1401" i="1" s="1"/>
  <c r="F1401" i="1" l="1"/>
  <c r="C1402" i="1"/>
  <c r="K1403" i="1" s="1"/>
  <c r="L1380" i="1"/>
  <c r="K1380" i="1"/>
  <c r="K1381" i="1" l="1"/>
  <c r="K1383" i="1" s="1"/>
  <c r="K1384" i="1" s="1"/>
  <c r="L1381" i="1"/>
  <c r="L1383" i="1" s="1"/>
  <c r="L1384" i="1" s="1"/>
  <c r="K1404" i="1"/>
  <c r="L1403" i="1"/>
  <c r="L1418" i="1" s="1"/>
  <c r="K1418" i="1"/>
  <c r="K1419" i="1" s="1"/>
  <c r="K1421" i="1" s="1"/>
  <c r="M1402" i="1"/>
  <c r="C1403" i="1"/>
  <c r="M1403" i="1" s="1"/>
  <c r="F1402" i="1"/>
  <c r="L1404" i="1" l="1"/>
  <c r="K1409" i="1"/>
  <c r="K1411" i="1"/>
  <c r="F1403" i="1"/>
  <c r="C1404" i="1"/>
  <c r="M1404" i="1" s="1"/>
  <c r="K1413" i="1" l="1"/>
  <c r="L1411" i="1"/>
  <c r="L1409" i="1"/>
  <c r="F1404" i="1"/>
  <c r="C1405" i="1"/>
  <c r="M1405" i="1" s="1"/>
  <c r="K1422" i="1"/>
  <c r="L1422" i="1" l="1"/>
  <c r="F1405" i="1"/>
  <c r="C1406" i="1"/>
  <c r="M1406" i="1" s="1"/>
  <c r="L1413" i="1"/>
  <c r="F1406" i="1" l="1"/>
  <c r="C1407" i="1"/>
  <c r="N1402" i="1" l="1"/>
  <c r="N1407" i="1"/>
  <c r="N1406" i="1"/>
  <c r="N1405" i="1"/>
  <c r="N1403" i="1"/>
  <c r="N1404" i="1"/>
  <c r="N1410" i="1"/>
  <c r="F1407" i="1"/>
  <c r="C1408" i="1"/>
  <c r="M1408" i="1" l="1"/>
  <c r="N1408" i="1" s="1"/>
  <c r="C1409" i="1"/>
  <c r="M1409" i="1" s="1"/>
  <c r="N1409" i="1" s="1"/>
  <c r="F1408" i="1"/>
  <c r="C1410" i="1" l="1"/>
  <c r="F1409" i="1"/>
  <c r="F1410" i="1" l="1"/>
  <c r="C1411" i="1"/>
  <c r="M1411" i="1" s="1"/>
  <c r="N1411" i="1" s="1"/>
  <c r="C1412" i="1" l="1"/>
  <c r="M1412" i="1" s="1"/>
  <c r="N1412" i="1" s="1"/>
  <c r="F1411" i="1"/>
  <c r="C1413" i="1" l="1"/>
  <c r="M1413" i="1" s="1"/>
  <c r="N1413" i="1" s="1"/>
  <c r="F1412" i="1"/>
  <c r="F1413" i="1" l="1"/>
  <c r="C1414" i="1"/>
  <c r="M1414" i="1" s="1"/>
  <c r="N1414" i="1" s="1"/>
  <c r="F1414" i="1" l="1"/>
  <c r="C1415" i="1"/>
  <c r="M1415" i="1" s="1"/>
  <c r="N1415" i="1" s="1"/>
  <c r="F1415" i="1" l="1"/>
  <c r="C1416" i="1"/>
  <c r="M1416" i="1" s="1"/>
  <c r="N1416" i="1" s="1"/>
  <c r="F1416" i="1" l="1"/>
  <c r="C1417" i="1"/>
  <c r="M1417" i="1" s="1"/>
  <c r="N1417" i="1" s="1"/>
  <c r="F1417" i="1" l="1"/>
  <c r="C1418" i="1"/>
  <c r="M1418" i="1" s="1"/>
  <c r="N1418" i="1" s="1"/>
  <c r="F1418" i="1" l="1"/>
  <c r="C1419" i="1"/>
  <c r="M1419" i="1" s="1"/>
  <c r="N1419" i="1" s="1"/>
  <c r="F1419" i="1" l="1"/>
  <c r="C1420" i="1"/>
  <c r="M1420" i="1" s="1"/>
  <c r="N1420" i="1" s="1"/>
  <c r="F1420" i="1" l="1"/>
  <c r="C1421" i="1"/>
  <c r="M1421" i="1" s="1"/>
  <c r="N1421" i="1" s="1"/>
  <c r="F1421" i="1" l="1"/>
  <c r="C1422" i="1"/>
  <c r="M1422" i="1" s="1"/>
  <c r="N1422" i="1" s="1"/>
  <c r="F1422" i="1" l="1"/>
  <c r="C1423" i="1"/>
  <c r="M1423" i="1" s="1"/>
  <c r="N1423" i="1" s="1"/>
  <c r="F1423" i="1" l="1"/>
  <c r="C1424" i="1"/>
  <c r="M1424" i="1" s="1"/>
  <c r="N1424" i="1" s="1"/>
  <c r="F1424" i="1" l="1"/>
  <c r="C1425" i="1"/>
  <c r="M1425" i="1" s="1"/>
  <c r="N1425" i="1" s="1"/>
  <c r="F1425" i="1" l="1"/>
  <c r="C1426" i="1"/>
  <c r="M1426" i="1" s="1"/>
  <c r="N1426" i="1" s="1"/>
  <c r="C1427" i="1" l="1"/>
  <c r="M1427" i="1" s="1"/>
  <c r="N1427" i="1" s="1"/>
  <c r="F1426" i="1"/>
  <c r="C1428" i="1" l="1"/>
  <c r="M1428" i="1" s="1"/>
  <c r="N1428" i="1" s="1"/>
  <c r="F1427" i="1"/>
  <c r="C1429" i="1" l="1"/>
  <c r="M1429" i="1" s="1"/>
  <c r="N1429" i="1" s="1"/>
  <c r="F1428" i="1"/>
  <c r="C1430" i="1" l="1"/>
  <c r="M1430" i="1" s="1"/>
  <c r="N1430" i="1" s="1"/>
  <c r="F1429" i="1"/>
  <c r="C1431" i="1" l="1"/>
  <c r="M1431" i="1" s="1"/>
  <c r="F1430" i="1"/>
  <c r="C1432" i="1" l="1"/>
  <c r="M1432" i="1" s="1"/>
  <c r="F1431" i="1"/>
  <c r="C1433" i="1" l="1"/>
  <c r="F1432" i="1"/>
  <c r="K1434" i="1" l="1"/>
  <c r="M1433" i="1"/>
  <c r="F1433" i="1"/>
  <c r="C1434" i="1"/>
  <c r="M1434" i="1" s="1"/>
  <c r="K1449" i="1" l="1"/>
  <c r="K1435" i="1"/>
  <c r="L1434" i="1"/>
  <c r="L1449" i="1" s="1"/>
  <c r="C1435" i="1"/>
  <c r="M1435" i="1" s="1"/>
  <c r="F1434" i="1"/>
  <c r="L1435" i="1" l="1"/>
  <c r="L1442" i="1" s="1"/>
  <c r="K1440" i="1"/>
  <c r="K1442" i="1"/>
  <c r="C1436" i="1"/>
  <c r="M1436" i="1" s="1"/>
  <c r="F1435" i="1"/>
  <c r="K1444" i="1" l="1"/>
  <c r="L1440" i="1"/>
  <c r="C1437" i="1"/>
  <c r="M1437" i="1" s="1"/>
  <c r="F1436" i="1"/>
  <c r="K1453" i="1"/>
  <c r="L1453" i="1" l="1"/>
  <c r="K1460" i="1"/>
  <c r="C1438" i="1"/>
  <c r="M1438" i="1" s="1"/>
  <c r="F1437" i="1"/>
  <c r="L1444" i="1"/>
  <c r="L1460" i="1" l="1"/>
  <c r="F1438" i="1"/>
  <c r="C1439" i="1"/>
  <c r="M1439" i="1" s="1"/>
  <c r="F1439" i="1" l="1"/>
  <c r="C1440" i="1"/>
  <c r="M1440" i="1" s="1"/>
  <c r="C1441" i="1" l="1"/>
  <c r="M1441" i="1" s="1"/>
  <c r="F1440" i="1"/>
  <c r="F1441" i="1" l="1"/>
  <c r="C1442" i="1"/>
  <c r="M1442" i="1" s="1"/>
  <c r="C1443" i="1" l="1"/>
  <c r="M1443" i="1" s="1"/>
  <c r="F1442" i="1"/>
  <c r="F1443" i="1" l="1"/>
  <c r="C1444" i="1"/>
  <c r="M1444" i="1" s="1"/>
  <c r="C1445" i="1" l="1"/>
  <c r="M1445" i="1" s="1"/>
  <c r="F1444" i="1"/>
  <c r="C1446" i="1" l="1"/>
  <c r="M1446" i="1" s="1"/>
  <c r="F1445" i="1"/>
  <c r="C1447" i="1" l="1"/>
  <c r="M1447" i="1" s="1"/>
  <c r="F1446" i="1"/>
  <c r="C1448" i="1" l="1"/>
  <c r="M1448" i="1" s="1"/>
  <c r="F1447" i="1"/>
  <c r="C1449" i="1" l="1"/>
  <c r="M1449" i="1" s="1"/>
  <c r="F1448" i="1"/>
  <c r="C1450" i="1" l="1"/>
  <c r="M1450" i="1" s="1"/>
  <c r="F1449" i="1"/>
  <c r="C1451" i="1" l="1"/>
  <c r="M1451" i="1" s="1"/>
  <c r="F1450" i="1"/>
  <c r="C1452" i="1" l="1"/>
  <c r="M1452" i="1" s="1"/>
  <c r="F1451" i="1"/>
  <c r="C1453" i="1" l="1"/>
  <c r="M1453" i="1" s="1"/>
  <c r="F1452" i="1"/>
  <c r="C1454" i="1" l="1"/>
  <c r="F1453" i="1"/>
  <c r="C1455" i="1" l="1"/>
  <c r="F1454" i="1"/>
  <c r="C1456" i="1" l="1"/>
  <c r="M1456" i="1" s="1"/>
  <c r="F1455" i="1"/>
  <c r="C1457" i="1" l="1"/>
  <c r="M1457" i="1" s="1"/>
  <c r="F1456" i="1"/>
  <c r="F1457" i="1" l="1"/>
  <c r="C1458" i="1"/>
  <c r="M1458" i="1" s="1"/>
  <c r="F1458" i="1" l="1"/>
  <c r="C1459" i="1"/>
  <c r="M1459" i="1" s="1"/>
  <c r="C1460" i="1" l="1"/>
  <c r="M1460" i="1" s="1"/>
  <c r="F1459" i="1"/>
  <c r="C1461" i="1" l="1"/>
  <c r="M1461" i="1" s="1"/>
  <c r="F1460" i="1"/>
  <c r="C1462" i="1" l="1"/>
  <c r="M1462" i="1" s="1"/>
  <c r="F1461" i="1"/>
  <c r="C1463" i="1" l="1"/>
  <c r="K1464" i="1" s="1"/>
  <c r="F1462" i="1"/>
  <c r="K1465" i="1" l="1"/>
  <c r="L1464" i="1"/>
  <c r="L1479" i="1" s="1"/>
  <c r="L1480" i="1" s="1"/>
  <c r="L1482" i="1" s="1"/>
  <c r="K1479" i="1"/>
  <c r="K1480" i="1" s="1"/>
  <c r="K1482" i="1" s="1"/>
  <c r="M1463" i="1"/>
  <c r="C1464" i="1"/>
  <c r="M1464" i="1" s="1"/>
  <c r="F1463" i="1"/>
  <c r="L1465" i="1" l="1"/>
  <c r="L1472" i="1" s="1"/>
  <c r="K1472" i="1"/>
  <c r="K1470" i="1"/>
  <c r="C1465" i="1"/>
  <c r="M1465" i="1" s="1"/>
  <c r="F1464" i="1"/>
  <c r="K1474" i="1" l="1"/>
  <c r="L1470" i="1"/>
  <c r="C1466" i="1"/>
  <c r="M1466" i="1" s="1"/>
  <c r="F1465" i="1"/>
  <c r="K1483" i="1"/>
  <c r="L1483" i="1" l="1"/>
  <c r="K1490" i="1"/>
  <c r="C1467" i="1"/>
  <c r="M1467" i="1" s="1"/>
  <c r="F1466" i="1"/>
  <c r="L1474" i="1"/>
  <c r="L1490" i="1" l="1"/>
  <c r="C1468" i="1"/>
  <c r="M1468" i="1" s="1"/>
  <c r="F1467" i="1"/>
  <c r="F1468" i="1" l="1"/>
  <c r="C1469" i="1"/>
  <c r="M1469" i="1" s="1"/>
  <c r="F1469" i="1" l="1"/>
  <c r="C1470" i="1"/>
  <c r="M1470" i="1" s="1"/>
  <c r="C1471" i="1" l="1"/>
  <c r="M1471" i="1" s="1"/>
  <c r="F1470" i="1"/>
  <c r="C1472" i="1" l="1"/>
  <c r="F1471" i="1"/>
  <c r="M1472" i="1" l="1"/>
  <c r="C1473" i="1"/>
  <c r="M1473" i="1" s="1"/>
  <c r="F1472" i="1"/>
  <c r="F1473" i="1" l="1"/>
  <c r="C1474" i="1"/>
  <c r="M1474" i="1" s="1"/>
  <c r="C1475" i="1" l="1"/>
  <c r="M1475" i="1" s="1"/>
  <c r="F1474" i="1"/>
  <c r="C1476" i="1" l="1"/>
  <c r="M1476" i="1" s="1"/>
  <c r="F1475" i="1"/>
  <c r="F1476" i="1" l="1"/>
  <c r="C1477" i="1"/>
  <c r="M1477" i="1" s="1"/>
  <c r="F1477" i="1" l="1"/>
  <c r="C1478" i="1"/>
  <c r="M1478" i="1" s="1"/>
  <c r="F1478" i="1" l="1"/>
  <c r="C1479" i="1"/>
  <c r="M1479" i="1" s="1"/>
  <c r="F1479" i="1" l="1"/>
  <c r="C1480" i="1"/>
  <c r="M1480" i="1" s="1"/>
  <c r="F1480" i="1" l="1"/>
  <c r="C1481" i="1"/>
  <c r="M1481" i="1" s="1"/>
  <c r="F1481" i="1" l="1"/>
  <c r="C1482" i="1"/>
  <c r="M1482" i="1" s="1"/>
  <c r="F1482" i="1" l="1"/>
  <c r="C1483" i="1"/>
  <c r="M1483" i="1" s="1"/>
  <c r="F1483" i="1" l="1"/>
  <c r="C1484" i="1"/>
  <c r="F1484" i="1" l="1"/>
  <c r="C1485" i="1"/>
  <c r="M1485" i="1" s="1"/>
  <c r="C1486" i="1" l="1"/>
  <c r="M1486" i="1" s="1"/>
  <c r="F1485" i="1"/>
  <c r="C1487" i="1" l="1"/>
  <c r="F1486" i="1"/>
  <c r="C1488" i="1" l="1"/>
  <c r="F1487" i="1"/>
  <c r="M1488" i="1" l="1"/>
  <c r="C1489" i="1"/>
  <c r="M1489" i="1" s="1"/>
  <c r="F1488" i="1"/>
  <c r="C1490" i="1" l="1"/>
  <c r="M1490" i="1" s="1"/>
  <c r="F1489" i="1"/>
  <c r="C1491" i="1" l="1"/>
  <c r="F1490" i="1"/>
  <c r="C1492" i="1" l="1"/>
  <c r="M1492" i="1" s="1"/>
  <c r="F1491" i="1"/>
  <c r="C1493" i="1" l="1"/>
  <c r="F1492" i="1"/>
  <c r="M1493" i="1" l="1"/>
  <c r="C1494" i="1"/>
  <c r="K1495" i="1" s="1"/>
  <c r="F1493" i="1"/>
  <c r="L1015" i="1"/>
  <c r="K1496" i="1" l="1"/>
  <c r="K1510" i="1"/>
  <c r="K1511" i="1" s="1"/>
  <c r="K1513" i="1" s="1"/>
  <c r="L1495" i="1"/>
  <c r="L1510" i="1" s="1"/>
  <c r="L1511" i="1" s="1"/>
  <c r="L1513" i="1" s="1"/>
  <c r="C1495" i="1"/>
  <c r="M1495" i="1" s="1"/>
  <c r="F1494" i="1"/>
  <c r="L1016" i="1"/>
  <c r="L1018" i="1" s="1"/>
  <c r="L1019" i="1" s="1"/>
  <c r="K1503" i="1" l="1"/>
  <c r="K1501" i="1"/>
  <c r="L1496" i="1"/>
  <c r="L1503" i="1" s="1"/>
  <c r="F1495" i="1"/>
  <c r="C1496" i="1"/>
  <c r="K1015" i="1"/>
  <c r="K1514" i="1" l="1"/>
  <c r="L1501" i="1"/>
  <c r="F1496" i="1"/>
  <c r="C1497" i="1"/>
  <c r="M1496" i="1"/>
  <c r="K1016" i="1"/>
  <c r="K1018" i="1" s="1"/>
  <c r="K1019" i="1" s="1"/>
  <c r="K1044" i="1"/>
  <c r="K1505" i="1"/>
  <c r="L1514" i="1" l="1"/>
  <c r="C1498" i="1"/>
  <c r="F1497" i="1"/>
  <c r="M1497" i="1"/>
  <c r="K1045" i="1"/>
  <c r="L1505" i="1"/>
  <c r="F1498" i="1" l="1"/>
  <c r="M1498" i="1"/>
  <c r="C1499" i="1"/>
  <c r="K1046" i="1"/>
  <c r="K1048" i="1" s="1"/>
  <c r="K1049" i="1" s="1"/>
  <c r="L1045" i="1"/>
  <c r="K1075" i="1"/>
  <c r="C1500" i="1" l="1"/>
  <c r="M1499" i="1"/>
  <c r="F1499" i="1"/>
  <c r="L1046" i="1"/>
  <c r="L1048" i="1" s="1"/>
  <c r="L1049" i="1" s="1"/>
  <c r="K1076" i="1"/>
  <c r="C1501" i="1" l="1"/>
  <c r="F1500" i="1"/>
  <c r="M1500" i="1"/>
  <c r="K1077" i="1"/>
  <c r="K1079" i="1" s="1"/>
  <c r="K1080" i="1" s="1"/>
  <c r="F1501" i="1" l="1"/>
  <c r="C1502" i="1"/>
  <c r="M1501" i="1"/>
  <c r="M1502" i="1" l="1"/>
  <c r="F1502" i="1"/>
  <c r="C1503" i="1"/>
  <c r="M1503" i="1" l="1"/>
  <c r="F1503" i="1"/>
  <c r="C1504" i="1"/>
  <c r="K1105" i="1"/>
  <c r="F1504" i="1" l="1"/>
  <c r="M1504" i="1"/>
  <c r="C1505" i="1"/>
  <c r="K1106" i="1"/>
  <c r="C1506" i="1" l="1"/>
  <c r="M1506" i="1" s="1"/>
  <c r="F1505" i="1"/>
  <c r="K1107" i="1"/>
  <c r="K1109" i="1" s="1"/>
  <c r="K1110" i="1" s="1"/>
  <c r="K1136" i="1"/>
  <c r="C1507" i="1" l="1"/>
  <c r="F1506" i="1"/>
  <c r="K1137" i="1"/>
  <c r="K1167" i="1"/>
  <c r="F1507" i="1" l="1"/>
  <c r="C1508" i="1"/>
  <c r="M1507" i="1"/>
  <c r="K1138" i="1"/>
  <c r="K1140" i="1" s="1"/>
  <c r="K1141" i="1" s="1"/>
  <c r="K1168" i="1"/>
  <c r="C1509" i="1" l="1"/>
  <c r="M1509" i="1" s="1"/>
  <c r="F1508" i="1"/>
  <c r="K1169" i="1"/>
  <c r="K1171" i="1" s="1"/>
  <c r="K1172" i="1" s="1"/>
  <c r="K1195" i="1"/>
  <c r="C1510" i="1" l="1"/>
  <c r="F1509" i="1"/>
  <c r="L1227" i="1"/>
  <c r="M1510" i="1" l="1"/>
  <c r="C1511" i="1"/>
  <c r="F1510" i="1"/>
  <c r="L1228" i="1"/>
  <c r="L1230" i="1" s="1"/>
  <c r="L1231" i="1" s="1"/>
  <c r="N1219" i="1"/>
  <c r="K1196" i="1"/>
  <c r="C1512" i="1" l="1"/>
  <c r="M1511" i="1"/>
  <c r="F1511" i="1"/>
  <c r="K1197" i="1"/>
  <c r="K1199" i="1" s="1"/>
  <c r="K1200" i="1" s="1"/>
  <c r="K1226" i="1"/>
  <c r="M1512" i="1" l="1"/>
  <c r="C1513" i="1"/>
  <c r="F1512" i="1"/>
  <c r="K1227" i="1"/>
  <c r="F1513" i="1" l="1"/>
  <c r="C1514" i="1"/>
  <c r="M1513" i="1"/>
  <c r="K1228" i="1"/>
  <c r="K1230" i="1" s="1"/>
  <c r="K1231" i="1" s="1"/>
  <c r="K1256" i="1"/>
  <c r="C1515" i="1" l="1"/>
  <c r="M1514" i="1"/>
  <c r="F1514" i="1"/>
  <c r="C1516" i="1" l="1"/>
  <c r="F1515" i="1"/>
  <c r="M1515" i="1"/>
  <c r="K1257" i="1"/>
  <c r="C1517" i="1" l="1"/>
  <c r="M1516" i="1"/>
  <c r="F1516" i="1"/>
  <c r="K1258" i="1"/>
  <c r="K1260" i="1" s="1"/>
  <c r="K1261" i="1" s="1"/>
  <c r="K1287" i="1"/>
  <c r="M1517" i="1" l="1"/>
  <c r="F1517" i="1"/>
  <c r="C1518" i="1"/>
  <c r="K1288" i="1"/>
  <c r="F1518" i="1" l="1"/>
  <c r="M1518" i="1"/>
  <c r="C1519" i="1"/>
  <c r="K1289" i="1"/>
  <c r="K1291" i="1" s="1"/>
  <c r="K1292" i="1" s="1"/>
  <c r="C1520" i="1" l="1"/>
  <c r="F1519" i="1"/>
  <c r="M1519" i="1"/>
  <c r="K1317" i="1"/>
  <c r="F1520" i="1" l="1"/>
  <c r="C1521" i="1"/>
  <c r="M1520" i="1"/>
  <c r="K1318" i="1"/>
  <c r="C1522" i="1" l="1"/>
  <c r="F1521" i="1"/>
  <c r="M1521" i="1"/>
  <c r="K1319" i="1"/>
  <c r="K1321" i="1" s="1"/>
  <c r="K1322" i="1" s="1"/>
  <c r="F1522" i="1" l="1"/>
  <c r="C1523" i="1"/>
  <c r="M1522" i="1"/>
  <c r="C1524" i="1" l="1"/>
  <c r="F1523" i="1"/>
  <c r="M1523" i="1"/>
  <c r="F1524" i="1" l="1"/>
  <c r="M1524" i="1"/>
  <c r="C1525" i="1"/>
  <c r="L1541" i="1" l="1"/>
  <c r="L1542" i="1" s="1"/>
  <c r="L1544" i="1" s="1"/>
  <c r="F1525" i="1"/>
  <c r="C1526" i="1"/>
  <c r="M1525" i="1"/>
  <c r="F1526" i="1" l="1"/>
  <c r="M1526" i="1"/>
  <c r="C1527" i="1"/>
  <c r="F1527" i="1" l="1"/>
  <c r="C1528" i="1"/>
  <c r="M1527" i="1"/>
  <c r="F1528" i="1" l="1"/>
  <c r="C1529" i="1"/>
  <c r="M1528" i="1"/>
  <c r="C1530" i="1" l="1"/>
  <c r="M1529" i="1"/>
  <c r="F1529" i="1"/>
  <c r="C1531" i="1" l="1"/>
  <c r="M1530" i="1"/>
  <c r="F1530" i="1"/>
  <c r="M1531" i="1" l="1"/>
  <c r="C1532" i="1"/>
  <c r="F1531" i="1"/>
  <c r="F1532" i="1" l="1"/>
  <c r="C1533" i="1"/>
  <c r="M1532" i="1"/>
  <c r="F1533" i="1" l="1"/>
  <c r="C1534" i="1"/>
  <c r="M1533" i="1"/>
  <c r="F1534" i="1" l="1"/>
  <c r="C1535" i="1"/>
  <c r="M1534" i="1"/>
  <c r="F1535" i="1" l="1"/>
  <c r="C1536" i="1"/>
  <c r="M1535" i="1"/>
  <c r="M1536" i="1" l="1"/>
  <c r="F1536" i="1"/>
  <c r="C1537" i="1"/>
  <c r="J5" i="9"/>
  <c r="J6" i="9"/>
  <c r="K4" i="9"/>
  <c r="J3" i="9"/>
  <c r="K3" i="9"/>
  <c r="J4" i="9"/>
  <c r="J7" i="9"/>
  <c r="L3" i="9" l="1"/>
  <c r="L4" i="9"/>
  <c r="C1538" i="1"/>
  <c r="M1537" i="1"/>
  <c r="F1537" i="1"/>
  <c r="M1538" i="1" l="1"/>
  <c r="F1538" i="1"/>
  <c r="C1539" i="1"/>
  <c r="M1539" i="1" l="1"/>
  <c r="F1539" i="1"/>
  <c r="C1540" i="1"/>
  <c r="F1540" i="1" l="1"/>
  <c r="C1541" i="1"/>
  <c r="M1541" i="1" s="1"/>
  <c r="F1541" i="1" l="1"/>
  <c r="C1542" i="1"/>
  <c r="M1542" i="1" s="1"/>
  <c r="F1542" i="1" l="1"/>
  <c r="C1543" i="1"/>
  <c r="F1543" i="1" l="1"/>
  <c r="C1544" i="1"/>
  <c r="M1544" i="1" s="1"/>
  <c r="F1544" i="1" l="1"/>
  <c r="C1545" i="1"/>
  <c r="F1545" i="1" l="1"/>
  <c r="M1545" i="1"/>
  <c r="C1546" i="1"/>
  <c r="F1546" i="1" l="1"/>
  <c r="M1546" i="1"/>
  <c r="C1547" i="1"/>
  <c r="F1547" i="1" l="1"/>
  <c r="C1548" i="1"/>
  <c r="M1547" i="1"/>
  <c r="F1548" i="1" l="1"/>
  <c r="M1548" i="1"/>
  <c r="C1549" i="1"/>
  <c r="M1549" i="1" l="1"/>
  <c r="F1549" i="1"/>
  <c r="C1550" i="1"/>
  <c r="F1550" i="1" l="1"/>
  <c r="M1550" i="1"/>
  <c r="C1551" i="1"/>
  <c r="M1551" i="1" l="1"/>
  <c r="F1551" i="1"/>
  <c r="C1552" i="1"/>
  <c r="F1552" i="1" l="1"/>
  <c r="C1553" i="1"/>
  <c r="M1552" i="1"/>
  <c r="F1553" i="1" l="1"/>
  <c r="C1554" i="1"/>
  <c r="K1555" i="1" s="1"/>
  <c r="M1553" i="1"/>
  <c r="K1556" i="1" l="1"/>
  <c r="L1555" i="1"/>
  <c r="L1570" i="1" s="1"/>
  <c r="L1571" i="1" s="1"/>
  <c r="L1573" i="1" s="1"/>
  <c r="K1570" i="1"/>
  <c r="K1571" i="1" s="1"/>
  <c r="K1573" i="1" s="1"/>
  <c r="C1555" i="1"/>
  <c r="F1554" i="1"/>
  <c r="M1554" i="1"/>
  <c r="K1563" i="1" l="1"/>
  <c r="K1561" i="1"/>
  <c r="L1556" i="1"/>
  <c r="L1563" i="1" s="1"/>
  <c r="F1555" i="1"/>
  <c r="M1555" i="1"/>
  <c r="C1556" i="1"/>
  <c r="K1565" i="1" l="1"/>
  <c r="L1561" i="1"/>
  <c r="F1556" i="1"/>
  <c r="M1556" i="1"/>
  <c r="C1557" i="1"/>
  <c r="K1574" i="1"/>
  <c r="L1565" i="1" l="1"/>
  <c r="K1583" i="1"/>
  <c r="C1558" i="1"/>
  <c r="M1557" i="1"/>
  <c r="F1557" i="1"/>
  <c r="L1574" i="1"/>
  <c r="L1583" i="1" l="1"/>
  <c r="F1558" i="1"/>
  <c r="M1558" i="1"/>
  <c r="C1559" i="1"/>
  <c r="F1559" i="1" l="1"/>
  <c r="C1560" i="1"/>
  <c r="M1559" i="1"/>
  <c r="M1560" i="1" l="1"/>
  <c r="C1561" i="1"/>
  <c r="F1560" i="1"/>
  <c r="F1561" i="1" l="1"/>
  <c r="C1562" i="1"/>
  <c r="M1561" i="1"/>
  <c r="C1563" i="1" l="1"/>
  <c r="M1562" i="1"/>
  <c r="F1562" i="1"/>
  <c r="F1563" i="1" l="1"/>
  <c r="M1563" i="1"/>
  <c r="C1564" i="1"/>
  <c r="F1564" i="1" l="1"/>
  <c r="M1564" i="1"/>
  <c r="C1565" i="1"/>
  <c r="M1565" i="1" l="1"/>
  <c r="F1565" i="1"/>
  <c r="C1566" i="1"/>
  <c r="F1566" i="1" l="1"/>
  <c r="M1566" i="1"/>
  <c r="C1567" i="1"/>
  <c r="M1567" i="1" l="1"/>
  <c r="F1567" i="1"/>
  <c r="C1568" i="1"/>
  <c r="F1568" i="1" l="1"/>
  <c r="C1569" i="1"/>
  <c r="M1568" i="1"/>
  <c r="F1569" i="1" l="1"/>
  <c r="M1569" i="1"/>
  <c r="C1570" i="1"/>
  <c r="M1570" i="1" l="1"/>
  <c r="F1570" i="1"/>
  <c r="C1571" i="1"/>
  <c r="F1571" i="1" l="1"/>
  <c r="M1571" i="1"/>
  <c r="C1572" i="1"/>
  <c r="F1572" i="1" l="1"/>
  <c r="M1572" i="1"/>
  <c r="C1573" i="1"/>
  <c r="C1574" i="1" l="1"/>
  <c r="M1573" i="1"/>
  <c r="F1573" i="1"/>
  <c r="F1574" i="1" l="1"/>
  <c r="C1575" i="1"/>
  <c r="M1574" i="1"/>
  <c r="F1575" i="1" l="1"/>
  <c r="C1576" i="1"/>
  <c r="M1575" i="1"/>
  <c r="F1576" i="1" l="1"/>
  <c r="M1576" i="1"/>
  <c r="C1577" i="1"/>
  <c r="C1578" i="1" l="1"/>
  <c r="F1577" i="1"/>
  <c r="M1577" i="1"/>
  <c r="F1578" i="1" l="1"/>
  <c r="M1578" i="1"/>
  <c r="C1579" i="1"/>
  <c r="C1580" i="1" l="1"/>
  <c r="M1579" i="1"/>
  <c r="F1579" i="1"/>
  <c r="F1580" i="1" l="1"/>
  <c r="M1580" i="1"/>
  <c r="C1581" i="1"/>
  <c r="C1582" i="1" l="1"/>
  <c r="F1581" i="1"/>
  <c r="F1582" i="1" l="1"/>
  <c r="C1583" i="1"/>
  <c r="F1583" i="1" l="1"/>
  <c r="C1584" i="1"/>
  <c r="M1583" i="1"/>
  <c r="C1585" i="1" l="1"/>
  <c r="K1586" i="1" s="1"/>
  <c r="M1584" i="1"/>
  <c r="F1584" i="1"/>
  <c r="K1587" i="1" l="1"/>
  <c r="K1601" i="1"/>
  <c r="K1602" i="1" s="1"/>
  <c r="K1604" i="1" s="1"/>
  <c r="L1586" i="1"/>
  <c r="L1601" i="1" s="1"/>
  <c r="L1602" i="1" s="1"/>
  <c r="L1604" i="1" s="1"/>
  <c r="F1585" i="1"/>
  <c r="C1586" i="1"/>
  <c r="M1585" i="1"/>
  <c r="L1587" i="1" l="1"/>
  <c r="L1594" i="1" s="1"/>
  <c r="K1594" i="1"/>
  <c r="K1592" i="1"/>
  <c r="M1586" i="1"/>
  <c r="F1586" i="1"/>
  <c r="C1587" i="1"/>
  <c r="K1596" i="1" l="1"/>
  <c r="L1592" i="1"/>
  <c r="C1588" i="1"/>
  <c r="F1587" i="1"/>
  <c r="M1587" i="1"/>
  <c r="K1605" i="1"/>
  <c r="L1596" i="1" l="1"/>
  <c r="K1613" i="1"/>
  <c r="M1588" i="1"/>
  <c r="F1588" i="1"/>
  <c r="C1589" i="1"/>
  <c r="L1605" i="1"/>
  <c r="L1613" i="1" l="1"/>
  <c r="M1589" i="1"/>
  <c r="F1589" i="1"/>
  <c r="C1590" i="1"/>
  <c r="C1591" i="1" l="1"/>
  <c r="F1590" i="1"/>
  <c r="M1590" i="1"/>
  <c r="F1591" i="1" l="1"/>
  <c r="C1592" i="1"/>
  <c r="M1591" i="1"/>
  <c r="F1592" i="1" l="1"/>
  <c r="C1593" i="1"/>
  <c r="M1592" i="1"/>
  <c r="F1593" i="1" l="1"/>
  <c r="C1594" i="1"/>
  <c r="M1593" i="1"/>
  <c r="F1594" i="1" l="1"/>
  <c r="C1595" i="1"/>
  <c r="M1594" i="1"/>
  <c r="M1595" i="1" l="1"/>
  <c r="F1595" i="1"/>
  <c r="C1596" i="1"/>
  <c r="C1597" i="1" l="1"/>
  <c r="M1596" i="1"/>
  <c r="F1596" i="1"/>
  <c r="M1597" i="1" l="1"/>
  <c r="F1597" i="1"/>
  <c r="C1598" i="1"/>
  <c r="C1599" i="1" l="1"/>
  <c r="M1598" i="1"/>
  <c r="F1598" i="1"/>
  <c r="C1600" i="1" l="1"/>
  <c r="F1599" i="1"/>
  <c r="M1599" i="1"/>
  <c r="F1600" i="1" l="1"/>
  <c r="M1600" i="1"/>
  <c r="C1601" i="1"/>
  <c r="F1601" i="1" l="1"/>
  <c r="C1602" i="1"/>
  <c r="M1601" i="1"/>
  <c r="F1602" i="1" l="1"/>
  <c r="M1602" i="1"/>
  <c r="C1603" i="1"/>
  <c r="F1603" i="1" l="1"/>
  <c r="C1604" i="1"/>
  <c r="M1603" i="1"/>
  <c r="C1605" i="1" l="1"/>
  <c r="M1604" i="1"/>
  <c r="F1604" i="1"/>
  <c r="C1606" i="1" l="1"/>
  <c r="M1605" i="1"/>
  <c r="F1605" i="1"/>
  <c r="C1607" i="1" l="1"/>
  <c r="M1606" i="1"/>
  <c r="F1606" i="1"/>
  <c r="M1607" i="1" l="1"/>
  <c r="C1608" i="1"/>
  <c r="F1607" i="1"/>
  <c r="F1608" i="1" l="1"/>
  <c r="M1608" i="1"/>
  <c r="C1609" i="1"/>
  <c r="M1609" i="1" l="1"/>
  <c r="C1610" i="1"/>
  <c r="F1609" i="1"/>
  <c r="F1610" i="1" l="1"/>
  <c r="C1611" i="1"/>
  <c r="M1610" i="1"/>
  <c r="C1612" i="1" l="1"/>
  <c r="F1611" i="1"/>
  <c r="M1611" i="1"/>
  <c r="C1613" i="1" l="1"/>
  <c r="M1612" i="1"/>
  <c r="F1612" i="1"/>
  <c r="F1613" i="1" l="1"/>
  <c r="M1613" i="1"/>
  <c r="C1614" i="1"/>
  <c r="C1615" i="1" l="1"/>
  <c r="K1616" i="1" s="1"/>
  <c r="M1614" i="1"/>
  <c r="F1614" i="1"/>
  <c r="K1617" i="1" l="1"/>
  <c r="K1631" i="1"/>
  <c r="K1632" i="1" s="1"/>
  <c r="K1634" i="1" s="1"/>
  <c r="L1616" i="1"/>
  <c r="L1631" i="1" s="1"/>
  <c r="L1632" i="1" s="1"/>
  <c r="L1634" i="1" s="1"/>
  <c r="F1615" i="1"/>
  <c r="C1616" i="1"/>
  <c r="M1615" i="1"/>
  <c r="K1624" i="1" l="1"/>
  <c r="L1617" i="1"/>
  <c r="L1624" i="1" s="1"/>
  <c r="K1622" i="1"/>
  <c r="C1617" i="1"/>
  <c r="M1616" i="1"/>
  <c r="F1616" i="1"/>
  <c r="K1635" i="1" l="1"/>
  <c r="L1622" i="1"/>
  <c r="M1617" i="1"/>
  <c r="C1618" i="1"/>
  <c r="F1617" i="1"/>
  <c r="K1626" i="1"/>
  <c r="K1644" i="1" l="1"/>
  <c r="L1626" i="1"/>
  <c r="F1618" i="1"/>
  <c r="M1618" i="1"/>
  <c r="C1619" i="1"/>
  <c r="L1635" i="1"/>
  <c r="L1644" i="1" l="1"/>
  <c r="F1619" i="1"/>
  <c r="C1620" i="1"/>
  <c r="M1619" i="1"/>
  <c r="F1620" i="1" l="1"/>
  <c r="C1621" i="1"/>
  <c r="M1620" i="1"/>
  <c r="M1621" i="1" l="1"/>
  <c r="F1621" i="1"/>
  <c r="C1622" i="1"/>
  <c r="C1623" i="1" l="1"/>
  <c r="M1622" i="1"/>
  <c r="F1622" i="1"/>
  <c r="M1623" i="1" l="1"/>
  <c r="F1623" i="1"/>
  <c r="C1624" i="1"/>
  <c r="C1625" i="1" l="1"/>
  <c r="F1624" i="1"/>
  <c r="M1624" i="1"/>
  <c r="F1625" i="1" l="1"/>
  <c r="C1626" i="1"/>
  <c r="M1625" i="1"/>
  <c r="F1626" i="1" l="1"/>
  <c r="M1626" i="1"/>
  <c r="C1627" i="1"/>
  <c r="F1627" i="1" l="1"/>
  <c r="M1627" i="1"/>
  <c r="C1628" i="1"/>
  <c r="F1628" i="1" l="1"/>
  <c r="C1629" i="1"/>
  <c r="M1628" i="1"/>
  <c r="F1629" i="1" l="1"/>
  <c r="C1630" i="1"/>
  <c r="M1629" i="1"/>
  <c r="M1630" i="1" l="1"/>
  <c r="F1630" i="1"/>
  <c r="C1631" i="1"/>
  <c r="C1632" i="1" l="1"/>
  <c r="M1631" i="1"/>
  <c r="F1631" i="1"/>
  <c r="M1632" i="1" l="1"/>
  <c r="F1632" i="1"/>
  <c r="C1633" i="1"/>
  <c r="M1633" i="1" l="1"/>
  <c r="F1633" i="1"/>
  <c r="C1634" i="1"/>
  <c r="F1634" i="1" l="1"/>
  <c r="C1635" i="1"/>
  <c r="M1634" i="1"/>
  <c r="F1635" i="1" l="1"/>
  <c r="M1635" i="1"/>
  <c r="C1636" i="1"/>
  <c r="F1636" i="1" l="1"/>
  <c r="C1637" i="1"/>
  <c r="M1636" i="1"/>
  <c r="F1637" i="1" l="1"/>
  <c r="C1638" i="1"/>
  <c r="M1637" i="1"/>
  <c r="C1639" i="1" l="1"/>
  <c r="M1639" i="1" s="1"/>
  <c r="F1638" i="1"/>
  <c r="C1640" i="1" l="1"/>
  <c r="M1640" i="1" s="1"/>
  <c r="F1639" i="1"/>
  <c r="C1641" i="1" l="1"/>
  <c r="F1640" i="1"/>
  <c r="C1642" i="1" l="1"/>
  <c r="M1642" i="1" s="1"/>
  <c r="F1641" i="1"/>
  <c r="F1642" i="1" l="1"/>
  <c r="C1643" i="1"/>
  <c r="C1644" i="1" l="1"/>
  <c r="F1643" i="1"/>
  <c r="M1643" i="1"/>
  <c r="F1644" i="1" l="1"/>
  <c r="M1644" i="1"/>
  <c r="C1645" i="1"/>
  <c r="F1645" i="1" l="1"/>
  <c r="M1645" i="1"/>
  <c r="C1646" i="1"/>
  <c r="K1647" i="1" s="1"/>
  <c r="K1662" i="1" l="1"/>
  <c r="K1663" i="1" s="1"/>
  <c r="K1665" i="1" s="1"/>
  <c r="K1648" i="1"/>
  <c r="L1647" i="1"/>
  <c r="L1662" i="1" s="1"/>
  <c r="L1663" i="1" s="1"/>
  <c r="L1665" i="1" s="1"/>
  <c r="M1646" i="1"/>
  <c r="F1646" i="1"/>
  <c r="C1647" i="1"/>
  <c r="L1648" i="1" l="1"/>
  <c r="L1655" i="1" s="1"/>
  <c r="K1655" i="1"/>
  <c r="K1653" i="1"/>
  <c r="M1647" i="1"/>
  <c r="C1648" i="1"/>
  <c r="F1647" i="1"/>
  <c r="K1657" i="1" l="1"/>
  <c r="L1653" i="1"/>
  <c r="C1649" i="1"/>
  <c r="F1648" i="1"/>
  <c r="M1648" i="1"/>
  <c r="K1666" i="1"/>
  <c r="L1657" i="1" l="1"/>
  <c r="K1674" i="1"/>
  <c r="C1650" i="1"/>
  <c r="M1649" i="1"/>
  <c r="F1649" i="1"/>
  <c r="L1666" i="1"/>
  <c r="L1674" i="1" l="1"/>
  <c r="M1650" i="1"/>
  <c r="C1651" i="1"/>
  <c r="F1650" i="1"/>
  <c r="M1651" i="1" l="1"/>
  <c r="C1652" i="1"/>
  <c r="F1651" i="1"/>
  <c r="M1652" i="1" l="1"/>
  <c r="C1653" i="1"/>
  <c r="F1652" i="1"/>
  <c r="F1653" i="1" l="1"/>
  <c r="C1654" i="1"/>
  <c r="M1653" i="1"/>
  <c r="C1655" i="1" l="1"/>
  <c r="F1654" i="1"/>
  <c r="M1654" i="1"/>
  <c r="F1655" i="1" l="1"/>
  <c r="C1656" i="1"/>
  <c r="M1655" i="1"/>
  <c r="F1656" i="1" l="1"/>
  <c r="C1657" i="1"/>
  <c r="M1656" i="1"/>
  <c r="M1657" i="1" l="1"/>
  <c r="F1657" i="1"/>
  <c r="C1658" i="1"/>
  <c r="F1658" i="1" l="1"/>
  <c r="C1659" i="1"/>
  <c r="M1658" i="1"/>
  <c r="C1660" i="1" l="1"/>
  <c r="M1660" i="1" s="1"/>
  <c r="M1659" i="1"/>
  <c r="F1659" i="1"/>
  <c r="C1661" i="1" l="1"/>
  <c r="F1660" i="1"/>
  <c r="M1661" i="1" l="1"/>
  <c r="F1661" i="1"/>
  <c r="C1662" i="1"/>
  <c r="C1663" i="1" l="1"/>
  <c r="M1662" i="1"/>
  <c r="F1662" i="1"/>
  <c r="C1664" i="1" l="1"/>
  <c r="F1663" i="1"/>
  <c r="F1664" i="1" l="1"/>
  <c r="C1665" i="1"/>
  <c r="M1665" i="1" l="1"/>
  <c r="F1665" i="1"/>
  <c r="C1666" i="1"/>
  <c r="M1666" i="1" l="1"/>
  <c r="F1666" i="1"/>
  <c r="C1667" i="1"/>
  <c r="M1667" i="1" l="1"/>
  <c r="F1667" i="1"/>
  <c r="C1668" i="1"/>
  <c r="C1669" i="1" l="1"/>
  <c r="F1668" i="1"/>
  <c r="M1668" i="1"/>
  <c r="F1669" i="1" l="1"/>
  <c r="C1670" i="1"/>
  <c r="M1669" i="1"/>
  <c r="C1671" i="1" l="1"/>
  <c r="M1670" i="1"/>
  <c r="F1670" i="1"/>
  <c r="M1671" i="1" l="1"/>
  <c r="C1672" i="1"/>
  <c r="F1671" i="1"/>
  <c r="C1673" i="1" l="1"/>
  <c r="F1672" i="1"/>
  <c r="M1672" i="1"/>
  <c r="F1673" i="1" l="1"/>
  <c r="M1673" i="1"/>
  <c r="C1674" i="1"/>
  <c r="F1674" i="1" l="1"/>
  <c r="C1675" i="1"/>
  <c r="C1676" i="1" s="1"/>
  <c r="M1674" i="1"/>
  <c r="K1677" i="1" l="1"/>
  <c r="F1675" i="1"/>
  <c r="M1675" i="1"/>
  <c r="K1678" i="1" l="1"/>
  <c r="L1677" i="1"/>
  <c r="L1692" i="1" s="1"/>
  <c r="L1693" i="1" s="1"/>
  <c r="L1695" i="1" s="1"/>
  <c r="K1692" i="1"/>
  <c r="K1693" i="1" s="1"/>
  <c r="K1695" i="1" s="1"/>
  <c r="C1677" i="1"/>
  <c r="M1677" i="1" s="1"/>
  <c r="M1676" i="1"/>
  <c r="F1676" i="1"/>
  <c r="L1678" i="1" l="1"/>
  <c r="L1685" i="1" s="1"/>
  <c r="K1685" i="1"/>
  <c r="K1683" i="1"/>
  <c r="C1678" i="1"/>
  <c r="F1677" i="1"/>
  <c r="K1687" i="1" l="1"/>
  <c r="L1683" i="1"/>
  <c r="F1678" i="1"/>
  <c r="C1679" i="1"/>
  <c r="K1696" i="1"/>
  <c r="L1696" i="1" l="1"/>
  <c r="K1705" i="1"/>
  <c r="C1680" i="1"/>
  <c r="F1679" i="1"/>
  <c r="L1687" i="1"/>
  <c r="L1705" i="1" l="1"/>
  <c r="F1680" i="1"/>
  <c r="M1680" i="1"/>
  <c r="C1681" i="1"/>
  <c r="F1681" i="1" l="1"/>
  <c r="M1681" i="1"/>
  <c r="C1682" i="1"/>
  <c r="C1683" i="1" l="1"/>
  <c r="M1682" i="1"/>
  <c r="F1682" i="1"/>
  <c r="F1683" i="1" l="1"/>
  <c r="C1684" i="1"/>
  <c r="M1683" i="1"/>
  <c r="C1685" i="1" l="1"/>
  <c r="M1684" i="1"/>
  <c r="F1684" i="1"/>
  <c r="F1685" i="1" l="1"/>
  <c r="C1686" i="1"/>
  <c r="M1685" i="1"/>
  <c r="C1687" i="1" l="1"/>
  <c r="M1686" i="1"/>
  <c r="F1686" i="1"/>
  <c r="C1688" i="1" l="1"/>
  <c r="M1687" i="1"/>
  <c r="F1687" i="1"/>
  <c r="F1688" i="1" l="1"/>
  <c r="C1689" i="1"/>
  <c r="M1688" i="1"/>
  <c r="C1690" i="1" l="1"/>
  <c r="M1689" i="1"/>
  <c r="F1689" i="1"/>
  <c r="F1690" i="1" l="1"/>
  <c r="M1690" i="1"/>
  <c r="C1691" i="1"/>
  <c r="F1691" i="1" l="1"/>
  <c r="M1691" i="1"/>
  <c r="C1692" i="1"/>
  <c r="C1693" i="1" l="1"/>
  <c r="M1692" i="1"/>
  <c r="F1692" i="1"/>
  <c r="F1693" i="1" l="1"/>
  <c r="C1694" i="1"/>
  <c r="M1693" i="1"/>
  <c r="F1694" i="1" l="1"/>
  <c r="C1695" i="1"/>
  <c r="M1694" i="1"/>
  <c r="C1696" i="1" l="1"/>
  <c r="M1695" i="1"/>
  <c r="F1695" i="1"/>
  <c r="F1696" i="1" l="1"/>
  <c r="M1696" i="1"/>
  <c r="C1697" i="1"/>
  <c r="C1698" i="1" l="1"/>
  <c r="M1697" i="1"/>
  <c r="F1697" i="1"/>
  <c r="M1698" i="1" l="1"/>
  <c r="F1698" i="1"/>
  <c r="C1699" i="1"/>
  <c r="C1700" i="1" l="1"/>
  <c r="M1699" i="1"/>
  <c r="F1699" i="1"/>
  <c r="C1701" i="1" l="1"/>
  <c r="F1700" i="1"/>
  <c r="M1700" i="1"/>
  <c r="C1702" i="1" l="1"/>
  <c r="M1701" i="1"/>
  <c r="F1701" i="1"/>
  <c r="M1702" i="1" l="1"/>
  <c r="C1703" i="1"/>
  <c r="F1702" i="1"/>
  <c r="C1704" i="1" l="1"/>
  <c r="M1703" i="1"/>
  <c r="F1703" i="1"/>
  <c r="M1704" i="1" l="1"/>
  <c r="C1705" i="1"/>
  <c r="F1704" i="1"/>
  <c r="C1706" i="1" l="1"/>
  <c r="M1705" i="1"/>
  <c r="F1705" i="1"/>
  <c r="C1707" i="1" l="1"/>
  <c r="K1708" i="1" s="1"/>
  <c r="M1706" i="1"/>
  <c r="F1706" i="1"/>
  <c r="K1709" i="1" l="1"/>
  <c r="L1708" i="1"/>
  <c r="L1723" i="1" s="1"/>
  <c r="L1724" i="1" s="1"/>
  <c r="L1726" i="1" s="1"/>
  <c r="K1723" i="1"/>
  <c r="K1724" i="1" s="1"/>
  <c r="K1726" i="1" s="1"/>
  <c r="F1707" i="1"/>
  <c r="C1708" i="1"/>
  <c r="M1707" i="1"/>
  <c r="K1714" i="1" l="1"/>
  <c r="K1716" i="1"/>
  <c r="L1709" i="1"/>
  <c r="L1716" i="1" s="1"/>
  <c r="C1709" i="1"/>
  <c r="M1708" i="1"/>
  <c r="F1708" i="1"/>
  <c r="K1727" i="1" l="1"/>
  <c r="L1714" i="1"/>
  <c r="F1709" i="1"/>
  <c r="C1710" i="1"/>
  <c r="M1709" i="1"/>
  <c r="K1718" i="1"/>
  <c r="L1727" i="1" l="1"/>
  <c r="K1736" i="1"/>
  <c r="M1710" i="1"/>
  <c r="C1711" i="1"/>
  <c r="F1710" i="1"/>
  <c r="L1718" i="1"/>
  <c r="L1736" i="1" l="1"/>
  <c r="F1711" i="1"/>
  <c r="C1712" i="1"/>
  <c r="M1711" i="1"/>
  <c r="C1713" i="1" l="1"/>
  <c r="F1712" i="1"/>
  <c r="M1712" i="1"/>
  <c r="C1714" i="1" l="1"/>
  <c r="M1713" i="1"/>
  <c r="F1713" i="1"/>
  <c r="C1715" i="1" l="1"/>
  <c r="M1714" i="1"/>
  <c r="F1714" i="1"/>
  <c r="C1716" i="1" l="1"/>
  <c r="F1715" i="1"/>
  <c r="M1715" i="1"/>
  <c r="M1716" i="1" l="1"/>
  <c r="C1717" i="1"/>
  <c r="F1716" i="1"/>
  <c r="C1718" i="1" l="1"/>
  <c r="F1717" i="1"/>
  <c r="M1717" i="1"/>
  <c r="M1718" i="1" l="1"/>
  <c r="F1718" i="1"/>
  <c r="C1719" i="1"/>
  <c r="C1720" i="1" l="1"/>
  <c r="F1719" i="1"/>
  <c r="M1719" i="1"/>
  <c r="M1720" i="1" l="1"/>
  <c r="F1720" i="1"/>
  <c r="C1721" i="1"/>
  <c r="C1722" i="1" l="1"/>
  <c r="F1721" i="1"/>
  <c r="M1721" i="1"/>
  <c r="C1723" i="1" l="1"/>
  <c r="F1722" i="1"/>
  <c r="M1722" i="1"/>
  <c r="C1724" i="1" l="1"/>
  <c r="M1723" i="1"/>
  <c r="F1723" i="1"/>
  <c r="C1725" i="1" l="1"/>
  <c r="M1724" i="1"/>
  <c r="F1724" i="1"/>
  <c r="M1725" i="1" l="1"/>
  <c r="C1726" i="1"/>
  <c r="F1725" i="1"/>
  <c r="M1726" i="1" l="1"/>
  <c r="F1726" i="1"/>
  <c r="C1727" i="1"/>
  <c r="M1727" i="1" l="1"/>
  <c r="C1728" i="1"/>
  <c r="F1727" i="1"/>
  <c r="M1728" i="1" l="1"/>
  <c r="F1728" i="1"/>
  <c r="C1729" i="1"/>
  <c r="C1730" i="1" l="1"/>
  <c r="M1729" i="1"/>
  <c r="F1729" i="1"/>
  <c r="M1730" i="1" l="1"/>
  <c r="C1731" i="1"/>
  <c r="F1730" i="1"/>
  <c r="F1731" i="1" l="1"/>
  <c r="M1731" i="1"/>
  <c r="C1732" i="1"/>
  <c r="C1733" i="1" l="1"/>
  <c r="F1732" i="1"/>
  <c r="M1732" i="1"/>
  <c r="C1734" i="1" l="1"/>
  <c r="F1733" i="1"/>
  <c r="M1733" i="1"/>
  <c r="M1734" i="1" l="1"/>
  <c r="C1735" i="1"/>
  <c r="F1734" i="1"/>
  <c r="C1736" i="1" l="1"/>
  <c r="M1735" i="1"/>
  <c r="F1735" i="1"/>
  <c r="C1737" i="1" l="1"/>
  <c r="M1737" i="1" s="1"/>
  <c r="F1736" i="1"/>
  <c r="C1738" i="1" l="1"/>
  <c r="K1739" i="1" s="1"/>
  <c r="F1737" i="1"/>
  <c r="K1740" i="1" l="1"/>
  <c r="L1739" i="1"/>
  <c r="L1756" i="1" s="1"/>
  <c r="L1757" i="1" s="1"/>
  <c r="L1759" i="1" s="1"/>
  <c r="K1756" i="1"/>
  <c r="K1757" i="1" s="1"/>
  <c r="K1759" i="1" s="1"/>
  <c r="M1738" i="1"/>
  <c r="F1738" i="1"/>
  <c r="C1739" i="1"/>
  <c r="L1740" i="1" l="1"/>
  <c r="L1749" i="1" s="1"/>
  <c r="K1747" i="1"/>
  <c r="K1749" i="1"/>
  <c r="F1739" i="1"/>
  <c r="C1740" i="1"/>
  <c r="M1740" i="1" s="1"/>
  <c r="K1760" i="1" l="1"/>
  <c r="L1747" i="1"/>
  <c r="C1741" i="1"/>
  <c r="F1740" i="1"/>
  <c r="K1751" i="1"/>
  <c r="L1751" i="1" l="1"/>
  <c r="K1767" i="1"/>
  <c r="C1742" i="1"/>
  <c r="M1741" i="1"/>
  <c r="F1741" i="1"/>
  <c r="L1760" i="1"/>
  <c r="L1767" i="1" l="1"/>
  <c r="C1743" i="1"/>
  <c r="M1742" i="1"/>
  <c r="F1742" i="1"/>
  <c r="C1744" i="1" l="1"/>
  <c r="F1743" i="1"/>
  <c r="M1743" i="1"/>
  <c r="M1744" i="1" l="1"/>
  <c r="F1744" i="1"/>
  <c r="C1745" i="1"/>
  <c r="C1746" i="1" l="1"/>
  <c r="M1745" i="1"/>
  <c r="F1745" i="1"/>
  <c r="C1747" i="1" l="1"/>
  <c r="M1746" i="1"/>
  <c r="F1746" i="1"/>
  <c r="C1748" i="1" l="1"/>
  <c r="M1747" i="1"/>
  <c r="F1747" i="1"/>
  <c r="M1748" i="1" l="1"/>
  <c r="F1748" i="1"/>
  <c r="C1749" i="1"/>
  <c r="C1750" i="1" l="1"/>
  <c r="M1749" i="1"/>
  <c r="F1749" i="1"/>
  <c r="C1751" i="1" l="1"/>
  <c r="F1750" i="1"/>
  <c r="M1750" i="1"/>
  <c r="C1752" i="1" l="1"/>
  <c r="F1751" i="1"/>
  <c r="M1751" i="1"/>
  <c r="F1752" i="1" l="1"/>
  <c r="C1753" i="1"/>
  <c r="M1752" i="1"/>
  <c r="C1754" i="1" l="1"/>
  <c r="M1753" i="1"/>
  <c r="F1753" i="1"/>
  <c r="M1754" i="1" l="1"/>
  <c r="F1754" i="1"/>
  <c r="C1755" i="1"/>
  <c r="M1755" i="1" l="1"/>
  <c r="F1755" i="1"/>
  <c r="C1756" i="1"/>
  <c r="C1757" i="1" l="1"/>
  <c r="F1756" i="1"/>
  <c r="M1756" i="1"/>
  <c r="M1757" i="1" l="1"/>
  <c r="F1757" i="1"/>
  <c r="C1758" i="1"/>
  <c r="M1758" i="1" l="1"/>
  <c r="F1758" i="1"/>
  <c r="C1759" i="1"/>
  <c r="M1759" i="1" l="1"/>
  <c r="C1760" i="1"/>
  <c r="F1759" i="1"/>
  <c r="C1761" i="1" l="1"/>
  <c r="F1760" i="1"/>
  <c r="M1760" i="1"/>
  <c r="C1762" i="1" l="1"/>
  <c r="F1761" i="1"/>
  <c r="M1761" i="1"/>
  <c r="F1762" i="1" l="1"/>
  <c r="M1762" i="1"/>
  <c r="C1763" i="1"/>
  <c r="C1764" i="1" l="1"/>
  <c r="F1763" i="1"/>
  <c r="M1763" i="1"/>
  <c r="C1765" i="1" l="1"/>
  <c r="F1764" i="1"/>
  <c r="M1764" i="1"/>
  <c r="M1765" i="1" l="1"/>
  <c r="C1766" i="1"/>
  <c r="F1765" i="1"/>
  <c r="F1766" i="1" l="1"/>
  <c r="C1767" i="1"/>
  <c r="M1766" i="1"/>
  <c r="M1767" i="1" l="1"/>
  <c r="F1767" i="1"/>
  <c r="C1768" i="1"/>
  <c r="K1769" i="1" s="1"/>
  <c r="K1770" i="1" l="1"/>
  <c r="K1786" i="1"/>
  <c r="K1787" i="1" s="1"/>
  <c r="K1789" i="1" s="1"/>
  <c r="L1769" i="1"/>
  <c r="L1786" i="1" s="1"/>
  <c r="L1787" i="1" s="1"/>
  <c r="L1789" i="1" s="1"/>
  <c r="F1768" i="1"/>
  <c r="M1768" i="1"/>
  <c r="C1769" i="1"/>
  <c r="K1779" i="1" l="1"/>
  <c r="K1777" i="1"/>
  <c r="L1770" i="1"/>
  <c r="L1779" i="1" s="1"/>
  <c r="F1769" i="1"/>
  <c r="C1770" i="1"/>
  <c r="M1769" i="1"/>
  <c r="K1790" i="1" l="1"/>
  <c r="L1777" i="1"/>
  <c r="C1771" i="1"/>
  <c r="F1770" i="1"/>
  <c r="M1770" i="1"/>
  <c r="K1781" i="1"/>
  <c r="K1798" i="1" l="1"/>
  <c r="L1790" i="1"/>
  <c r="C1772" i="1"/>
  <c r="M1772" i="1" s="1"/>
  <c r="M1771" i="1"/>
  <c r="F1771" i="1"/>
  <c r="L1781" i="1"/>
  <c r="L1798" i="1" l="1"/>
  <c r="C1773" i="1"/>
  <c r="M1773" i="1" s="1"/>
  <c r="F1772" i="1"/>
  <c r="F1773" i="1" l="1"/>
  <c r="C1774" i="1"/>
  <c r="M1774" i="1" s="1"/>
  <c r="F1774" i="1" l="1"/>
  <c r="C1775" i="1"/>
  <c r="M1775" i="1" s="1"/>
  <c r="C1776" i="1" l="1"/>
  <c r="M1776" i="1" s="1"/>
  <c r="F1775" i="1"/>
  <c r="C1777" i="1" l="1"/>
  <c r="F1776" i="1"/>
  <c r="M1777" i="1" l="1"/>
  <c r="C1778" i="1"/>
  <c r="F1777" i="1"/>
  <c r="C1779" i="1" l="1"/>
  <c r="F1778" i="1"/>
  <c r="M1779" i="1" l="1"/>
  <c r="F1779" i="1"/>
  <c r="C1780" i="1"/>
  <c r="M1780" i="1" l="1"/>
  <c r="F1780" i="1"/>
  <c r="C1781" i="1"/>
  <c r="C1782" i="1" l="1"/>
  <c r="F1781" i="1"/>
  <c r="M1782" i="1" l="1"/>
  <c r="F1782" i="1"/>
  <c r="C1783" i="1"/>
  <c r="C1784" i="1" l="1"/>
  <c r="F1783" i="1"/>
  <c r="M1783" i="1"/>
  <c r="M1784" i="1" l="1"/>
  <c r="F1784" i="1"/>
  <c r="C1785" i="1"/>
  <c r="M1785" i="1" l="1"/>
  <c r="C1786" i="1"/>
  <c r="F1785" i="1"/>
  <c r="C1787" i="1" l="1"/>
  <c r="F1786" i="1"/>
  <c r="M1786" i="1"/>
  <c r="C1788" i="1" l="1"/>
  <c r="M1787" i="1"/>
  <c r="F1787" i="1"/>
  <c r="C1789" i="1" l="1"/>
  <c r="F1788" i="1"/>
  <c r="M1788" i="1"/>
  <c r="C1790" i="1" l="1"/>
  <c r="M1789" i="1"/>
  <c r="F1789" i="1"/>
  <c r="C1791" i="1" l="1"/>
  <c r="F1790" i="1"/>
  <c r="M1790" i="1"/>
  <c r="C1792" i="1" l="1"/>
  <c r="F1791" i="1"/>
  <c r="M1791" i="1"/>
  <c r="J16" i="9" l="1"/>
  <c r="J21" i="9"/>
  <c r="J23" i="9"/>
  <c r="K20" i="9"/>
  <c r="K18" i="9"/>
  <c r="K19" i="9"/>
  <c r="K21" i="9"/>
  <c r="J22" i="9"/>
  <c r="J24" i="9"/>
  <c r="M1792" i="1"/>
  <c r="C1793" i="1"/>
  <c r="F1792" i="1"/>
  <c r="L24" i="9" l="1"/>
  <c r="L23" i="9"/>
  <c r="L22" i="9"/>
  <c r="L21" i="9"/>
  <c r="C1794" i="1"/>
  <c r="F1793" i="1"/>
  <c r="M1793" i="1"/>
  <c r="M1794" i="1" l="1"/>
  <c r="C1795" i="1"/>
  <c r="F1794" i="1"/>
  <c r="C1796" i="1" l="1"/>
  <c r="F1795" i="1"/>
  <c r="M1795" i="1"/>
  <c r="M1796" i="1" l="1"/>
  <c r="C1797" i="1"/>
  <c r="F1796" i="1"/>
  <c r="F1797" i="1" l="1"/>
  <c r="M1797" i="1"/>
  <c r="C1798" i="1"/>
  <c r="M1798" i="1" l="1"/>
  <c r="F1798" i="1"/>
  <c r="C1799" i="1"/>
  <c r="K1800" i="1" s="1"/>
  <c r="K1801" i="1" l="1"/>
  <c r="L1800" i="1"/>
  <c r="L1817" i="1" s="1"/>
  <c r="L1818" i="1" s="1"/>
  <c r="L1820" i="1" s="1"/>
  <c r="K1817" i="1"/>
  <c r="K1818" i="1" s="1"/>
  <c r="K1820" i="1" s="1"/>
  <c r="M1799" i="1"/>
  <c r="F1799" i="1"/>
  <c r="C1800" i="1"/>
  <c r="K1808" i="1" l="1"/>
  <c r="K1810" i="1"/>
  <c r="L1801" i="1"/>
  <c r="L1810" i="1" s="1"/>
  <c r="F1800" i="1"/>
  <c r="C1801" i="1"/>
  <c r="M1800" i="1"/>
  <c r="K1821" i="1" l="1"/>
  <c r="L1808" i="1"/>
  <c r="C1802" i="1"/>
  <c r="M1802" i="1" s="1"/>
  <c r="F1801" i="1"/>
  <c r="M1801" i="1"/>
  <c r="K1812" i="1"/>
  <c r="K1828" i="1" l="1"/>
  <c r="L1821" i="1"/>
  <c r="C1803" i="1"/>
  <c r="M1803" i="1" s="1"/>
  <c r="F1802" i="1"/>
  <c r="L1812" i="1"/>
  <c r="L1828" i="1" l="1"/>
  <c r="C1804" i="1"/>
  <c r="M1804" i="1" s="1"/>
  <c r="F1803" i="1"/>
  <c r="C1805" i="1" l="1"/>
  <c r="M1805" i="1" s="1"/>
  <c r="F1804" i="1"/>
  <c r="F1805" i="1" l="1"/>
  <c r="C1806" i="1"/>
  <c r="C1807" i="1" l="1"/>
  <c r="M1807" i="1" s="1"/>
  <c r="F1806" i="1"/>
  <c r="C1808" i="1" l="1"/>
  <c r="M1808" i="1" s="1"/>
  <c r="F1807" i="1"/>
  <c r="C1809" i="1" l="1"/>
  <c r="F1808" i="1"/>
  <c r="C1810" i="1" l="1"/>
  <c r="F1809" i="1"/>
  <c r="C1811" i="1" l="1"/>
  <c r="M1811" i="1" s="1"/>
  <c r="F1810" i="1"/>
  <c r="M1810" i="1"/>
  <c r="C1812" i="1" l="1"/>
  <c r="M1812" i="1" s="1"/>
  <c r="F1811" i="1"/>
  <c r="C1813" i="1" l="1"/>
  <c r="M1813" i="1" s="1"/>
  <c r="F1812" i="1"/>
  <c r="F1813" i="1" l="1"/>
  <c r="C1814" i="1"/>
  <c r="M1814" i="1" s="1"/>
  <c r="F1814" i="1" l="1"/>
  <c r="C1815" i="1"/>
  <c r="M1815" i="1" s="1"/>
  <c r="F1815" i="1" l="1"/>
  <c r="C1816" i="1"/>
  <c r="M1816" i="1" s="1"/>
  <c r="C1817" i="1" l="1"/>
  <c r="M1817" i="1" s="1"/>
  <c r="F1816" i="1"/>
  <c r="C1818" i="1" l="1"/>
  <c r="M1818" i="1" s="1"/>
  <c r="F1817" i="1"/>
  <c r="C1819" i="1" l="1"/>
  <c r="M1819" i="1" s="1"/>
  <c r="F1818" i="1"/>
  <c r="C1820" i="1" l="1"/>
  <c r="M1820" i="1" s="1"/>
  <c r="F1819" i="1"/>
  <c r="F1820" i="1" l="1"/>
  <c r="C1821" i="1"/>
  <c r="M1821" i="1" s="1"/>
  <c r="C1822" i="1" l="1"/>
  <c r="F1821" i="1"/>
  <c r="M1822" i="1" l="1"/>
  <c r="C1823" i="1"/>
  <c r="F1822" i="1"/>
  <c r="C1824" i="1" l="1"/>
  <c r="M1823" i="1"/>
  <c r="F1823" i="1"/>
  <c r="F1824" i="1" l="1"/>
  <c r="C1825" i="1"/>
  <c r="M1824" i="1"/>
  <c r="C1826" i="1" l="1"/>
  <c r="F1825" i="1"/>
  <c r="F1826" i="1" l="1"/>
  <c r="C1827" i="1"/>
  <c r="F1827" i="1" l="1"/>
  <c r="C1828" i="1"/>
  <c r="M1827" i="1"/>
  <c r="C1829" i="1" l="1"/>
  <c r="K1830" i="1" s="1"/>
  <c r="F1828" i="1"/>
  <c r="M1828" i="1"/>
  <c r="K1831" i="1" l="1"/>
  <c r="K1847" i="1"/>
  <c r="K1848" i="1" s="1"/>
  <c r="K1850" i="1" s="1"/>
  <c r="L1830" i="1"/>
  <c r="L1847" i="1" s="1"/>
  <c r="L1848" i="1" s="1"/>
  <c r="L1850" i="1" s="1"/>
  <c r="M1829" i="1"/>
  <c r="C1830" i="1"/>
  <c r="F1829" i="1"/>
  <c r="L1831" i="1" l="1"/>
  <c r="L1840" i="1" s="1"/>
  <c r="K1840" i="1"/>
  <c r="K1838" i="1"/>
  <c r="C1831" i="1"/>
  <c r="M1830" i="1"/>
  <c r="F1830" i="1"/>
  <c r="K1851" i="1" l="1"/>
  <c r="L1838" i="1"/>
  <c r="F1831" i="1"/>
  <c r="C1832" i="1"/>
  <c r="M1831" i="1"/>
  <c r="K1842" i="1"/>
  <c r="L1851" i="1" l="1"/>
  <c r="K1859" i="1"/>
  <c r="C1833" i="1"/>
  <c r="F1832" i="1"/>
  <c r="M1832" i="1"/>
  <c r="L1842" i="1"/>
  <c r="L1859" i="1" l="1"/>
  <c r="C1834" i="1"/>
  <c r="M1833" i="1"/>
  <c r="F1833" i="1"/>
  <c r="F1834" i="1" l="1"/>
  <c r="C1835" i="1"/>
  <c r="M1834" i="1"/>
  <c r="F1835" i="1" l="1"/>
  <c r="M1835" i="1"/>
  <c r="C1836" i="1"/>
  <c r="C1837" i="1" l="1"/>
  <c r="M1836" i="1"/>
  <c r="F1836" i="1"/>
  <c r="F1837" i="1" l="1"/>
  <c r="C1838" i="1"/>
  <c r="M1837" i="1"/>
  <c r="F1838" i="1" l="1"/>
  <c r="C1839" i="1"/>
  <c r="M1838" i="1"/>
  <c r="C1840" i="1" l="1"/>
  <c r="M1839" i="1"/>
  <c r="F1839" i="1"/>
  <c r="F1840" i="1" l="1"/>
  <c r="C1841" i="1"/>
  <c r="M1840" i="1"/>
  <c r="F1841" i="1" l="1"/>
  <c r="C1842" i="1"/>
  <c r="M1841" i="1"/>
  <c r="F1842" i="1" l="1"/>
  <c r="C1843" i="1"/>
  <c r="M1842" i="1"/>
  <c r="F1843" i="1" l="1"/>
  <c r="M1843" i="1"/>
  <c r="C1844" i="1"/>
  <c r="F1844" i="1" l="1"/>
  <c r="M1844" i="1"/>
  <c r="C1845" i="1"/>
  <c r="F1845" i="1" l="1"/>
  <c r="C1846" i="1"/>
  <c r="M1845" i="1"/>
  <c r="M1846" i="1" l="1"/>
  <c r="F1846" i="1"/>
  <c r="C1847" i="1"/>
  <c r="C1848" i="1" l="1"/>
  <c r="F1847" i="1"/>
  <c r="M1847" i="1"/>
  <c r="C1849" i="1" l="1"/>
  <c r="M1849" i="1" s="1"/>
  <c r="M1848" i="1"/>
  <c r="F1848" i="1"/>
  <c r="F1849" i="1" l="1"/>
  <c r="C1850" i="1"/>
  <c r="M1850" i="1" s="1"/>
  <c r="C1851" i="1" l="1"/>
  <c r="M1851" i="1" s="1"/>
  <c r="F1850" i="1"/>
  <c r="C1852" i="1" l="1"/>
  <c r="F1851" i="1"/>
  <c r="F1852" i="1" l="1"/>
  <c r="C1853" i="1"/>
  <c r="C1854" i="1" l="1"/>
  <c r="F1853" i="1"/>
  <c r="F1854" i="1" l="1"/>
  <c r="C1855" i="1"/>
  <c r="M1854" i="1"/>
  <c r="C1856" i="1" l="1"/>
  <c r="M1855" i="1"/>
  <c r="F1855" i="1"/>
  <c r="J20" i="9" l="1"/>
  <c r="K16" i="9"/>
  <c r="J17" i="9"/>
  <c r="J19" i="9"/>
  <c r="J18" i="9"/>
  <c r="K17" i="9"/>
  <c r="F1856" i="1"/>
  <c r="M1856" i="1"/>
  <c r="C1857" i="1"/>
  <c r="L16" i="9" l="1"/>
  <c r="L20" i="9"/>
  <c r="L19" i="9"/>
  <c r="L17" i="9"/>
  <c r="L18" i="9"/>
  <c r="C1858" i="1"/>
  <c r="F1857" i="1"/>
  <c r="M1857" i="1"/>
  <c r="K14" i="9" l="1"/>
  <c r="J14" i="9"/>
  <c r="J9" i="9"/>
  <c r="K7" i="9"/>
  <c r="J15" i="9"/>
  <c r="K9" i="9"/>
  <c r="J8" i="9"/>
  <c r="K13" i="9"/>
  <c r="J10" i="9"/>
  <c r="K10" i="9"/>
  <c r="K12" i="9"/>
  <c r="K8" i="9"/>
  <c r="J11" i="9"/>
  <c r="J13" i="9"/>
  <c r="K15" i="9"/>
  <c r="J12" i="9"/>
  <c r="K5" i="9"/>
  <c r="K6" i="9"/>
  <c r="K11" i="9"/>
  <c r="F1858" i="1"/>
  <c r="M1858" i="1"/>
  <c r="L1419" i="1"/>
  <c r="L1421" i="1" s="1"/>
  <c r="L10" i="9" l="1"/>
  <c r="L9" i="9"/>
  <c r="L14" i="9"/>
  <c r="L6" i="9"/>
  <c r="L13" i="9"/>
  <c r="L5" i="9"/>
  <c r="L8" i="9"/>
  <c r="L7" i="9"/>
  <c r="L15" i="9"/>
  <c r="L11" i="9"/>
  <c r="L12" i="9"/>
  <c r="K1450" i="1"/>
  <c r="K1452" i="1" s="1"/>
  <c r="L1450" i="1" l="1"/>
  <c r="L1452" i="1" s="1"/>
  <c r="N1431" i="1" l="1"/>
  <c r="K1423" i="1"/>
  <c r="L1423" i="1"/>
  <c r="L1424" i="1" l="1"/>
  <c r="K1424" i="1"/>
  <c r="L1415" i="1"/>
  <c r="L1414" i="1"/>
  <c r="K1414" i="1"/>
  <c r="K1415" i="1"/>
  <c r="K1426" i="1" l="1"/>
  <c r="K1427" i="1" s="1"/>
  <c r="L1426" i="1"/>
  <c r="L1427" i="1" s="1"/>
  <c r="K1454" i="1"/>
  <c r="L1454" i="1"/>
  <c r="L1445" i="1"/>
  <c r="K1445" i="1"/>
  <c r="K1457" i="1" l="1"/>
  <c r="L1457" i="1"/>
  <c r="L1455" i="1"/>
  <c r="K1455" i="1"/>
  <c r="N1433" i="1"/>
  <c r="N1432" i="1"/>
  <c r="L1458" i="1" l="1"/>
  <c r="N1461" i="1" s="1"/>
  <c r="K1458" i="1"/>
  <c r="N1462" i="1" l="1"/>
  <c r="K1446" i="1"/>
  <c r="L1446" i="1"/>
  <c r="N1460" i="1" l="1"/>
  <c r="N1463" i="1"/>
  <c r="N1459" i="1"/>
  <c r="N1464" i="1" l="1"/>
  <c r="N1458" i="1"/>
  <c r="N1465" i="1" l="1"/>
  <c r="N1457" i="1"/>
  <c r="N1466" i="1" l="1"/>
  <c r="N1456" i="1"/>
  <c r="N1467" i="1" l="1"/>
  <c r="N1455" i="1"/>
  <c r="N1468" i="1" l="1"/>
  <c r="N1454" i="1"/>
  <c r="N1469" i="1" l="1"/>
  <c r="N1453" i="1"/>
  <c r="N1470" i="1" l="1"/>
  <c r="N1452" i="1"/>
  <c r="N1471" i="1" l="1"/>
  <c r="N1451" i="1"/>
  <c r="N1472" i="1" l="1"/>
  <c r="N1450" i="1"/>
  <c r="K1484" i="1"/>
  <c r="K1475" i="1"/>
  <c r="N1473" i="1" l="1"/>
  <c r="K1487" i="1"/>
  <c r="K1485" i="1"/>
  <c r="N1449" i="1"/>
  <c r="N1474" i="1" l="1"/>
  <c r="K1488" i="1"/>
  <c r="N1448" i="1"/>
  <c r="L1484" i="1"/>
  <c r="L1485" i="1" l="1"/>
  <c r="N1475" i="1"/>
  <c r="N1447" i="1"/>
  <c r="L1475" i="1"/>
  <c r="K1515" i="1"/>
  <c r="L1487" i="1" l="1"/>
  <c r="K1506" i="1"/>
  <c r="K1476" i="1"/>
  <c r="L1488" i="1" l="1"/>
  <c r="K1518" i="1"/>
  <c r="K1516" i="1"/>
  <c r="N1446" i="1"/>
  <c r="N1493" i="1" l="1"/>
  <c r="K1519" i="1"/>
  <c r="N1445" i="1"/>
  <c r="L1515" i="1"/>
  <c r="L1516" i="1" l="1"/>
  <c r="N1494" i="1"/>
  <c r="N1492" i="1"/>
  <c r="N1444" i="1"/>
  <c r="L1506" i="1"/>
  <c r="K1507" i="1"/>
  <c r="K1537" i="1"/>
  <c r="K1546" i="1"/>
  <c r="L1518" i="1" l="1"/>
  <c r="L1519" i="1" s="1"/>
  <c r="N1491" i="1"/>
  <c r="N1443" i="1"/>
  <c r="N1490" i="1" l="1"/>
  <c r="N1524" i="1"/>
  <c r="N1442" i="1"/>
  <c r="L1546" i="1"/>
  <c r="L1537" i="1"/>
  <c r="N1525" i="1" l="1"/>
  <c r="N1523" i="1"/>
  <c r="N1489" i="1"/>
  <c r="N1441" i="1"/>
  <c r="N1522" i="1" l="1"/>
  <c r="N1488" i="1"/>
  <c r="N1440" i="1"/>
  <c r="N1553" i="1" l="1"/>
  <c r="N1521" i="1"/>
  <c r="N1487" i="1"/>
  <c r="N1439" i="1"/>
  <c r="N1552" i="1" l="1"/>
  <c r="N1486" i="1"/>
  <c r="N1520" i="1"/>
  <c r="N1438" i="1"/>
  <c r="N1554" i="1" l="1"/>
  <c r="N1551" i="1"/>
  <c r="N1519" i="1"/>
  <c r="N1485" i="1"/>
  <c r="N1437" i="1"/>
  <c r="N1555" i="1" l="1"/>
  <c r="N1550" i="1"/>
  <c r="N1484" i="1"/>
  <c r="N1518" i="1"/>
  <c r="N1436" i="1"/>
  <c r="N1556" i="1" l="1"/>
  <c r="N1549" i="1"/>
  <c r="N1517" i="1"/>
  <c r="N1483" i="1"/>
  <c r="N1434" i="1"/>
  <c r="N1435" i="1"/>
  <c r="N1557" i="1" l="1"/>
  <c r="N1548" i="1"/>
  <c r="N1482" i="1"/>
  <c r="N1516" i="1"/>
  <c r="N1558" i="1" l="1"/>
  <c r="N1547" i="1"/>
  <c r="N1515" i="1"/>
  <c r="N1481" i="1"/>
  <c r="N1559" i="1" l="1"/>
  <c r="N1546" i="1"/>
  <c r="N1480" i="1"/>
  <c r="N1514" i="1"/>
  <c r="N1560" i="1" l="1"/>
  <c r="N1545" i="1"/>
  <c r="N1513" i="1"/>
  <c r="N1479" i="1"/>
  <c r="N1561" i="1" l="1"/>
  <c r="N1544" i="1"/>
  <c r="N1478" i="1"/>
  <c r="N1512" i="1"/>
  <c r="N1562" i="1" l="1"/>
  <c r="N1543" i="1"/>
  <c r="N1511" i="1"/>
  <c r="N1477" i="1"/>
  <c r="L1476" i="1"/>
  <c r="N1563" i="1" l="1"/>
  <c r="N1542" i="1"/>
  <c r="N1476" i="1"/>
  <c r="N1510" i="1"/>
  <c r="M3" i="9"/>
  <c r="N1564" i="1" l="1"/>
  <c r="N1541" i="1"/>
  <c r="E3" i="9"/>
  <c r="D3" i="9" s="1"/>
  <c r="F3" i="9" s="1"/>
  <c r="N1509" i="1"/>
  <c r="N1565" i="1" l="1"/>
  <c r="N1540" i="1"/>
  <c r="N1508" i="1"/>
  <c r="N1566" i="1" l="1"/>
  <c r="N1539" i="1"/>
  <c r="N1507" i="1"/>
  <c r="N1567" i="1" l="1"/>
  <c r="N1538" i="1"/>
  <c r="N1506" i="1"/>
  <c r="N1568" i="1" l="1"/>
  <c r="N1537" i="1"/>
  <c r="N1505" i="1"/>
  <c r="K1575" i="1"/>
  <c r="N1569" i="1" l="1"/>
  <c r="N1536" i="1"/>
  <c r="N1504" i="1"/>
  <c r="K1576" i="1"/>
  <c r="K1566" i="1"/>
  <c r="N1570" i="1" l="1"/>
  <c r="K1578" i="1"/>
  <c r="K1579" i="1" s="1"/>
  <c r="N1535" i="1"/>
  <c r="N1503" i="1"/>
  <c r="N1571" i="1" l="1"/>
  <c r="N1534" i="1"/>
  <c r="N1502" i="1"/>
  <c r="K1606" i="1"/>
  <c r="N1572" i="1" l="1"/>
  <c r="L1566" i="1"/>
  <c r="K1597" i="1"/>
  <c r="L1575" i="1"/>
  <c r="L1576" i="1" l="1"/>
  <c r="L1578" i="1"/>
  <c r="N1573" i="1"/>
  <c r="N1533" i="1"/>
  <c r="N1501" i="1"/>
  <c r="K1609" i="1"/>
  <c r="K1607" i="1"/>
  <c r="L1579" i="1" l="1"/>
  <c r="N1584" i="1" s="1"/>
  <c r="N1532" i="1"/>
  <c r="N1500" i="1"/>
  <c r="K1610" i="1"/>
  <c r="L1606" i="1"/>
  <c r="L1597" i="1"/>
  <c r="N1583" i="1" l="1"/>
  <c r="N1531" i="1"/>
  <c r="L1609" i="1"/>
  <c r="L1607" i="1"/>
  <c r="N1585" i="1"/>
  <c r="N1499" i="1"/>
  <c r="K1636" i="1"/>
  <c r="K1627" i="1"/>
  <c r="K1598" i="1"/>
  <c r="K1639" i="1" l="1"/>
  <c r="K1637" i="1"/>
  <c r="L1610" i="1"/>
  <c r="N1530" i="1"/>
  <c r="N1498" i="1"/>
  <c r="K1640" i="1" l="1"/>
  <c r="N1582" i="1"/>
  <c r="N1613" i="1"/>
  <c r="N1615" i="1"/>
  <c r="N1614" i="1"/>
  <c r="N1529" i="1"/>
  <c r="N1581" i="1"/>
  <c r="N1497" i="1"/>
  <c r="N1612" i="1"/>
  <c r="L1636" i="1"/>
  <c r="L1637" i="1" l="1"/>
  <c r="N1528" i="1"/>
  <c r="N1580" i="1"/>
  <c r="N1496" i="1"/>
  <c r="N1611" i="1"/>
  <c r="L1507" i="1"/>
  <c r="K1628" i="1"/>
  <c r="L1627" i="1"/>
  <c r="L1639" i="1" l="1"/>
  <c r="L1640" i="1" s="1"/>
  <c r="N1527" i="1"/>
  <c r="N1579" i="1"/>
  <c r="N1495" i="1"/>
  <c r="N1610" i="1"/>
  <c r="N1645" i="1" l="1"/>
  <c r="N1526" i="1"/>
  <c r="N1578" i="1"/>
  <c r="N1609" i="1"/>
  <c r="M4" i="9"/>
  <c r="K1567" i="1"/>
  <c r="E4" i="9" l="1"/>
  <c r="D4" i="9" s="1"/>
  <c r="F4" i="9" s="1"/>
  <c r="N1646" i="1" l="1"/>
  <c r="N1644" i="1"/>
  <c r="N1577" i="1"/>
  <c r="N1608" i="1"/>
  <c r="N1643" i="1" l="1"/>
  <c r="N1647" i="1"/>
  <c r="N1576" i="1"/>
  <c r="N1607" i="1"/>
  <c r="N1648" i="1" l="1"/>
  <c r="N1642" i="1"/>
  <c r="N1575" i="1"/>
  <c r="N1606" i="1"/>
  <c r="L1567" i="1"/>
  <c r="N1641" i="1" l="1"/>
  <c r="N1649" i="1"/>
  <c r="N1574" i="1"/>
  <c r="N1605" i="1"/>
  <c r="N1650" i="1" l="1"/>
  <c r="N1640" i="1"/>
  <c r="N1604" i="1"/>
  <c r="N1639" i="1" l="1"/>
  <c r="N1651" i="1"/>
  <c r="N1603" i="1"/>
  <c r="N1652" i="1" l="1"/>
  <c r="N1638" i="1"/>
  <c r="N1602" i="1"/>
  <c r="N1637" i="1" l="1"/>
  <c r="N1653" i="1"/>
  <c r="N1601" i="1"/>
  <c r="K1667" i="1"/>
  <c r="K1658" i="1"/>
  <c r="N1654" i="1" l="1"/>
  <c r="N1636" i="1"/>
  <c r="K1668" i="1"/>
  <c r="K1670" i="1"/>
  <c r="N1600" i="1"/>
  <c r="N1635" i="1" l="1"/>
  <c r="N1655" i="1"/>
  <c r="K1671" i="1"/>
  <c r="N1599" i="1"/>
  <c r="N1656" i="1" l="1"/>
  <c r="N1634" i="1"/>
  <c r="N1598" i="1"/>
  <c r="K1659" i="1"/>
  <c r="K1697" i="1"/>
  <c r="L1667" i="1"/>
  <c r="L1668" i="1" l="1"/>
  <c r="N1633" i="1"/>
  <c r="N1657" i="1"/>
  <c r="K1698" i="1"/>
  <c r="N1597" i="1"/>
  <c r="K1688" i="1"/>
  <c r="L1658" i="1"/>
  <c r="K1700" i="1" l="1"/>
  <c r="K1701" i="1" s="1"/>
  <c r="L1670" i="1"/>
  <c r="L1671" i="1" s="1"/>
  <c r="N1675" i="1" s="1"/>
  <c r="N1632" i="1"/>
  <c r="N1596" i="1"/>
  <c r="N1631" i="1" l="1"/>
  <c r="N1595" i="1"/>
  <c r="K1728" i="1"/>
  <c r="L1697" i="1"/>
  <c r="N1674" i="1" l="1"/>
  <c r="L1698" i="1"/>
  <c r="N1676" i="1"/>
  <c r="K1729" i="1"/>
  <c r="N1673" i="1"/>
  <c r="N1630" i="1"/>
  <c r="N1594" i="1"/>
  <c r="L1688" i="1"/>
  <c r="K1689" i="1"/>
  <c r="K1719" i="1"/>
  <c r="K1731" i="1" l="1"/>
  <c r="K1732" i="1" s="1"/>
  <c r="L1700" i="1"/>
  <c r="L1701" i="1" s="1"/>
  <c r="N1705" i="1" s="1"/>
  <c r="N1672" i="1"/>
  <c r="N1629" i="1"/>
  <c r="N1593" i="1"/>
  <c r="N1706" i="1" l="1"/>
  <c r="N1704" i="1"/>
  <c r="N1628" i="1"/>
  <c r="N1671" i="1"/>
  <c r="N1592" i="1"/>
  <c r="L1719" i="1"/>
  <c r="L1728" i="1"/>
  <c r="L1731" i="1" l="1"/>
  <c r="L1729" i="1"/>
  <c r="N1707" i="1"/>
  <c r="N1670" i="1"/>
  <c r="N1627" i="1"/>
  <c r="N1591" i="1"/>
  <c r="K1720" i="1"/>
  <c r="L1732" i="1" l="1"/>
  <c r="N1703" i="1"/>
  <c r="N1626" i="1"/>
  <c r="N1669" i="1"/>
  <c r="N1590" i="1"/>
  <c r="N1702" i="1" l="1"/>
  <c r="N1668" i="1"/>
  <c r="N1625" i="1"/>
  <c r="N1589" i="1"/>
  <c r="N1738" i="1" l="1"/>
  <c r="N1737" i="1"/>
  <c r="N1736" i="1"/>
  <c r="N1701" i="1"/>
  <c r="N1624" i="1"/>
  <c r="N1667" i="1"/>
  <c r="N1588" i="1"/>
  <c r="N1735" i="1" l="1"/>
  <c r="N1700" i="1"/>
  <c r="N1666" i="1"/>
  <c r="N1623" i="1"/>
  <c r="N1587" i="1"/>
  <c r="L1598" i="1"/>
  <c r="N1740" i="1" l="1"/>
  <c r="N1739" i="1"/>
  <c r="N1699" i="1"/>
  <c r="N1741" i="1"/>
  <c r="N1622" i="1"/>
  <c r="N1665" i="1"/>
  <c r="N1586" i="1"/>
  <c r="N1733" i="1" l="1"/>
  <c r="N1734" i="1"/>
  <c r="N1698" i="1"/>
  <c r="N1732" i="1"/>
  <c r="N1742" i="1"/>
  <c r="N1664" i="1"/>
  <c r="N1621" i="1"/>
  <c r="N1697" i="1" l="1"/>
  <c r="N1731" i="1"/>
  <c r="N1743" i="1"/>
  <c r="N1620" i="1"/>
  <c r="N1663" i="1"/>
  <c r="N1696" i="1" l="1"/>
  <c r="N1730" i="1"/>
  <c r="N1744" i="1"/>
  <c r="N1662" i="1"/>
  <c r="N1619" i="1"/>
  <c r="N1695" i="1" l="1"/>
  <c r="N1745" i="1"/>
  <c r="N1729" i="1"/>
  <c r="N1618" i="1"/>
  <c r="N1661" i="1"/>
  <c r="N1694" i="1" l="1"/>
  <c r="N1728" i="1"/>
  <c r="N1746" i="1"/>
  <c r="N1660" i="1"/>
  <c r="N1617" i="1"/>
  <c r="L1628" i="1"/>
  <c r="N1693" i="1" l="1"/>
  <c r="N1747" i="1"/>
  <c r="N1727" i="1"/>
  <c r="N1616" i="1"/>
  <c r="N1659" i="1"/>
  <c r="N1692" i="1" l="1"/>
  <c r="N1726" i="1"/>
  <c r="N1748" i="1"/>
  <c r="N1658" i="1"/>
  <c r="L1659" i="1"/>
  <c r="N1691" i="1" l="1"/>
  <c r="N1749" i="1"/>
  <c r="N1725" i="1"/>
  <c r="N1690" i="1" l="1"/>
  <c r="N1724" i="1"/>
  <c r="N1750" i="1"/>
  <c r="K1761" i="1"/>
  <c r="N1689" i="1" l="1"/>
  <c r="N1723" i="1"/>
  <c r="N1751" i="1"/>
  <c r="K1762" i="1"/>
  <c r="K1752" i="1"/>
  <c r="K1764" i="1" l="1"/>
  <c r="K1765" i="1" s="1"/>
  <c r="N1688" i="1"/>
  <c r="N1752" i="1"/>
  <c r="N1722" i="1"/>
  <c r="N1687" i="1" l="1"/>
  <c r="N1721" i="1"/>
  <c r="N1753" i="1"/>
  <c r="K1753" i="1"/>
  <c r="N1686" i="1" l="1"/>
  <c r="N1754" i="1"/>
  <c r="N1720" i="1"/>
  <c r="L1761" i="1"/>
  <c r="N1685" i="1" l="1"/>
  <c r="L1762" i="1"/>
  <c r="N1719" i="1"/>
  <c r="N1755" i="1"/>
  <c r="L1752" i="1"/>
  <c r="L1764" i="1" l="1"/>
  <c r="L1765" i="1" s="1"/>
  <c r="N1684" i="1"/>
  <c r="N1718" i="1"/>
  <c r="N1683" i="1" l="1"/>
  <c r="N1717" i="1"/>
  <c r="N1767" i="1" l="1"/>
  <c r="N1682" i="1"/>
  <c r="N1716" i="1"/>
  <c r="L1791" i="1"/>
  <c r="N1768" i="1" l="1"/>
  <c r="N1765" i="1"/>
  <c r="N1766" i="1"/>
  <c r="N1681" i="1"/>
  <c r="N1715" i="1"/>
  <c r="N1764" i="1"/>
  <c r="N1680" i="1" l="1"/>
  <c r="N1763" i="1"/>
  <c r="N1714" i="1"/>
  <c r="N1679" i="1" l="1"/>
  <c r="N1713" i="1"/>
  <c r="N1762" i="1"/>
  <c r="N1678" i="1" l="1"/>
  <c r="N1761" i="1"/>
  <c r="N1712" i="1"/>
  <c r="L1689" i="1"/>
  <c r="N1677" i="1" l="1"/>
  <c r="N1711" i="1"/>
  <c r="N1760" i="1"/>
  <c r="N1759" i="1" l="1"/>
  <c r="N1710" i="1"/>
  <c r="N1758" i="1" l="1"/>
  <c r="N1709" i="1"/>
  <c r="L1720" i="1"/>
  <c r="N1708" i="1" l="1"/>
  <c r="N1757" i="1"/>
  <c r="N1756" i="1" l="1"/>
  <c r="L1753" i="1"/>
  <c r="M12" i="9"/>
  <c r="M9" i="9"/>
  <c r="M10" i="9"/>
  <c r="M11" i="9"/>
  <c r="E9" i="9" l="1"/>
  <c r="D9" i="9" s="1"/>
  <c r="F9" i="9" s="1"/>
  <c r="E10" i="9"/>
  <c r="D10" i="9" s="1"/>
  <c r="F10" i="9" s="1"/>
  <c r="E12" i="9"/>
  <c r="D12" i="9" s="1"/>
  <c r="F12" i="9" s="1"/>
  <c r="E11" i="9"/>
  <c r="D11" i="9" s="1"/>
  <c r="F11" i="9" s="1"/>
  <c r="M5" i="9"/>
  <c r="M7" i="9"/>
  <c r="M6" i="9"/>
  <c r="E7" i="9" l="1"/>
  <c r="D7" i="9" s="1"/>
  <c r="F7" i="9" s="1"/>
  <c r="E5" i="9"/>
  <c r="D5" i="9" s="1"/>
  <c r="F5" i="9" s="1"/>
  <c r="E6" i="9"/>
  <c r="D6" i="9" s="1"/>
  <c r="F6" i="9" s="1"/>
  <c r="K1541" i="1"/>
  <c r="K1542" i="1" s="1"/>
  <c r="K1544" i="1" s="1"/>
  <c r="K1527" i="1"/>
  <c r="K1534" i="1" l="1"/>
  <c r="L1527" i="1"/>
  <c r="K1532" i="1"/>
  <c r="K1538" i="1" l="1"/>
  <c r="K1536" i="1"/>
  <c r="L1534" i="1"/>
  <c r="L1532" i="1"/>
  <c r="K1545" i="1"/>
  <c r="L1538" i="1" l="1"/>
  <c r="K1549" i="1"/>
  <c r="L1536" i="1"/>
  <c r="K1552" i="1"/>
  <c r="K1547" i="1"/>
  <c r="L1545" i="1"/>
  <c r="K1550" i="1" l="1"/>
  <c r="L1549" i="1"/>
  <c r="L1547" i="1"/>
  <c r="L1552" i="1"/>
  <c r="L1782" i="1"/>
  <c r="M8" i="9"/>
  <c r="E8" i="9" l="1"/>
  <c r="D8" i="9" s="1"/>
  <c r="F8" i="9" s="1"/>
  <c r="L1550" i="1"/>
  <c r="L1792" i="1"/>
  <c r="L1794" i="1"/>
  <c r="L1795" i="1" l="1"/>
  <c r="N1795" i="1" l="1"/>
  <c r="N1791" i="1"/>
  <c r="N1787" i="1"/>
  <c r="N1783" i="1"/>
  <c r="N1779" i="1"/>
  <c r="N1775" i="1"/>
  <c r="N1771" i="1"/>
  <c r="N1778" i="1"/>
  <c r="N1770" i="1"/>
  <c r="N1789" i="1"/>
  <c r="N1781" i="1"/>
  <c r="N1792" i="1"/>
  <c r="N1780" i="1"/>
  <c r="N1794" i="1"/>
  <c r="N1790" i="1"/>
  <c r="N1786" i="1"/>
  <c r="N1782" i="1"/>
  <c r="N1774" i="1"/>
  <c r="N1793" i="1"/>
  <c r="N1785" i="1"/>
  <c r="N1777" i="1"/>
  <c r="N1796" i="1"/>
  <c r="N1788" i="1"/>
  <c r="N1776" i="1"/>
  <c r="N1797" i="1"/>
  <c r="N1773" i="1"/>
  <c r="N1784" i="1"/>
  <c r="N1772" i="1"/>
  <c r="L1783" i="1"/>
  <c r="N1804" i="1" l="1"/>
  <c r="N1799" i="1"/>
  <c r="N1803" i="1"/>
  <c r="N1805" i="1"/>
  <c r="N1801" i="1"/>
  <c r="N1798" i="1"/>
  <c r="N1769" i="1"/>
  <c r="M13" i="9"/>
  <c r="E13" i="9" l="1"/>
  <c r="D13" i="9" s="1"/>
  <c r="F13" i="9" s="1"/>
  <c r="N1800" i="1" l="1"/>
  <c r="L1813" i="1"/>
  <c r="L1825" i="1" l="1"/>
  <c r="N1802" i="1"/>
  <c r="L1822" i="1"/>
  <c r="L1823" i="1" l="1"/>
  <c r="L1826" i="1" s="1"/>
  <c r="N1824" i="1" l="1"/>
  <c r="N1822" i="1"/>
  <c r="N1820" i="1"/>
  <c r="N1817" i="1"/>
  <c r="N1814" i="1"/>
  <c r="N1811" i="1"/>
  <c r="N1808" i="1"/>
  <c r="N1806" i="1"/>
  <c r="N1825" i="1"/>
  <c r="N1821" i="1"/>
  <c r="N1818" i="1"/>
  <c r="N1815" i="1"/>
  <c r="N1812" i="1"/>
  <c r="N1810" i="1"/>
  <c r="N1807" i="1"/>
  <c r="N1827" i="1"/>
  <c r="N1826" i="1"/>
  <c r="N1823" i="1"/>
  <c r="N1819" i="1"/>
  <c r="N1816" i="1"/>
  <c r="N1813" i="1"/>
  <c r="N1809" i="1"/>
  <c r="L1814" i="1"/>
  <c r="M14" i="9"/>
  <c r="N1846" i="1" l="1"/>
  <c r="N1845" i="1"/>
  <c r="N1844" i="1"/>
  <c r="N1843" i="1"/>
  <c r="N1842" i="1"/>
  <c r="N1841" i="1"/>
  <c r="N1840" i="1"/>
  <c r="N1839" i="1"/>
  <c r="N1838" i="1"/>
  <c r="N1837" i="1"/>
  <c r="N1836" i="1"/>
  <c r="N1835" i="1"/>
  <c r="N1834" i="1"/>
  <c r="N1833" i="1"/>
  <c r="N1832" i="1"/>
  <c r="N1831" i="1"/>
  <c r="N1830" i="1"/>
  <c r="E14" i="9"/>
  <c r="D14" i="9" s="1"/>
  <c r="F14" i="9" s="1"/>
  <c r="N1828" i="1"/>
  <c r="L1843" i="1"/>
  <c r="L1852" i="1"/>
  <c r="L1853" i="1" l="1"/>
  <c r="L1855" i="1"/>
  <c r="N1829" i="1"/>
  <c r="M15" i="9"/>
  <c r="E15" i="9" l="1"/>
  <c r="D15" i="9" s="1"/>
  <c r="F15" i="9" s="1"/>
  <c r="L1856" i="1"/>
  <c r="N1858" i="1" l="1"/>
  <c r="N1857" i="1"/>
  <c r="N1856" i="1"/>
  <c r="N1855" i="1"/>
  <c r="N1854" i="1"/>
  <c r="N1853" i="1"/>
  <c r="N1852" i="1"/>
  <c r="N1851" i="1"/>
  <c r="N1850" i="1"/>
  <c r="N1849" i="1"/>
  <c r="N1848" i="1"/>
  <c r="L1844" i="1"/>
  <c r="N1859" i="1" l="1"/>
  <c r="N1847" i="1"/>
  <c r="L1875" i="1"/>
  <c r="L1884" i="1"/>
  <c r="L1883" i="1" l="1"/>
  <c r="L1886" i="1"/>
  <c r="N1889" i="1"/>
  <c r="N1890" i="1"/>
  <c r="L1905" i="1"/>
  <c r="L1914" i="1"/>
  <c r="L1887" i="1" l="1"/>
  <c r="L1917" i="1"/>
  <c r="L1915" i="1"/>
  <c r="N1891" i="1"/>
  <c r="L1918" i="1" l="1"/>
  <c r="N1917" i="1"/>
  <c r="N1915" i="1"/>
  <c r="N1913" i="1"/>
  <c r="N1911" i="1"/>
  <c r="N1909" i="1"/>
  <c r="N1906" i="1"/>
  <c r="N1904" i="1"/>
  <c r="N1902" i="1"/>
  <c r="N1900" i="1"/>
  <c r="N1898" i="1"/>
  <c r="N1895" i="1"/>
  <c r="N1893" i="1"/>
  <c r="N1916" i="1"/>
  <c r="N1914" i="1"/>
  <c r="N1912" i="1"/>
  <c r="N1910" i="1"/>
  <c r="N1908" i="1"/>
  <c r="N1905" i="1"/>
  <c r="N1903" i="1"/>
  <c r="N1901" i="1"/>
  <c r="N1899" i="1"/>
  <c r="N1896" i="1"/>
  <c r="N1894" i="1"/>
  <c r="N1907" i="1"/>
  <c r="N1897" i="1"/>
  <c r="L1906" i="1"/>
  <c r="N1920" i="1" l="1"/>
  <c r="N1918" i="1"/>
  <c r="N1892" i="1"/>
  <c r="N1919" i="1" l="1"/>
  <c r="K1782" i="1"/>
  <c r="K1791" i="1"/>
  <c r="K1794" i="1" l="1"/>
  <c r="K1792" i="1"/>
  <c r="K1795" i="1" l="1"/>
  <c r="K1822" i="1"/>
  <c r="K1813" i="1"/>
  <c r="K1783" i="1"/>
  <c r="K1825" i="1" l="1"/>
  <c r="K1823" i="1"/>
  <c r="K1826" i="1" l="1"/>
  <c r="K1843" i="1"/>
  <c r="K1852" i="1"/>
  <c r="K1814" i="1"/>
  <c r="K1853" i="1" l="1"/>
  <c r="K1855" i="1"/>
  <c r="K1856" i="1" l="1"/>
  <c r="K1844" i="1"/>
  <c r="K1884" i="1"/>
  <c r="K1875" i="1"/>
  <c r="K1886" i="1" l="1"/>
  <c r="K1883" i="1"/>
  <c r="K1887" i="1" l="1"/>
  <c r="K1914" i="1"/>
  <c r="K1905" i="1"/>
  <c r="N1870" i="1" l="1"/>
  <c r="N1872" i="1"/>
  <c r="N1881" i="1"/>
  <c r="N1874" i="1"/>
  <c r="N1885" i="1"/>
  <c r="N1868" i="1"/>
  <c r="N1873" i="1"/>
  <c r="N1886" i="1"/>
  <c r="N1866" i="1"/>
  <c r="N1877" i="1"/>
  <c r="N1876" i="1"/>
  <c r="N1862" i="1"/>
  <c r="N1865" i="1"/>
  <c r="N1884" i="1"/>
  <c r="N1888" i="1"/>
  <c r="N1864" i="1"/>
  <c r="N1863" i="1"/>
  <c r="N1883" i="1"/>
  <c r="N1871" i="1"/>
  <c r="N1882" i="1"/>
  <c r="N1867" i="1"/>
  <c r="N1861" i="1"/>
  <c r="N1878" i="1"/>
  <c r="N1879" i="1"/>
  <c r="N1869" i="1"/>
  <c r="N1880" i="1"/>
  <c r="N1875" i="1"/>
  <c r="N1887" i="1"/>
  <c r="K1915" i="1"/>
  <c r="K1917" i="1"/>
  <c r="K1874" i="1"/>
  <c r="L1874" i="1"/>
  <c r="K1918" i="1" l="1"/>
  <c r="N1860" i="1"/>
  <c r="M16" i="9"/>
  <c r="M17" i="9"/>
  <c r="E16" i="9" l="1"/>
  <c r="D16" i="9" s="1"/>
  <c r="F16" i="9" s="1"/>
  <c r="E17" i="9"/>
  <c r="D17" i="9" s="1"/>
  <c r="F17" i="9" s="1"/>
  <c r="K1964" i="1"/>
  <c r="K1943" i="1"/>
  <c r="K1934" i="1"/>
  <c r="K1906" i="1"/>
  <c r="K1973" i="1"/>
  <c r="K1945" i="1" l="1"/>
  <c r="K1976" i="1"/>
  <c r="K1942" i="1"/>
  <c r="K1974" i="1"/>
  <c r="K1977" i="1" l="1"/>
  <c r="K1994" i="1"/>
  <c r="K2003" i="1"/>
  <c r="K1965" i="1"/>
  <c r="K2004" i="1" l="1"/>
  <c r="K2006" i="1"/>
  <c r="K2007" i="1" l="1"/>
  <c r="K1995" i="1"/>
  <c r="K2025" i="1"/>
  <c r="K2034" i="1"/>
  <c r="K2035" i="1" l="1"/>
  <c r="K2037" i="1"/>
  <c r="K2038" i="1" l="1"/>
  <c r="L1964" i="1"/>
  <c r="L1973" i="1"/>
  <c r="K2026" i="1"/>
  <c r="N1948" i="1" l="1"/>
  <c r="N1949" i="1"/>
  <c r="L1974" i="1"/>
  <c r="L1976" i="1"/>
  <c r="N1950" i="1"/>
  <c r="N1947" i="1" l="1"/>
  <c r="L1977" i="1"/>
  <c r="N1946" i="1" l="1"/>
  <c r="N1965" i="1"/>
  <c r="N1978" i="1"/>
  <c r="N1966" i="1"/>
  <c r="N1954" i="1"/>
  <c r="N1961" i="1"/>
  <c r="N1974" i="1"/>
  <c r="N1962" i="1"/>
  <c r="N1977" i="1"/>
  <c r="N1969" i="1"/>
  <c r="N1957" i="1"/>
  <c r="N1972" i="1"/>
  <c r="N1968" i="1"/>
  <c r="N1964" i="1"/>
  <c r="N1960" i="1"/>
  <c r="N1956" i="1"/>
  <c r="N1952" i="1"/>
  <c r="N1970" i="1"/>
  <c r="N1958" i="1"/>
  <c r="N1973" i="1"/>
  <c r="N1953" i="1"/>
  <c r="N1976" i="1"/>
  <c r="N1975" i="1"/>
  <c r="N1971" i="1"/>
  <c r="N1967" i="1"/>
  <c r="N1963" i="1"/>
  <c r="N1959" i="1"/>
  <c r="N1955" i="1"/>
  <c r="L1965" i="1"/>
  <c r="N1945" i="1" l="1"/>
  <c r="N1983" i="1"/>
  <c r="N1982" i="1"/>
  <c r="N1984" i="1"/>
  <c r="N1986" i="1"/>
  <c r="N1981" i="1"/>
  <c r="N1985" i="1"/>
  <c r="N1951" i="1"/>
  <c r="N1979" i="1"/>
  <c r="L1994" i="1"/>
  <c r="L2003" i="1"/>
  <c r="N1944" i="1" l="1"/>
  <c r="L2004" i="1"/>
  <c r="L2006" i="1"/>
  <c r="N1980" i="1"/>
  <c r="N1943" i="1" l="1"/>
  <c r="L2007" i="1"/>
  <c r="N1942" i="1" l="1"/>
  <c r="N2004" i="1"/>
  <c r="N1994" i="1"/>
  <c r="N2000" i="1"/>
  <c r="N2009" i="1"/>
  <c r="N2005" i="1"/>
  <c r="N1997" i="1"/>
  <c r="N2001" i="1"/>
  <c r="N2008" i="1"/>
  <c r="N2003" i="1"/>
  <c r="N1993" i="1"/>
  <c r="N1992" i="1"/>
  <c r="N1998" i="1"/>
  <c r="N1989" i="1"/>
  <c r="N1991" i="1"/>
  <c r="N2007" i="1"/>
  <c r="N2002" i="1"/>
  <c r="N1990" i="1"/>
  <c r="N1995" i="1"/>
  <c r="N1996" i="1"/>
  <c r="N1988" i="1"/>
  <c r="N2006" i="1"/>
  <c r="N1999" i="1"/>
  <c r="L1995" i="1"/>
  <c r="N1941" i="1" l="1"/>
  <c r="N2018" i="1"/>
  <c r="N2022" i="1"/>
  <c r="N2016" i="1"/>
  <c r="N2023" i="1"/>
  <c r="N2014" i="1"/>
  <c r="N2017" i="1"/>
  <c r="N2025" i="1"/>
  <c r="N2013" i="1"/>
  <c r="N2026" i="1"/>
  <c r="N2021" i="1"/>
  <c r="N2015" i="1"/>
  <c r="N2027" i="1"/>
  <c r="N2019" i="1"/>
  <c r="N2024" i="1"/>
  <c r="N2020" i="1"/>
  <c r="N2012" i="1"/>
  <c r="N1987" i="1"/>
  <c r="N2010" i="1"/>
  <c r="N1940" i="1" l="1"/>
  <c r="N2028" i="1"/>
  <c r="N2011" i="1"/>
  <c r="L2025" i="1"/>
  <c r="L2034" i="1"/>
  <c r="N1939" i="1" l="1"/>
  <c r="L2037" i="1"/>
  <c r="L2035" i="1"/>
  <c r="N2029" i="1"/>
  <c r="L1943" i="1"/>
  <c r="L1934" i="1"/>
  <c r="L1942" i="1" l="1"/>
  <c r="L1945" i="1"/>
  <c r="N1938" i="1"/>
  <c r="L2038" i="1"/>
  <c r="N2037" i="1" l="1"/>
  <c r="N2031" i="1"/>
  <c r="N2035" i="1"/>
  <c r="N2036" i="1"/>
  <c r="N2039" i="1"/>
  <c r="N2034" i="1"/>
  <c r="N2038" i="1"/>
  <c r="N2032" i="1"/>
  <c r="N2033" i="1"/>
  <c r="N2030" i="1"/>
  <c r="N2040" i="1"/>
  <c r="L2026" i="1"/>
  <c r="K2065" i="1" l="1"/>
  <c r="K2064" i="1" s="1"/>
  <c r="K2056" i="1"/>
  <c r="K2067" i="1" l="1"/>
  <c r="K2068" i="1" s="1"/>
  <c r="K2055" i="1"/>
  <c r="N2073" i="1" l="1"/>
  <c r="L2065" i="1" l="1"/>
  <c r="L2064" i="1" s="1"/>
  <c r="L2056" i="1"/>
  <c r="L2067" i="1" l="1"/>
  <c r="L2068" i="1" s="1"/>
  <c r="N2071" i="1"/>
  <c r="N2074" i="1"/>
  <c r="N2072" i="1"/>
  <c r="N2050" i="1" l="1"/>
  <c r="N2043" i="1"/>
  <c r="N2066" i="1"/>
  <c r="N2049" i="1"/>
  <c r="N2047" i="1"/>
  <c r="N2056" i="1"/>
  <c r="N2064" i="1"/>
  <c r="N2052" i="1"/>
  <c r="N2057" i="1"/>
  <c r="N2053" i="1"/>
  <c r="N2062" i="1"/>
  <c r="N2051" i="1"/>
  <c r="N2044" i="1"/>
  <c r="N2055" i="1"/>
  <c r="N2065" i="1"/>
  <c r="N2042" i="1"/>
  <c r="N2068" i="1"/>
  <c r="N2058" i="1"/>
  <c r="N2045" i="1"/>
  <c r="N2046" i="1"/>
  <c r="N2063" i="1"/>
  <c r="N2060" i="1"/>
  <c r="N2069" i="1"/>
  <c r="N2061" i="1"/>
  <c r="N2054" i="1"/>
  <c r="N2059" i="1"/>
  <c r="N2070" i="1"/>
  <c r="N2048" i="1"/>
  <c r="N2067" i="1"/>
  <c r="L2055" i="1"/>
  <c r="N2041" i="1" l="1"/>
  <c r="N2079" i="1"/>
  <c r="N2076" i="1"/>
  <c r="N2081" i="1"/>
  <c r="N2077" i="1"/>
  <c r="N2078" i="1"/>
  <c r="N2083" i="1"/>
  <c r="N2082" i="1"/>
  <c r="N2080" i="1"/>
  <c r="N2075" i="1"/>
  <c r="M22" i="9"/>
  <c r="E22" i="9" l="1"/>
  <c r="D22" i="9" s="1"/>
  <c r="F22" i="9" s="1"/>
  <c r="N2165" i="1" l="1"/>
  <c r="N2164" i="1" l="1"/>
  <c r="N2203" i="1" l="1"/>
  <c r="N2199" i="1"/>
  <c r="N2197" i="1"/>
  <c r="N2200" i="1"/>
  <c r="N2196" i="1"/>
  <c r="N2202" i="1"/>
  <c r="N2195" i="1"/>
  <c r="N2201" i="1"/>
  <c r="N2198" i="1"/>
  <c r="N2194" i="1" l="1"/>
  <c r="N2162" i="1" l="1"/>
  <c r="N2163" i="1" l="1"/>
  <c r="K1946" i="1" l="1"/>
  <c r="K1933" i="1"/>
  <c r="L1946" i="1" l="1"/>
  <c r="N1933" i="1" l="1"/>
  <c r="N1929" i="1"/>
  <c r="N1925" i="1"/>
  <c r="N1926" i="1"/>
  <c r="N1936" i="1"/>
  <c r="N1932" i="1"/>
  <c r="N1928" i="1"/>
  <c r="N1924" i="1"/>
  <c r="N1934" i="1"/>
  <c r="N1935" i="1"/>
  <c r="N1931" i="1"/>
  <c r="N1927" i="1"/>
  <c r="N1923" i="1"/>
  <c r="N1930" i="1"/>
  <c r="N1922" i="1"/>
  <c r="N1937" i="1"/>
  <c r="L1933" i="1"/>
  <c r="M21" i="9"/>
  <c r="E21" i="9" l="1"/>
  <c r="D21" i="9" s="1"/>
  <c r="F21" i="9" s="1"/>
  <c r="N1921" i="1"/>
  <c r="M19" i="9"/>
  <c r="M18" i="9"/>
  <c r="M20" i="9"/>
  <c r="E18" i="9" l="1"/>
  <c r="D18" i="9" s="1"/>
  <c r="F18" i="9" s="1"/>
  <c r="E19" i="9"/>
  <c r="D19" i="9" s="1"/>
  <c r="F19" i="9" s="1"/>
  <c r="E20" i="9"/>
  <c r="D20" i="9" s="1"/>
  <c r="F20" i="9" s="1"/>
  <c r="N2084" i="1" l="1"/>
  <c r="N2193" i="1" l="1"/>
  <c r="N2174" i="1" l="1"/>
  <c r="N2171" i="1" l="1"/>
  <c r="N2169" i="1" l="1"/>
  <c r="N2185" i="1" l="1"/>
  <c r="N2188" i="1" l="1"/>
  <c r="N2180" i="1" l="1"/>
  <c r="N2186" i="1" l="1"/>
  <c r="N2184" i="1" l="1"/>
  <c r="N2177" i="1" l="1"/>
  <c r="N2192" i="1" l="1"/>
  <c r="N2181" i="1" l="1"/>
  <c r="N2167" i="1" l="1"/>
  <c r="N2187" i="1" l="1"/>
  <c r="N2176" i="1" l="1"/>
  <c r="N2175" i="1" l="1"/>
  <c r="N2183" i="1" l="1"/>
  <c r="N2168" i="1" l="1"/>
  <c r="N2179" i="1" l="1"/>
  <c r="N2170" i="1" l="1"/>
  <c r="N2178" i="1" l="1"/>
  <c r="N2190" i="1" l="1"/>
  <c r="N2172" i="1" l="1"/>
  <c r="N2191" i="1" l="1"/>
  <c r="N2219" i="1" l="1"/>
  <c r="N2210" i="1" l="1"/>
  <c r="N2173" i="1" l="1"/>
  <c r="N2182" i="1" l="1"/>
  <c r="N2189" i="1" l="1"/>
  <c r="N2205" i="1" l="1"/>
  <c r="N2166" i="1"/>
  <c r="N2206" i="1" l="1"/>
  <c r="N2211" i="1" l="1"/>
  <c r="N2217" i="1" l="1"/>
  <c r="N2213" i="1" l="1"/>
  <c r="N2208" i="1" l="1"/>
  <c r="N2209" i="1" l="1"/>
  <c r="N2214" i="1" l="1"/>
  <c r="N2212" i="1" l="1"/>
  <c r="N2216" i="1" l="1"/>
  <c r="N2222" i="1" l="1"/>
  <c r="N2224" i="1" l="1"/>
  <c r="N2223" i="1" l="1"/>
  <c r="N2221" i="1" l="1"/>
  <c r="N2218" i="1" l="1"/>
  <c r="N2215" i="1" l="1"/>
  <c r="N2220" i="1" l="1"/>
  <c r="M42" i="9"/>
  <c r="M30" i="9"/>
  <c r="E42" i="9" l="1"/>
  <c r="D42" i="9" s="1"/>
  <c r="F42" i="9" s="1"/>
  <c r="E30" i="9"/>
  <c r="D30" i="9" s="1"/>
  <c r="F30" i="9" s="1"/>
  <c r="N2207" i="1"/>
  <c r="N2204" i="1"/>
  <c r="M41" i="9"/>
  <c r="M29" i="9"/>
  <c r="E41" i="9" l="1"/>
  <c r="D41" i="9" s="1"/>
  <c r="F41" i="9" s="1"/>
  <c r="E29" i="9"/>
  <c r="D29" i="9" s="1"/>
  <c r="F29" i="9" s="1"/>
  <c r="K2088" i="1"/>
  <c r="K2090" i="1" l="1"/>
  <c r="K2097" i="1" s="1"/>
  <c r="K2099" i="1" s="1"/>
  <c r="K2112" i="1" l="1"/>
  <c r="N2097" i="1" l="1"/>
  <c r="N2100" i="1"/>
  <c r="N2093" i="1"/>
  <c r="N2099" i="1"/>
  <c r="N2087" i="1"/>
  <c r="N2091" i="1"/>
  <c r="N2101" i="1"/>
  <c r="N2086" i="1"/>
  <c r="N2098" i="1"/>
  <c r="N2089" i="1"/>
  <c r="N2096" i="1"/>
  <c r="N2088" i="1"/>
  <c r="N2094" i="1"/>
  <c r="N2090" i="1"/>
  <c r="N2095" i="1"/>
  <c r="N2092" i="1"/>
  <c r="N2102" i="1"/>
  <c r="N2085" i="1"/>
  <c r="M23" i="9"/>
  <c r="M35" i="9"/>
  <c r="E35" i="9" l="1"/>
  <c r="D35" i="9" s="1"/>
  <c r="F35" i="9" s="1"/>
  <c r="E23" i="9"/>
  <c r="D23" i="9" s="1"/>
  <c r="F23" i="9" s="1"/>
  <c r="K2120" i="1"/>
  <c r="K2125" i="1"/>
  <c r="K2121" i="1" l="1"/>
  <c r="K2128" i="1" s="1"/>
  <c r="K2126" i="1"/>
  <c r="K2129" i="1" s="1"/>
  <c r="N2115" i="1"/>
  <c r="N2107" i="1"/>
  <c r="N2117" i="1"/>
  <c r="N2106" i="1"/>
  <c r="N2112" i="1"/>
  <c r="N2105" i="1"/>
  <c r="N2113" i="1"/>
  <c r="N2111" i="1"/>
  <c r="N2114" i="1"/>
  <c r="N2109" i="1"/>
  <c r="N2104" i="1"/>
  <c r="N2116" i="1"/>
  <c r="N2108" i="1"/>
  <c r="N2119" i="1"/>
  <c r="N2118" i="1"/>
  <c r="N2110" i="1"/>
  <c r="N2103" i="1"/>
  <c r="M36" i="9"/>
  <c r="M24" i="9"/>
  <c r="K2130" i="1" l="1"/>
  <c r="E36" i="9"/>
  <c r="D36" i="9" s="1"/>
  <c r="F36" i="9" s="1"/>
  <c r="G3" i="5" s="1"/>
  <c r="E24" i="9"/>
  <c r="D24" i="9" s="1"/>
  <c r="F24" i="9" s="1"/>
  <c r="N2121" i="1" l="1"/>
  <c r="N2123" i="1"/>
  <c r="N2125" i="1"/>
  <c r="N2127" i="1"/>
  <c r="N2129" i="1"/>
  <c r="N2120" i="1"/>
  <c r="N2131" i="1"/>
  <c r="N2124" i="1"/>
  <c r="N2122" i="1"/>
  <c r="N2126" i="1"/>
  <c r="N2128" i="1"/>
  <c r="N2130" i="1"/>
  <c r="N2132" i="1"/>
  <c r="K2151" i="1" l="1"/>
  <c r="K2158" i="1" s="1"/>
  <c r="L2151" i="1"/>
  <c r="L2158" i="1" s="1"/>
  <c r="K2156" i="1"/>
  <c r="K2159" i="1" s="1"/>
  <c r="K2160" i="1" l="1"/>
  <c r="L2156" i="1" l="1"/>
  <c r="L2159" i="1" s="1"/>
  <c r="L2160" i="1" s="1"/>
  <c r="N2134" i="1" l="1"/>
  <c r="N2152" i="1"/>
  <c r="N2151" i="1"/>
  <c r="N2136" i="1"/>
  <c r="N2144" i="1"/>
  <c r="N2145" i="1"/>
  <c r="N2135" i="1"/>
  <c r="N2137" i="1"/>
  <c r="N2159" i="1"/>
  <c r="N2156" i="1"/>
  <c r="N2157" i="1"/>
  <c r="N2147" i="1"/>
  <c r="N2149" i="1"/>
  <c r="N2155" i="1"/>
  <c r="N2142" i="1"/>
  <c r="N2146" i="1"/>
  <c r="N2143" i="1"/>
  <c r="N2154" i="1"/>
  <c r="N2161" i="1"/>
  <c r="N2153" i="1"/>
  <c r="N2133" i="1"/>
  <c r="N2148" i="1"/>
  <c r="N2141" i="1"/>
  <c r="N2150" i="1"/>
  <c r="N2138" i="1"/>
  <c r="N2140" i="1"/>
  <c r="N2160" i="1"/>
  <c r="N2158" i="1"/>
  <c r="N2139" i="1"/>
  <c r="K2212" i="1"/>
  <c r="K2219" i="1" s="1"/>
  <c r="K2217" i="1"/>
  <c r="K2220" i="1" s="1"/>
  <c r="M25" i="9"/>
  <c r="M38" i="9"/>
  <c r="M32" i="9"/>
  <c r="M37" i="9"/>
  <c r="M39" i="9"/>
  <c r="M31" i="9"/>
  <c r="M40" i="9"/>
  <c r="M28" i="9"/>
  <c r="M26" i="9"/>
  <c r="M27" i="9"/>
  <c r="M33" i="9"/>
  <c r="E40" i="9" l="1"/>
  <c r="D40" i="9" s="1"/>
  <c r="F40" i="9" s="1"/>
  <c r="E39" i="9"/>
  <c r="D39" i="9" s="1"/>
  <c r="F39" i="9" s="1"/>
  <c r="G6" i="5" s="1"/>
  <c r="E38" i="9"/>
  <c r="D38" i="9" s="1"/>
  <c r="F38" i="9" s="1"/>
  <c r="G5" i="5" s="1"/>
  <c r="E33" i="9"/>
  <c r="D33" i="9" s="1"/>
  <c r="F33" i="9" s="1"/>
  <c r="E31" i="9"/>
  <c r="D31" i="9" s="1"/>
  <c r="F31" i="9" s="1"/>
  <c r="E37" i="9"/>
  <c r="D37" i="9" s="1"/>
  <c r="F37" i="9" s="1"/>
  <c r="G4" i="5" s="1"/>
  <c r="E32" i="9"/>
  <c r="D32" i="9" s="1"/>
  <c r="F32" i="9" s="1"/>
  <c r="E28" i="9"/>
  <c r="D28" i="9" s="1"/>
  <c r="F28" i="9" s="1"/>
  <c r="E27" i="9"/>
  <c r="D27" i="9" s="1"/>
  <c r="F27" i="9" s="1"/>
  <c r="E26" i="9"/>
  <c r="D26" i="9" s="1"/>
  <c r="F26" i="9" s="1"/>
  <c r="E25" i="9"/>
  <c r="D25" i="9" s="1"/>
  <c r="F25" i="9" s="1"/>
  <c r="K2221" i="1"/>
  <c r="K2486" i="1" l="1"/>
  <c r="K2493" i="1" s="1"/>
  <c r="K2491" i="1"/>
  <c r="K2494" i="1" s="1"/>
  <c r="K2495" i="1" l="1"/>
  <c r="P6" i="5" s="1"/>
  <c r="A2468" i="1" l="1"/>
  <c r="A2480" i="1"/>
  <c r="A2476" i="1"/>
  <c r="A2472" i="1"/>
  <c r="A2483" i="1"/>
  <c r="A2481" i="1"/>
  <c r="A2479" i="1"/>
  <c r="A2477" i="1"/>
  <c r="A2475" i="1"/>
  <c r="A2473" i="1"/>
  <c r="A2471" i="1"/>
  <c r="A2469" i="1"/>
  <c r="A2482" i="1"/>
  <c r="A2478" i="1"/>
  <c r="A2474" i="1"/>
  <c r="A2470" i="1"/>
  <c r="T5" i="5" l="1"/>
  <c r="V4" i="5"/>
  <c r="V5" i="5" l="1"/>
  <c r="T6" i="5"/>
  <c r="T7" i="5" l="1"/>
  <c r="V6" i="5"/>
  <c r="T8" i="5" l="1"/>
  <c r="V7" i="5"/>
  <c r="T9" i="5" l="1"/>
  <c r="T10" i="5" s="1"/>
  <c r="V8" i="5"/>
  <c r="V9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<sst xmlns="http://schemas.openxmlformats.org/spreadsheetml/2006/main" count="2477" uniqueCount="260">
  <si>
    <t>DOW</t>
  </si>
  <si>
    <t>SAT</t>
  </si>
  <si>
    <t>SUN</t>
  </si>
  <si>
    <t>MON</t>
  </si>
  <si>
    <t>TUE</t>
  </si>
  <si>
    <t>WED</t>
  </si>
  <si>
    <t>THU</t>
  </si>
  <si>
    <t>FRI</t>
  </si>
  <si>
    <t>https://apps.newyorkfed.org/markets/autorates/fed%20funds</t>
  </si>
  <si>
    <t>https://www.federalreserve.gov/monetarypolicy/fomccalendars.htm</t>
  </si>
  <si>
    <t>January</t>
  </si>
  <si>
    <t>28-29</t>
  </si>
  <si>
    <t>April</t>
  </si>
  <si>
    <t>July</t>
  </si>
  <si>
    <t>November</t>
  </si>
  <si>
    <t>* Meeting associated with a Summary of Economic Projections.</t>
  </si>
  <si>
    <t>https://www.federalreserve.gov/newsevents/calendar.htm</t>
  </si>
  <si>
    <t>https://www.frbservices.org/assets/central-bank/reserves-central/calendars-weekly.pdf</t>
  </si>
  <si>
    <t>Begin</t>
  </si>
  <si>
    <t>End</t>
  </si>
  <si>
    <t>Meeting</t>
  </si>
  <si>
    <t>Proj EFFR</t>
  </si>
  <si>
    <t>Act EFFR</t>
  </si>
  <si>
    <t>MOD</t>
  </si>
  <si>
    <t>Price</t>
  </si>
  <si>
    <t>Rate</t>
  </si>
  <si>
    <t>FED FUNDS</t>
  </si>
  <si>
    <t>1M SOFR</t>
  </si>
  <si>
    <t>Act SOFR</t>
  </si>
  <si>
    <t>Proj SOFR</t>
  </si>
  <si>
    <t>3M SOFR</t>
  </si>
  <si>
    <t>https://www.cmegroup.com/trading/interest-rates/stir/eurodollar.html</t>
  </si>
  <si>
    <t>https://www.cmegroup.com/trading/interest-rates/stir/30-day-federal-fund.html</t>
  </si>
  <si>
    <t>https://www.cmegroup.com/trading/interest-rates/stir/one-month-sofr.html</t>
  </si>
  <si>
    <t>https://www.cmegroup.com/trading/interest-rates/stir/three-month-sofr.html</t>
  </si>
  <si>
    <t>DATE</t>
  </si>
  <si>
    <t>https://www.cmegroup.com/tools-information/quikstrike/short-term-interest-rate-analytics.html</t>
  </si>
  <si>
    <t>https://www.cmegroup.com/education/files/sofr-futures-settlement-calculation-methodologies.pdf</t>
  </si>
  <si>
    <t>Maint Pd</t>
  </si>
  <si>
    <t>Pres Day</t>
  </si>
  <si>
    <t>Mem Day</t>
  </si>
  <si>
    <t>https://www.sifma.org/resources/general/holiday-schedule/</t>
  </si>
  <si>
    <t>https://www.federalreserve.gov/aboutthefed/k8.htm</t>
  </si>
  <si>
    <t>3M SOFR CALCS</t>
  </si>
  <si>
    <t>Good Friday</t>
  </si>
  <si>
    <t>MLK Day</t>
  </si>
  <si>
    <t>New Years Day</t>
  </si>
  <si>
    <t>Presidents Day</t>
  </si>
  <si>
    <t>Memorial Day</t>
  </si>
  <si>
    <t>July 4th</t>
  </si>
  <si>
    <t>Labor Day</t>
  </si>
  <si>
    <t>Thanksgiving</t>
  </si>
  <si>
    <t>Christmas</t>
  </si>
  <si>
    <t>N/Y Day</t>
  </si>
  <si>
    <t>Veterans Day</t>
  </si>
  <si>
    <t>Columbus Day</t>
  </si>
  <si>
    <t>Good Fri</t>
  </si>
  <si>
    <t>July 4</t>
  </si>
  <si>
    <t>Col Day</t>
  </si>
  <si>
    <t>Vets Day</t>
  </si>
  <si>
    <t>Thanks</t>
  </si>
  <si>
    <t>4-5</t>
  </si>
  <si>
    <t>https://apps.newyorkfed.org/markets/autorates/sofr</t>
  </si>
  <si>
    <t>THINK ABOUT AMERIBOR</t>
  </si>
  <si>
    <t xml:space="preserve">3M SOFR </t>
  </si>
  <si>
    <t>ZQ</t>
  </si>
  <si>
    <t>SYMBOL</t>
  </si>
  <si>
    <t>MONTH</t>
  </si>
  <si>
    <t>BID PRICE</t>
  </si>
  <si>
    <t>ASK PRICE</t>
  </si>
  <si>
    <t>LAST PRICE</t>
  </si>
  <si>
    <t>FUT</t>
  </si>
  <si>
    <t>TYPE</t>
  </si>
  <si>
    <t>USED PRICE</t>
  </si>
  <si>
    <t>USED RATE</t>
  </si>
  <si>
    <t>EXCHANGE</t>
  </si>
  <si>
    <t>SOFR1</t>
  </si>
  <si>
    <t>SOFR3</t>
  </si>
  <si>
    <t>1M SOFR vs</t>
  </si>
  <si>
    <t>Instruction Range</t>
  </si>
  <si>
    <t>Input Worksheet</t>
  </si>
  <si>
    <t>Input Range</t>
  </si>
  <si>
    <t>Output Worksheet</t>
  </si>
  <si>
    <t>Header Rows</t>
  </si>
  <si>
    <t>Timer Interval</t>
  </si>
  <si>
    <t>= NUM ROWS</t>
  </si>
  <si>
    <t>E1</t>
  </si>
  <si>
    <t>Note: IBKR tick identifier to dataframe column mapping is hard coded in python code (updateLivePriceDF module)</t>
  </si>
  <si>
    <t>Command Line Code</t>
  </si>
  <si>
    <t>FF</t>
  </si>
  <si>
    <t>Client Number</t>
  </si>
  <si>
    <t>VERTICAL SPREADS</t>
  </si>
  <si>
    <t>https://www.cmegroup.com/trading/interest-rates/settlements.html</t>
  </si>
  <si>
    <t xml:space="preserve">FINAL SETTLEMENTS </t>
  </si>
  <si>
    <t>Target Now 1.00% to 1.25%</t>
  </si>
  <si>
    <t>Surprise Rate Cut - 50 bps</t>
  </si>
  <si>
    <t xml:space="preserve"> Rate Cut - 100 bps</t>
  </si>
  <si>
    <t>Target Now 0.00% to 0.25%</t>
  </si>
  <si>
    <t>FINAL SETTLEMENT</t>
  </si>
  <si>
    <t>IBKR Port</t>
  </si>
  <si>
    <t>production = 7496, paper trading = 7497</t>
  </si>
  <si>
    <t>Output Cell</t>
  </si>
  <si>
    <t>Workbook Name</t>
  </si>
  <si>
    <t>MLK</t>
  </si>
  <si>
    <t>FOR ShortRates</t>
  </si>
  <si>
    <t>= NUM COLS</t>
  </si>
  <si>
    <t>INPUT</t>
  </si>
  <si>
    <t>GOOD</t>
  </si>
  <si>
    <t>Columbus</t>
  </si>
  <si>
    <t>Veterans</t>
  </si>
  <si>
    <t>T'giving</t>
  </si>
  <si>
    <t>C'mas</t>
  </si>
  <si>
    <t>Labor</t>
  </si>
  <si>
    <t>Memorial</t>
  </si>
  <si>
    <t>Presidents</t>
  </si>
  <si>
    <t>New Year's</t>
  </si>
  <si>
    <t>SOFR1 CUM</t>
  </si>
  <si>
    <t>FF CUM</t>
  </si>
  <si>
    <t>days in month</t>
  </si>
  <si>
    <t>notice jump in rates at beginning of period</t>
  </si>
  <si>
    <t>---</t>
  </si>
  <si>
    <t>Junetheenth</t>
  </si>
  <si>
    <t>25-26</t>
  </si>
  <si>
    <t>May</t>
  </si>
  <si>
    <t>26-27</t>
  </si>
  <si>
    <t>3-4</t>
  </si>
  <si>
    <t>1-2</t>
  </si>
  <si>
    <t>Junetnth</t>
  </si>
  <si>
    <t xml:space="preserve">FF - </t>
  </si>
  <si>
    <t>Reference Quarter:  For a given contract, interval from (and including) 3rd Wed of 3rd month preceding delivery month, to (and not including) 3rd Wed of delivery month.</t>
  </si>
  <si>
    <t>For SR3</t>
  </si>
  <si>
    <t>February</t>
  </si>
  <si>
    <t>27-28</t>
  </si>
  <si>
    <t>15-16</t>
  </si>
  <si>
    <t>August</t>
  </si>
  <si>
    <t>21-22</t>
  </si>
  <si>
    <t>October</t>
  </si>
  <si>
    <t>14-15</t>
  </si>
  <si>
    <t>2-3</t>
  </si>
  <si>
    <t>March*</t>
  </si>
  <si>
    <t>June*</t>
  </si>
  <si>
    <t>September*</t>
  </si>
  <si>
    <t>December*</t>
  </si>
  <si>
    <t>17-18</t>
  </si>
  <si>
    <t>16-17</t>
  </si>
  <si>
    <t>20-21</t>
  </si>
  <si>
    <t>13-14</t>
  </si>
  <si>
    <t>9-10</t>
  </si>
  <si>
    <t>FOMC Meetngs</t>
  </si>
  <si>
    <t>HOLIDAYS</t>
  </si>
  <si>
    <t>DIM</t>
  </si>
  <si>
    <t>top row</t>
  </si>
  <si>
    <t>bottom row</t>
  </si>
  <si>
    <t>actual range</t>
  </si>
  <si>
    <t>proj range</t>
  </si>
  <si>
    <t>actual sum</t>
  </si>
  <si>
    <t>proj sum</t>
  </si>
  <si>
    <t>total sum</t>
  </si>
  <si>
    <t>calculated rate</t>
  </si>
  <si>
    <t>calculated price</t>
  </si>
  <si>
    <t>CALCS</t>
  </si>
  <si>
    <t>EFFR</t>
  </si>
  <si>
    <t>SOFR</t>
  </si>
  <si>
    <t>19-20</t>
  </si>
  <si>
    <t>12-13</t>
  </si>
  <si>
    <t>NYE</t>
  </si>
  <si>
    <t>MTG</t>
  </si>
  <si>
    <t>DATES</t>
  </si>
  <si>
    <t>Start</t>
  </si>
  <si>
    <t>ROWS</t>
  </si>
  <si>
    <t>PRODUCT</t>
  </si>
  <si>
    <t>NUMBER</t>
  </si>
  <si>
    <t>OF DAYS</t>
  </si>
  <si>
    <t>IMPLIED</t>
  </si>
  <si>
    <t>Range</t>
  </si>
  <si>
    <t>Amount</t>
  </si>
  <si>
    <t>FUTURES</t>
  </si>
  <si>
    <t>IMP -</t>
  </si>
  <si>
    <t>11-12</t>
  </si>
  <si>
    <t>30-31</t>
  </si>
  <si>
    <t>6-7</t>
  </si>
  <si>
    <t>Vets</t>
  </si>
  <si>
    <t>CBOT</t>
  </si>
  <si>
    <t>CME</t>
  </si>
  <si>
    <t>rate sum target</t>
  </si>
  <si>
    <t>range1 sum</t>
  </si>
  <si>
    <t>range2 sum</t>
  </si>
  <si>
    <t>rate sum actual</t>
  </si>
  <si>
    <t>days in range2</t>
  </si>
  <si>
    <t>range2 rate/day</t>
  </si>
  <si>
    <t>proj range1</t>
  </si>
  <si>
    <t>proj range2</t>
  </si>
  <si>
    <t>bottom range1</t>
  </si>
  <si>
    <t>top range2</t>
  </si>
  <si>
    <t>actual days</t>
  </si>
  <si>
    <t>range1 days</t>
  </si>
  <si>
    <t>range2 days</t>
  </si>
  <si>
    <t>futures rate</t>
  </si>
  <si>
    <t>Juneteenth</t>
  </si>
  <si>
    <t>agree on 3M SOFR settle</t>
  </si>
  <si>
    <t>final settle</t>
  </si>
  <si>
    <t>my settle</t>
  </si>
  <si>
    <t>match</t>
  </si>
  <si>
    <t>MTG+1</t>
  </si>
  <si>
    <t>diff</t>
  </si>
  <si>
    <t>cum diff</t>
  </si>
  <si>
    <t>Pres</t>
  </si>
  <si>
    <t>Secured Overnight Financing Rate Data - FEDERAL RESERVE BANK of NEW YORK (newyorkfed.org)</t>
  </si>
  <si>
    <t>Effective Federal Funds Rate - FEDERAL RESERVE BANK of NEW YORK (newyorkfed.org)</t>
  </si>
  <si>
    <t>29-30</t>
  </si>
  <si>
    <t>NO MTG</t>
  </si>
  <si>
    <t>18-19</t>
  </si>
  <si>
    <t>8-9</t>
  </si>
  <si>
    <t>range1 formula</t>
  </si>
  <si>
    <t>range2 formula</t>
  </si>
  <si>
    <t>K$1785</t>
  </si>
  <si>
    <t>L$1785</t>
  </si>
  <si>
    <t>K$1908</t>
  </si>
  <si>
    <t>K$1967</t>
  </si>
  <si>
    <t>L$1967</t>
  </si>
  <si>
    <t>L$1908</t>
  </si>
  <si>
    <t>days in range1</t>
  </si>
  <si>
    <t>range1 rate/day</t>
  </si>
  <si>
    <t>K$1887</t>
  </si>
  <si>
    <t>L$1887</t>
  </si>
  <si>
    <t>K$2068</t>
  </si>
  <si>
    <t>L$2068</t>
  </si>
  <si>
    <t>A$1829</t>
  </si>
  <si>
    <t>B$1829</t>
  </si>
  <si>
    <t>Good Friday *</t>
  </si>
  <si>
    <t>* Good Friday is only a holiday for SOFR</t>
  </si>
  <si>
    <t>-</t>
  </si>
  <si>
    <t>Three-Month SOFR Futures Calendar - CME Group</t>
  </si>
  <si>
    <t>Events</t>
  </si>
  <si>
    <t>monthly target</t>
  </si>
  <si>
    <t>fixed range</t>
  </si>
  <si>
    <t>float range</t>
  </si>
  <si>
    <t>fixed sum</t>
  </si>
  <si>
    <t>float sum</t>
  </si>
  <si>
    <t>float days</t>
  </si>
  <si>
    <t>float rate</t>
  </si>
  <si>
    <t>fixed rate</t>
  </si>
  <si>
    <t>monthly days</t>
  </si>
  <si>
    <t>fixed days</t>
  </si>
  <si>
    <t>split row</t>
  </si>
  <si>
    <t>MATCH</t>
  </si>
  <si>
    <t>cut size</t>
  </si>
  <si>
    <t>SOFR-EFFR</t>
  </si>
  <si>
    <t>Table1</t>
  </si>
  <si>
    <t>Table2</t>
  </si>
  <si>
    <t>changes</t>
  </si>
  <si>
    <t>DAILY FACTOR</t>
  </si>
  <si>
    <t>FROM</t>
  </si>
  <si>
    <t>TO</t>
  </si>
  <si>
    <t>TO TERM FACTOR</t>
  </si>
  <si>
    <t>TO TERM RATE</t>
  </si>
  <si>
    <t>cd git-crypto/crypto-project/apps</t>
  </si>
  <si>
    <t>Keys</t>
  </si>
  <si>
    <t>Values</t>
  </si>
  <si>
    <t>python App_Stream_ShortRates.py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</si>
</sst>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(* #,##0.00_);_(* \(#,##0.00\);_(* &quot;-&quot;??_);_(@_)"/>
    <numFmt numFmtId="164" formatCode="[$-409]d\-mmm\-yy;@"/>
    <numFmt numFmtId="165" formatCode="0.0000"/>
    <numFmt numFmtId="166" formatCode="0.000"/>
    <numFmt numFmtId="167" formatCode="0.000000"/>
    <numFmt numFmtId="168" formatCode="0.0000000000000000000000000"/>
    <numFmt numFmtId="169" formatCode="[$-409]dd\-mmm\-yy;@"/>
    <numFmt numFmtId="170" formatCode="_(* #,##0.0000_);_(* \(#,##0.0000\);_(* &quot;-&quot;??_);_(@_)"/>
    <numFmt numFmtId="171" formatCode="mm/dd/yyyy"/>
    <numFmt numFmtId="172" formatCode="hh:mm:ss"/>
    <numFmt numFmtId="173" formatCode="0.00000"/>
    <numFmt numFmtId="174" formatCode="0.00000%"/>
  </numFmts>
  <fonts count="4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sz val="12"/>
      <name val="Arial"/>
      <family val="2"/>
    </font>
    <font>
      <b/>
      <u/>
      <sz val="12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rgb="FFFF0000"/>
      <name val="Verdana"/>
      <family val="2"/>
    </font>
    <font>
      <b/>
      <sz val="12"/>
      <name val="Verdana"/>
      <family val="2"/>
    </font>
    <font>
      <sz val="12"/>
      <name val="Verdana"/>
      <family val="2"/>
    </font>
    <font>
      <u/>
      <sz val="12"/>
      <color theme="1"/>
      <name val="Verdana"/>
      <family val="2"/>
    </font>
    <font>
      <sz val="12"/>
      <color rgb="FF333333"/>
      <name val="Verdana"/>
      <family val="2"/>
    </font>
    <font>
      <u/>
      <sz val="12"/>
      <color theme="10"/>
      <name val="Verdana"/>
      <family val="2"/>
    </font>
    <font>
      <sz val="12"/>
      <color rgb="FF42515A"/>
      <name val="Verdana"/>
      <family val="2"/>
    </font>
    <font>
      <i/>
      <sz val="12"/>
      <color theme="1"/>
      <name val="Verdana"/>
      <family val="2"/>
    </font>
    <font>
      <b/>
      <sz val="12"/>
      <color rgb="FF7030A0"/>
      <name val="Verdana"/>
      <family val="2"/>
    </font>
    <font>
      <b/>
      <sz val="12"/>
      <color rgb="FF0070C0"/>
      <name val="Verdana"/>
      <family val="2"/>
    </font>
    <font>
      <sz val="14"/>
      <color rgb="FF333333"/>
      <name val="Verdana"/>
      <family val="2"/>
    </font>
    <font>
      <sz val="16"/>
      <color rgb="FF5A6874"/>
      <name val="Averta-Regular"/>
    </font>
    <font>
      <sz val="12"/>
      <color rgb="FF0070C0"/>
      <name val="Verdana"/>
      <family val="2"/>
    </font>
    <font>
      <sz val="12"/>
      <color rgb="FF7030A0"/>
      <name val="Verdana"/>
      <family val="2"/>
    </font>
    <font>
      <strike/>
      <sz val="12"/>
      <color rgb="FF7030A0"/>
      <name val="Verdana"/>
      <family val="2"/>
    </font>
    <font>
      <b/>
      <u/>
      <sz val="14"/>
      <color rgb="FF163855"/>
      <name val="Verdana"/>
      <family val="2"/>
    </font>
    <font>
      <b/>
      <sz val="14"/>
      <color rgb="FF333333"/>
      <name val="Verdana"/>
      <family val="2"/>
    </font>
    <font>
      <u/>
      <sz val="12"/>
      <name val="Verdana"/>
      <family val="2"/>
    </font>
    <font>
      <b/>
      <sz val="12"/>
      <color theme="1"/>
      <name val="Calibri"/>
      <family val="2"/>
      <scheme val="minor"/>
    </font>
    <font>
      <sz val="12"/>
      <color rgb="FFFF0000"/>
      <name val="Verdana"/>
      <family val="2"/>
    </font>
    <font>
      <sz val="16"/>
      <color rgb="FF333333"/>
      <name val="Arial"/>
      <family val="2"/>
    </font>
    <font>
      <b/>
      <sz val="16"/>
      <color rgb="FF333333"/>
      <name val="Arial"/>
      <family val="2"/>
    </font>
    <font>
      <sz val="14"/>
      <color theme="1"/>
      <name val="Verdana"/>
      <family val="2"/>
    </font>
    <font>
      <b/>
      <u/>
      <sz val="12"/>
      <color rgb="FF7030A0"/>
      <name val="Verdana"/>
      <family val="2"/>
    </font>
    <font>
      <b/>
      <sz val="11"/>
      <name val="Calibri"/>
      <family val="2"/>
      <scheme val="minor"/>
    </font>
    <font>
      <b/>
      <sz val="12"/>
      <color rgb="FF333333"/>
      <name val="Verdana"/>
      <family val="2"/>
    </font>
    <font>
      <b/>
      <sz val="12"/>
      <color rgb="FFFF0000"/>
      <name val="Calibri"/>
      <family val="2"/>
      <scheme val="minor"/>
    </font>
    <font>
      <b/>
      <sz val="12"/>
      <color theme="9" tint="-0.499984740745262"/>
      <name val="Verdana"/>
      <family val="2"/>
    </font>
    <font>
      <b/>
      <sz val="12"/>
      <color rgb="FF7030A0"/>
      <name val="Verdana"/>
      <family val="2"/>
    </font>
    <font>
      <sz val="12"/>
      <color rgb="FF7030A0"/>
      <name val="Verdana"/>
      <family val="2"/>
    </font>
    <font>
      <sz val="12"/>
      <name val="Verdana"/>
      <family val="2"/>
    </font>
    <font>
      <strike/>
      <sz val="12"/>
      <color rgb="FF7030A0"/>
      <name val="Verdana"/>
      <family val="2"/>
    </font>
    <font>
      <b/>
      <sz val="16"/>
      <color rgb="FFFF0000"/>
      <name val="Averta-Regular"/>
    </font>
    <font>
      <b/>
      <u/>
      <sz val="12"/>
      <color rgb="FFFF0000"/>
      <name val="Verdana"/>
      <family val="2"/>
    </font>
    <font>
      <b/>
      <sz val="12"/>
      <color rgb="FF002060"/>
      <name val="Verdana"/>
      <family val="2"/>
    </font>
    <font>
      <b/>
      <u/>
      <sz val="12"/>
      <name val="Verdana"/>
      <family val="2"/>
    </font>
    <font>
      <sz val="12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rgb="FF7030A0"/>
      </left>
      <right style="medium">
        <color rgb="FF7030A0"/>
      </right>
      <top style="medium">
        <color rgb="FF7030A0"/>
      </top>
      <bottom style="thin">
        <color indexed="64"/>
      </bottom>
      <diagonal/>
    </border>
    <border>
      <left style="medium">
        <color rgb="FF7030A0"/>
      </left>
      <right style="medium">
        <color rgb="FF7030A0"/>
      </right>
      <top/>
      <bottom/>
      <diagonal/>
    </border>
    <border>
      <left style="medium">
        <color rgb="FF7030A0"/>
      </left>
      <right style="medium">
        <color rgb="FF7030A0"/>
      </right>
      <top/>
      <bottom style="medium">
        <color rgb="FF7030A0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475">
    <xf numFmtId="0" fontId="0" fillId="0" borderId="0" xfId="0"/>
    <xf numFmtId="0" fontId="2" fillId="0" borderId="0" xfId="2" applyBorder="1"/>
    <xf numFmtId="0" fontId="3" fillId="0" borderId="0" xfId="0" applyFont="1"/>
    <xf numFmtId="0" fontId="4" fillId="0" borderId="0" xfId="0" applyFont="1"/>
    <xf numFmtId="0" fontId="6" fillId="0" borderId="1" xfId="0" applyFont="1" applyBorder="1" applyAlignment="1">
      <alignment horizontal="right"/>
    </xf>
    <xf numFmtId="0" fontId="6" fillId="0" borderId="0" xfId="0" applyFont="1"/>
    <xf numFmtId="0" fontId="6" fillId="0" borderId="3" xfId="0" applyFont="1" applyBorder="1" applyAlignment="1">
      <alignment horizontal="right"/>
    </xf>
    <xf numFmtId="0" fontId="6" fillId="2" borderId="4" xfId="0" applyFont="1" applyFill="1" applyBorder="1" applyAlignment="1">
      <alignment horizontal="center"/>
    </xf>
    <xf numFmtId="0" fontId="6" fillId="0" borderId="0" xfId="0" quotePrefix="1" applyFont="1"/>
    <xf numFmtId="0" fontId="7" fillId="0" borderId="0" xfId="0" applyFont="1"/>
    <xf numFmtId="0" fontId="8" fillId="0" borderId="0" xfId="0" applyFont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right"/>
    </xf>
    <xf numFmtId="0" fontId="10" fillId="0" borderId="0" xfId="0" quotePrefix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3" fillId="7" borderId="0" xfId="0" applyFont="1" applyFill="1"/>
    <xf numFmtId="0" fontId="14" fillId="7" borderId="0" xfId="0" applyFont="1" applyFill="1"/>
    <xf numFmtId="0" fontId="11" fillId="0" borderId="0" xfId="0" applyFont="1"/>
    <xf numFmtId="0" fontId="11" fillId="0" borderId="20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9" fillId="0" borderId="16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17" fontId="9" fillId="0" borderId="21" xfId="0" quotePrefix="1" applyNumberFormat="1" applyFont="1" applyBorder="1" applyAlignment="1">
      <alignment horizontal="center"/>
    </xf>
    <xf numFmtId="17" fontId="9" fillId="0" borderId="21" xfId="0" applyNumberFormat="1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9" fillId="0" borderId="26" xfId="0" applyFont="1" applyBorder="1" applyAlignment="1">
      <alignment horizontal="center"/>
    </xf>
    <xf numFmtId="0" fontId="9" fillId="0" borderId="19" xfId="0" applyFont="1" applyBorder="1" applyAlignment="1">
      <alignment horizontal="center"/>
    </xf>
    <xf numFmtId="0" fontId="15" fillId="0" borderId="0" xfId="0" applyFont="1"/>
    <xf numFmtId="17" fontId="11" fillId="4" borderId="21" xfId="0" applyNumberFormat="1" applyFont="1" applyFill="1" applyBorder="1" applyAlignment="1">
      <alignment horizontal="center"/>
    </xf>
    <xf numFmtId="165" fontId="16" fillId="4" borderId="10" xfId="0" applyNumberFormat="1" applyFont="1" applyFill="1" applyBorder="1"/>
    <xf numFmtId="165" fontId="16" fillId="4" borderId="13" xfId="0" applyNumberFormat="1" applyFont="1" applyFill="1" applyBorder="1"/>
    <xf numFmtId="165" fontId="10" fillId="4" borderId="10" xfId="0" applyNumberFormat="1" applyFont="1" applyFill="1" applyBorder="1"/>
    <xf numFmtId="165" fontId="10" fillId="4" borderId="0" xfId="0" applyNumberFormat="1" applyFont="1" applyFill="1"/>
    <xf numFmtId="165" fontId="10" fillId="4" borderId="13" xfId="0" applyNumberFormat="1" applyFont="1" applyFill="1" applyBorder="1"/>
    <xf numFmtId="17" fontId="11" fillId="0" borderId="21" xfId="0" applyNumberFormat="1" applyFont="1" applyBorder="1" applyAlignment="1">
      <alignment horizontal="center"/>
    </xf>
    <xf numFmtId="165" fontId="10" fillId="0" borderId="10" xfId="0" applyNumberFormat="1" applyFont="1" applyBorder="1"/>
    <xf numFmtId="165" fontId="10" fillId="0" borderId="0" xfId="0" applyNumberFormat="1" applyFont="1"/>
    <xf numFmtId="165" fontId="10" fillId="0" borderId="13" xfId="0" applyNumberFormat="1" applyFont="1" applyBorder="1"/>
    <xf numFmtId="165" fontId="10" fillId="0" borderId="10" xfId="0" applyNumberFormat="1" applyFont="1" applyBorder="1" applyAlignment="1">
      <alignment horizontal="center"/>
    </xf>
    <xf numFmtId="17" fontId="11" fillId="4" borderId="22" xfId="0" applyNumberFormat="1" applyFont="1" applyFill="1" applyBorder="1" applyAlignment="1">
      <alignment horizontal="center"/>
    </xf>
    <xf numFmtId="165" fontId="16" fillId="0" borderId="10" xfId="0" applyNumberFormat="1" applyFont="1" applyBorder="1"/>
    <xf numFmtId="165" fontId="16" fillId="0" borderId="13" xfId="0" applyNumberFormat="1" applyFont="1" applyBorder="1"/>
    <xf numFmtId="165" fontId="10" fillId="4" borderId="18" xfId="0" applyNumberFormat="1" applyFont="1" applyFill="1" applyBorder="1"/>
    <xf numFmtId="165" fontId="10" fillId="4" borderId="26" xfId="0" applyNumberFormat="1" applyFont="1" applyFill="1" applyBorder="1"/>
    <xf numFmtId="165" fontId="10" fillId="4" borderId="19" xfId="0" applyNumberFormat="1" applyFont="1" applyFill="1" applyBorder="1"/>
    <xf numFmtId="165" fontId="14" fillId="0" borderId="21" xfId="0" applyNumberFormat="1" applyFont="1" applyBorder="1"/>
    <xf numFmtId="165" fontId="16" fillId="4" borderId="18" xfId="0" applyNumberFormat="1" applyFont="1" applyFill="1" applyBorder="1"/>
    <xf numFmtId="165" fontId="16" fillId="4" borderId="19" xfId="0" applyNumberFormat="1" applyFont="1" applyFill="1" applyBorder="1"/>
    <xf numFmtId="0" fontId="11" fillId="0" borderId="11" xfId="0" applyFont="1" applyBorder="1" applyAlignment="1">
      <alignment horizontal="center"/>
    </xf>
    <xf numFmtId="0" fontId="11" fillId="0" borderId="12" xfId="0" applyFont="1" applyBorder="1" applyAlignment="1">
      <alignment horizontal="center"/>
    </xf>
    <xf numFmtId="0" fontId="11" fillId="0" borderId="11" xfId="0" applyFont="1" applyBorder="1" applyAlignment="1">
      <alignment horizontal="right"/>
    </xf>
    <xf numFmtId="0" fontId="11" fillId="0" borderId="7" xfId="0" applyFont="1" applyBorder="1" applyAlignment="1">
      <alignment horizontal="center"/>
    </xf>
    <xf numFmtId="0" fontId="11" fillId="0" borderId="11" xfId="0" applyFont="1" applyBorder="1"/>
    <xf numFmtId="0" fontId="11" fillId="0" borderId="7" xfId="0" applyFont="1" applyBorder="1"/>
    <xf numFmtId="164" fontId="10" fillId="0" borderId="13" xfId="0" applyNumberFormat="1" applyFont="1" applyBorder="1" applyAlignment="1">
      <alignment horizontal="center"/>
    </xf>
    <xf numFmtId="0" fontId="10" fillId="0" borderId="10" xfId="0" applyFont="1" applyBorder="1"/>
    <xf numFmtId="0" fontId="10" fillId="0" borderId="13" xfId="0" applyFont="1" applyBorder="1"/>
    <xf numFmtId="164" fontId="11" fillId="0" borderId="10" xfId="0" applyNumberFormat="1" applyFont="1" applyBorder="1" applyAlignment="1">
      <alignment horizontal="right"/>
    </xf>
    <xf numFmtId="2" fontId="10" fillId="0" borderId="0" xfId="0" applyNumberFormat="1" applyFont="1"/>
    <xf numFmtId="0" fontId="10" fillId="6" borderId="10" xfId="1" applyNumberFormat="1" applyFont="1" applyFill="1" applyBorder="1" applyAlignment="1">
      <alignment horizontal="center"/>
    </xf>
    <xf numFmtId="167" fontId="10" fillId="6" borderId="0" xfId="0" applyNumberFormat="1" applyFont="1" applyFill="1"/>
    <xf numFmtId="0" fontId="10" fillId="6" borderId="0" xfId="0" applyFont="1" applyFill="1"/>
    <xf numFmtId="168" fontId="10" fillId="0" borderId="10" xfId="0" applyNumberFormat="1" applyFont="1" applyBorder="1"/>
    <xf numFmtId="168" fontId="10" fillId="0" borderId="0" xfId="0" applyNumberFormat="1" applyFont="1"/>
    <xf numFmtId="0" fontId="17" fillId="0" borderId="0" xfId="2" applyFont="1"/>
    <xf numFmtId="0" fontId="18" fillId="0" borderId="0" xfId="0" applyFont="1"/>
    <xf numFmtId="165" fontId="19" fillId="0" borderId="10" xfId="0" applyNumberFormat="1" applyFont="1" applyBorder="1"/>
    <xf numFmtId="164" fontId="10" fillId="0" borderId="12" xfId="0" applyNumberFormat="1" applyFont="1" applyBorder="1" applyAlignment="1">
      <alignment horizontal="center"/>
    </xf>
    <xf numFmtId="165" fontId="20" fillId="0" borderId="11" xfId="0" applyNumberFormat="1" applyFont="1" applyBorder="1"/>
    <xf numFmtId="0" fontId="10" fillId="0" borderId="7" xfId="0" applyFont="1" applyBorder="1" applyAlignment="1">
      <alignment horizontal="center"/>
    </xf>
    <xf numFmtId="164" fontId="10" fillId="4" borderId="7" xfId="0" applyNumberFormat="1" applyFont="1" applyFill="1" applyBorder="1" applyAlignment="1">
      <alignment horizontal="center"/>
    </xf>
    <xf numFmtId="164" fontId="11" fillId="0" borderId="11" xfId="0" applyNumberFormat="1" applyFont="1" applyBorder="1" applyAlignment="1">
      <alignment horizontal="right"/>
    </xf>
    <xf numFmtId="0" fontId="12" fillId="6" borderId="11" xfId="1" applyNumberFormat="1" applyFont="1" applyFill="1" applyBorder="1" applyAlignment="1">
      <alignment horizontal="center"/>
    </xf>
    <xf numFmtId="167" fontId="10" fillId="6" borderId="7" xfId="0" applyNumberFormat="1" applyFont="1" applyFill="1" applyBorder="1"/>
    <xf numFmtId="0" fontId="10" fillId="0" borderId="11" xfId="0" applyFont="1" applyBorder="1"/>
    <xf numFmtId="0" fontId="10" fillId="0" borderId="7" xfId="0" applyFont="1" applyBorder="1"/>
    <xf numFmtId="165" fontId="20" fillId="0" borderId="10" xfId="0" applyNumberFormat="1" applyFont="1" applyBorder="1"/>
    <xf numFmtId="0" fontId="12" fillId="6" borderId="10" xfId="1" applyNumberFormat="1" applyFont="1" applyFill="1" applyBorder="1" applyAlignment="1">
      <alignment horizontal="center"/>
    </xf>
    <xf numFmtId="0" fontId="10" fillId="0" borderId="14" xfId="0" applyFont="1" applyBorder="1"/>
    <xf numFmtId="0" fontId="10" fillId="0" borderId="15" xfId="0" applyFont="1" applyBorder="1"/>
    <xf numFmtId="165" fontId="14" fillId="0" borderId="10" xfId="0" applyNumberFormat="1" applyFont="1" applyBorder="1"/>
    <xf numFmtId="0" fontId="17" fillId="0" borderId="0" xfId="2" applyFont="1" applyBorder="1"/>
    <xf numFmtId="0" fontId="10" fillId="0" borderId="12" xfId="0" applyFont="1" applyBorder="1"/>
    <xf numFmtId="164" fontId="10" fillId="5" borderId="7" xfId="0" applyNumberFormat="1" applyFont="1" applyFill="1" applyBorder="1" applyAlignment="1">
      <alignment horizontal="center"/>
    </xf>
    <xf numFmtId="0" fontId="10" fillId="6" borderId="11" xfId="1" applyNumberFormat="1" applyFont="1" applyFill="1" applyBorder="1" applyAlignment="1">
      <alignment horizontal="center"/>
    </xf>
    <xf numFmtId="0" fontId="11" fillId="2" borderId="10" xfId="0" applyFont="1" applyFill="1" applyBorder="1"/>
    <xf numFmtId="0" fontId="11" fillId="2" borderId="0" xfId="0" applyFont="1" applyFill="1" applyAlignment="1">
      <alignment horizontal="center"/>
    </xf>
    <xf numFmtId="166" fontId="11" fillId="2" borderId="0" xfId="0" applyNumberFormat="1" applyFont="1" applyFill="1" applyAlignment="1">
      <alignment horizontal="center"/>
    </xf>
    <xf numFmtId="0" fontId="10" fillId="3" borderId="7" xfId="0" applyFont="1" applyFill="1" applyBorder="1" applyAlignment="1">
      <alignment horizontal="center"/>
    </xf>
    <xf numFmtId="2" fontId="10" fillId="0" borderId="13" xfId="0" applyNumberFormat="1" applyFont="1" applyBorder="1" applyAlignment="1">
      <alignment horizontal="right"/>
    </xf>
    <xf numFmtId="164" fontId="10" fillId="4" borderId="13" xfId="0" applyNumberFormat="1" applyFont="1" applyFill="1" applyBorder="1" applyAlignment="1">
      <alignment horizontal="center"/>
    </xf>
    <xf numFmtId="165" fontId="14" fillId="4" borderId="10" xfId="0" applyNumberFormat="1" applyFont="1" applyFill="1" applyBorder="1"/>
    <xf numFmtId="164" fontId="11" fillId="4" borderId="10" xfId="0" applyNumberFormat="1" applyFont="1" applyFill="1" applyBorder="1" applyAlignment="1">
      <alignment horizontal="right"/>
    </xf>
    <xf numFmtId="165" fontId="11" fillId="2" borderId="0" xfId="0" applyNumberFormat="1" applyFont="1" applyFill="1" applyAlignment="1">
      <alignment horizontal="center"/>
    </xf>
    <xf numFmtId="165" fontId="10" fillId="0" borderId="11" xfId="0" applyNumberFormat="1" applyFont="1" applyBorder="1"/>
    <xf numFmtId="165" fontId="10" fillId="0" borderId="7" xfId="0" applyNumberFormat="1" applyFont="1" applyBorder="1"/>
    <xf numFmtId="165" fontId="10" fillId="0" borderId="14" xfId="0" applyNumberFormat="1" applyFont="1" applyBorder="1"/>
    <xf numFmtId="0" fontId="10" fillId="4" borderId="7" xfId="0" applyFont="1" applyFill="1" applyBorder="1" applyAlignment="1">
      <alignment horizontal="center"/>
    </xf>
    <xf numFmtId="165" fontId="13" fillId="2" borderId="0" xfId="0" applyNumberFormat="1" applyFont="1" applyFill="1" applyAlignment="1">
      <alignment horizontal="center"/>
    </xf>
    <xf numFmtId="169" fontId="11" fillId="0" borderId="10" xfId="0" applyNumberFormat="1" applyFont="1" applyBorder="1" applyAlignment="1">
      <alignment horizontal="right"/>
    </xf>
    <xf numFmtId="169" fontId="11" fillId="0" borderId="11" xfId="0" applyNumberFormat="1" applyFont="1" applyBorder="1" applyAlignment="1">
      <alignment horizontal="right"/>
    </xf>
    <xf numFmtId="164" fontId="10" fillId="0" borderId="27" xfId="0" applyNumberFormat="1" applyFont="1" applyBorder="1" applyAlignment="1">
      <alignment horizontal="center"/>
    </xf>
    <xf numFmtId="165" fontId="20" fillId="0" borderId="14" xfId="0" applyNumberFormat="1" applyFont="1" applyBorder="1"/>
    <xf numFmtId="0" fontId="10" fillId="3" borderId="15" xfId="0" applyFont="1" applyFill="1" applyBorder="1" applyAlignment="1">
      <alignment horizontal="center"/>
    </xf>
    <xf numFmtId="0" fontId="12" fillId="0" borderId="15" xfId="0" applyFont="1" applyBorder="1" applyAlignment="1">
      <alignment horizontal="center"/>
    </xf>
    <xf numFmtId="169" fontId="11" fillId="0" borderId="14" xfId="0" applyNumberFormat="1" applyFont="1" applyBorder="1" applyAlignment="1">
      <alignment horizontal="right"/>
    </xf>
    <xf numFmtId="0" fontId="12" fillId="6" borderId="14" xfId="1" applyNumberFormat="1" applyFont="1" applyFill="1" applyBorder="1" applyAlignment="1">
      <alignment horizontal="center"/>
    </xf>
    <xf numFmtId="167" fontId="10" fillId="6" borderId="15" xfId="0" applyNumberFormat="1" applyFont="1" applyFill="1" applyBorder="1"/>
    <xf numFmtId="0" fontId="12" fillId="0" borderId="7" xfId="0" applyFont="1" applyBorder="1" applyAlignment="1">
      <alignment horizontal="center"/>
    </xf>
    <xf numFmtId="0" fontId="10" fillId="6" borderId="10" xfId="0" applyFont="1" applyFill="1" applyBorder="1" applyAlignment="1">
      <alignment horizontal="center"/>
    </xf>
    <xf numFmtId="0" fontId="10" fillId="6" borderId="11" xfId="0" applyFont="1" applyFill="1" applyBorder="1" applyAlignment="1">
      <alignment horizontal="center"/>
    </xf>
    <xf numFmtId="0" fontId="10" fillId="4" borderId="15" xfId="0" applyFont="1" applyFill="1" applyBorder="1" applyAlignment="1">
      <alignment horizontal="center"/>
    </xf>
    <xf numFmtId="0" fontId="10" fillId="6" borderId="14" xfId="0" applyFont="1" applyFill="1" applyBorder="1" applyAlignment="1">
      <alignment horizontal="center"/>
    </xf>
    <xf numFmtId="0" fontId="12" fillId="6" borderId="10" xfId="0" applyFont="1" applyFill="1" applyBorder="1" applyAlignment="1">
      <alignment horizontal="center"/>
    </xf>
    <xf numFmtId="169" fontId="10" fillId="0" borderId="0" xfId="0" applyNumberFormat="1" applyFont="1"/>
    <xf numFmtId="0" fontId="10" fillId="0" borderId="27" xfId="0" applyFont="1" applyBorder="1" applyAlignment="1">
      <alignment horizontal="center"/>
    </xf>
    <xf numFmtId="164" fontId="11" fillId="0" borderId="14" xfId="0" applyNumberFormat="1" applyFont="1" applyBorder="1" applyAlignment="1">
      <alignment horizontal="right"/>
    </xf>
    <xf numFmtId="0" fontId="10" fillId="0" borderId="13" xfId="0" applyFont="1" applyBorder="1" applyAlignment="1">
      <alignment horizontal="center"/>
    </xf>
    <xf numFmtId="0" fontId="11" fillId="0" borderId="10" xfId="0" applyFont="1" applyBorder="1" applyAlignment="1">
      <alignment horizontal="right"/>
    </xf>
    <xf numFmtId="0" fontId="11" fillId="0" borderId="8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22" fillId="0" borderId="0" xfId="0" applyFont="1"/>
    <xf numFmtId="0" fontId="10" fillId="0" borderId="3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165" fontId="11" fillId="2" borderId="0" xfId="0" applyNumberFormat="1" applyFont="1" applyFill="1" applyAlignment="1">
      <alignment horizontal="left"/>
    </xf>
    <xf numFmtId="0" fontId="10" fillId="0" borderId="0" xfId="0" applyFont="1" applyAlignment="1">
      <alignment horizontal="left"/>
    </xf>
    <xf numFmtId="0" fontId="11" fillId="2" borderId="0" xfId="0" applyFont="1" applyFill="1" applyAlignment="1">
      <alignment horizontal="left"/>
    </xf>
    <xf numFmtId="166" fontId="11" fillId="2" borderId="0" xfId="0" applyNumberFormat="1" applyFont="1" applyFill="1" applyAlignment="1">
      <alignment horizontal="left"/>
    </xf>
    <xf numFmtId="16" fontId="10" fillId="0" borderId="0" xfId="0" applyNumberFormat="1" applyFont="1"/>
    <xf numFmtId="3" fontId="10" fillId="0" borderId="0" xfId="0" applyNumberFormat="1" applyFont="1"/>
    <xf numFmtId="0" fontId="10" fillId="0" borderId="12" xfId="0" applyFont="1" applyBorder="1" applyAlignment="1">
      <alignment horizontal="center"/>
    </xf>
    <xf numFmtId="0" fontId="12" fillId="6" borderId="14" xfId="0" applyFont="1" applyFill="1" applyBorder="1" applyAlignment="1">
      <alignment horizontal="center"/>
    </xf>
    <xf numFmtId="165" fontId="12" fillId="0" borderId="10" xfId="0" applyNumberFormat="1" applyFont="1" applyBorder="1"/>
    <xf numFmtId="0" fontId="21" fillId="7" borderId="0" xfId="0" applyFont="1" applyFill="1"/>
    <xf numFmtId="0" fontId="24" fillId="7" borderId="0" xfId="0" applyFont="1" applyFill="1"/>
    <xf numFmtId="170" fontId="24" fillId="0" borderId="0" xfId="1" applyNumberFormat="1" applyFont="1" applyBorder="1"/>
    <xf numFmtId="170" fontId="24" fillId="2" borderId="0" xfId="1" applyNumberFormat="1" applyFont="1" applyFill="1" applyBorder="1"/>
    <xf numFmtId="165" fontId="21" fillId="0" borderId="0" xfId="0" applyNumberFormat="1" applyFont="1"/>
    <xf numFmtId="0" fontId="25" fillId="0" borderId="0" xfId="0" applyFont="1"/>
    <xf numFmtId="0" fontId="26" fillId="0" borderId="0" xfId="0" applyFont="1"/>
    <xf numFmtId="165" fontId="13" fillId="0" borderId="0" xfId="0" applyNumberFormat="1" applyFont="1"/>
    <xf numFmtId="0" fontId="14" fillId="0" borderId="0" xfId="0" applyFont="1"/>
    <xf numFmtId="170" fontId="14" fillId="0" borderId="0" xfId="1" applyNumberFormat="1" applyFont="1" applyBorder="1"/>
    <xf numFmtId="170" fontId="14" fillId="2" borderId="0" xfId="1" applyNumberFormat="1" applyFont="1" applyFill="1" applyBorder="1"/>
    <xf numFmtId="0" fontId="14" fillId="0" borderId="0" xfId="0" applyFont="1" applyAlignment="1">
      <alignment horizontal="right"/>
    </xf>
    <xf numFmtId="0" fontId="14" fillId="0" borderId="0" xfId="0" applyFont="1" applyAlignment="1">
      <alignment horizontal="center"/>
    </xf>
    <xf numFmtId="0" fontId="24" fillId="0" borderId="0" xfId="0" applyFont="1"/>
    <xf numFmtId="0" fontId="22" fillId="0" borderId="0" xfId="0" applyFont="1" applyAlignment="1">
      <alignment horizontal="center"/>
    </xf>
    <xf numFmtId="16" fontId="22" fillId="0" borderId="0" xfId="0" quotePrefix="1" applyNumberFormat="1" applyFont="1" applyAlignment="1">
      <alignment horizontal="center"/>
    </xf>
    <xf numFmtId="169" fontId="10" fillId="0" borderId="0" xfId="0" applyNumberFormat="1" applyFont="1" applyAlignment="1">
      <alignment horizontal="right"/>
    </xf>
    <xf numFmtId="0" fontId="27" fillId="0" borderId="0" xfId="0" applyFont="1" applyAlignment="1">
      <alignment horizontal="center"/>
    </xf>
    <xf numFmtId="0" fontId="28" fillId="0" borderId="0" xfId="0" applyFont="1"/>
    <xf numFmtId="0" fontId="2" fillId="0" borderId="0" xfId="2" applyFill="1" applyAlignment="1"/>
    <xf numFmtId="0" fontId="13" fillId="0" borderId="7" xfId="0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15" xfId="0" applyFont="1" applyBorder="1" applyAlignment="1">
      <alignment horizontal="center"/>
    </xf>
    <xf numFmtId="164" fontId="10" fillId="4" borderId="0" xfId="0" applyNumberFormat="1" applyFont="1" applyFill="1" applyAlignment="1">
      <alignment horizontal="center"/>
    </xf>
    <xf numFmtId="164" fontId="10" fillId="3" borderId="0" xfId="0" applyNumberFormat="1" applyFont="1" applyFill="1" applyAlignment="1">
      <alignment horizontal="center"/>
    </xf>
    <xf numFmtId="164" fontId="10" fillId="5" borderId="0" xfId="0" applyNumberFormat="1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164" fontId="11" fillId="4" borderId="0" xfId="0" applyNumberFormat="1" applyFont="1" applyFill="1" applyAlignment="1">
      <alignment horizontal="center"/>
    </xf>
    <xf numFmtId="0" fontId="10" fillId="4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16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quotePrefix="1" applyFont="1" applyAlignment="1">
      <alignment horizontal="center"/>
    </xf>
    <xf numFmtId="16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right"/>
    </xf>
    <xf numFmtId="0" fontId="11" fillId="0" borderId="0" xfId="0" applyFont="1" applyAlignment="1">
      <alignment horizontal="right"/>
    </xf>
    <xf numFmtId="165" fontId="10" fillId="0" borderId="0" xfId="0" applyNumberFormat="1" applyFont="1" applyAlignment="1">
      <alignment horizontal="right"/>
    </xf>
    <xf numFmtId="0" fontId="10" fillId="0" borderId="13" xfId="0" applyFont="1" applyBorder="1" applyAlignment="1">
      <alignment horizontal="right"/>
    </xf>
    <xf numFmtId="165" fontId="11" fillId="0" borderId="0" xfId="0" applyNumberFormat="1" applyFont="1" applyAlignment="1">
      <alignment horizontal="right"/>
    </xf>
    <xf numFmtId="165" fontId="12" fillId="0" borderId="7" xfId="0" applyNumberFormat="1" applyFont="1" applyBorder="1" applyAlignment="1">
      <alignment horizontal="right"/>
    </xf>
    <xf numFmtId="165" fontId="14" fillId="0" borderId="0" xfId="0" applyNumberFormat="1" applyFont="1" applyAlignment="1">
      <alignment horizontal="right"/>
    </xf>
    <xf numFmtId="165" fontId="13" fillId="0" borderId="0" xfId="0" applyNumberFormat="1" applyFont="1" applyAlignment="1">
      <alignment horizontal="right"/>
    </xf>
    <xf numFmtId="165" fontId="14" fillId="0" borderId="7" xfId="0" applyNumberFormat="1" applyFont="1" applyBorder="1" applyAlignment="1">
      <alignment horizontal="right"/>
    </xf>
    <xf numFmtId="2" fontId="10" fillId="0" borderId="0" xfId="0" applyNumberFormat="1" applyFont="1" applyAlignment="1">
      <alignment horizontal="right"/>
    </xf>
    <xf numFmtId="165" fontId="12" fillId="0" borderId="0" xfId="0" applyNumberFormat="1" applyFont="1" applyAlignment="1">
      <alignment horizontal="right"/>
    </xf>
    <xf numFmtId="166" fontId="13" fillId="0" borderId="0" xfId="0" applyNumberFormat="1" applyFont="1" applyAlignment="1">
      <alignment horizontal="right"/>
    </xf>
    <xf numFmtId="166" fontId="12" fillId="0" borderId="7" xfId="0" applyNumberFormat="1" applyFont="1" applyBorder="1" applyAlignment="1">
      <alignment horizontal="right"/>
    </xf>
    <xf numFmtId="166" fontId="10" fillId="0" borderId="0" xfId="0" applyNumberFormat="1" applyFont="1" applyAlignment="1">
      <alignment horizontal="right"/>
    </xf>
    <xf numFmtId="166" fontId="14" fillId="0" borderId="0" xfId="0" applyNumberFormat="1" applyFont="1" applyAlignment="1">
      <alignment horizontal="right"/>
    </xf>
    <xf numFmtId="166" fontId="14" fillId="0" borderId="7" xfId="0" applyNumberFormat="1" applyFont="1" applyBorder="1" applyAlignment="1">
      <alignment horizontal="right"/>
    </xf>
    <xf numFmtId="165" fontId="10" fillId="0" borderId="13" xfId="0" applyNumberFormat="1" applyFont="1" applyBorder="1" applyAlignment="1">
      <alignment horizontal="right"/>
    </xf>
    <xf numFmtId="165" fontId="11" fillId="0" borderId="13" xfId="0" applyNumberFormat="1" applyFont="1" applyBorder="1" applyAlignment="1">
      <alignment horizontal="right"/>
    </xf>
    <xf numFmtId="165" fontId="12" fillId="0" borderId="13" xfId="0" applyNumberFormat="1" applyFont="1" applyBorder="1" applyAlignment="1">
      <alignment horizontal="right"/>
    </xf>
    <xf numFmtId="0" fontId="13" fillId="0" borderId="13" xfId="0" applyFont="1" applyBorder="1" applyAlignment="1">
      <alignment horizontal="right"/>
    </xf>
    <xf numFmtId="0" fontId="12" fillId="0" borderId="12" xfId="0" applyFont="1" applyBorder="1" applyAlignment="1">
      <alignment horizontal="right"/>
    </xf>
    <xf numFmtId="0" fontId="11" fillId="0" borderId="13" xfId="0" applyFont="1" applyBorder="1" applyAlignment="1">
      <alignment horizontal="right"/>
    </xf>
    <xf numFmtId="0" fontId="12" fillId="0" borderId="13" xfId="0" applyFont="1" applyBorder="1" applyAlignment="1">
      <alignment horizontal="right"/>
    </xf>
    <xf numFmtId="165" fontId="13" fillId="0" borderId="13" xfId="0" applyNumberFormat="1" applyFont="1" applyBorder="1" applyAlignment="1">
      <alignment horizontal="right"/>
    </xf>
    <xf numFmtId="1" fontId="10" fillId="0" borderId="13" xfId="0" applyNumberFormat="1" applyFont="1" applyBorder="1" applyAlignment="1">
      <alignment horizontal="right"/>
    </xf>
    <xf numFmtId="165" fontId="14" fillId="0" borderId="13" xfId="0" applyNumberFormat="1" applyFont="1" applyBorder="1" applyAlignment="1">
      <alignment horizontal="right"/>
    </xf>
    <xf numFmtId="0" fontId="14" fillId="0" borderId="13" xfId="0" applyFont="1" applyBorder="1" applyAlignment="1">
      <alignment horizontal="right"/>
    </xf>
    <xf numFmtId="166" fontId="14" fillId="0" borderId="13" xfId="0" applyNumberFormat="1" applyFont="1" applyBorder="1" applyAlignment="1">
      <alignment horizontal="right"/>
    </xf>
    <xf numFmtId="166" fontId="14" fillId="0" borderId="12" xfId="0" applyNumberFormat="1" applyFont="1" applyBorder="1" applyAlignment="1">
      <alignment horizontal="right"/>
    </xf>
    <xf numFmtId="165" fontId="14" fillId="0" borderId="12" xfId="0" applyNumberFormat="1" applyFont="1" applyBorder="1" applyAlignment="1">
      <alignment horizontal="right"/>
    </xf>
    <xf numFmtId="0" fontId="29" fillId="0" borderId="13" xfId="0" applyFont="1" applyBorder="1" applyAlignment="1">
      <alignment horizontal="center"/>
    </xf>
    <xf numFmtId="165" fontId="15" fillId="0" borderId="0" xfId="0" applyNumberFormat="1" applyFont="1" applyAlignment="1">
      <alignment horizontal="right"/>
    </xf>
    <xf numFmtId="165" fontId="15" fillId="0" borderId="13" xfId="0" applyNumberFormat="1" applyFont="1" applyBorder="1" applyAlignment="1">
      <alignment horizontal="right"/>
    </xf>
    <xf numFmtId="0" fontId="29" fillId="0" borderId="0" xfId="0" applyFont="1"/>
    <xf numFmtId="0" fontId="14" fillId="6" borderId="10" xfId="1" applyNumberFormat="1" applyFont="1" applyFill="1" applyBorder="1" applyAlignment="1">
      <alignment horizontal="center"/>
    </xf>
    <xf numFmtId="0" fontId="14" fillId="6" borderId="10" xfId="0" applyFont="1" applyFill="1" applyBorder="1" applyAlignment="1">
      <alignment horizontal="center"/>
    </xf>
    <xf numFmtId="0" fontId="13" fillId="0" borderId="11" xfId="0" applyFont="1" applyBorder="1" applyAlignment="1">
      <alignment horizontal="right"/>
    </xf>
    <xf numFmtId="0" fontId="14" fillId="0" borderId="10" xfId="0" applyFont="1" applyBorder="1"/>
    <xf numFmtId="2" fontId="14" fillId="0" borderId="10" xfId="0" applyNumberFormat="1" applyFont="1" applyBorder="1"/>
    <xf numFmtId="2" fontId="14" fillId="0" borderId="11" xfId="0" applyNumberFormat="1" applyFont="1" applyBorder="1"/>
    <xf numFmtId="0" fontId="14" fillId="0" borderId="11" xfId="0" applyFont="1" applyBorder="1"/>
    <xf numFmtId="2" fontId="14" fillId="4" borderId="10" xfId="0" applyNumberFormat="1" applyFont="1" applyFill="1" applyBorder="1"/>
    <xf numFmtId="2" fontId="14" fillId="0" borderId="14" xfId="0" applyNumberFormat="1" applyFont="1" applyBorder="1"/>
    <xf numFmtId="2" fontId="14" fillId="2" borderId="10" xfId="0" applyNumberFormat="1" applyFont="1" applyFill="1" applyBorder="1"/>
    <xf numFmtId="2" fontId="14" fillId="8" borderId="10" xfId="0" applyNumberFormat="1" applyFont="1" applyFill="1" applyBorder="1"/>
    <xf numFmtId="0" fontId="15" fillId="0" borderId="0" xfId="0" applyFont="1" applyAlignment="1">
      <alignment horizontal="right"/>
    </xf>
    <xf numFmtId="165" fontId="29" fillId="0" borderId="13" xfId="0" applyNumberFormat="1" applyFont="1" applyBorder="1" applyAlignment="1">
      <alignment horizontal="center"/>
    </xf>
    <xf numFmtId="0" fontId="15" fillId="0" borderId="13" xfId="0" applyFont="1" applyBorder="1" applyAlignment="1">
      <alignment horizontal="right"/>
    </xf>
    <xf numFmtId="165" fontId="11" fillId="0" borderId="12" xfId="0" applyNumberFormat="1" applyFont="1" applyBorder="1" applyAlignment="1">
      <alignment horizontal="right"/>
    </xf>
    <xf numFmtId="165" fontId="19" fillId="0" borderId="13" xfId="0" applyNumberFormat="1" applyFont="1" applyBorder="1"/>
    <xf numFmtId="165" fontId="20" fillId="0" borderId="12" xfId="0" applyNumberFormat="1" applyFont="1" applyBorder="1"/>
    <xf numFmtId="165" fontId="20" fillId="0" borderId="13" xfId="0" applyNumberFormat="1" applyFont="1" applyBorder="1"/>
    <xf numFmtId="165" fontId="14" fillId="0" borderId="13" xfId="0" applyNumberFormat="1" applyFont="1" applyBorder="1"/>
    <xf numFmtId="165" fontId="14" fillId="4" borderId="13" xfId="0" applyNumberFormat="1" applyFont="1" applyFill="1" applyBorder="1"/>
    <xf numFmtId="165" fontId="10" fillId="0" borderId="12" xfId="0" applyNumberFormat="1" applyFont="1" applyBorder="1"/>
    <xf numFmtId="165" fontId="10" fillId="0" borderId="27" xfId="0" applyNumberFormat="1" applyFont="1" applyBorder="1"/>
    <xf numFmtId="165" fontId="20" fillId="0" borderId="27" xfId="0" applyNumberFormat="1" applyFont="1" applyBorder="1"/>
    <xf numFmtId="0" fontId="10" fillId="0" borderId="27" xfId="0" applyFont="1" applyBorder="1"/>
    <xf numFmtId="165" fontId="12" fillId="0" borderId="13" xfId="0" applyNumberFormat="1" applyFont="1" applyBorder="1"/>
    <xf numFmtId="0" fontId="30" fillId="0" borderId="0" xfId="0" applyFont="1"/>
    <xf numFmtId="16" fontId="0" fillId="0" borderId="0" xfId="0" applyNumberFormat="1"/>
    <xf numFmtId="0" fontId="33" fillId="0" borderId="0" xfId="0" applyFont="1"/>
    <xf numFmtId="0" fontId="32" fillId="0" borderId="0" xfId="0" applyFont="1"/>
    <xf numFmtId="0" fontId="22" fillId="0" borderId="0" xfId="0" quotePrefix="1" applyFont="1" applyAlignment="1">
      <alignment horizontal="center"/>
    </xf>
    <xf numFmtId="0" fontId="34" fillId="0" borderId="0" xfId="1" applyNumberFormat="1" applyFont="1" applyAlignment="1">
      <alignment horizontal="center"/>
    </xf>
    <xf numFmtId="0" fontId="22" fillId="0" borderId="0" xfId="1" quotePrefix="1" applyNumberFormat="1" applyFont="1" applyAlignment="1">
      <alignment horizontal="center"/>
    </xf>
    <xf numFmtId="164" fontId="12" fillId="0" borderId="7" xfId="0" applyNumberFormat="1" applyFont="1" applyBorder="1" applyAlignment="1">
      <alignment horizontal="center"/>
    </xf>
    <xf numFmtId="0" fontId="12" fillId="4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10" fillId="4" borderId="12" xfId="0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0" fontId="14" fillId="2" borderId="0" xfId="0" applyFont="1" applyFill="1" applyAlignment="1">
      <alignment horizontal="center"/>
    </xf>
    <xf numFmtId="0" fontId="14" fillId="2" borderId="7" xfId="0" applyFont="1" applyFill="1" applyBorder="1" applyAlignment="1">
      <alignment horizontal="center"/>
    </xf>
    <xf numFmtId="165" fontId="13" fillId="2" borderId="0" xfId="0" applyNumberFormat="1" applyFont="1" applyFill="1" applyAlignment="1">
      <alignment horizontal="right"/>
    </xf>
    <xf numFmtId="165" fontId="13" fillId="2" borderId="13" xfId="0" applyNumberFormat="1" applyFont="1" applyFill="1" applyBorder="1" applyAlignment="1">
      <alignment horizontal="right"/>
    </xf>
    <xf numFmtId="0" fontId="35" fillId="0" borderId="28" xfId="0" applyFont="1" applyBorder="1" applyAlignment="1">
      <alignment horizontal="center"/>
    </xf>
    <xf numFmtId="0" fontId="20" fillId="4" borderId="29" xfId="1" applyNumberFormat="1" applyFont="1" applyFill="1" applyBorder="1" applyAlignment="1">
      <alignment horizontal="center"/>
    </xf>
    <xf numFmtId="0" fontId="20" fillId="4" borderId="30" xfId="1" applyNumberFormat="1" applyFont="1" applyFill="1" applyBorder="1" applyAlignment="1">
      <alignment horizontal="center"/>
    </xf>
    <xf numFmtId="169" fontId="16" fillId="0" borderId="13" xfId="0" applyNumberFormat="1" applyFont="1" applyBorder="1"/>
    <xf numFmtId="169" fontId="16" fillId="4" borderId="13" xfId="0" applyNumberFormat="1" applyFont="1" applyFill="1" applyBorder="1"/>
    <xf numFmtId="169" fontId="16" fillId="4" borderId="19" xfId="0" applyNumberFormat="1" applyFont="1" applyFill="1" applyBorder="1"/>
    <xf numFmtId="169" fontId="16" fillId="0" borderId="10" xfId="0" applyNumberFormat="1" applyFont="1" applyBorder="1"/>
    <xf numFmtId="169" fontId="16" fillId="4" borderId="10" xfId="0" applyNumberFormat="1" applyFont="1" applyFill="1" applyBorder="1"/>
    <xf numFmtId="169" fontId="16" fillId="4" borderId="18" xfId="0" applyNumberFormat="1" applyFont="1" applyFill="1" applyBorder="1"/>
    <xf numFmtId="0" fontId="16" fillId="0" borderId="0" xfId="0" applyFont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6" xfId="0" applyFont="1" applyFill="1" applyBorder="1" applyAlignment="1">
      <alignment horizontal="center"/>
    </xf>
    <xf numFmtId="0" fontId="16" fillId="0" borderId="10" xfId="0" applyFont="1" applyBorder="1" applyAlignment="1">
      <alignment horizontal="center"/>
    </xf>
    <xf numFmtId="0" fontId="16" fillId="0" borderId="13" xfId="0" applyFont="1" applyBorder="1" applyAlignment="1">
      <alignment horizontal="center"/>
    </xf>
    <xf numFmtId="0" fontId="16" fillId="4" borderId="10" xfId="0" applyFont="1" applyFill="1" applyBorder="1" applyAlignment="1">
      <alignment horizontal="center"/>
    </xf>
    <xf numFmtId="0" fontId="16" fillId="4" borderId="13" xfId="0" applyFont="1" applyFill="1" applyBorder="1" applyAlignment="1">
      <alignment horizontal="center"/>
    </xf>
    <xf numFmtId="0" fontId="16" fillId="4" borderId="18" xfId="0" applyFont="1" applyFill="1" applyBorder="1" applyAlignment="1">
      <alignment horizontal="center"/>
    </xf>
    <xf numFmtId="0" fontId="16" fillId="4" borderId="19" xfId="0" applyFont="1" applyFill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165" fontId="14" fillId="4" borderId="22" xfId="0" applyNumberFormat="1" applyFont="1" applyFill="1" applyBorder="1" applyAlignment="1">
      <alignment horizontal="right"/>
    </xf>
    <xf numFmtId="0" fontId="9" fillId="0" borderId="20" xfId="0" applyFont="1" applyBorder="1" applyAlignment="1">
      <alignment horizontal="center"/>
    </xf>
    <xf numFmtId="17" fontId="9" fillId="0" borderId="20" xfId="0" applyNumberFormat="1" applyFont="1" applyBorder="1" applyAlignment="1">
      <alignment horizontal="center"/>
    </xf>
    <xf numFmtId="0" fontId="16" fillId="0" borderId="21" xfId="0" applyFont="1" applyBorder="1" applyAlignment="1">
      <alignment horizontal="center"/>
    </xf>
    <xf numFmtId="0" fontId="16" fillId="4" borderId="21" xfId="0" applyFont="1" applyFill="1" applyBorder="1" applyAlignment="1">
      <alignment horizontal="center"/>
    </xf>
    <xf numFmtId="165" fontId="14" fillId="4" borderId="21" xfId="0" applyNumberFormat="1" applyFont="1" applyFill="1" applyBorder="1" applyAlignment="1">
      <alignment horizontal="right"/>
    </xf>
    <xf numFmtId="0" fontId="16" fillId="4" borderId="22" xfId="0" applyFont="1" applyFill="1" applyBorder="1" applyAlignment="1">
      <alignment horizontal="center"/>
    </xf>
    <xf numFmtId="0" fontId="9" fillId="0" borderId="21" xfId="0" applyFont="1" applyBorder="1" applyAlignment="1">
      <alignment horizontal="center"/>
    </xf>
    <xf numFmtId="164" fontId="10" fillId="6" borderId="10" xfId="0" applyNumberFormat="1" applyFont="1" applyFill="1" applyBorder="1" applyAlignment="1">
      <alignment horizontal="center"/>
    </xf>
    <xf numFmtId="2" fontId="10" fillId="6" borderId="0" xfId="0" applyNumberFormat="1" applyFont="1" applyFill="1"/>
    <xf numFmtId="0" fontId="12" fillId="6" borderId="11" xfId="0" applyFont="1" applyFill="1" applyBorder="1" applyAlignment="1">
      <alignment horizontal="center"/>
    </xf>
    <xf numFmtId="0" fontId="11" fillId="0" borderId="10" xfId="0" applyFont="1" applyBorder="1"/>
    <xf numFmtId="0" fontId="11" fillId="0" borderId="0" xfId="0" applyFont="1" applyAlignment="1">
      <alignment horizontal="center"/>
    </xf>
    <xf numFmtId="166" fontId="11" fillId="0" borderId="0" xfId="0" applyNumberFormat="1" applyFont="1" applyAlignment="1">
      <alignment horizontal="left"/>
    </xf>
    <xf numFmtId="165" fontId="11" fillId="0" borderId="0" xfId="0" applyNumberFormat="1" applyFont="1" applyAlignment="1">
      <alignment horizontal="left"/>
    </xf>
    <xf numFmtId="165" fontId="21" fillId="4" borderId="10" xfId="0" applyNumberFormat="1" applyFont="1" applyFill="1" applyBorder="1"/>
    <xf numFmtId="0" fontId="10" fillId="4" borderId="13" xfId="0" applyFont="1" applyFill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0" fillId="3" borderId="13" xfId="0" applyFont="1" applyFill="1" applyBorder="1" applyAlignment="1">
      <alignment horizontal="center"/>
    </xf>
    <xf numFmtId="1" fontId="14" fillId="0" borderId="0" xfId="0" applyNumberFormat="1" applyFont="1" applyAlignment="1">
      <alignment horizontal="right"/>
    </xf>
    <xf numFmtId="1" fontId="14" fillId="0" borderId="13" xfId="0" applyNumberFormat="1" applyFont="1" applyBorder="1" applyAlignment="1">
      <alignment horizontal="right"/>
    </xf>
    <xf numFmtId="167" fontId="10" fillId="6" borderId="12" xfId="0" applyNumberFormat="1" applyFont="1" applyFill="1" applyBorder="1"/>
    <xf numFmtId="167" fontId="10" fillId="6" borderId="13" xfId="0" applyNumberFormat="1" applyFont="1" applyFill="1" applyBorder="1"/>
    <xf numFmtId="167" fontId="10" fillId="6" borderId="27" xfId="0" applyNumberFormat="1" applyFont="1" applyFill="1" applyBorder="1"/>
    <xf numFmtId="0" fontId="20" fillId="0" borderId="29" xfId="1" applyNumberFormat="1" applyFont="1" applyFill="1" applyBorder="1" applyAlignment="1">
      <alignment horizontal="center"/>
    </xf>
    <xf numFmtId="165" fontId="31" fillId="0" borderId="14" xfId="0" applyNumberFormat="1" applyFont="1" applyBorder="1"/>
    <xf numFmtId="165" fontId="31" fillId="0" borderId="27" xfId="0" applyNumberFormat="1" applyFont="1" applyBorder="1"/>
    <xf numFmtId="0" fontId="6" fillId="0" borderId="1" xfId="0" applyFont="1" applyBorder="1"/>
    <xf numFmtId="0" fontId="6" fillId="0" borderId="5" xfId="0" applyFont="1" applyBorder="1"/>
    <xf numFmtId="0" fontId="0" fillId="0" borderId="2" xfId="0" applyBorder="1"/>
    <xf numFmtId="0" fontId="0" fillId="0" borderId="6" xfId="0" applyBorder="1"/>
    <xf numFmtId="0" fontId="13" fillId="7" borderId="0" xfId="1" quotePrefix="1" applyNumberFormat="1" applyFont="1" applyFill="1" applyBorder="1" applyAlignment="1">
      <alignment horizontal="right"/>
    </xf>
    <xf numFmtId="0" fontId="21" fillId="7" borderId="0" xfId="0" quotePrefix="1" applyFont="1" applyFill="1" applyAlignment="1">
      <alignment horizontal="right"/>
    </xf>
    <xf numFmtId="165" fontId="31" fillId="0" borderId="10" xfId="0" applyNumberFormat="1" applyFont="1" applyBorder="1"/>
    <xf numFmtId="165" fontId="31" fillId="0" borderId="13" xfId="0" applyNumberFormat="1" applyFont="1" applyBorder="1"/>
    <xf numFmtId="1" fontId="10" fillId="0" borderId="0" xfId="0" applyNumberFormat="1" applyFont="1" applyAlignment="1">
      <alignment horizontal="right"/>
    </xf>
    <xf numFmtId="1" fontId="15" fillId="0" borderId="0" xfId="0" applyNumberFormat="1" applyFont="1" applyAlignment="1">
      <alignment horizontal="right"/>
    </xf>
    <xf numFmtId="1" fontId="14" fillId="9" borderId="13" xfId="0" applyNumberFormat="1" applyFont="1" applyFill="1" applyBorder="1" applyAlignment="1">
      <alignment horizontal="right"/>
    </xf>
    <xf numFmtId="1" fontId="15" fillId="0" borderId="13" xfId="0" applyNumberFormat="1" applyFont="1" applyBorder="1" applyAlignment="1">
      <alignment horizontal="right"/>
    </xf>
    <xf numFmtId="0" fontId="12" fillId="2" borderId="0" xfId="0" applyFont="1" applyFill="1" applyAlignment="1">
      <alignment horizontal="right"/>
    </xf>
    <xf numFmtId="1" fontId="12" fillId="0" borderId="0" xfId="0" applyNumberFormat="1" applyFont="1" applyAlignment="1">
      <alignment horizontal="right"/>
    </xf>
    <xf numFmtId="165" fontId="14" fillId="9" borderId="0" xfId="0" applyNumberFormat="1" applyFont="1" applyFill="1" applyAlignment="1">
      <alignment horizontal="right"/>
    </xf>
    <xf numFmtId="165" fontId="14" fillId="9" borderId="13" xfId="0" applyNumberFormat="1" applyFont="1" applyFill="1" applyBorder="1" applyAlignment="1">
      <alignment horizontal="right"/>
    </xf>
    <xf numFmtId="1" fontId="29" fillId="0" borderId="0" xfId="0" applyNumberFormat="1" applyFont="1" applyAlignment="1">
      <alignment horizontal="right"/>
    </xf>
    <xf numFmtId="1" fontId="29" fillId="0" borderId="13" xfId="0" applyNumberFormat="1" applyFont="1" applyBorder="1" applyAlignment="1">
      <alignment horizontal="right"/>
    </xf>
    <xf numFmtId="171" fontId="36" fillId="0" borderId="4" xfId="0" applyNumberFormat="1" applyFont="1" applyBorder="1" applyAlignment="1">
      <alignment horizontal="center" vertical="center" wrapText="1"/>
    </xf>
    <xf numFmtId="172" fontId="36" fillId="0" borderId="6" xfId="0" applyNumberFormat="1" applyFont="1" applyBorder="1" applyAlignment="1">
      <alignment horizontal="center" vertical="center" wrapText="1"/>
    </xf>
    <xf numFmtId="165" fontId="11" fillId="0" borderId="13" xfId="0" applyNumberFormat="1" applyFont="1" applyBorder="1"/>
    <xf numFmtId="165" fontId="37" fillId="4" borderId="13" xfId="0" applyNumberFormat="1" applyFont="1" applyFill="1" applyBorder="1"/>
    <xf numFmtId="165" fontId="37" fillId="4" borderId="19" xfId="0" applyNumberFormat="1" applyFont="1" applyFill="1" applyBorder="1"/>
    <xf numFmtId="0" fontId="14" fillId="4" borderId="10" xfId="0" applyFont="1" applyFill="1" applyBorder="1" applyAlignment="1">
      <alignment horizontal="center"/>
    </xf>
    <xf numFmtId="0" fontId="38" fillId="0" borderId="0" xfId="0" applyFont="1"/>
    <xf numFmtId="165" fontId="37" fillId="0" borderId="13" xfId="0" applyNumberFormat="1" applyFont="1" applyBorder="1"/>
    <xf numFmtId="165" fontId="14" fillId="0" borderId="21" xfId="0" applyNumberFormat="1" applyFont="1" applyBorder="1" applyAlignment="1">
      <alignment horizontal="right"/>
    </xf>
    <xf numFmtId="165" fontId="21" fillId="4" borderId="0" xfId="0" applyNumberFormat="1" applyFont="1" applyFill="1"/>
    <xf numFmtId="165" fontId="21" fillId="0" borderId="21" xfId="0" applyNumberFormat="1" applyFont="1" applyBorder="1"/>
    <xf numFmtId="0" fontId="12" fillId="0" borderId="0" xfId="0" applyFont="1"/>
    <xf numFmtId="165" fontId="14" fillId="2" borderId="0" xfId="0" applyNumberFormat="1" applyFont="1" applyFill="1" applyAlignment="1">
      <alignment horizontal="right"/>
    </xf>
    <xf numFmtId="165" fontId="14" fillId="2" borderId="13" xfId="0" applyNumberFormat="1" applyFont="1" applyFill="1" applyBorder="1" applyAlignment="1">
      <alignment horizontal="right"/>
    </xf>
    <xf numFmtId="0" fontId="17" fillId="0" borderId="10" xfId="2" applyFont="1" applyBorder="1"/>
    <xf numFmtId="0" fontId="10" fillId="0" borderId="10" xfId="0" applyFont="1" applyBorder="1" applyAlignment="1">
      <alignment horizontal="center"/>
    </xf>
    <xf numFmtId="0" fontId="31" fillId="2" borderId="10" xfId="0" applyFont="1" applyFill="1" applyBorder="1"/>
    <xf numFmtId="166" fontId="13" fillId="2" borderId="0" xfId="0" applyNumberFormat="1" applyFont="1" applyFill="1" applyAlignment="1">
      <alignment horizontal="right"/>
    </xf>
    <xf numFmtId="166" fontId="13" fillId="2" borderId="13" xfId="0" applyNumberFormat="1" applyFont="1" applyFill="1" applyBorder="1" applyAlignment="1">
      <alignment horizontal="right"/>
    </xf>
    <xf numFmtId="165" fontId="39" fillId="0" borderId="7" xfId="0" applyNumberFormat="1" applyFont="1" applyBorder="1" applyAlignment="1">
      <alignment horizontal="right"/>
    </xf>
    <xf numFmtId="165" fontId="39" fillId="0" borderId="12" xfId="0" applyNumberFormat="1" applyFont="1" applyBorder="1" applyAlignment="1">
      <alignment horizontal="right"/>
    </xf>
    <xf numFmtId="165" fontId="16" fillId="3" borderId="10" xfId="0" applyNumberFormat="1" applyFont="1" applyFill="1" applyBorder="1"/>
    <xf numFmtId="165" fontId="10" fillId="5" borderId="0" xfId="0" applyNumberFormat="1" applyFont="1" applyFill="1"/>
    <xf numFmtId="166" fontId="13" fillId="0" borderId="13" xfId="0" applyNumberFormat="1" applyFont="1" applyBorder="1" applyAlignment="1">
      <alignment horizontal="right"/>
    </xf>
    <xf numFmtId="166" fontId="13" fillId="0" borderId="7" xfId="0" applyNumberFormat="1" applyFont="1" applyBorder="1" applyAlignment="1">
      <alignment horizontal="right"/>
    </xf>
    <xf numFmtId="166" fontId="13" fillId="0" borderId="12" xfId="0" applyNumberFormat="1" applyFont="1" applyBorder="1" applyAlignment="1">
      <alignment horizontal="right"/>
    </xf>
    <xf numFmtId="165" fontId="16" fillId="5" borderId="18" xfId="0" applyNumberFormat="1" applyFont="1" applyFill="1" applyBorder="1"/>
    <xf numFmtId="165" fontId="37" fillId="2" borderId="19" xfId="0" applyNumberFormat="1" applyFont="1" applyFill="1" applyBorder="1"/>
    <xf numFmtId="165" fontId="11" fillId="2" borderId="13" xfId="0" applyNumberFormat="1" applyFont="1" applyFill="1" applyBorder="1"/>
    <xf numFmtId="0" fontId="21" fillId="0" borderId="0" xfId="0" applyFont="1"/>
    <xf numFmtId="165" fontId="37" fillId="2" borderId="13" xfId="0" applyNumberFormat="1" applyFont="1" applyFill="1" applyBorder="1"/>
    <xf numFmtId="0" fontId="23" fillId="0" borderId="0" xfId="0" applyFont="1" applyAlignment="1">
      <alignment horizontal="center" vertical="center" wrapText="1"/>
    </xf>
    <xf numFmtId="0" fontId="10" fillId="0" borderId="7" xfId="0" applyFont="1" applyBorder="1" applyAlignment="1">
      <alignment horizontal="right"/>
    </xf>
    <xf numFmtId="0" fontId="10" fillId="0" borderId="12" xfId="0" applyFont="1" applyBorder="1" applyAlignment="1">
      <alignment horizontal="right"/>
    </xf>
    <xf numFmtId="0" fontId="2" fillId="0" borderId="0" xfId="2"/>
    <xf numFmtId="0" fontId="14" fillId="4" borderId="0" xfId="0" applyFont="1" applyFill="1" applyAlignment="1">
      <alignment horizontal="center"/>
    </xf>
    <xf numFmtId="165" fontId="11" fillId="0" borderId="10" xfId="0" applyNumberFormat="1" applyFont="1" applyBorder="1"/>
    <xf numFmtId="165" fontId="40" fillId="0" borderId="0" xfId="0" applyNumberFormat="1" applyFont="1"/>
    <xf numFmtId="0" fontId="42" fillId="0" borderId="0" xfId="0" applyFont="1"/>
    <xf numFmtId="0" fontId="43" fillId="0" borderId="0" xfId="0" applyFont="1"/>
    <xf numFmtId="0" fontId="41" fillId="0" borderId="0" xfId="0" applyFont="1"/>
    <xf numFmtId="0" fontId="41" fillId="7" borderId="0" xfId="0" applyFont="1" applyFill="1"/>
    <xf numFmtId="165" fontId="11" fillId="0" borderId="11" xfId="0" applyNumberFormat="1" applyFont="1" applyBorder="1"/>
    <xf numFmtId="165" fontId="11" fillId="0" borderId="12" xfId="0" applyNumberFormat="1" applyFont="1" applyBorder="1"/>
    <xf numFmtId="1" fontId="10" fillId="0" borderId="15" xfId="0" applyNumberFormat="1" applyFont="1" applyBorder="1"/>
    <xf numFmtId="165" fontId="20" fillId="10" borderId="10" xfId="0" applyNumberFormat="1" applyFont="1" applyFill="1" applyBorder="1"/>
    <xf numFmtId="165" fontId="20" fillId="10" borderId="13" xfId="0" applyNumberFormat="1" applyFont="1" applyFill="1" applyBorder="1"/>
    <xf numFmtId="0" fontId="20" fillId="0" borderId="0" xfId="0" applyFont="1"/>
    <xf numFmtId="165" fontId="24" fillId="0" borderId="10" xfId="0" applyNumberFormat="1" applyFont="1" applyBorder="1"/>
    <xf numFmtId="165" fontId="24" fillId="0" borderId="13" xfId="0" applyNumberFormat="1" applyFont="1" applyBorder="1"/>
    <xf numFmtId="1" fontId="21" fillId="0" borderId="0" xfId="0" applyNumberFormat="1" applyFont="1" applyAlignment="1">
      <alignment horizontal="right"/>
    </xf>
    <xf numFmtId="0" fontId="21" fillId="2" borderId="0" xfId="0" applyFont="1" applyFill="1" applyAlignment="1">
      <alignment horizontal="right"/>
    </xf>
    <xf numFmtId="0" fontId="21" fillId="0" borderId="0" xfId="0" applyFont="1" applyAlignment="1">
      <alignment horizontal="right"/>
    </xf>
    <xf numFmtId="0" fontId="21" fillId="0" borderId="13" xfId="0" applyFont="1" applyBorder="1" applyAlignment="1">
      <alignment horizontal="right"/>
    </xf>
    <xf numFmtId="165" fontId="21" fillId="0" borderId="10" xfId="0" applyNumberFormat="1" applyFont="1" applyBorder="1"/>
    <xf numFmtId="165" fontId="21" fillId="0" borderId="13" xfId="0" applyNumberFormat="1" applyFont="1" applyBorder="1"/>
    <xf numFmtId="165" fontId="25" fillId="0" borderId="0" xfId="0" applyNumberFormat="1" applyFont="1"/>
    <xf numFmtId="165" fontId="25" fillId="0" borderId="10" xfId="0" applyNumberFormat="1" applyFont="1" applyBorder="1"/>
    <xf numFmtId="165" fontId="25" fillId="4" borderId="18" xfId="0" applyNumberFormat="1" applyFont="1" applyFill="1" applyBorder="1"/>
    <xf numFmtId="1" fontId="10" fillId="0" borderId="0" xfId="0" applyNumberFormat="1" applyFont="1"/>
    <xf numFmtId="0" fontId="2" fillId="0" borderId="10" xfId="2" applyBorder="1"/>
    <xf numFmtId="0" fontId="2" fillId="0" borderId="10" xfId="2" applyFill="1" applyBorder="1"/>
    <xf numFmtId="0" fontId="2" fillId="2" borderId="10" xfId="2" applyFill="1" applyBorder="1"/>
    <xf numFmtId="16" fontId="10" fillId="0" borderId="0" xfId="0" applyNumberFormat="1" applyFont="1" applyAlignment="1">
      <alignment horizontal="left"/>
    </xf>
    <xf numFmtId="0" fontId="11" fillId="0" borderId="16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17" fontId="20" fillId="4" borderId="21" xfId="0" applyNumberFormat="1" applyFont="1" applyFill="1" applyBorder="1" applyAlignment="1">
      <alignment horizontal="center"/>
    </xf>
    <xf numFmtId="17" fontId="20" fillId="0" borderId="21" xfId="0" applyNumberFormat="1" applyFont="1" applyBorder="1" applyAlignment="1">
      <alignment horizontal="center"/>
    </xf>
    <xf numFmtId="17" fontId="20" fillId="4" borderId="22" xfId="0" applyNumberFormat="1" applyFont="1" applyFill="1" applyBorder="1" applyAlignment="1">
      <alignment horizontal="center"/>
    </xf>
    <xf numFmtId="165" fontId="12" fillId="0" borderId="0" xfId="0" applyNumberFormat="1" applyFont="1" applyAlignment="1">
      <alignment horizontal="center"/>
    </xf>
    <xf numFmtId="169" fontId="12" fillId="0" borderId="0" xfId="0" applyNumberFormat="1" applyFont="1" applyAlignment="1">
      <alignment horizontal="right"/>
    </xf>
    <xf numFmtId="0" fontId="44" fillId="0" borderId="0" xfId="0" applyFont="1" applyAlignment="1">
      <alignment horizontal="center" vertical="center" wrapText="1"/>
    </xf>
    <xf numFmtId="166" fontId="11" fillId="0" borderId="7" xfId="0" applyNumberFormat="1" applyFont="1" applyBorder="1" applyAlignment="1">
      <alignment horizontal="right"/>
    </xf>
    <xf numFmtId="166" fontId="11" fillId="0" borderId="12" xfId="0" applyNumberFormat="1" applyFont="1" applyBorder="1" applyAlignment="1">
      <alignment horizontal="right"/>
    </xf>
    <xf numFmtId="165" fontId="12" fillId="0" borderId="21" xfId="0" applyNumberFormat="1" applyFont="1" applyBorder="1"/>
    <xf numFmtId="165" fontId="12" fillId="4" borderId="26" xfId="0" applyNumberFormat="1" applyFont="1" applyFill="1" applyBorder="1"/>
    <xf numFmtId="169" fontId="13" fillId="0" borderId="10" xfId="0" applyNumberFormat="1" applyFont="1" applyBorder="1" applyAlignment="1">
      <alignment horizontal="right"/>
    </xf>
    <xf numFmtId="169" fontId="13" fillId="0" borderId="11" xfId="0" applyNumberFormat="1" applyFont="1" applyBorder="1" applyAlignment="1">
      <alignment horizontal="right"/>
    </xf>
    <xf numFmtId="0" fontId="20" fillId="7" borderId="0" xfId="0" applyFont="1" applyFill="1"/>
    <xf numFmtId="0" fontId="40" fillId="7" borderId="0" xfId="1" applyNumberFormat="1" applyFont="1" applyFill="1" applyBorder="1" applyAlignment="1">
      <alignment horizontal="right"/>
    </xf>
    <xf numFmtId="170" fontId="41" fillId="0" borderId="0" xfId="1" applyNumberFormat="1" applyFont="1" applyBorder="1"/>
    <xf numFmtId="170" fontId="41" fillId="2" borderId="0" xfId="1" applyNumberFormat="1" applyFont="1" applyFill="1" applyBorder="1"/>
    <xf numFmtId="165" fontId="21" fillId="4" borderId="26" xfId="0" applyNumberFormat="1" applyFont="1" applyFill="1" applyBorder="1"/>
    <xf numFmtId="165" fontId="45" fillId="0" borderId="0" xfId="0" applyNumberFormat="1" applyFont="1" applyAlignment="1">
      <alignment horizontal="right"/>
    </xf>
    <xf numFmtId="165" fontId="45" fillId="0" borderId="13" xfId="0" applyNumberFormat="1" applyFont="1" applyBorder="1" applyAlignment="1">
      <alignment horizontal="right"/>
    </xf>
    <xf numFmtId="0" fontId="45" fillId="0" borderId="0" xfId="0" applyFont="1" applyAlignment="1">
      <alignment horizontal="right"/>
    </xf>
    <xf numFmtId="0" fontId="45" fillId="0" borderId="13" xfId="0" applyFont="1" applyBorder="1" applyAlignment="1">
      <alignment horizontal="right"/>
    </xf>
    <xf numFmtId="165" fontId="14" fillId="0" borderId="27" xfId="0" applyNumberFormat="1" applyFont="1" applyBorder="1"/>
    <xf numFmtId="165" fontId="31" fillId="0" borderId="11" xfId="0" applyNumberFormat="1" applyFont="1" applyBorder="1"/>
    <xf numFmtId="165" fontId="31" fillId="0" borderId="12" xfId="0" applyNumberFormat="1" applyFont="1" applyBorder="1"/>
    <xf numFmtId="165" fontId="14" fillId="0" borderId="11" xfId="0" applyNumberFormat="1" applyFont="1" applyBorder="1"/>
    <xf numFmtId="165" fontId="14" fillId="0" borderId="12" xfId="0" applyNumberFormat="1" applyFont="1" applyBorder="1"/>
    <xf numFmtId="165" fontId="25" fillId="4" borderId="0" xfId="0" applyNumberFormat="1" applyFont="1" applyFill="1"/>
    <xf numFmtId="165" fontId="25" fillId="4" borderId="26" xfId="0" applyNumberFormat="1" applyFont="1" applyFill="1" applyBorder="1"/>
    <xf numFmtId="165" fontId="46" fillId="0" borderId="10" xfId="0" applyNumberFormat="1" applyFont="1" applyBorder="1"/>
    <xf numFmtId="165" fontId="46" fillId="0" borderId="0" xfId="0" applyNumberFormat="1" applyFont="1"/>
    <xf numFmtId="165" fontId="46" fillId="4" borderId="10" xfId="0" applyNumberFormat="1" applyFont="1" applyFill="1" applyBorder="1"/>
    <xf numFmtId="165" fontId="46" fillId="4" borderId="0" xfId="0" applyNumberFormat="1" applyFont="1" applyFill="1"/>
    <xf numFmtId="166" fontId="10" fillId="0" borderId="13" xfId="0" applyNumberFormat="1" applyFont="1" applyBorder="1" applyAlignment="1">
      <alignment horizontal="right"/>
    </xf>
    <xf numFmtId="0" fontId="47" fillId="0" borderId="0" xfId="0" applyFont="1" applyAlignment="1">
      <alignment horizontal="right"/>
    </xf>
    <xf numFmtId="170" fontId="13" fillId="8" borderId="0" xfId="1" applyNumberFormat="1" applyFont="1" applyFill="1" applyBorder="1"/>
    <xf numFmtId="170" fontId="20" fillId="8" borderId="0" xfId="1" applyNumberFormat="1" applyFont="1" applyFill="1" applyBorder="1"/>
    <xf numFmtId="170" fontId="21" fillId="8" borderId="0" xfId="1" applyNumberFormat="1" applyFont="1" applyFill="1" applyBorder="1"/>
    <xf numFmtId="0" fontId="11" fillId="2" borderId="0" xfId="0" applyFont="1" applyFill="1"/>
    <xf numFmtId="166" fontId="10" fillId="0" borderId="7" xfId="0" applyNumberFormat="1" applyFont="1" applyBorder="1" applyAlignment="1">
      <alignment horizontal="right"/>
    </xf>
    <xf numFmtId="166" fontId="10" fillId="0" borderId="12" xfId="0" applyNumberFormat="1" applyFont="1" applyBorder="1" applyAlignment="1">
      <alignment horizontal="right"/>
    </xf>
    <xf numFmtId="2" fontId="11" fillId="11" borderId="0" xfId="0" applyNumberFormat="1" applyFont="1" applyFill="1"/>
    <xf numFmtId="0" fontId="13" fillId="0" borderId="7" xfId="0" applyFont="1" applyBorder="1" applyAlignment="1">
      <alignment horizontal="right"/>
    </xf>
    <xf numFmtId="2" fontId="14" fillId="0" borderId="0" xfId="0" applyNumberFormat="1" applyFont="1"/>
    <xf numFmtId="2" fontId="14" fillId="0" borderId="7" xfId="0" applyNumberFormat="1" applyFont="1" applyBorder="1"/>
    <xf numFmtId="2" fontId="14" fillId="0" borderId="0" xfId="0" applyNumberFormat="1" applyFont="1" applyAlignment="1">
      <alignment horizontal="right"/>
    </xf>
    <xf numFmtId="2" fontId="14" fillId="4" borderId="0" xfId="0" applyNumberFormat="1" applyFont="1" applyFill="1"/>
    <xf numFmtId="0" fontId="14" fillId="0" borderId="7" xfId="0" applyFont="1" applyBorder="1"/>
    <xf numFmtId="2" fontId="14" fillId="0" borderId="15" xfId="0" applyNumberFormat="1" applyFont="1" applyBorder="1"/>
    <xf numFmtId="2" fontId="14" fillId="2" borderId="0" xfId="0" applyNumberFormat="1" applyFont="1" applyFill="1"/>
    <xf numFmtId="2" fontId="14" fillId="8" borderId="0" xfId="0" applyNumberFormat="1" applyFont="1" applyFill="1"/>
    <xf numFmtId="0" fontId="13" fillId="0" borderId="0" xfId="0" applyFont="1" applyAlignment="1">
      <alignment horizontal="right"/>
    </xf>
    <xf numFmtId="0" fontId="12" fillId="0" borderId="7" xfId="0" applyFont="1" applyBorder="1" applyAlignment="1">
      <alignment horizontal="right"/>
    </xf>
    <xf numFmtId="0" fontId="17" fillId="0" borderId="0" xfId="2" applyFont="1" applyFill="1" applyBorder="1" applyAlignment="1">
      <alignment horizontal="right"/>
    </xf>
    <xf numFmtId="0" fontId="14" fillId="0" borderId="15" xfId="0" applyFont="1" applyBorder="1" applyAlignment="1">
      <alignment horizontal="right"/>
    </xf>
    <xf numFmtId="0" fontId="14" fillId="0" borderId="7" xfId="0" applyFont="1" applyBorder="1" applyAlignment="1">
      <alignment horizontal="right"/>
    </xf>
    <xf numFmtId="0" fontId="10" fillId="0" borderId="15" xfId="0" applyFont="1" applyBorder="1" applyAlignment="1">
      <alignment horizontal="right"/>
    </xf>
    <xf numFmtId="0" fontId="11" fillId="2" borderId="0" xfId="0" applyFont="1" applyFill="1" applyAlignment="1">
      <alignment horizontal="right"/>
    </xf>
    <xf numFmtId="0" fontId="13" fillId="2" borderId="0" xfId="0" applyFont="1" applyFill="1" applyAlignment="1">
      <alignment horizontal="right"/>
    </xf>
    <xf numFmtId="0" fontId="11" fillId="0" borderId="7" xfId="0" applyFont="1" applyBorder="1" applyAlignment="1">
      <alignment horizontal="right"/>
    </xf>
    <xf numFmtId="0" fontId="47" fillId="7" borderId="0" xfId="0" applyFont="1" applyFill="1"/>
    <xf numFmtId="0" fontId="47" fillId="7" borderId="0" xfId="0" applyFont="1" applyFill="1" applyAlignment="1">
      <alignment horizontal="right"/>
    </xf>
    <xf numFmtId="0" fontId="47" fillId="7" borderId="0" xfId="0" applyFont="1" applyFill="1" applyAlignment="1">
      <alignment horizontal="center"/>
    </xf>
    <xf numFmtId="0" fontId="47" fillId="0" borderId="0" xfId="0" applyFont="1"/>
    <xf numFmtId="0" fontId="14" fillId="0" borderId="0" xfId="0" quotePrefix="1" applyFont="1" applyAlignment="1">
      <alignment horizontal="center"/>
    </xf>
    <xf numFmtId="1" fontId="6" fillId="2" borderId="4" xfId="0" applyNumberFormat="1" applyFont="1" applyFill="1" applyBorder="1" applyAlignment="1">
      <alignment horizontal="center"/>
    </xf>
    <xf numFmtId="173" fontId="0" fillId="0" borderId="0" xfId="0" applyNumberFormat="1"/>
    <xf numFmtId="0" fontId="3" fillId="0" borderId="0" xfId="0" applyFont="1" applyAlignment="1">
      <alignment horizontal="right"/>
    </xf>
    <xf numFmtId="174" fontId="0" fillId="0" borderId="0" xfId="3" applyNumberFormat="1" applyFont="1"/>
    <xf numFmtId="169" fontId="30" fillId="0" borderId="0" xfId="0" applyNumberFormat="1" applyFont="1"/>
    <xf numFmtId="169" fontId="0" fillId="0" borderId="10" xfId="0" applyNumberFormat="1" applyBorder="1" applyAlignment="1">
      <alignment horizontal="right"/>
    </xf>
    <xf numFmtId="173" fontId="38" fillId="0" borderId="0" xfId="0" applyNumberFormat="1" applyFont="1"/>
    <xf numFmtId="173" fontId="30" fillId="0" borderId="0" xfId="0" applyNumberFormat="1" applyFont="1"/>
    <xf numFmtId="0" fontId="13" fillId="0" borderId="12" xfId="0" applyFont="1" applyBorder="1" applyAlignment="1">
      <alignment horizontal="right"/>
    </xf>
    <xf numFmtId="0" fontId="14" fillId="0" borderId="13" xfId="0" applyFont="1" applyBorder="1"/>
    <xf numFmtId="2" fontId="14" fillId="0" borderId="13" xfId="0" applyNumberFormat="1" applyFont="1" applyBorder="1"/>
    <xf numFmtId="2" fontId="14" fillId="0" borderId="12" xfId="0" applyNumberFormat="1" applyFont="1" applyBorder="1"/>
    <xf numFmtId="2" fontId="14" fillId="0" borderId="13" xfId="0" applyNumberFormat="1" applyFont="1" applyBorder="1" applyAlignment="1">
      <alignment horizontal="right"/>
    </xf>
    <xf numFmtId="0" fontId="14" fillId="0" borderId="12" xfId="0" applyFont="1" applyBorder="1"/>
    <xf numFmtId="2" fontId="14" fillId="0" borderId="27" xfId="0" applyNumberFormat="1" applyFont="1" applyBorder="1"/>
    <xf numFmtId="165" fontId="10" fillId="5" borderId="18" xfId="0" applyNumberFormat="1" applyFont="1" applyFill="1" applyBorder="1"/>
    <xf numFmtId="14" fontId="10" fillId="0" borderId="15" xfId="0" applyNumberFormat="1" applyFont="1" applyBorder="1"/>
    <xf numFmtId="0" fontId="10" fillId="0" borderId="2" xfId="0" applyFont="1" applyBorder="1"/>
    <xf numFmtId="14" fontId="10" fillId="0" borderId="7" xfId="0" applyNumberFormat="1" applyFont="1" applyBorder="1"/>
    <xf numFmtId="0" fontId="10" fillId="0" borderId="6" xfId="0" applyFont="1" applyBorder="1"/>
    <xf numFmtId="0" fontId="11" fillId="0" borderId="23" xfId="0" applyFont="1" applyBorder="1" applyAlignment="1">
      <alignment horizontal="center"/>
    </xf>
    <xf numFmtId="0" fontId="11" fillId="0" borderId="24" xfId="0" applyFont="1" applyBorder="1" applyAlignment="1">
      <alignment horizontal="center"/>
    </xf>
    <xf numFmtId="0" fontId="11" fillId="0" borderId="16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23" fillId="0" borderId="0" xfId="0" applyFont="1" applyAlignment="1">
      <alignment horizontal="center" vertical="center" wrapText="1"/>
    </xf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68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border outline="0"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auto="1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8" tint="0.79998168889431442"/>
        </patternFill>
      </fill>
    </dxf>
    <dxf>
      <fill>
        <patternFill>
          <bgColor rgb="FFFFC1F6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0F8"/>
      <color rgb="FFFFC1F6"/>
      <color rgb="FFFF01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FF vs SOFR - Daily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'DAILY EXTRAPOLATION'!$A$1</c:f>
              <c:strCache>
                <c:ptCount val="1"/>
                <c:pt idx="0">
                  <c:v>Proj EFFR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'DAILY EXTRAPOLATION'!$C$2450:$C$2589</c:f>
              <c:numCache>
                <c:formatCode>[$-409]dd\-mmm\-yy;@</c:formatCode>
                <c:ptCount val="140"/>
                <c:pt idx="0">
                  <c:v>46248</c:v>
                </c:pt>
                <c:pt idx="1">
                  <c:v>46249</c:v>
                </c:pt>
                <c:pt idx="2">
                  <c:v>46250</c:v>
                </c:pt>
                <c:pt idx="3">
                  <c:v>46251</c:v>
                </c:pt>
                <c:pt idx="4">
                  <c:v>46252</c:v>
                </c:pt>
                <c:pt idx="5">
                  <c:v>46253</c:v>
                </c:pt>
                <c:pt idx="6">
                  <c:v>46254</c:v>
                </c:pt>
                <c:pt idx="7">
                  <c:v>46255</c:v>
                </c:pt>
                <c:pt idx="8">
                  <c:v>46256</c:v>
                </c:pt>
                <c:pt idx="9">
                  <c:v>46257</c:v>
                </c:pt>
                <c:pt idx="10">
                  <c:v>46258</c:v>
                </c:pt>
                <c:pt idx="11">
                  <c:v>46259</c:v>
                </c:pt>
                <c:pt idx="12">
                  <c:v>46260</c:v>
                </c:pt>
                <c:pt idx="13">
                  <c:v>46261</c:v>
                </c:pt>
                <c:pt idx="14">
                  <c:v>46262</c:v>
                </c:pt>
                <c:pt idx="15">
                  <c:v>46263</c:v>
                </c:pt>
                <c:pt idx="16">
                  <c:v>46264</c:v>
                </c:pt>
                <c:pt idx="17">
                  <c:v>46265</c:v>
                </c:pt>
                <c:pt idx="18">
                  <c:v>46266</c:v>
                </c:pt>
                <c:pt idx="19">
                  <c:v>46267</c:v>
                </c:pt>
                <c:pt idx="20">
                  <c:v>46268</c:v>
                </c:pt>
                <c:pt idx="21">
                  <c:v>46269</c:v>
                </c:pt>
                <c:pt idx="22">
                  <c:v>46270</c:v>
                </c:pt>
                <c:pt idx="23">
                  <c:v>46271</c:v>
                </c:pt>
                <c:pt idx="24">
                  <c:v>46272</c:v>
                </c:pt>
                <c:pt idx="25">
                  <c:v>46273</c:v>
                </c:pt>
                <c:pt idx="26">
                  <c:v>46274</c:v>
                </c:pt>
                <c:pt idx="27">
                  <c:v>46275</c:v>
                </c:pt>
                <c:pt idx="28">
                  <c:v>46276</c:v>
                </c:pt>
                <c:pt idx="29">
                  <c:v>46277</c:v>
                </c:pt>
                <c:pt idx="30">
                  <c:v>46278</c:v>
                </c:pt>
                <c:pt idx="31">
                  <c:v>46279</c:v>
                </c:pt>
                <c:pt idx="32">
                  <c:v>46280</c:v>
                </c:pt>
                <c:pt idx="33">
                  <c:v>46281</c:v>
                </c:pt>
                <c:pt idx="34">
                  <c:v>46282</c:v>
                </c:pt>
                <c:pt idx="35">
                  <c:v>46283</c:v>
                </c:pt>
                <c:pt idx="36">
                  <c:v>46284</c:v>
                </c:pt>
                <c:pt idx="37">
                  <c:v>46285</c:v>
                </c:pt>
                <c:pt idx="38">
                  <c:v>46286</c:v>
                </c:pt>
                <c:pt idx="39">
                  <c:v>46287</c:v>
                </c:pt>
                <c:pt idx="40">
                  <c:v>46288</c:v>
                </c:pt>
                <c:pt idx="41">
                  <c:v>46289</c:v>
                </c:pt>
                <c:pt idx="42">
                  <c:v>46290</c:v>
                </c:pt>
                <c:pt idx="43">
                  <c:v>46291</c:v>
                </c:pt>
                <c:pt idx="44">
                  <c:v>46292</c:v>
                </c:pt>
                <c:pt idx="45">
                  <c:v>46293</c:v>
                </c:pt>
                <c:pt idx="46">
                  <c:v>46294</c:v>
                </c:pt>
                <c:pt idx="47">
                  <c:v>46295</c:v>
                </c:pt>
                <c:pt idx="48">
                  <c:v>46296</c:v>
                </c:pt>
                <c:pt idx="49">
                  <c:v>46297</c:v>
                </c:pt>
                <c:pt idx="50">
                  <c:v>46298</c:v>
                </c:pt>
                <c:pt idx="51">
                  <c:v>46299</c:v>
                </c:pt>
                <c:pt idx="52">
                  <c:v>46300</c:v>
                </c:pt>
                <c:pt idx="53">
                  <c:v>46301</c:v>
                </c:pt>
                <c:pt idx="54">
                  <c:v>46302</c:v>
                </c:pt>
                <c:pt idx="55">
                  <c:v>46303</c:v>
                </c:pt>
                <c:pt idx="56">
                  <c:v>46304</c:v>
                </c:pt>
                <c:pt idx="57">
                  <c:v>46305</c:v>
                </c:pt>
                <c:pt idx="58">
                  <c:v>46306</c:v>
                </c:pt>
                <c:pt idx="59">
                  <c:v>46307</c:v>
                </c:pt>
                <c:pt idx="60">
                  <c:v>46308</c:v>
                </c:pt>
                <c:pt idx="61">
                  <c:v>46309</c:v>
                </c:pt>
                <c:pt idx="62">
                  <c:v>46310</c:v>
                </c:pt>
                <c:pt idx="63">
                  <c:v>46311</c:v>
                </c:pt>
                <c:pt idx="64">
                  <c:v>46312</c:v>
                </c:pt>
                <c:pt idx="65">
                  <c:v>46313</c:v>
                </c:pt>
                <c:pt idx="66">
                  <c:v>46314</c:v>
                </c:pt>
                <c:pt idx="67">
                  <c:v>46315</c:v>
                </c:pt>
                <c:pt idx="68">
                  <c:v>46316</c:v>
                </c:pt>
                <c:pt idx="69">
                  <c:v>46317</c:v>
                </c:pt>
                <c:pt idx="70">
                  <c:v>46318</c:v>
                </c:pt>
                <c:pt idx="71">
                  <c:v>46319</c:v>
                </c:pt>
                <c:pt idx="72">
                  <c:v>46320</c:v>
                </c:pt>
                <c:pt idx="73">
                  <c:v>46321</c:v>
                </c:pt>
                <c:pt idx="74">
                  <c:v>46322</c:v>
                </c:pt>
                <c:pt idx="75">
                  <c:v>46323</c:v>
                </c:pt>
                <c:pt idx="76">
                  <c:v>46324</c:v>
                </c:pt>
                <c:pt idx="77">
                  <c:v>46325</c:v>
                </c:pt>
                <c:pt idx="78">
                  <c:v>46326</c:v>
                </c:pt>
                <c:pt idx="79">
                  <c:v>46327</c:v>
                </c:pt>
                <c:pt idx="80">
                  <c:v>46328</c:v>
                </c:pt>
                <c:pt idx="81">
                  <c:v>46329</c:v>
                </c:pt>
                <c:pt idx="82">
                  <c:v>46330</c:v>
                </c:pt>
                <c:pt idx="83">
                  <c:v>46331</c:v>
                </c:pt>
                <c:pt idx="84">
                  <c:v>46332</c:v>
                </c:pt>
                <c:pt idx="85">
                  <c:v>46333</c:v>
                </c:pt>
                <c:pt idx="86">
                  <c:v>46334</c:v>
                </c:pt>
                <c:pt idx="87">
                  <c:v>46335</c:v>
                </c:pt>
                <c:pt idx="88">
                  <c:v>46336</c:v>
                </c:pt>
                <c:pt idx="89">
                  <c:v>46337</c:v>
                </c:pt>
                <c:pt idx="90">
                  <c:v>46338</c:v>
                </c:pt>
                <c:pt idx="91">
                  <c:v>46339</c:v>
                </c:pt>
                <c:pt idx="92">
                  <c:v>46340</c:v>
                </c:pt>
                <c:pt idx="93">
                  <c:v>46341</c:v>
                </c:pt>
                <c:pt idx="94">
                  <c:v>46342</c:v>
                </c:pt>
                <c:pt idx="95">
                  <c:v>46343</c:v>
                </c:pt>
                <c:pt idx="96">
                  <c:v>46344</c:v>
                </c:pt>
                <c:pt idx="97">
                  <c:v>46345</c:v>
                </c:pt>
                <c:pt idx="98">
                  <c:v>46346</c:v>
                </c:pt>
                <c:pt idx="99">
                  <c:v>46347</c:v>
                </c:pt>
                <c:pt idx="100">
                  <c:v>46348</c:v>
                </c:pt>
                <c:pt idx="101">
                  <c:v>46349</c:v>
                </c:pt>
                <c:pt idx="102">
                  <c:v>46350</c:v>
                </c:pt>
                <c:pt idx="103">
                  <c:v>46351</c:v>
                </c:pt>
                <c:pt idx="104">
                  <c:v>46352</c:v>
                </c:pt>
                <c:pt idx="105">
                  <c:v>46353</c:v>
                </c:pt>
                <c:pt idx="106">
                  <c:v>46354</c:v>
                </c:pt>
                <c:pt idx="107">
                  <c:v>46355</c:v>
                </c:pt>
                <c:pt idx="108">
                  <c:v>46356</c:v>
                </c:pt>
                <c:pt idx="109">
                  <c:v>46357</c:v>
                </c:pt>
                <c:pt idx="110">
                  <c:v>46358</c:v>
                </c:pt>
                <c:pt idx="111">
                  <c:v>46359</c:v>
                </c:pt>
                <c:pt idx="112">
                  <c:v>46360</c:v>
                </c:pt>
                <c:pt idx="113">
                  <c:v>46361</c:v>
                </c:pt>
                <c:pt idx="114">
                  <c:v>46362</c:v>
                </c:pt>
                <c:pt idx="115">
                  <c:v>46363</c:v>
                </c:pt>
                <c:pt idx="116">
                  <c:v>46364</c:v>
                </c:pt>
                <c:pt idx="117">
                  <c:v>46365</c:v>
                </c:pt>
                <c:pt idx="118">
                  <c:v>46366</c:v>
                </c:pt>
                <c:pt idx="119">
                  <c:v>46367</c:v>
                </c:pt>
                <c:pt idx="120">
                  <c:v>46368</c:v>
                </c:pt>
                <c:pt idx="121">
                  <c:v>46369</c:v>
                </c:pt>
                <c:pt idx="122">
                  <c:v>46370</c:v>
                </c:pt>
                <c:pt idx="123">
                  <c:v>46371</c:v>
                </c:pt>
                <c:pt idx="124">
                  <c:v>46372</c:v>
                </c:pt>
                <c:pt idx="125">
                  <c:v>46373</c:v>
                </c:pt>
                <c:pt idx="126">
                  <c:v>46374</c:v>
                </c:pt>
                <c:pt idx="127">
                  <c:v>46375</c:v>
                </c:pt>
                <c:pt idx="128">
                  <c:v>46376</c:v>
                </c:pt>
                <c:pt idx="129">
                  <c:v>46377</c:v>
                </c:pt>
                <c:pt idx="130">
                  <c:v>46378</c:v>
                </c:pt>
                <c:pt idx="131">
                  <c:v>46379</c:v>
                </c:pt>
                <c:pt idx="132">
                  <c:v>46380</c:v>
                </c:pt>
                <c:pt idx="133">
                  <c:v>46381</c:v>
                </c:pt>
                <c:pt idx="134">
                  <c:v>46382</c:v>
                </c:pt>
                <c:pt idx="135">
                  <c:v>46383</c:v>
                </c:pt>
                <c:pt idx="136">
                  <c:v>46384</c:v>
                </c:pt>
                <c:pt idx="137">
                  <c:v>46385</c:v>
                </c:pt>
                <c:pt idx="138">
                  <c:v>46386</c:v>
                </c:pt>
                <c:pt idx="139">
                  <c:v>46387</c:v>
                </c:pt>
              </c:numCache>
            </c:numRef>
          </c:cat>
          <c:val>
            <c:numRef>
              <c:f>'DAILY EXTRAPOLATION'!$A$2450:$A$2589</c:f>
              <c:numCache>
                <c:formatCode>0.0000</c:formatCode>
                <c:ptCount val="140"/>
                <c:pt idx="7">
                  <c:v>3.6299999999999866</c:v>
                </c:pt>
                <c:pt idx="8">
                  <c:v>3.6299999999999866</c:v>
                </c:pt>
                <c:pt idx="9">
                  <c:v>3.6299999999999866</c:v>
                </c:pt>
                <c:pt idx="10">
                  <c:v>3.6299999999999866</c:v>
                </c:pt>
                <c:pt idx="11">
                  <c:v>3.6299999999999866</c:v>
                </c:pt>
                <c:pt idx="12">
                  <c:v>3.6299999999999866</c:v>
                </c:pt>
                <c:pt idx="13">
                  <c:v>3.6299999999999866</c:v>
                </c:pt>
                <c:pt idx="14">
                  <c:v>3.6299999999999866</c:v>
                </c:pt>
                <c:pt idx="15">
                  <c:v>3.6299999999999866</c:v>
                </c:pt>
                <c:pt idx="16">
                  <c:v>3.6299999999999866</c:v>
                </c:pt>
                <c:pt idx="17">
                  <c:v>3.6299999999999866</c:v>
                </c:pt>
                <c:pt idx="18">
                  <c:v>3.636562500000013</c:v>
                </c:pt>
                <c:pt idx="19">
                  <c:v>3.636562500000013</c:v>
                </c:pt>
                <c:pt idx="20">
                  <c:v>3.636562500000013</c:v>
                </c:pt>
                <c:pt idx="21">
                  <c:v>3.636562500000013</c:v>
                </c:pt>
                <c:pt idx="22">
                  <c:v>3.636562500000013</c:v>
                </c:pt>
                <c:pt idx="23">
                  <c:v>3.636562500000013</c:v>
                </c:pt>
                <c:pt idx="24">
                  <c:v>3.636562500000013</c:v>
                </c:pt>
                <c:pt idx="25">
                  <c:v>3.636562500000013</c:v>
                </c:pt>
                <c:pt idx="26">
                  <c:v>3.636562500000013</c:v>
                </c:pt>
                <c:pt idx="27">
                  <c:v>3.636562500000013</c:v>
                </c:pt>
                <c:pt idx="28">
                  <c:v>3.636562500000013</c:v>
                </c:pt>
                <c:pt idx="29">
                  <c:v>3.636562500000013</c:v>
                </c:pt>
                <c:pt idx="30">
                  <c:v>3.636562500000013</c:v>
                </c:pt>
                <c:pt idx="31">
                  <c:v>3.636562500000013</c:v>
                </c:pt>
                <c:pt idx="32">
                  <c:v>3.636562500000013</c:v>
                </c:pt>
                <c:pt idx="33">
                  <c:v>3.636562500000013</c:v>
                </c:pt>
                <c:pt idx="34">
                  <c:v>3.7296428571428568</c:v>
                </c:pt>
                <c:pt idx="35">
                  <c:v>3.7296428571428568</c:v>
                </c:pt>
                <c:pt idx="36">
                  <c:v>3.7296428571428568</c:v>
                </c:pt>
                <c:pt idx="37">
                  <c:v>3.7296428571428568</c:v>
                </c:pt>
                <c:pt idx="38">
                  <c:v>3.7296428571428568</c:v>
                </c:pt>
                <c:pt idx="39">
                  <c:v>3.7296428571428568</c:v>
                </c:pt>
                <c:pt idx="40">
                  <c:v>3.7296428571428568</c:v>
                </c:pt>
                <c:pt idx="41">
                  <c:v>3.7296428571428568</c:v>
                </c:pt>
                <c:pt idx="42">
                  <c:v>3.7296428571428568</c:v>
                </c:pt>
                <c:pt idx="43">
                  <c:v>3.7296428571428568</c:v>
                </c:pt>
                <c:pt idx="44">
                  <c:v>3.7296428571428568</c:v>
                </c:pt>
                <c:pt idx="45">
                  <c:v>3.7296428571428568</c:v>
                </c:pt>
                <c:pt idx="46">
                  <c:v>3.7296428571428568</c:v>
                </c:pt>
                <c:pt idx="47">
                  <c:v>3.7296428571428568</c:v>
                </c:pt>
                <c:pt idx="48">
                  <c:v>3.7296428571428568</c:v>
                </c:pt>
                <c:pt idx="49">
                  <c:v>3.7296428571428568</c:v>
                </c:pt>
                <c:pt idx="50">
                  <c:v>3.7296428571428568</c:v>
                </c:pt>
                <c:pt idx="51">
                  <c:v>3.7296428571428568</c:v>
                </c:pt>
                <c:pt idx="52">
                  <c:v>3.7296428571428568</c:v>
                </c:pt>
                <c:pt idx="53">
                  <c:v>3.7296428571428568</c:v>
                </c:pt>
                <c:pt idx="54">
                  <c:v>3.7296428571428568</c:v>
                </c:pt>
                <c:pt idx="55">
                  <c:v>3.7296428571428568</c:v>
                </c:pt>
                <c:pt idx="56">
                  <c:v>3.7296428571428568</c:v>
                </c:pt>
                <c:pt idx="57">
                  <c:v>3.7296428571428568</c:v>
                </c:pt>
                <c:pt idx="58">
                  <c:v>3.7296428571428568</c:v>
                </c:pt>
                <c:pt idx="59">
                  <c:v>3.7296428571428568</c:v>
                </c:pt>
                <c:pt idx="60">
                  <c:v>3.7296428571428568</c:v>
                </c:pt>
                <c:pt idx="61">
                  <c:v>3.7296428571428568</c:v>
                </c:pt>
                <c:pt idx="62">
                  <c:v>3.7296428571428568</c:v>
                </c:pt>
                <c:pt idx="63">
                  <c:v>3.7296428571428568</c:v>
                </c:pt>
                <c:pt idx="64">
                  <c:v>3.7296428571428568</c:v>
                </c:pt>
                <c:pt idx="65">
                  <c:v>3.7296428571428568</c:v>
                </c:pt>
                <c:pt idx="66">
                  <c:v>3.7296428571428568</c:v>
                </c:pt>
                <c:pt idx="67">
                  <c:v>3.7296428571428568</c:v>
                </c:pt>
                <c:pt idx="68">
                  <c:v>3.7296428571428568</c:v>
                </c:pt>
                <c:pt idx="69">
                  <c:v>3.7296428571428568</c:v>
                </c:pt>
                <c:pt idx="70">
                  <c:v>3.7296428571428568</c:v>
                </c:pt>
                <c:pt idx="71">
                  <c:v>3.7296428571428568</c:v>
                </c:pt>
                <c:pt idx="72">
                  <c:v>3.7296428571428568</c:v>
                </c:pt>
                <c:pt idx="73">
                  <c:v>3.7296428571428568</c:v>
                </c:pt>
                <c:pt idx="74">
                  <c:v>3.7296428571428568</c:v>
                </c:pt>
                <c:pt idx="75">
                  <c:v>3.7296428571428568</c:v>
                </c:pt>
                <c:pt idx="76">
                  <c:v>3.7849999999999966</c:v>
                </c:pt>
                <c:pt idx="77">
                  <c:v>3.7849999999999966</c:v>
                </c:pt>
                <c:pt idx="78">
                  <c:v>3.7849999999999966</c:v>
                </c:pt>
                <c:pt idx="79">
                  <c:v>3.7849999999999966</c:v>
                </c:pt>
                <c:pt idx="80">
                  <c:v>3.7849999999999966</c:v>
                </c:pt>
                <c:pt idx="81">
                  <c:v>3.7849999999999966</c:v>
                </c:pt>
                <c:pt idx="82">
                  <c:v>3.7849999999999966</c:v>
                </c:pt>
                <c:pt idx="83">
                  <c:v>3.7849999999999966</c:v>
                </c:pt>
                <c:pt idx="84">
                  <c:v>3.7849999999999966</c:v>
                </c:pt>
                <c:pt idx="85">
                  <c:v>3.7849999999999966</c:v>
                </c:pt>
                <c:pt idx="86">
                  <c:v>3.7849999999999966</c:v>
                </c:pt>
                <c:pt idx="87">
                  <c:v>3.7849999999999966</c:v>
                </c:pt>
                <c:pt idx="88">
                  <c:v>3.7849999999999966</c:v>
                </c:pt>
                <c:pt idx="89">
                  <c:v>3.7849999999999966</c:v>
                </c:pt>
                <c:pt idx="90">
                  <c:v>3.7849999999999966</c:v>
                </c:pt>
                <c:pt idx="91">
                  <c:v>3.7849999999999966</c:v>
                </c:pt>
                <c:pt idx="92">
                  <c:v>3.7849999999999966</c:v>
                </c:pt>
                <c:pt idx="93">
                  <c:v>3.7849999999999966</c:v>
                </c:pt>
                <c:pt idx="94">
                  <c:v>3.7849999999999966</c:v>
                </c:pt>
                <c:pt idx="95">
                  <c:v>3.7849999999999966</c:v>
                </c:pt>
                <c:pt idx="96">
                  <c:v>3.7849999999999966</c:v>
                </c:pt>
                <c:pt idx="97">
                  <c:v>3.7849999999999966</c:v>
                </c:pt>
                <c:pt idx="98">
                  <c:v>3.7849999999999966</c:v>
                </c:pt>
                <c:pt idx="99">
                  <c:v>3.7849999999999966</c:v>
                </c:pt>
                <c:pt idx="100">
                  <c:v>3.7849999999999966</c:v>
                </c:pt>
                <c:pt idx="101">
                  <c:v>3.7849999999999966</c:v>
                </c:pt>
                <c:pt idx="102">
                  <c:v>3.7849999999999966</c:v>
                </c:pt>
                <c:pt idx="103">
                  <c:v>3.7849999999999966</c:v>
                </c:pt>
                <c:pt idx="104">
                  <c:v>3.7849999999999966</c:v>
                </c:pt>
                <c:pt idx="105">
                  <c:v>3.7849999999999966</c:v>
                </c:pt>
                <c:pt idx="106">
                  <c:v>3.7849999999999966</c:v>
                </c:pt>
                <c:pt idx="107">
                  <c:v>3.7849999999999966</c:v>
                </c:pt>
                <c:pt idx="108">
                  <c:v>3.7849999999999966</c:v>
                </c:pt>
                <c:pt idx="109">
                  <c:v>3.7849999999999966</c:v>
                </c:pt>
                <c:pt idx="110">
                  <c:v>3.7849999999999966</c:v>
                </c:pt>
                <c:pt idx="111">
                  <c:v>3.7849999999999966</c:v>
                </c:pt>
                <c:pt idx="112">
                  <c:v>3.7849999999999966</c:v>
                </c:pt>
                <c:pt idx="113">
                  <c:v>3.7849999999999966</c:v>
                </c:pt>
                <c:pt idx="114">
                  <c:v>3.7849999999999966</c:v>
                </c:pt>
                <c:pt idx="115">
                  <c:v>3.7849999999999966</c:v>
                </c:pt>
                <c:pt idx="116">
                  <c:v>3.7849999999999966</c:v>
                </c:pt>
                <c:pt idx="117">
                  <c:v>3.7849999999999966</c:v>
                </c:pt>
                <c:pt idx="118">
                  <c:v>3.8906818181818186</c:v>
                </c:pt>
                <c:pt idx="119">
                  <c:v>3.8906818181818186</c:v>
                </c:pt>
                <c:pt idx="120">
                  <c:v>3.8906818181818186</c:v>
                </c:pt>
                <c:pt idx="121">
                  <c:v>3.8906818181818186</c:v>
                </c:pt>
                <c:pt idx="122">
                  <c:v>3.8906818181818186</c:v>
                </c:pt>
                <c:pt idx="123">
                  <c:v>3.8906818181818186</c:v>
                </c:pt>
                <c:pt idx="124">
                  <c:v>3.8906818181818186</c:v>
                </c:pt>
                <c:pt idx="125">
                  <c:v>3.8906818181818186</c:v>
                </c:pt>
                <c:pt idx="126">
                  <c:v>3.8906818181818186</c:v>
                </c:pt>
                <c:pt idx="127">
                  <c:v>3.8906818181818186</c:v>
                </c:pt>
                <c:pt idx="128">
                  <c:v>3.8906818181818186</c:v>
                </c:pt>
                <c:pt idx="129">
                  <c:v>3.8906818181818186</c:v>
                </c:pt>
                <c:pt idx="130">
                  <c:v>3.8906818181818186</c:v>
                </c:pt>
                <c:pt idx="131">
                  <c:v>3.8906818181818186</c:v>
                </c:pt>
                <c:pt idx="132">
                  <c:v>3.8906818181818186</c:v>
                </c:pt>
                <c:pt idx="133">
                  <c:v>3.8906818181818186</c:v>
                </c:pt>
                <c:pt idx="134">
                  <c:v>3.8906818181818186</c:v>
                </c:pt>
                <c:pt idx="135">
                  <c:v>3.8906818181818186</c:v>
                </c:pt>
                <c:pt idx="136">
                  <c:v>3.8906818181818186</c:v>
                </c:pt>
                <c:pt idx="137">
                  <c:v>3.8906818181818186</c:v>
                </c:pt>
                <c:pt idx="138">
                  <c:v>3.8906818181818186</c:v>
                </c:pt>
                <c:pt idx="139">
                  <c:v>3.8906818181818186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31-A445-AAB1-7020A64634FD}"/>
            </c:ext>
          </c:extLst>
        </c:ser>
        <c:ser>
          <c:idx val="1"/>
          <c:order val="1"/>
          <c:tx>
            <c:strRef>
              <c:f>'DAILY EXTRAPOLATION'!$B$1</c:f>
              <c:strCache>
                <c:ptCount val="1"/>
                <c:pt idx="0">
                  <c:v>Proj SOFR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'DAILY EXTRAPOLATION'!$C$2450:$C$2589</c:f>
              <c:numCache>
                <c:formatCode>[$-409]dd\-mmm\-yy;@</c:formatCode>
                <c:ptCount val="140"/>
                <c:pt idx="0">
                  <c:v>46248</c:v>
                </c:pt>
                <c:pt idx="1">
                  <c:v>46249</c:v>
                </c:pt>
                <c:pt idx="2">
                  <c:v>46250</c:v>
                </c:pt>
                <c:pt idx="3">
                  <c:v>46251</c:v>
                </c:pt>
                <c:pt idx="4">
                  <c:v>46252</c:v>
                </c:pt>
                <c:pt idx="5">
                  <c:v>46253</c:v>
                </c:pt>
                <c:pt idx="6">
                  <c:v>46254</c:v>
                </c:pt>
                <c:pt idx="7">
                  <c:v>46255</c:v>
                </c:pt>
                <c:pt idx="8">
                  <c:v>46256</c:v>
                </c:pt>
                <c:pt idx="9">
                  <c:v>46257</c:v>
                </c:pt>
                <c:pt idx="10">
                  <c:v>46258</c:v>
                </c:pt>
                <c:pt idx="11">
                  <c:v>46259</c:v>
                </c:pt>
                <c:pt idx="12">
                  <c:v>46260</c:v>
                </c:pt>
                <c:pt idx="13">
                  <c:v>46261</c:v>
                </c:pt>
                <c:pt idx="14">
                  <c:v>46262</c:v>
                </c:pt>
                <c:pt idx="15">
                  <c:v>46263</c:v>
                </c:pt>
                <c:pt idx="16">
                  <c:v>46264</c:v>
                </c:pt>
                <c:pt idx="17">
                  <c:v>46265</c:v>
                </c:pt>
                <c:pt idx="18">
                  <c:v>46266</c:v>
                </c:pt>
                <c:pt idx="19">
                  <c:v>46267</c:v>
                </c:pt>
                <c:pt idx="20">
                  <c:v>46268</c:v>
                </c:pt>
                <c:pt idx="21">
                  <c:v>46269</c:v>
                </c:pt>
                <c:pt idx="22">
                  <c:v>46270</c:v>
                </c:pt>
                <c:pt idx="23">
                  <c:v>46271</c:v>
                </c:pt>
                <c:pt idx="24">
                  <c:v>46272</c:v>
                </c:pt>
                <c:pt idx="25">
                  <c:v>46273</c:v>
                </c:pt>
                <c:pt idx="26">
                  <c:v>46274</c:v>
                </c:pt>
                <c:pt idx="27">
                  <c:v>46275</c:v>
                </c:pt>
                <c:pt idx="28">
                  <c:v>46276</c:v>
                </c:pt>
                <c:pt idx="29">
                  <c:v>46277</c:v>
                </c:pt>
                <c:pt idx="30">
                  <c:v>46278</c:v>
                </c:pt>
                <c:pt idx="31">
                  <c:v>46279</c:v>
                </c:pt>
                <c:pt idx="32">
                  <c:v>46280</c:v>
                </c:pt>
                <c:pt idx="33">
                  <c:v>46281</c:v>
                </c:pt>
                <c:pt idx="34">
                  <c:v>46282</c:v>
                </c:pt>
                <c:pt idx="35">
                  <c:v>46283</c:v>
                </c:pt>
                <c:pt idx="36">
                  <c:v>46284</c:v>
                </c:pt>
                <c:pt idx="37">
                  <c:v>46285</c:v>
                </c:pt>
                <c:pt idx="38">
                  <c:v>46286</c:v>
                </c:pt>
                <c:pt idx="39">
                  <c:v>46287</c:v>
                </c:pt>
                <c:pt idx="40">
                  <c:v>46288</c:v>
                </c:pt>
                <c:pt idx="41">
                  <c:v>46289</c:v>
                </c:pt>
                <c:pt idx="42">
                  <c:v>46290</c:v>
                </c:pt>
                <c:pt idx="43">
                  <c:v>46291</c:v>
                </c:pt>
                <c:pt idx="44">
                  <c:v>46292</c:v>
                </c:pt>
                <c:pt idx="45">
                  <c:v>46293</c:v>
                </c:pt>
                <c:pt idx="46">
                  <c:v>46294</c:v>
                </c:pt>
                <c:pt idx="47">
                  <c:v>46295</c:v>
                </c:pt>
                <c:pt idx="48">
                  <c:v>46296</c:v>
                </c:pt>
                <c:pt idx="49">
                  <c:v>46297</c:v>
                </c:pt>
                <c:pt idx="50">
                  <c:v>46298</c:v>
                </c:pt>
                <c:pt idx="51">
                  <c:v>46299</c:v>
                </c:pt>
                <c:pt idx="52">
                  <c:v>46300</c:v>
                </c:pt>
                <c:pt idx="53">
                  <c:v>46301</c:v>
                </c:pt>
                <c:pt idx="54">
                  <c:v>46302</c:v>
                </c:pt>
                <c:pt idx="55">
                  <c:v>46303</c:v>
                </c:pt>
                <c:pt idx="56">
                  <c:v>46304</c:v>
                </c:pt>
                <c:pt idx="57">
                  <c:v>46305</c:v>
                </c:pt>
                <c:pt idx="58">
                  <c:v>46306</c:v>
                </c:pt>
                <c:pt idx="59">
                  <c:v>46307</c:v>
                </c:pt>
                <c:pt idx="60">
                  <c:v>46308</c:v>
                </c:pt>
                <c:pt idx="61">
                  <c:v>46309</c:v>
                </c:pt>
                <c:pt idx="62">
                  <c:v>46310</c:v>
                </c:pt>
                <c:pt idx="63">
                  <c:v>46311</c:v>
                </c:pt>
                <c:pt idx="64">
                  <c:v>46312</c:v>
                </c:pt>
                <c:pt idx="65">
                  <c:v>46313</c:v>
                </c:pt>
                <c:pt idx="66">
                  <c:v>46314</c:v>
                </c:pt>
                <c:pt idx="67">
                  <c:v>46315</c:v>
                </c:pt>
                <c:pt idx="68">
                  <c:v>46316</c:v>
                </c:pt>
                <c:pt idx="69">
                  <c:v>46317</c:v>
                </c:pt>
                <c:pt idx="70">
                  <c:v>46318</c:v>
                </c:pt>
                <c:pt idx="71">
                  <c:v>46319</c:v>
                </c:pt>
                <c:pt idx="72">
                  <c:v>46320</c:v>
                </c:pt>
                <c:pt idx="73">
                  <c:v>46321</c:v>
                </c:pt>
                <c:pt idx="74">
                  <c:v>46322</c:v>
                </c:pt>
                <c:pt idx="75">
                  <c:v>46323</c:v>
                </c:pt>
                <c:pt idx="76">
                  <c:v>46324</c:v>
                </c:pt>
                <c:pt idx="77">
                  <c:v>46325</c:v>
                </c:pt>
                <c:pt idx="78">
                  <c:v>46326</c:v>
                </c:pt>
                <c:pt idx="79">
                  <c:v>46327</c:v>
                </c:pt>
                <c:pt idx="80">
                  <c:v>46328</c:v>
                </c:pt>
                <c:pt idx="81">
                  <c:v>46329</c:v>
                </c:pt>
                <c:pt idx="82">
                  <c:v>46330</c:v>
                </c:pt>
                <c:pt idx="83">
                  <c:v>46331</c:v>
                </c:pt>
                <c:pt idx="84">
                  <c:v>46332</c:v>
                </c:pt>
                <c:pt idx="85">
                  <c:v>46333</c:v>
                </c:pt>
                <c:pt idx="86">
                  <c:v>46334</c:v>
                </c:pt>
                <c:pt idx="87">
                  <c:v>46335</c:v>
                </c:pt>
                <c:pt idx="88">
                  <c:v>46336</c:v>
                </c:pt>
                <c:pt idx="89">
                  <c:v>46337</c:v>
                </c:pt>
                <c:pt idx="90">
                  <c:v>46338</c:v>
                </c:pt>
                <c:pt idx="91">
                  <c:v>46339</c:v>
                </c:pt>
                <c:pt idx="92">
                  <c:v>46340</c:v>
                </c:pt>
                <c:pt idx="93">
                  <c:v>46341</c:v>
                </c:pt>
                <c:pt idx="94">
                  <c:v>46342</c:v>
                </c:pt>
                <c:pt idx="95">
                  <c:v>46343</c:v>
                </c:pt>
                <c:pt idx="96">
                  <c:v>46344</c:v>
                </c:pt>
                <c:pt idx="97">
                  <c:v>46345</c:v>
                </c:pt>
                <c:pt idx="98">
                  <c:v>46346</c:v>
                </c:pt>
                <c:pt idx="99">
                  <c:v>46347</c:v>
                </c:pt>
                <c:pt idx="100">
                  <c:v>46348</c:v>
                </c:pt>
                <c:pt idx="101">
                  <c:v>46349</c:v>
                </c:pt>
                <c:pt idx="102">
                  <c:v>46350</c:v>
                </c:pt>
                <c:pt idx="103">
                  <c:v>46351</c:v>
                </c:pt>
                <c:pt idx="104">
                  <c:v>46352</c:v>
                </c:pt>
                <c:pt idx="105">
                  <c:v>46353</c:v>
                </c:pt>
                <c:pt idx="106">
                  <c:v>46354</c:v>
                </c:pt>
                <c:pt idx="107">
                  <c:v>46355</c:v>
                </c:pt>
                <c:pt idx="108">
                  <c:v>46356</c:v>
                </c:pt>
                <c:pt idx="109">
                  <c:v>46357</c:v>
                </c:pt>
                <c:pt idx="110">
                  <c:v>46358</c:v>
                </c:pt>
                <c:pt idx="111">
                  <c:v>46359</c:v>
                </c:pt>
                <c:pt idx="112">
                  <c:v>46360</c:v>
                </c:pt>
                <c:pt idx="113">
                  <c:v>46361</c:v>
                </c:pt>
                <c:pt idx="114">
                  <c:v>46362</c:v>
                </c:pt>
                <c:pt idx="115">
                  <c:v>46363</c:v>
                </c:pt>
                <c:pt idx="116">
                  <c:v>46364</c:v>
                </c:pt>
                <c:pt idx="117">
                  <c:v>46365</c:v>
                </c:pt>
                <c:pt idx="118">
                  <c:v>46366</c:v>
                </c:pt>
                <c:pt idx="119">
                  <c:v>46367</c:v>
                </c:pt>
                <c:pt idx="120">
                  <c:v>46368</c:v>
                </c:pt>
                <c:pt idx="121">
                  <c:v>46369</c:v>
                </c:pt>
                <c:pt idx="122">
                  <c:v>46370</c:v>
                </c:pt>
                <c:pt idx="123">
                  <c:v>46371</c:v>
                </c:pt>
                <c:pt idx="124">
                  <c:v>46372</c:v>
                </c:pt>
                <c:pt idx="125">
                  <c:v>46373</c:v>
                </c:pt>
                <c:pt idx="126">
                  <c:v>46374</c:v>
                </c:pt>
                <c:pt idx="127">
                  <c:v>46375</c:v>
                </c:pt>
                <c:pt idx="128">
                  <c:v>46376</c:v>
                </c:pt>
                <c:pt idx="129">
                  <c:v>46377</c:v>
                </c:pt>
                <c:pt idx="130">
                  <c:v>46378</c:v>
                </c:pt>
                <c:pt idx="131">
                  <c:v>46379</c:v>
                </c:pt>
                <c:pt idx="132">
                  <c:v>46380</c:v>
                </c:pt>
                <c:pt idx="133">
                  <c:v>46381</c:v>
                </c:pt>
                <c:pt idx="134">
                  <c:v>46382</c:v>
                </c:pt>
                <c:pt idx="135">
                  <c:v>46383</c:v>
                </c:pt>
                <c:pt idx="136">
                  <c:v>46384</c:v>
                </c:pt>
                <c:pt idx="137">
                  <c:v>46385</c:v>
                </c:pt>
                <c:pt idx="138">
                  <c:v>46386</c:v>
                </c:pt>
                <c:pt idx="139">
                  <c:v>46387</c:v>
                </c:pt>
              </c:numCache>
            </c:numRef>
          </c:cat>
          <c:val>
            <c:numRef>
              <c:f>'DAILY EXTRAPOLATION'!$B$2450:$B$2589</c:f>
              <c:numCache>
                <c:formatCode>0.0000</c:formatCode>
                <c:ptCount val="140"/>
                <c:pt idx="7">
                  <c:v>3.6481818181818202</c:v>
                </c:pt>
                <c:pt idx="8">
                  <c:v>3.6481818181818202</c:v>
                </c:pt>
                <c:pt idx="9">
                  <c:v>3.6481818181818202</c:v>
                </c:pt>
                <c:pt idx="10">
                  <c:v>3.6481818181818202</c:v>
                </c:pt>
                <c:pt idx="11">
                  <c:v>3.6481818181818202</c:v>
                </c:pt>
                <c:pt idx="12">
                  <c:v>3.6481818181818202</c:v>
                </c:pt>
                <c:pt idx="13">
                  <c:v>3.6481818181818202</c:v>
                </c:pt>
                <c:pt idx="14">
                  <c:v>3.6481818181818202</c:v>
                </c:pt>
                <c:pt idx="15">
                  <c:v>3.6481818181818202</c:v>
                </c:pt>
                <c:pt idx="16">
                  <c:v>3.6481818181818202</c:v>
                </c:pt>
                <c:pt idx="17">
                  <c:v>3.6481818181818202</c:v>
                </c:pt>
                <c:pt idx="18">
                  <c:v>3.6382812500000012</c:v>
                </c:pt>
                <c:pt idx="19">
                  <c:v>3.6382812500000012</c:v>
                </c:pt>
                <c:pt idx="20">
                  <c:v>3.6382812500000012</c:v>
                </c:pt>
                <c:pt idx="21">
                  <c:v>3.6382812500000012</c:v>
                </c:pt>
                <c:pt idx="22">
                  <c:v>3.6382812500000012</c:v>
                </c:pt>
                <c:pt idx="23">
                  <c:v>3.6382812500000012</c:v>
                </c:pt>
                <c:pt idx="24">
                  <c:v>3.6382812500000012</c:v>
                </c:pt>
                <c:pt idx="25">
                  <c:v>3.6382812500000012</c:v>
                </c:pt>
                <c:pt idx="26">
                  <c:v>3.6382812500000012</c:v>
                </c:pt>
                <c:pt idx="27">
                  <c:v>3.6382812500000012</c:v>
                </c:pt>
                <c:pt idx="28">
                  <c:v>3.6382812500000012</c:v>
                </c:pt>
                <c:pt idx="29">
                  <c:v>3.6382812500000012</c:v>
                </c:pt>
                <c:pt idx="30">
                  <c:v>3.6382812500000012</c:v>
                </c:pt>
                <c:pt idx="31">
                  <c:v>3.6382812500000012</c:v>
                </c:pt>
                <c:pt idx="32">
                  <c:v>3.6382812500000012</c:v>
                </c:pt>
                <c:pt idx="33">
                  <c:v>3.6382812500000012</c:v>
                </c:pt>
                <c:pt idx="34">
                  <c:v>3.7491071428571376</c:v>
                </c:pt>
                <c:pt idx="35">
                  <c:v>3.7491071428571376</c:v>
                </c:pt>
                <c:pt idx="36">
                  <c:v>3.7491071428571376</c:v>
                </c:pt>
                <c:pt idx="37">
                  <c:v>3.7491071428571376</c:v>
                </c:pt>
                <c:pt idx="38">
                  <c:v>3.7491071428571376</c:v>
                </c:pt>
                <c:pt idx="39">
                  <c:v>3.7491071428571376</c:v>
                </c:pt>
                <c:pt idx="40">
                  <c:v>3.7491071428571376</c:v>
                </c:pt>
                <c:pt idx="41">
                  <c:v>3.7491071428571376</c:v>
                </c:pt>
                <c:pt idx="42">
                  <c:v>3.7491071428571376</c:v>
                </c:pt>
                <c:pt idx="43">
                  <c:v>3.7491071428571376</c:v>
                </c:pt>
                <c:pt idx="44">
                  <c:v>3.7491071428571376</c:v>
                </c:pt>
                <c:pt idx="45">
                  <c:v>3.7491071428571376</c:v>
                </c:pt>
                <c:pt idx="46">
                  <c:v>3.7491071428571376</c:v>
                </c:pt>
                <c:pt idx="47">
                  <c:v>3.7491071428571376</c:v>
                </c:pt>
                <c:pt idx="48">
                  <c:v>3.7491071428571376</c:v>
                </c:pt>
                <c:pt idx="49">
                  <c:v>3.7491071428571376</c:v>
                </c:pt>
                <c:pt idx="50">
                  <c:v>3.7491071428571376</c:v>
                </c:pt>
                <c:pt idx="51">
                  <c:v>3.7491071428571376</c:v>
                </c:pt>
                <c:pt idx="52">
                  <c:v>3.7491071428571376</c:v>
                </c:pt>
                <c:pt idx="53">
                  <c:v>3.7491071428571376</c:v>
                </c:pt>
                <c:pt idx="54">
                  <c:v>3.7491071428571376</c:v>
                </c:pt>
                <c:pt idx="55">
                  <c:v>3.7491071428571376</c:v>
                </c:pt>
                <c:pt idx="56">
                  <c:v>3.7491071428571376</c:v>
                </c:pt>
                <c:pt idx="57">
                  <c:v>3.7491071428571376</c:v>
                </c:pt>
                <c:pt idx="58">
                  <c:v>3.7491071428571376</c:v>
                </c:pt>
                <c:pt idx="59">
                  <c:v>3.7491071428571376</c:v>
                </c:pt>
                <c:pt idx="60">
                  <c:v>3.7491071428571376</c:v>
                </c:pt>
                <c:pt idx="61">
                  <c:v>3.7491071428571376</c:v>
                </c:pt>
                <c:pt idx="62">
                  <c:v>3.7491071428571376</c:v>
                </c:pt>
                <c:pt idx="63">
                  <c:v>3.7491071428571376</c:v>
                </c:pt>
                <c:pt idx="64">
                  <c:v>3.7491071428571376</c:v>
                </c:pt>
                <c:pt idx="65">
                  <c:v>3.7491071428571376</c:v>
                </c:pt>
                <c:pt idx="66">
                  <c:v>3.7491071428571376</c:v>
                </c:pt>
                <c:pt idx="67">
                  <c:v>3.7491071428571376</c:v>
                </c:pt>
                <c:pt idx="68">
                  <c:v>3.7491071428571376</c:v>
                </c:pt>
                <c:pt idx="69">
                  <c:v>3.7491071428571376</c:v>
                </c:pt>
                <c:pt idx="70">
                  <c:v>3.7491071428571376</c:v>
                </c:pt>
                <c:pt idx="71">
                  <c:v>3.7491071428571376</c:v>
                </c:pt>
                <c:pt idx="72">
                  <c:v>3.7491071428571376</c:v>
                </c:pt>
                <c:pt idx="73">
                  <c:v>3.7491071428571376</c:v>
                </c:pt>
                <c:pt idx="74">
                  <c:v>3.7491071428571376</c:v>
                </c:pt>
                <c:pt idx="75">
                  <c:v>3.7491071428571376</c:v>
                </c:pt>
                <c:pt idx="76">
                  <c:v>3.8100000000000023</c:v>
                </c:pt>
                <c:pt idx="77">
                  <c:v>3.8100000000000023</c:v>
                </c:pt>
                <c:pt idx="78">
                  <c:v>3.8100000000000023</c:v>
                </c:pt>
                <c:pt idx="79">
                  <c:v>3.8100000000000023</c:v>
                </c:pt>
                <c:pt idx="80">
                  <c:v>3.8100000000000023</c:v>
                </c:pt>
                <c:pt idx="81">
                  <c:v>3.8100000000000023</c:v>
                </c:pt>
                <c:pt idx="82">
                  <c:v>3.8100000000000023</c:v>
                </c:pt>
                <c:pt idx="83">
                  <c:v>3.8100000000000023</c:v>
                </c:pt>
                <c:pt idx="84">
                  <c:v>3.8100000000000023</c:v>
                </c:pt>
                <c:pt idx="85">
                  <c:v>3.8100000000000023</c:v>
                </c:pt>
                <c:pt idx="86">
                  <c:v>3.8100000000000023</c:v>
                </c:pt>
                <c:pt idx="87">
                  <c:v>3.8100000000000023</c:v>
                </c:pt>
                <c:pt idx="88">
                  <c:v>3.8100000000000023</c:v>
                </c:pt>
                <c:pt idx="89">
                  <c:v>3.8100000000000023</c:v>
                </c:pt>
                <c:pt idx="90">
                  <c:v>3.8100000000000023</c:v>
                </c:pt>
                <c:pt idx="91">
                  <c:v>3.8100000000000023</c:v>
                </c:pt>
                <c:pt idx="92">
                  <c:v>3.8100000000000023</c:v>
                </c:pt>
                <c:pt idx="93">
                  <c:v>3.8100000000000023</c:v>
                </c:pt>
                <c:pt idx="94">
                  <c:v>3.8100000000000023</c:v>
                </c:pt>
                <c:pt idx="95">
                  <c:v>3.8100000000000023</c:v>
                </c:pt>
                <c:pt idx="96">
                  <c:v>3.8100000000000023</c:v>
                </c:pt>
                <c:pt idx="97">
                  <c:v>3.8100000000000023</c:v>
                </c:pt>
                <c:pt idx="98">
                  <c:v>3.8100000000000023</c:v>
                </c:pt>
                <c:pt idx="99">
                  <c:v>3.8100000000000023</c:v>
                </c:pt>
                <c:pt idx="100">
                  <c:v>3.8100000000000023</c:v>
                </c:pt>
                <c:pt idx="101">
                  <c:v>3.8100000000000023</c:v>
                </c:pt>
                <c:pt idx="102">
                  <c:v>3.8100000000000023</c:v>
                </c:pt>
                <c:pt idx="103">
                  <c:v>3.8100000000000023</c:v>
                </c:pt>
                <c:pt idx="104">
                  <c:v>3.8100000000000023</c:v>
                </c:pt>
                <c:pt idx="105">
                  <c:v>3.8100000000000023</c:v>
                </c:pt>
                <c:pt idx="106">
                  <c:v>3.8100000000000023</c:v>
                </c:pt>
                <c:pt idx="107">
                  <c:v>3.8100000000000023</c:v>
                </c:pt>
                <c:pt idx="108">
                  <c:v>3.8100000000000023</c:v>
                </c:pt>
                <c:pt idx="109">
                  <c:v>3.8100000000000023</c:v>
                </c:pt>
                <c:pt idx="110">
                  <c:v>3.8100000000000023</c:v>
                </c:pt>
                <c:pt idx="111">
                  <c:v>3.8100000000000023</c:v>
                </c:pt>
                <c:pt idx="112">
                  <c:v>3.8100000000000023</c:v>
                </c:pt>
                <c:pt idx="113">
                  <c:v>3.8100000000000023</c:v>
                </c:pt>
                <c:pt idx="114">
                  <c:v>3.8100000000000023</c:v>
                </c:pt>
                <c:pt idx="115">
                  <c:v>3.8100000000000023</c:v>
                </c:pt>
                <c:pt idx="116">
                  <c:v>3.8100000000000023</c:v>
                </c:pt>
                <c:pt idx="117">
                  <c:v>3.8100000000000023</c:v>
                </c:pt>
                <c:pt idx="118">
                  <c:v>3.9297727272727205</c:v>
                </c:pt>
                <c:pt idx="119">
                  <c:v>3.9297727272727205</c:v>
                </c:pt>
                <c:pt idx="120">
                  <c:v>3.9297727272727205</c:v>
                </c:pt>
                <c:pt idx="121">
                  <c:v>3.9297727272727205</c:v>
                </c:pt>
                <c:pt idx="122">
                  <c:v>3.9297727272727205</c:v>
                </c:pt>
                <c:pt idx="123">
                  <c:v>3.9297727272727205</c:v>
                </c:pt>
                <c:pt idx="124">
                  <c:v>3.9297727272727205</c:v>
                </c:pt>
                <c:pt idx="125">
                  <c:v>3.9297727272727205</c:v>
                </c:pt>
                <c:pt idx="126">
                  <c:v>3.9297727272727205</c:v>
                </c:pt>
                <c:pt idx="127">
                  <c:v>3.9297727272727205</c:v>
                </c:pt>
                <c:pt idx="128">
                  <c:v>3.9297727272727205</c:v>
                </c:pt>
                <c:pt idx="129">
                  <c:v>3.9297727272727205</c:v>
                </c:pt>
                <c:pt idx="130">
                  <c:v>3.9297727272727205</c:v>
                </c:pt>
                <c:pt idx="131">
                  <c:v>3.9297727272727205</c:v>
                </c:pt>
                <c:pt idx="132">
                  <c:v>3.9297727272727205</c:v>
                </c:pt>
                <c:pt idx="133">
                  <c:v>3.9297727272727205</c:v>
                </c:pt>
                <c:pt idx="134">
                  <c:v>3.9297727272727205</c:v>
                </c:pt>
                <c:pt idx="135">
                  <c:v>3.9297727272727205</c:v>
                </c:pt>
                <c:pt idx="136">
                  <c:v>3.9297727272727205</c:v>
                </c:pt>
                <c:pt idx="137">
                  <c:v>3.9297727272727205</c:v>
                </c:pt>
                <c:pt idx="138">
                  <c:v>3.9297727272727205</c:v>
                </c:pt>
                <c:pt idx="139">
                  <c:v>3.9297727272727205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B31-A445-AAB1-7020A6463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6536272"/>
        <c:axId val="379129008"/>
      </c:lineChart>
      <c:dateAx>
        <c:axId val="276536272"/>
        <c:scaling>
          <c:orientation val="minMax"/>
        </c:scaling>
        <c:delete val="0"/>
        <c:axPos val="b"/>
        <c:numFmt formatCode="[$-409]dd\-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129008"/>
        <c:crosses val="autoZero"/>
        <c:auto val="1"/>
        <c:lblOffset val="100"/>
        <c:baseTimeUnit val="days"/>
      </c:dateAx>
      <c:valAx>
        <c:axId val="3791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536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 Term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'FV OUTPUT'!$B$3:$B$306</c:f>
              <c:numCache>
                <c:formatCode>[$-409]dd\-mmm\-yy;@</c:formatCode>
                <c:ptCount val="304"/>
                <c:pt idx="0">
                  <c:v>46176</c:v>
                </c:pt>
                <c:pt idx="1">
                  <c:v>46177</c:v>
                </c:pt>
                <c:pt idx="2">
                  <c:v>46178</c:v>
                </c:pt>
                <c:pt idx="3">
                  <c:v>46179</c:v>
                </c:pt>
                <c:pt idx="4">
                  <c:v>46180</c:v>
                </c:pt>
                <c:pt idx="5">
                  <c:v>46181</c:v>
                </c:pt>
                <c:pt idx="6">
                  <c:v>46182</c:v>
                </c:pt>
                <c:pt idx="7">
                  <c:v>46183</c:v>
                </c:pt>
                <c:pt idx="8">
                  <c:v>46184</c:v>
                </c:pt>
                <c:pt idx="9">
                  <c:v>46185</c:v>
                </c:pt>
                <c:pt idx="10">
                  <c:v>46186</c:v>
                </c:pt>
                <c:pt idx="11">
                  <c:v>46187</c:v>
                </c:pt>
                <c:pt idx="12">
                  <c:v>46188</c:v>
                </c:pt>
                <c:pt idx="13">
                  <c:v>46189</c:v>
                </c:pt>
                <c:pt idx="14">
                  <c:v>46190</c:v>
                </c:pt>
                <c:pt idx="15">
                  <c:v>46191</c:v>
                </c:pt>
                <c:pt idx="16">
                  <c:v>46192</c:v>
                </c:pt>
                <c:pt idx="17">
                  <c:v>46193</c:v>
                </c:pt>
                <c:pt idx="18">
                  <c:v>46194</c:v>
                </c:pt>
                <c:pt idx="19">
                  <c:v>46195</c:v>
                </c:pt>
                <c:pt idx="20">
                  <c:v>46196</c:v>
                </c:pt>
                <c:pt idx="21">
                  <c:v>46197</c:v>
                </c:pt>
                <c:pt idx="22">
                  <c:v>46198</c:v>
                </c:pt>
                <c:pt idx="23">
                  <c:v>46199</c:v>
                </c:pt>
                <c:pt idx="24">
                  <c:v>46200</c:v>
                </c:pt>
                <c:pt idx="25">
                  <c:v>46201</c:v>
                </c:pt>
                <c:pt idx="26">
                  <c:v>46202</c:v>
                </c:pt>
                <c:pt idx="27">
                  <c:v>46203</c:v>
                </c:pt>
                <c:pt idx="28">
                  <c:v>46204</c:v>
                </c:pt>
                <c:pt idx="29">
                  <c:v>46205</c:v>
                </c:pt>
                <c:pt idx="30">
                  <c:v>46206</c:v>
                </c:pt>
                <c:pt idx="31">
                  <c:v>46207</c:v>
                </c:pt>
                <c:pt idx="32">
                  <c:v>46208</c:v>
                </c:pt>
                <c:pt idx="33">
                  <c:v>46209</c:v>
                </c:pt>
                <c:pt idx="34">
                  <c:v>46210</c:v>
                </c:pt>
                <c:pt idx="35">
                  <c:v>46211</c:v>
                </c:pt>
                <c:pt idx="36">
                  <c:v>46212</c:v>
                </c:pt>
                <c:pt idx="37">
                  <c:v>46213</c:v>
                </c:pt>
                <c:pt idx="38">
                  <c:v>46214</c:v>
                </c:pt>
                <c:pt idx="39">
                  <c:v>46215</c:v>
                </c:pt>
                <c:pt idx="40">
                  <c:v>46216</c:v>
                </c:pt>
                <c:pt idx="41">
                  <c:v>46217</c:v>
                </c:pt>
                <c:pt idx="42">
                  <c:v>46218</c:v>
                </c:pt>
                <c:pt idx="43">
                  <c:v>46219</c:v>
                </c:pt>
                <c:pt idx="44">
                  <c:v>46220</c:v>
                </c:pt>
                <c:pt idx="45">
                  <c:v>46221</c:v>
                </c:pt>
                <c:pt idx="46">
                  <c:v>46222</c:v>
                </c:pt>
                <c:pt idx="47">
                  <c:v>46223</c:v>
                </c:pt>
                <c:pt idx="48">
                  <c:v>46224</c:v>
                </c:pt>
                <c:pt idx="49">
                  <c:v>46225</c:v>
                </c:pt>
                <c:pt idx="50">
                  <c:v>46226</c:v>
                </c:pt>
                <c:pt idx="51">
                  <c:v>46227</c:v>
                </c:pt>
                <c:pt idx="52">
                  <c:v>46228</c:v>
                </c:pt>
                <c:pt idx="53">
                  <c:v>46229</c:v>
                </c:pt>
                <c:pt idx="54">
                  <c:v>46230</c:v>
                </c:pt>
                <c:pt idx="55">
                  <c:v>46231</c:v>
                </c:pt>
                <c:pt idx="56">
                  <c:v>46232</c:v>
                </c:pt>
                <c:pt idx="57">
                  <c:v>46233</c:v>
                </c:pt>
                <c:pt idx="58">
                  <c:v>46234</c:v>
                </c:pt>
                <c:pt idx="59">
                  <c:v>46235</c:v>
                </c:pt>
                <c:pt idx="60">
                  <c:v>46236</c:v>
                </c:pt>
                <c:pt idx="61">
                  <c:v>46237</c:v>
                </c:pt>
                <c:pt idx="62">
                  <c:v>46238</c:v>
                </c:pt>
                <c:pt idx="63">
                  <c:v>46239</c:v>
                </c:pt>
                <c:pt idx="64">
                  <c:v>46240</c:v>
                </c:pt>
                <c:pt idx="65">
                  <c:v>46241</c:v>
                </c:pt>
                <c:pt idx="66">
                  <c:v>46242</c:v>
                </c:pt>
                <c:pt idx="67">
                  <c:v>46243</c:v>
                </c:pt>
                <c:pt idx="68">
                  <c:v>46244</c:v>
                </c:pt>
                <c:pt idx="69">
                  <c:v>46245</c:v>
                </c:pt>
                <c:pt idx="70">
                  <c:v>46246</c:v>
                </c:pt>
                <c:pt idx="71">
                  <c:v>46247</c:v>
                </c:pt>
                <c:pt idx="72">
                  <c:v>46248</c:v>
                </c:pt>
                <c:pt idx="73">
                  <c:v>46249</c:v>
                </c:pt>
                <c:pt idx="74">
                  <c:v>46250</c:v>
                </c:pt>
                <c:pt idx="75">
                  <c:v>46251</c:v>
                </c:pt>
                <c:pt idx="76">
                  <c:v>46252</c:v>
                </c:pt>
                <c:pt idx="77">
                  <c:v>46253</c:v>
                </c:pt>
                <c:pt idx="78">
                  <c:v>46254</c:v>
                </c:pt>
                <c:pt idx="79">
                  <c:v>46255</c:v>
                </c:pt>
                <c:pt idx="80">
                  <c:v>46256</c:v>
                </c:pt>
                <c:pt idx="81">
                  <c:v>46257</c:v>
                </c:pt>
                <c:pt idx="82">
                  <c:v>46258</c:v>
                </c:pt>
                <c:pt idx="83">
                  <c:v>46259</c:v>
                </c:pt>
                <c:pt idx="84">
                  <c:v>46260</c:v>
                </c:pt>
                <c:pt idx="85">
                  <c:v>46261</c:v>
                </c:pt>
                <c:pt idx="86">
                  <c:v>46262</c:v>
                </c:pt>
                <c:pt idx="87">
                  <c:v>46263</c:v>
                </c:pt>
                <c:pt idx="88">
                  <c:v>46264</c:v>
                </c:pt>
                <c:pt idx="89">
                  <c:v>46265</c:v>
                </c:pt>
                <c:pt idx="90">
                  <c:v>46266</c:v>
                </c:pt>
                <c:pt idx="91">
                  <c:v>46267</c:v>
                </c:pt>
                <c:pt idx="92">
                  <c:v>46268</c:v>
                </c:pt>
                <c:pt idx="93">
                  <c:v>46269</c:v>
                </c:pt>
                <c:pt idx="94">
                  <c:v>46270</c:v>
                </c:pt>
                <c:pt idx="95">
                  <c:v>46271</c:v>
                </c:pt>
                <c:pt idx="96">
                  <c:v>46272</c:v>
                </c:pt>
                <c:pt idx="97">
                  <c:v>46273</c:v>
                </c:pt>
                <c:pt idx="98">
                  <c:v>46274</c:v>
                </c:pt>
                <c:pt idx="99">
                  <c:v>46275</c:v>
                </c:pt>
                <c:pt idx="100">
                  <c:v>46276</c:v>
                </c:pt>
                <c:pt idx="101">
                  <c:v>46277</c:v>
                </c:pt>
                <c:pt idx="102">
                  <c:v>46278</c:v>
                </c:pt>
                <c:pt idx="103">
                  <c:v>46279</c:v>
                </c:pt>
                <c:pt idx="104">
                  <c:v>46280</c:v>
                </c:pt>
                <c:pt idx="105">
                  <c:v>46281</c:v>
                </c:pt>
                <c:pt idx="106">
                  <c:v>46282</c:v>
                </c:pt>
                <c:pt idx="107">
                  <c:v>46283</c:v>
                </c:pt>
                <c:pt idx="108">
                  <c:v>46284</c:v>
                </c:pt>
                <c:pt idx="109">
                  <c:v>46285</c:v>
                </c:pt>
                <c:pt idx="110">
                  <c:v>46286</c:v>
                </c:pt>
                <c:pt idx="111">
                  <c:v>46287</c:v>
                </c:pt>
                <c:pt idx="112">
                  <c:v>46288</c:v>
                </c:pt>
                <c:pt idx="113">
                  <c:v>46289</c:v>
                </c:pt>
                <c:pt idx="114">
                  <c:v>46290</c:v>
                </c:pt>
                <c:pt idx="115">
                  <c:v>46291</c:v>
                </c:pt>
                <c:pt idx="116">
                  <c:v>46292</c:v>
                </c:pt>
                <c:pt idx="117">
                  <c:v>46293</c:v>
                </c:pt>
                <c:pt idx="118">
                  <c:v>46294</c:v>
                </c:pt>
                <c:pt idx="119">
                  <c:v>46295</c:v>
                </c:pt>
                <c:pt idx="120">
                  <c:v>46296</c:v>
                </c:pt>
                <c:pt idx="121">
                  <c:v>46297</c:v>
                </c:pt>
                <c:pt idx="122">
                  <c:v>46298</c:v>
                </c:pt>
                <c:pt idx="123">
                  <c:v>46299</c:v>
                </c:pt>
                <c:pt idx="124">
                  <c:v>46300</c:v>
                </c:pt>
                <c:pt idx="125">
                  <c:v>46301</c:v>
                </c:pt>
                <c:pt idx="126">
                  <c:v>46302</c:v>
                </c:pt>
                <c:pt idx="127">
                  <c:v>46303</c:v>
                </c:pt>
                <c:pt idx="128">
                  <c:v>46304</c:v>
                </c:pt>
                <c:pt idx="129">
                  <c:v>46305</c:v>
                </c:pt>
                <c:pt idx="130">
                  <c:v>46306</c:v>
                </c:pt>
                <c:pt idx="131">
                  <c:v>46307</c:v>
                </c:pt>
                <c:pt idx="132">
                  <c:v>46308</c:v>
                </c:pt>
                <c:pt idx="133">
                  <c:v>46309</c:v>
                </c:pt>
                <c:pt idx="134">
                  <c:v>46310</c:v>
                </c:pt>
                <c:pt idx="135">
                  <c:v>46311</c:v>
                </c:pt>
                <c:pt idx="136">
                  <c:v>46312</c:v>
                </c:pt>
                <c:pt idx="137">
                  <c:v>46313</c:v>
                </c:pt>
                <c:pt idx="138">
                  <c:v>46314</c:v>
                </c:pt>
                <c:pt idx="139">
                  <c:v>46315</c:v>
                </c:pt>
                <c:pt idx="140">
                  <c:v>46316</c:v>
                </c:pt>
                <c:pt idx="141">
                  <c:v>46317</c:v>
                </c:pt>
                <c:pt idx="142">
                  <c:v>46318</c:v>
                </c:pt>
                <c:pt idx="143">
                  <c:v>46319</c:v>
                </c:pt>
                <c:pt idx="144">
                  <c:v>46320</c:v>
                </c:pt>
                <c:pt idx="145">
                  <c:v>46321</c:v>
                </c:pt>
                <c:pt idx="146">
                  <c:v>46322</c:v>
                </c:pt>
                <c:pt idx="147">
                  <c:v>46323</c:v>
                </c:pt>
                <c:pt idx="148">
                  <c:v>46324</c:v>
                </c:pt>
                <c:pt idx="149">
                  <c:v>46325</c:v>
                </c:pt>
                <c:pt idx="150">
                  <c:v>46326</c:v>
                </c:pt>
                <c:pt idx="151">
                  <c:v>46327</c:v>
                </c:pt>
                <c:pt idx="152">
                  <c:v>46328</c:v>
                </c:pt>
                <c:pt idx="153">
                  <c:v>46329</c:v>
                </c:pt>
                <c:pt idx="154">
                  <c:v>46330</c:v>
                </c:pt>
                <c:pt idx="155">
                  <c:v>46331</c:v>
                </c:pt>
                <c:pt idx="156">
                  <c:v>46332</c:v>
                </c:pt>
                <c:pt idx="157">
                  <c:v>46333</c:v>
                </c:pt>
                <c:pt idx="158">
                  <c:v>46334</c:v>
                </c:pt>
                <c:pt idx="159">
                  <c:v>46335</c:v>
                </c:pt>
                <c:pt idx="160">
                  <c:v>46336</c:v>
                </c:pt>
                <c:pt idx="161">
                  <c:v>46337</c:v>
                </c:pt>
                <c:pt idx="162">
                  <c:v>46338</c:v>
                </c:pt>
                <c:pt idx="163">
                  <c:v>46339</c:v>
                </c:pt>
                <c:pt idx="164">
                  <c:v>46340</c:v>
                </c:pt>
                <c:pt idx="165">
                  <c:v>46341</c:v>
                </c:pt>
                <c:pt idx="166">
                  <c:v>46342</c:v>
                </c:pt>
                <c:pt idx="167">
                  <c:v>46343</c:v>
                </c:pt>
                <c:pt idx="168">
                  <c:v>46344</c:v>
                </c:pt>
                <c:pt idx="169">
                  <c:v>46345</c:v>
                </c:pt>
                <c:pt idx="170">
                  <c:v>46346</c:v>
                </c:pt>
                <c:pt idx="171">
                  <c:v>46347</c:v>
                </c:pt>
                <c:pt idx="172">
                  <c:v>46348</c:v>
                </c:pt>
                <c:pt idx="173">
                  <c:v>46349</c:v>
                </c:pt>
                <c:pt idx="174">
                  <c:v>46350</c:v>
                </c:pt>
                <c:pt idx="175">
                  <c:v>46351</c:v>
                </c:pt>
                <c:pt idx="176">
                  <c:v>46352</c:v>
                </c:pt>
                <c:pt idx="177">
                  <c:v>46353</c:v>
                </c:pt>
                <c:pt idx="178">
                  <c:v>46354</c:v>
                </c:pt>
                <c:pt idx="179">
                  <c:v>46355</c:v>
                </c:pt>
                <c:pt idx="180">
                  <c:v>46356</c:v>
                </c:pt>
                <c:pt idx="181">
                  <c:v>46357</c:v>
                </c:pt>
                <c:pt idx="182">
                  <c:v>46358</c:v>
                </c:pt>
                <c:pt idx="183">
                  <c:v>46359</c:v>
                </c:pt>
                <c:pt idx="184">
                  <c:v>46360</c:v>
                </c:pt>
                <c:pt idx="185">
                  <c:v>46361</c:v>
                </c:pt>
                <c:pt idx="186">
                  <c:v>46362</c:v>
                </c:pt>
                <c:pt idx="187">
                  <c:v>46363</c:v>
                </c:pt>
                <c:pt idx="188">
                  <c:v>46364</c:v>
                </c:pt>
                <c:pt idx="189">
                  <c:v>46365</c:v>
                </c:pt>
                <c:pt idx="190">
                  <c:v>46366</c:v>
                </c:pt>
                <c:pt idx="191">
                  <c:v>46367</c:v>
                </c:pt>
                <c:pt idx="192">
                  <c:v>46368</c:v>
                </c:pt>
                <c:pt idx="193">
                  <c:v>46369</c:v>
                </c:pt>
                <c:pt idx="194">
                  <c:v>46370</c:v>
                </c:pt>
                <c:pt idx="195">
                  <c:v>46371</c:v>
                </c:pt>
                <c:pt idx="196">
                  <c:v>46372</c:v>
                </c:pt>
                <c:pt idx="197">
                  <c:v>46373</c:v>
                </c:pt>
                <c:pt idx="198">
                  <c:v>46374</c:v>
                </c:pt>
                <c:pt idx="199">
                  <c:v>46375</c:v>
                </c:pt>
                <c:pt idx="200">
                  <c:v>46376</c:v>
                </c:pt>
                <c:pt idx="201">
                  <c:v>46377</c:v>
                </c:pt>
                <c:pt idx="202">
                  <c:v>46378</c:v>
                </c:pt>
                <c:pt idx="203">
                  <c:v>46379</c:v>
                </c:pt>
                <c:pt idx="204">
                  <c:v>46380</c:v>
                </c:pt>
                <c:pt idx="205">
                  <c:v>46381</c:v>
                </c:pt>
                <c:pt idx="206">
                  <c:v>46382</c:v>
                </c:pt>
                <c:pt idx="207">
                  <c:v>46383</c:v>
                </c:pt>
                <c:pt idx="208">
                  <c:v>46384</c:v>
                </c:pt>
                <c:pt idx="209">
                  <c:v>46385</c:v>
                </c:pt>
                <c:pt idx="210">
                  <c:v>46386</c:v>
                </c:pt>
                <c:pt idx="211">
                  <c:v>46387</c:v>
                </c:pt>
                <c:pt idx="212">
                  <c:v>46388</c:v>
                </c:pt>
                <c:pt idx="213">
                  <c:v>46389</c:v>
                </c:pt>
              </c:numCache>
            </c:numRef>
          </c:cat>
          <c:val>
            <c:numRef>
              <c:f>'FV OUTPUT'!$E$3:$E$306</c:f>
              <c:numCache>
                <c:formatCode>0.00000%</c:formatCode>
                <c:ptCount val="304"/>
                <c:pt idx="0">
                  <c:v>3.6401840208384328E-2</c:v>
                </c:pt>
                <c:pt idx="1">
                  <c:v>3.630366033601895E-2</c:v>
                </c:pt>
                <c:pt idx="2">
                  <c:v>3.6280483153059429E-2</c:v>
                </c:pt>
                <c:pt idx="3">
                  <c:v>5.0813166399375831E-2</c:v>
                </c:pt>
                <c:pt idx="4">
                  <c:v>4.2344305332813192E-2</c:v>
                </c:pt>
                <c:pt idx="5">
                  <c:v>3.629511885669702E-2</c:v>
                </c:pt>
                <c:pt idx="6">
                  <c:v>3.6298931287709335E-2</c:v>
                </c:pt>
                <c:pt idx="7">
                  <c:v>3.626894327185326E-2</c:v>
                </c:pt>
                <c:pt idx="8">
                  <c:v>3.6235304082326891E-2</c:v>
                </c:pt>
                <c:pt idx="9">
                  <c:v>3.6217206920671104E-2</c:v>
                </c:pt>
                <c:pt idx="10">
                  <c:v>4.2334204405465314E-2</c:v>
                </c:pt>
                <c:pt idx="11">
                  <c:v>3.9077727143506442E-2</c:v>
                </c:pt>
                <c:pt idx="12">
                  <c:v>3.6286460918970267E-2</c:v>
                </c:pt>
                <c:pt idx="13">
                  <c:v>3.633083492913336E-2</c:v>
                </c:pt>
                <c:pt idx="14">
                  <c:v>3.6332342145304897E-2</c:v>
                </c:pt>
                <c:pt idx="15">
                  <c:v>3.633388767667925E-2</c:v>
                </c:pt>
                <c:pt idx="16">
                  <c:v>4.2373585197403862E-2</c:v>
                </c:pt>
                <c:pt idx="17">
                  <c:v>4.0143396502803658E-2</c:v>
                </c:pt>
                <c:pt idx="18">
                  <c:v>3.8136226677663476E-2</c:v>
                </c:pt>
                <c:pt idx="19">
                  <c:v>3.6320215883489028E-2</c:v>
                </c:pt>
                <c:pt idx="20">
                  <c:v>3.6313682630662841E-2</c:v>
                </c:pt>
                <c:pt idx="21">
                  <c:v>3.6312232687401892E-2</c:v>
                </c:pt>
                <c:pt idx="22">
                  <c:v>3.631105558062897E-2</c:v>
                </c:pt>
                <c:pt idx="23">
                  <c:v>3.6318137950533111E-2</c:v>
                </c:pt>
                <c:pt idx="24">
                  <c:v>3.9108744155911083E-2</c:v>
                </c:pt>
                <c:pt idx="25">
                  <c:v>3.7660272150136599E-2</c:v>
                </c:pt>
                <c:pt idx="26">
                  <c:v>3.6315262430488868E-2</c:v>
                </c:pt>
                <c:pt idx="27">
                  <c:v>3.6314813644572459E-2</c:v>
                </c:pt>
                <c:pt idx="28">
                  <c:v>3.6334574964673294E-2</c:v>
                </c:pt>
                <c:pt idx="29">
                  <c:v>3.634671191592944E-2</c:v>
                </c:pt>
                <c:pt idx="30">
                  <c:v>3.9775118012210786E-2</c:v>
                </c:pt>
                <c:pt idx="31">
                  <c:v>3.8569811405780155E-2</c:v>
                </c:pt>
                <c:pt idx="32">
                  <c:v>3.7435405187963094E-2</c:v>
                </c:pt>
                <c:pt idx="33">
                  <c:v>3.6365822182592718E-2</c:v>
                </c:pt>
                <c:pt idx="34">
                  <c:v>3.636755881772924E-2</c:v>
                </c:pt>
                <c:pt idx="35">
                  <c:v>3.6366588324356248E-2</c:v>
                </c:pt>
                <c:pt idx="36">
                  <c:v>3.6355199390593236E-2</c:v>
                </c:pt>
                <c:pt idx="37">
                  <c:v>3.633161641935851E-2</c:v>
                </c:pt>
                <c:pt idx="38">
                  <c:v>3.8096305409486275E-2</c:v>
                </c:pt>
                <c:pt idx="39">
                  <c:v>3.7167127228767097E-2</c:v>
                </c:pt>
                <c:pt idx="40">
                  <c:v>3.6282195628082166E-2</c:v>
                </c:pt>
                <c:pt idx="41">
                  <c:v>3.6279176781420654E-2</c:v>
                </c:pt>
                <c:pt idx="42">
                  <c:v>3.6283225046935014E-2</c:v>
                </c:pt>
                <c:pt idx="43">
                  <c:v>3.6289407157820364E-2</c:v>
                </c:pt>
                <c:pt idx="44">
                  <c:v>3.6291033297158638E-2</c:v>
                </c:pt>
                <c:pt idx="45">
                  <c:v>3.7820999080266308E-2</c:v>
                </c:pt>
                <c:pt idx="46">
                  <c:v>3.703306159942743E-2</c:v>
                </c:pt>
                <c:pt idx="47">
                  <c:v>3.627728483209218E-2</c:v>
                </c:pt>
                <c:pt idx="48">
                  <c:v>3.6269264682914581E-2</c:v>
                </c:pt>
                <c:pt idx="49">
                  <c:v>3.6269511455077126E-2</c:v>
                </c:pt>
                <c:pt idx="50">
                  <c:v>3.6271751660644183E-2</c:v>
                </c:pt>
                <c:pt idx="51">
                  <c:v>3.6277769720063399E-2</c:v>
                </c:pt>
                <c:pt idx="52">
                  <c:v>3.7638981866194854E-2</c:v>
                </c:pt>
                <c:pt idx="53">
                  <c:v>3.6954636741354949E-2</c:v>
                </c:pt>
                <c:pt idx="54">
                  <c:v>3.6294732513830752E-2</c:v>
                </c:pt>
                <c:pt idx="55">
                  <c:v>3.6300184730096587E-2</c:v>
                </c:pt>
                <c:pt idx="56">
                  <c:v>3.6307246800571416E-2</c:v>
                </c:pt>
                <c:pt idx="57">
                  <c:v>3.6314132562966707E-2</c:v>
                </c:pt>
                <c:pt idx="58">
                  <c:v>3.6320850838977403E-2</c:v>
                </c:pt>
                <c:pt idx="59">
                  <c:v>3.7536323309983397E-2</c:v>
                </c:pt>
                <c:pt idx="60">
                  <c:v>3.6930898740467531E-2</c:v>
                </c:pt>
                <c:pt idx="61">
                  <c:v>3.6344693998555347E-2</c:v>
                </c:pt>
                <c:pt idx="62">
                  <c:v>3.6350748025654744E-2</c:v>
                </c:pt>
                <c:pt idx="63">
                  <c:v>3.6358221474497979E-2</c:v>
                </c:pt>
                <c:pt idx="64">
                  <c:v>3.6362475002325839E-2</c:v>
                </c:pt>
                <c:pt idx="65">
                  <c:v>3.6368159339035887E-2</c:v>
                </c:pt>
                <c:pt idx="66">
                  <c:v>3.7441202012194308E-2</c:v>
                </c:pt>
                <c:pt idx="67">
                  <c:v>3.689857589607555E-2</c:v>
                </c:pt>
                <c:pt idx="68">
                  <c:v>3.6371453383274473E-2</c:v>
                </c:pt>
                <c:pt idx="69">
                  <c:v>3.6374062798183608E-2</c:v>
                </c:pt>
                <c:pt idx="70">
                  <c:v>3.6378049778142962E-2</c:v>
                </c:pt>
                <c:pt idx="71">
                  <c:v>3.6379218645296925E-2</c:v>
                </c:pt>
                <c:pt idx="72">
                  <c:v>3.6380405470030346E-2</c:v>
                </c:pt>
                <c:pt idx="73">
                  <c:v>3.7354161822671372E-2</c:v>
                </c:pt>
                <c:pt idx="74">
                  <c:v>3.6862659693425698E-2</c:v>
                </c:pt>
                <c:pt idx="75">
                  <c:v>3.6383923853251336E-2</c:v>
                </c:pt>
                <c:pt idx="76">
                  <c:v>3.6390345669029114E-2</c:v>
                </c:pt>
                <c:pt idx="77">
                  <c:v>3.6395376571746761E-2</c:v>
                </c:pt>
                <c:pt idx="78">
                  <c:v>3.6396548374943882E-2</c:v>
                </c:pt>
                <c:pt idx="79">
                  <c:v>3.6398981096532362E-2</c:v>
                </c:pt>
                <c:pt idx="80">
                  <c:v>3.7300722640812231E-2</c:v>
                </c:pt>
                <c:pt idx="81">
                  <c:v>3.685131634393498E-2</c:v>
                </c:pt>
                <c:pt idx="82">
                  <c:v>3.6412610196983372E-2</c:v>
                </c:pt>
                <c:pt idx="83">
                  <c:v>3.6417070991931644E-2</c:v>
                </c:pt>
                <c:pt idx="84">
                  <c:v>3.6421471401175687E-2</c:v>
                </c:pt>
                <c:pt idx="85">
                  <c:v>3.6425813511323443E-2</c:v>
                </c:pt>
                <c:pt idx="86">
                  <c:v>3.6430099314137945E-2</c:v>
                </c:pt>
                <c:pt idx="87">
                  <c:v>3.7261447424493679E-2</c:v>
                </c:pt>
                <c:pt idx="88">
                  <c:v>3.6847431341999304E-2</c:v>
                </c:pt>
                <c:pt idx="89">
                  <c:v>3.6442514514065244E-2</c:v>
                </c:pt>
                <c:pt idx="90">
                  <c:v>3.6446594611787564E-2</c:v>
                </c:pt>
                <c:pt idx="91">
                  <c:v>3.6449552591614878E-2</c:v>
                </c:pt>
                <c:pt idx="92">
                  <c:v>3.6452487116736647E-2</c:v>
                </c:pt>
                <c:pt idx="93">
                  <c:v>3.6455398931775788E-2</c:v>
                </c:pt>
                <c:pt idx="94">
                  <c:v>3.7606189422610958E-2</c:v>
                </c:pt>
                <c:pt idx="95">
                  <c:v>3.7218496748151052E-2</c:v>
                </c:pt>
                <c:pt idx="96">
                  <c:v>3.6838716169088286E-2</c:v>
                </c:pt>
                <c:pt idx="97">
                  <c:v>3.6466607924956082E-2</c:v>
                </c:pt>
                <c:pt idx="98">
                  <c:v>3.6469418554543331E-2</c:v>
                </c:pt>
                <c:pt idx="99">
                  <c:v>3.6472210298825018E-2</c:v>
                </c:pt>
                <c:pt idx="100">
                  <c:v>3.6474983716932294E-2</c:v>
                </c:pt>
                <c:pt idx="101">
                  <c:v>3.719150271598573E-2</c:v>
                </c:pt>
                <c:pt idx="102">
                  <c:v>3.6833892112947408E-2</c:v>
                </c:pt>
                <c:pt idx="103">
                  <c:v>3.6483093140443144E-2</c:v>
                </c:pt>
                <c:pt idx="104">
                  <c:v>3.6485799416932883E-2</c:v>
                </c:pt>
                <c:pt idx="105">
                  <c:v>3.6488489838682914E-2</c:v>
                </c:pt>
                <c:pt idx="106">
                  <c:v>3.6491164849580628E-2</c:v>
                </c:pt>
                <c:pt idx="107">
                  <c:v>3.6504103697647797E-2</c:v>
                </c:pt>
                <c:pt idx="108">
                  <c:v>3.7206033111899052E-2</c:v>
                </c:pt>
                <c:pt idx="109">
                  <c:v>3.6870843624404466E-2</c:v>
                </c:pt>
                <c:pt idx="110">
                  <c:v>3.6541639663472285E-2</c:v>
                </c:pt>
                <c:pt idx="111">
                  <c:v>3.6553813551879054E-2</c:v>
                </c:pt>
                <c:pt idx="112">
                  <c:v>3.6565808501692242E-2</c:v>
                </c:pt>
                <c:pt idx="113">
                  <c:v>3.6577629184452128E-2</c:v>
                </c:pt>
                <c:pt idx="114">
                  <c:v>3.6589280110610009E-2</c:v>
                </c:pt>
                <c:pt idx="115">
                  <c:v>3.7249194467693113E-2</c:v>
                </c:pt>
                <c:pt idx="116">
                  <c:v>3.6933523328136389E-2</c:v>
                </c:pt>
                <c:pt idx="117">
                  <c:v>3.6623157585883144E-2</c:v>
                </c:pt>
                <c:pt idx="118">
                  <c:v>3.6634172421808886E-2</c:v>
                </c:pt>
                <c:pt idx="119">
                  <c:v>3.6645037852649921E-2</c:v>
                </c:pt>
                <c:pt idx="120">
                  <c:v>3.6655757555674809E-2</c:v>
                </c:pt>
                <c:pt idx="121">
                  <c:v>3.6666335088566808E-2</c:v>
                </c:pt>
                <c:pt idx="122">
                  <c:v>3.7289044007031702E-2</c:v>
                </c:pt>
                <c:pt idx="123">
                  <c:v>3.6990731654975448E-2</c:v>
                </c:pt>
                <c:pt idx="124">
                  <c:v>3.6697154419618502E-2</c:v>
                </c:pt>
                <c:pt idx="125">
                  <c:v>3.6707197352548585E-2</c:v>
                </c:pt>
                <c:pt idx="126">
                  <c:v>3.671711425948021E-2</c:v>
                </c:pt>
                <c:pt idx="127">
                  <c:v>3.6726908074443648E-2</c:v>
                </c:pt>
                <c:pt idx="128">
                  <c:v>3.6736581641190716E-2</c:v>
                </c:pt>
                <c:pt idx="129">
                  <c:v>3.761610170577126E-2</c:v>
                </c:pt>
                <c:pt idx="130">
                  <c:v>3.7331131238303297E-2</c:v>
                </c:pt>
                <c:pt idx="131">
                  <c:v>3.7050446041022825E-2</c:v>
                </c:pt>
                <c:pt idx="132">
                  <c:v>3.6773950175045041E-2</c:v>
                </c:pt>
                <c:pt idx="133">
                  <c:v>3.6783063523882241E-2</c:v>
                </c:pt>
                <c:pt idx="134">
                  <c:v>3.6792071954602275E-2</c:v>
                </c:pt>
                <c:pt idx="135">
                  <c:v>3.6800977767690569E-2</c:v>
                </c:pt>
                <c:pt idx="136">
                  <c:v>3.7360741559354989E-2</c:v>
                </c:pt>
                <c:pt idx="137">
                  <c:v>3.7091959245978329E-2</c:v>
                </c:pt>
                <c:pt idx="138">
                  <c:v>3.6827016679935633E-2</c:v>
                </c:pt>
                <c:pt idx="139">
                  <c:v>3.6835534322041577E-2</c:v>
                </c:pt>
                <c:pt idx="140">
                  <c:v>3.6843959886845204E-2</c:v>
                </c:pt>
                <c:pt idx="141">
                  <c:v>3.6852295308922575E-2</c:v>
                </c:pt>
                <c:pt idx="142">
                  <c:v>3.6860542469110968E-2</c:v>
                </c:pt>
                <c:pt idx="143">
                  <c:v>3.7393445926305995E-2</c:v>
                </c:pt>
                <c:pt idx="144">
                  <c:v>3.7137326433660064E-2</c:v>
                </c:pt>
                <c:pt idx="145">
                  <c:v>3.6884691559961699E-2</c:v>
                </c:pt>
                <c:pt idx="146">
                  <c:v>3.6892604007479728E-2</c:v>
                </c:pt>
                <c:pt idx="147">
                  <c:v>3.6900436846273574E-2</c:v>
                </c:pt>
                <c:pt idx="148">
                  <c:v>3.6908191671268575E-2</c:v>
                </c:pt>
                <c:pt idx="149">
                  <c:v>3.6919964690285162E-2</c:v>
                </c:pt>
                <c:pt idx="150">
                  <c:v>3.7440688839737987E-2</c:v>
                </c:pt>
                <c:pt idx="151">
                  <c:v>3.7195978455164536E-2</c:v>
                </c:pt>
                <c:pt idx="152">
                  <c:v>3.6954446127533597E-2</c:v>
                </c:pt>
                <c:pt idx="153">
                  <c:v>3.6965722577556856E-2</c:v>
                </c:pt>
                <c:pt idx="154">
                  <c:v>3.6976880714073311E-2</c:v>
                </c:pt>
                <c:pt idx="155">
                  <c:v>3.6987922800611202E-2</c:v>
                </c:pt>
                <c:pt idx="156">
                  <c:v>3.6998851043395765E-2</c:v>
                </c:pt>
                <c:pt idx="157">
                  <c:v>3.7496695045403296E-2</c:v>
                </c:pt>
                <c:pt idx="158">
                  <c:v>3.7262340701369523E-2</c:v>
                </c:pt>
                <c:pt idx="159">
                  <c:v>3.7030897591423126E-2</c:v>
                </c:pt>
                <c:pt idx="160">
                  <c:v>3.704139190033947E-2</c:v>
                </c:pt>
                <c:pt idx="161">
                  <c:v>3.7289421087014031E-2</c:v>
                </c:pt>
                <c:pt idx="162">
                  <c:v>3.7062046568190773E-2</c:v>
                </c:pt>
                <c:pt idx="163">
                  <c:v>3.7072235822857541E-2</c:v>
                </c:pt>
                <c:pt idx="164">
                  <c:v>3.7549162846539884E-2</c:v>
                </c:pt>
                <c:pt idx="165">
                  <c:v>3.7324317560033654E-2</c:v>
                </c:pt>
                <c:pt idx="166">
                  <c:v>3.7102149003128693E-2</c:v>
                </c:pt>
                <c:pt idx="167">
                  <c:v>3.7111956856419222E-2</c:v>
                </c:pt>
                <c:pt idx="168">
                  <c:v>3.7121673452998841E-2</c:v>
                </c:pt>
                <c:pt idx="169">
                  <c:v>3.7131300396401279E-2</c:v>
                </c:pt>
                <c:pt idx="170">
                  <c:v>3.714083925286922E-2</c:v>
                </c:pt>
                <c:pt idx="171">
                  <c:v>3.7598570015752043E-2</c:v>
                </c:pt>
                <c:pt idx="172">
                  <c:v>3.7382486280029326E-2</c:v>
                </c:pt>
                <c:pt idx="173">
                  <c:v>3.7168872072714874E-2</c:v>
                </c:pt>
                <c:pt idx="174">
                  <c:v>3.7178073927329143E-2</c:v>
                </c:pt>
                <c:pt idx="175">
                  <c:v>3.7187194998871693E-2</c:v>
                </c:pt>
                <c:pt idx="176">
                  <c:v>3.7414195129555669E-2</c:v>
                </c:pt>
                <c:pt idx="177">
                  <c:v>3.7205177279669883E-2</c:v>
                </c:pt>
                <c:pt idx="178">
                  <c:v>3.7645228868325997E-2</c:v>
                </c:pt>
                <c:pt idx="179">
                  <c:v>3.7437244178445746E-2</c:v>
                </c:pt>
                <c:pt idx="180">
                  <c:v>3.7231545034608127E-2</c:v>
                </c:pt>
                <c:pt idx="181">
                  <c:v>3.7240209496768227E-2</c:v>
                </c:pt>
                <c:pt idx="182">
                  <c:v>3.7248802106880398E-2</c:v>
                </c:pt>
                <c:pt idx="183">
                  <c:v>3.725732403246311E-2</c:v>
                </c:pt>
                <c:pt idx="184">
                  <c:v>3.7265776415926911E-2</c:v>
                </c:pt>
                <c:pt idx="185">
                  <c:v>3.7689492747532666E-2</c:v>
                </c:pt>
                <c:pt idx="186">
                  <c:v>3.7489016722279833E-2</c:v>
                </c:pt>
                <c:pt idx="187">
                  <c:v>3.7290662136447661E-2</c:v>
                </c:pt>
                <c:pt idx="188">
                  <c:v>3.7298847632936678E-2</c:v>
                </c:pt>
                <c:pt idx="189">
                  <c:v>3.7306968941984903E-2</c:v>
                </c:pt>
                <c:pt idx="190">
                  <c:v>3.7315027068787199E-2</c:v>
                </c:pt>
                <c:pt idx="191">
                  <c:v>3.7329352343092669E-2</c:v>
                </c:pt>
                <c:pt idx="192">
                  <c:v>3.7756791456820302E-2</c:v>
                </c:pt>
                <c:pt idx="193">
                  <c:v>3.7563166885246864E-2</c:v>
                </c:pt>
                <c:pt idx="194">
                  <c:v>3.7371518074607854E-2</c:v>
                </c:pt>
                <c:pt idx="195">
                  <c:v>3.7385354566336966E-2</c:v>
                </c:pt>
                <c:pt idx="196">
                  <c:v>3.7399073401766667E-2</c:v>
                </c:pt>
                <c:pt idx="197">
                  <c:v>3.7412676357011294E-2</c:v>
                </c:pt>
                <c:pt idx="198">
                  <c:v>3.7426165172662527E-2</c:v>
                </c:pt>
                <c:pt idx="199">
                  <c:v>3.7838693972157604E-2</c:v>
                </c:pt>
                <c:pt idx="200">
                  <c:v>3.7651373704968703E-2</c:v>
                </c:pt>
                <c:pt idx="201">
                  <c:v>3.7465898957653593E-2</c:v>
                </c:pt>
                <c:pt idx="202">
                  <c:v>3.7478948250999101E-2</c:v>
                </c:pt>
                <c:pt idx="203">
                  <c:v>3.7491891601881419E-2</c:v>
                </c:pt>
                <c:pt idx="204">
                  <c:v>3.7504730555473209E-2</c:v>
                </c:pt>
                <c:pt idx="205">
                  <c:v>3.8099221661580918E-2</c:v>
                </c:pt>
                <c:pt idx="206">
                  <c:v>3.7916052326669468E-2</c:v>
                </c:pt>
                <c:pt idx="207">
                  <c:v>3.7734635808360048E-2</c:v>
                </c:pt>
                <c:pt idx="208">
                  <c:v>3.7554947066415476E-2</c:v>
                </c:pt>
                <c:pt idx="209">
                  <c:v>3.7567286770581472E-2</c:v>
                </c:pt>
                <c:pt idx="210">
                  <c:v>3.7579530740413918E-2</c:v>
                </c:pt>
                <c:pt idx="211">
                  <c:v>3.7591680326530555E-2</c:v>
                </c:pt>
                <c:pt idx="212">
                  <c:v>3.8166892610427335E-2</c:v>
                </c:pt>
                <c:pt idx="213">
                  <c:v>3.7989372179681159E-2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03-4309-8A3E-EC1C9D032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9023648"/>
        <c:axId val="239026048"/>
      </c:lineChart>
      <c:dateAx>
        <c:axId val="239023648"/>
        <c:scaling>
          <c:orientation val="minMax"/>
        </c:scaling>
        <c:delete val="0"/>
        <c:axPos val="b"/>
        <c:numFmt formatCode="[$-409]dd\-mmm\-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026048"/>
        <c:crosses val="autoZero"/>
        <c:auto val="1"/>
        <c:lblOffset val="100"/>
        <c:baseTimeUnit val="days"/>
      </c:dateAx>
      <c:valAx>
        <c:axId val="23902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023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http://www.facebook.com/CMEGroup" TargetMode="External"/><Relationship Id="rId2" Type="http://schemas.openxmlformats.org/officeDocument/2006/relationships/hyperlink" Target="http://twitter.com/CMEGroup" TargetMode="External"/><Relationship Id="rId1" Type="http://schemas.openxmlformats.org/officeDocument/2006/relationships/hyperlink" Target="https://www.youtube.com/user/cmegroup" TargetMode="External"/><Relationship Id="rId6" Type="http://schemas.openxmlformats.org/officeDocument/2006/relationships/hyperlink" Target="http://www.cmegroup.com/rss/" TargetMode="External"/><Relationship Id="rId5" Type="http://schemas.openxmlformats.org/officeDocument/2006/relationships/hyperlink" Target="http://instagram.com/cmegroup" TargetMode="External"/><Relationship Id="rId4" Type="http://schemas.openxmlformats.org/officeDocument/2006/relationships/hyperlink" Target="http://www.linkedin.com/company/cme-group" TargetMode="Externa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123924</xdr:colOff>
      <xdr:row>10</xdr:row>
      <xdr:rowOff>41251</xdr:rowOff>
    </xdr:from>
    <xdr:to>
      <xdr:col>22</xdr:col>
      <xdr:colOff>609600</xdr:colOff>
      <xdr:row>22</xdr:row>
      <xdr:rowOff>139701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03AC3A-484A-B748-98F3-E736F622DF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2433</xdr:row>
          <xdr:rowOff>0</xdr:rowOff>
        </xdr:from>
        <xdr:to>
          <xdr:col>16</xdr:col>
          <xdr:colOff>295275</xdr:colOff>
          <xdr:row>2436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Rates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7" name="AutoShape 1" descr="YouTube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41E7614D-4B0E-CA9A-5686-D255D5230411}"/>
            </a:ext>
          </a:extLst>
        </xdr:cNvPr>
        <xdr:cNvSpPr>
          <a:spLocks noChangeAspect="1" noChangeArrowheads="1"/>
        </xdr:cNvSpPr>
      </xdr:nvSpPr>
      <xdr:spPr bwMode="auto">
        <a:xfrm>
          <a:off x="0" y="605885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8" name="AutoShape 2" descr="Twitter">
          <a:hlinkClick xmlns:r="http://schemas.openxmlformats.org/officeDocument/2006/relationships" r:id="rId2" tgtFrame="_blank"/>
          <a:extLst>
            <a:ext uri="{FF2B5EF4-FFF2-40B4-BE49-F238E27FC236}">
              <a16:creationId xmlns:a16="http://schemas.microsoft.com/office/drawing/2014/main" id="{A2D55FF8-0B42-BDFF-F250-E714844CF865}"/>
            </a:ext>
          </a:extLst>
        </xdr:cNvPr>
        <xdr:cNvSpPr>
          <a:spLocks noChangeAspect="1" noChangeArrowheads="1"/>
        </xdr:cNvSpPr>
      </xdr:nvSpPr>
      <xdr:spPr bwMode="auto">
        <a:xfrm>
          <a:off x="0" y="609885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9" name="AutoShape 3" descr="Facebook">
          <a:hlinkClick xmlns:r="http://schemas.openxmlformats.org/officeDocument/2006/relationships" r:id="rId3" tgtFrame="_blank"/>
          <a:extLst>
            <a:ext uri="{FF2B5EF4-FFF2-40B4-BE49-F238E27FC236}">
              <a16:creationId xmlns:a16="http://schemas.microsoft.com/office/drawing/2014/main" id="{48BDF19E-06BF-DD01-718A-20F094C0CABD}"/>
            </a:ext>
          </a:extLst>
        </xdr:cNvPr>
        <xdr:cNvSpPr>
          <a:spLocks noChangeAspect="1" noChangeArrowheads="1"/>
        </xdr:cNvSpPr>
      </xdr:nvSpPr>
      <xdr:spPr bwMode="auto">
        <a:xfrm>
          <a:off x="0" y="613886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0" name="AutoShape 4" descr="LinkedIn">
          <a:hlinkClick xmlns:r="http://schemas.openxmlformats.org/officeDocument/2006/relationships" r:id="rId4" tgtFrame="_blank"/>
          <a:extLst>
            <a:ext uri="{FF2B5EF4-FFF2-40B4-BE49-F238E27FC236}">
              <a16:creationId xmlns:a16="http://schemas.microsoft.com/office/drawing/2014/main" id="{A4194A8F-EC17-99EC-9F7B-0A7FEC1DD86D}"/>
            </a:ext>
          </a:extLst>
        </xdr:cNvPr>
        <xdr:cNvSpPr>
          <a:spLocks noChangeAspect="1" noChangeArrowheads="1"/>
        </xdr:cNvSpPr>
      </xdr:nvSpPr>
      <xdr:spPr bwMode="auto">
        <a:xfrm>
          <a:off x="0" y="617886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1" name="AutoShape 5" descr="Instagram">
          <a:hlinkClick xmlns:r="http://schemas.openxmlformats.org/officeDocument/2006/relationships" r:id="rId5" tgtFrame="_blank"/>
          <a:extLst>
            <a:ext uri="{FF2B5EF4-FFF2-40B4-BE49-F238E27FC236}">
              <a16:creationId xmlns:a16="http://schemas.microsoft.com/office/drawing/2014/main" id="{71DDB3C6-B4E1-273A-0BD7-347EBDB08AFE}"/>
            </a:ext>
          </a:extLst>
        </xdr:cNvPr>
        <xdr:cNvSpPr>
          <a:spLocks noChangeAspect="1" noChangeArrowheads="1"/>
        </xdr:cNvSpPr>
      </xdr:nvSpPr>
      <xdr:spPr bwMode="auto">
        <a:xfrm>
          <a:off x="0" y="621887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2" name="AutoShape 6" descr="Rss">
          <a:hlinkClick xmlns:r="http://schemas.openxmlformats.org/officeDocument/2006/relationships" r:id="rId6" tgtFrame="_blank"/>
          <a:extLst>
            <a:ext uri="{FF2B5EF4-FFF2-40B4-BE49-F238E27FC236}">
              <a16:creationId xmlns:a16="http://schemas.microsoft.com/office/drawing/2014/main" id="{47DF9653-C512-3775-5330-9F229C1CA561}"/>
            </a:ext>
          </a:extLst>
        </xdr:cNvPr>
        <xdr:cNvSpPr>
          <a:spLocks noChangeAspect="1" noChangeArrowheads="1"/>
        </xdr:cNvSpPr>
      </xdr:nvSpPr>
      <xdr:spPr bwMode="auto">
        <a:xfrm>
          <a:off x="0" y="625887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3" name="AutoShape 7" descr="facebook sharing button">
          <a:extLst>
            <a:ext uri="{FF2B5EF4-FFF2-40B4-BE49-F238E27FC236}">
              <a16:creationId xmlns:a16="http://schemas.microsoft.com/office/drawing/2014/main" id="{1B7DC06A-D8CE-E5AD-36E4-FC42B46F1307}"/>
            </a:ext>
          </a:extLst>
        </xdr:cNvPr>
        <xdr:cNvSpPr>
          <a:spLocks noChangeAspect="1" noChangeArrowheads="1"/>
        </xdr:cNvSpPr>
      </xdr:nvSpPr>
      <xdr:spPr bwMode="auto">
        <a:xfrm>
          <a:off x="0" y="7368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4" name="AutoShape 8" descr="email sharing button">
          <a:extLst>
            <a:ext uri="{FF2B5EF4-FFF2-40B4-BE49-F238E27FC236}">
              <a16:creationId xmlns:a16="http://schemas.microsoft.com/office/drawing/2014/main" id="{DAE4E118-97DE-32AA-F102-D63C703FD194}"/>
            </a:ext>
          </a:extLst>
        </xdr:cNvPr>
        <xdr:cNvSpPr>
          <a:spLocks noChangeAspect="1" noChangeArrowheads="1"/>
        </xdr:cNvSpPr>
      </xdr:nvSpPr>
      <xdr:spPr bwMode="auto">
        <a:xfrm>
          <a:off x="0" y="7388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5" name="AutoShape 9" descr="print sharing button">
          <a:extLst>
            <a:ext uri="{FF2B5EF4-FFF2-40B4-BE49-F238E27FC236}">
              <a16:creationId xmlns:a16="http://schemas.microsoft.com/office/drawing/2014/main" id="{34EC79DB-6EC3-EDE4-20EE-D69CB7915A05}"/>
            </a:ext>
          </a:extLst>
        </xdr:cNvPr>
        <xdr:cNvSpPr>
          <a:spLocks noChangeAspect="1" noChangeArrowheads="1"/>
        </xdr:cNvSpPr>
      </xdr:nvSpPr>
      <xdr:spPr bwMode="auto">
        <a:xfrm>
          <a:off x="0" y="7408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6" name="AutoShape 10" descr="whatsapp sharing button">
          <a:extLst>
            <a:ext uri="{FF2B5EF4-FFF2-40B4-BE49-F238E27FC236}">
              <a16:creationId xmlns:a16="http://schemas.microsoft.com/office/drawing/2014/main" id="{3EE09BB9-5209-051C-69AE-86C10B5E9237}"/>
            </a:ext>
          </a:extLst>
        </xdr:cNvPr>
        <xdr:cNvSpPr>
          <a:spLocks noChangeAspect="1" noChangeArrowheads="1"/>
        </xdr:cNvSpPr>
      </xdr:nvSpPr>
      <xdr:spPr bwMode="auto">
        <a:xfrm>
          <a:off x="0" y="7428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7" name="AutoShape 11" descr="pinterest sharing button">
          <a:extLst>
            <a:ext uri="{FF2B5EF4-FFF2-40B4-BE49-F238E27FC236}">
              <a16:creationId xmlns:a16="http://schemas.microsoft.com/office/drawing/2014/main" id="{D5E55D39-DD41-ADFC-B94E-171A47F2774D}"/>
            </a:ext>
          </a:extLst>
        </xdr:cNvPr>
        <xdr:cNvSpPr>
          <a:spLocks noChangeAspect="1" noChangeArrowheads="1"/>
        </xdr:cNvSpPr>
      </xdr:nvSpPr>
      <xdr:spPr bwMode="auto">
        <a:xfrm>
          <a:off x="0" y="7448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285750</xdr:colOff>
      <xdr:row>2</xdr:row>
      <xdr:rowOff>147637</xdr:rowOff>
    </xdr:from>
    <xdr:to>
      <xdr:col>13</xdr:col>
      <xdr:colOff>57150</xdr:colOff>
      <xdr:row>16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9AFB4D-AEC8-628C-6700-14140C31AA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7436B3-707B-4C86-96EA-D911A30B7555}" name="Table2" displayName="Table2" ref="A1:G52" totalsRowShown="0" headerRowDxfId="12" tableBorderDxfId="11">
  <autoFilter ref="A1:G52" xr:uid="{437436B3-707B-4C86-96EA-D911A30B7555}"/>
  <tableColumns count="7">
    <tableColumn id="1" xr3:uid="{05B0BC80-930A-4DFE-90A2-1EED146C279B}" name="SYMBOL" dataDxfId="10"/>
    <tableColumn id="2" xr3:uid="{7C145D74-5476-492A-BA32-F8CD1234BA55}" name="TYPE" dataDxfId="9"/>
    <tableColumn id="3" xr3:uid="{F07E2AC5-2C7B-4707-BEED-0635F95059B3}" name="EXCHANGE" dataDxfId="8"/>
    <tableColumn id="4" xr3:uid="{A79C72F6-2255-4A14-B621-B5B85AE3F49D}" name="MONTH" dataDxfId="7"/>
    <tableColumn id="5" xr3:uid="{02B013FC-3670-47C1-ABA2-1583C3275EC6}" name="BID PRICE" dataDxfId="6" dataCellStyle="Comma"/>
    <tableColumn id="6" xr3:uid="{3F831938-B03F-4EFB-A4A2-EF246F46EB2C}" name="ASK PRICE" dataDxfId="5" dataCellStyle="Comma"/>
    <tableColumn id="7" xr3:uid="{42EBB0D6-41B1-4DD2-91A1-A0CDAF337621}" name="LAST PRICE" dataDxfId="4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2F3C1CD-89BC-497B-9FED-0ACB23903403}" name="Table1" displayName="Table1" ref="A1:B11" totalsRowShown="0" headerRowDxfId="3" tableBorderDxfId="2">
  <autoFilter ref="A1:B11" xr:uid="{B2F3C1CD-89BC-497B-9FED-0ACB23903403}"/>
  <tableColumns count="2">
    <tableColumn id="1" xr3:uid="{8D11F31F-01C5-45B8-A060-0690FE53F813}" name="Keys" dataDxfId="1"/>
    <tableColumn id="2" xr3:uid="{24603D73-1E05-4ACA-9CB6-F78DEE1FFAE1}" name="Valu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newyorkfed.org/markets/reference-rates/effr" TargetMode="External"/><Relationship Id="rId3" Type="http://schemas.openxmlformats.org/officeDocument/2006/relationships/hyperlink" Target="https://www.cmegroup.com/tools-information/quikstrike/short-term-interest-rate-analytics.html" TargetMode="External"/><Relationship Id="rId7" Type="http://schemas.openxmlformats.org/officeDocument/2006/relationships/hyperlink" Target="https://www.newyorkfed.org/markets/reference-rates/sofr" TargetMode="External"/><Relationship Id="rId12" Type="http://schemas.openxmlformats.org/officeDocument/2006/relationships/ctrlProp" Target="../ctrlProps/ctrlProp1.xml"/><Relationship Id="rId2" Type="http://schemas.openxmlformats.org/officeDocument/2006/relationships/hyperlink" Target="https://apps.newyorkfed.org/markets/autorates/fed%20funds" TargetMode="External"/><Relationship Id="rId1" Type="http://schemas.openxmlformats.org/officeDocument/2006/relationships/hyperlink" Target="https://apps.newyorkfed.org/markets/autorates/fed%20funds" TargetMode="External"/><Relationship Id="rId6" Type="http://schemas.openxmlformats.org/officeDocument/2006/relationships/hyperlink" Target="https://apps.newyorkfed.org/markets/autorates/fed%20funds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https://www.cmegroup.com/trading/interest-rates/settlements.html" TargetMode="External"/><Relationship Id="rId10" Type="http://schemas.openxmlformats.org/officeDocument/2006/relationships/drawing" Target="../drawings/drawing2.xml"/><Relationship Id="rId4" Type="http://schemas.openxmlformats.org/officeDocument/2006/relationships/hyperlink" Target="https://www.cmegroup.com/education/files/sofr-futures-settlement-calculation-methodologies.pdf" TargetMode="External"/><Relationship Id="rId9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www.cmegroup.com/markets/interest-rates/stirs/three-month-sofr.calendar.html" TargetMode="External"/><Relationship Id="rId1" Type="http://schemas.openxmlformats.org/officeDocument/2006/relationships/hyperlink" Target="https://www.cmegroup.com/trading/interest-rates/settlements.html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frbservices.org/assets/central-bank/reserves-central/calendars-weekly.pdf" TargetMode="External"/><Relationship Id="rId2" Type="http://schemas.openxmlformats.org/officeDocument/2006/relationships/hyperlink" Target="https://www.federalreserve.gov/newsevents/calendar.htm" TargetMode="External"/><Relationship Id="rId1" Type="http://schemas.openxmlformats.org/officeDocument/2006/relationships/hyperlink" Target="https://www.federalreserve.gov/monetarypolicy/fomccalendars.htm" TargetMode="External"/><Relationship Id="rId5" Type="http://schemas.openxmlformats.org/officeDocument/2006/relationships/hyperlink" Target="https://www.federalreserve.gov/aboutthefed/k8.htm" TargetMode="External"/><Relationship Id="rId4" Type="http://schemas.openxmlformats.org/officeDocument/2006/relationships/hyperlink" Target="https://www.sifma.org/resources/general/holiday-schedule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megroup.com/trading/interest-rates/stir/30-day-federal-fund.html" TargetMode="External"/><Relationship Id="rId7" Type="http://schemas.openxmlformats.org/officeDocument/2006/relationships/table" Target="../tables/table2.xml"/><Relationship Id="rId2" Type="http://schemas.openxmlformats.org/officeDocument/2006/relationships/hyperlink" Target="https://www.cmegroup.com/trading/interest-rates/stir/one-month-sofr.html" TargetMode="External"/><Relationship Id="rId1" Type="http://schemas.openxmlformats.org/officeDocument/2006/relationships/hyperlink" Target="https://www.cmegroup.com/trading/interest-rates/stir/three-month-sofr.html" TargetMode="External"/><Relationship Id="rId6" Type="http://schemas.openxmlformats.org/officeDocument/2006/relationships/hyperlink" Target="https://apps.newyorkfed.org/markets/autorates/fed%20funds" TargetMode="External"/><Relationship Id="rId5" Type="http://schemas.openxmlformats.org/officeDocument/2006/relationships/hyperlink" Target="https://apps.newyorkfed.org/markets/autorates/sofr" TargetMode="External"/><Relationship Id="rId4" Type="http://schemas.openxmlformats.org/officeDocument/2006/relationships/hyperlink" Target="https://www.cmegroup.com/trading/interest-rates/stir/eurodollar.html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6FB21-A992-6048-BC89-0C919D38CF2D}">
  <sheetPr codeName="Sheet1">
    <pageSetUpPr fitToPage="1"/>
  </sheetPr>
  <dimension ref="A1:X27"/>
  <sheetViews>
    <sheetView tabSelected="1" zoomScale="75" zoomScaleNormal="75" workbookViewId="0">
      <selection activeCell="J7" sqref="J7"/>
    </sheetView>
  </sheetViews>
  <sheetFormatPr defaultColWidth="10.875" defaultRowHeight="15"/>
  <cols>
    <col min="1" max="1" width="10.625" style="18" customWidth="1"/>
    <col min="2" max="6" width="10.625" style="17" customWidth="1"/>
    <col min="7" max="7" width="15" style="17" bestFit="1" customWidth="1"/>
    <col min="8" max="9" width="10.625" style="17" customWidth="1"/>
    <col min="10" max="10" width="10.625" style="18" customWidth="1"/>
    <col min="11" max="12" width="10.625" style="17" hidden="1" customWidth="1"/>
    <col min="13" max="13" width="10.625" style="18" customWidth="1"/>
    <col min="14" max="14" width="10.625" style="17" hidden="1" customWidth="1"/>
    <col min="15" max="15" width="15" style="17" hidden="1" customWidth="1"/>
    <col min="16" max="20" width="10.625" style="17" customWidth="1"/>
    <col min="21" max="21" width="16.75" style="17" customWidth="1"/>
    <col min="22" max="22" width="11.375" style="17" customWidth="1"/>
    <col min="23" max="23" width="10.625" style="17" bestFit="1" customWidth="1"/>
    <col min="24" max="24" width="12" style="17" customWidth="1"/>
    <col min="25" max="16384" width="10.875" style="17"/>
  </cols>
  <sheetData>
    <row r="1" spans="1:24" ht="15.75" thickBot="1">
      <c r="A1" s="316">
        <f ca="1">NOW()</f>
        <v>46255.624531365742</v>
      </c>
      <c r="B1" s="467" t="s">
        <v>26</v>
      </c>
      <c r="C1" s="468"/>
      <c r="D1" s="22" t="s">
        <v>128</v>
      </c>
      <c r="E1" s="467" t="s">
        <v>27</v>
      </c>
      <c r="F1" s="468"/>
      <c r="G1" s="22" t="s">
        <v>78</v>
      </c>
      <c r="H1" s="467" t="s">
        <v>30</v>
      </c>
      <c r="I1" s="468"/>
      <c r="K1" s="380" t="s">
        <v>91</v>
      </c>
      <c r="L1" s="381"/>
      <c r="M1" s="381"/>
      <c r="N1" s="381"/>
      <c r="O1" s="382"/>
      <c r="P1" s="469" t="str">
        <f>B1</f>
        <v>FED FUNDS</v>
      </c>
      <c r="Q1" s="470"/>
      <c r="R1" s="470"/>
      <c r="S1" s="470"/>
      <c r="T1" s="471"/>
      <c r="U1" s="345" t="str">
        <f>PYTHON!A15</f>
        <v>cd git-crypto/crypto-project/apps</v>
      </c>
    </row>
    <row r="2" spans="1:24" s="31" customFormat="1" ht="15.75" thickBot="1">
      <c r="A2" s="317">
        <f ca="1">NOW()</f>
        <v>46255.624531365742</v>
      </c>
      <c r="B2" s="24" t="s">
        <v>24</v>
      </c>
      <c r="C2" s="25" t="s">
        <v>25</v>
      </c>
      <c r="D2" s="26" t="s">
        <v>27</v>
      </c>
      <c r="E2" s="24" t="s">
        <v>24</v>
      </c>
      <c r="F2" s="25" t="s">
        <v>25</v>
      </c>
      <c r="G2" s="27" t="s">
        <v>64</v>
      </c>
      <c r="H2" s="24" t="s">
        <v>24</v>
      </c>
      <c r="I2" s="25" t="s">
        <v>25</v>
      </c>
      <c r="J2" s="23"/>
      <c r="K2" s="28" t="s">
        <v>89</v>
      </c>
      <c r="L2" s="29" t="s">
        <v>117</v>
      </c>
      <c r="M2" s="251" t="s">
        <v>166</v>
      </c>
      <c r="N2" s="29" t="s">
        <v>76</v>
      </c>
      <c r="O2" s="30" t="s">
        <v>116</v>
      </c>
      <c r="P2" s="28" t="s">
        <v>166</v>
      </c>
      <c r="Q2" s="29" t="s">
        <v>210</v>
      </c>
      <c r="R2" s="29" t="s">
        <v>203</v>
      </c>
      <c r="S2" s="29" t="s">
        <v>204</v>
      </c>
      <c r="T2" s="30" t="s">
        <v>205</v>
      </c>
      <c r="U2" s="345" t="str">
        <f>PYTHON!A16</f>
        <v>python App_Stream_ShortRates.py</v>
      </c>
    </row>
    <row r="3" spans="1:24">
      <c r="A3" s="38">
        <v>46174</v>
      </c>
      <c r="B3" s="95"/>
      <c r="C3" s="34"/>
      <c r="D3" s="286"/>
      <c r="E3" s="33"/>
      <c r="F3" s="34"/>
      <c r="G3" s="325">
        <f ca="1">'3M SOFR CALCS'!F36</f>
        <v>-7.0745601097144117E-4</v>
      </c>
      <c r="H3" s="33">
        <f>INPUT!H37</f>
        <v>96.355000000000004</v>
      </c>
      <c r="I3" s="34">
        <f t="shared" ref="I3:I9" si="0">100-H3</f>
        <v>3.644999999999996</v>
      </c>
      <c r="J3" s="32">
        <f t="shared" ref="J3:J9" si="1">A3</f>
        <v>46174</v>
      </c>
      <c r="K3" s="35"/>
      <c r="L3" s="36"/>
      <c r="M3" s="252"/>
      <c r="N3" s="36"/>
      <c r="O3" s="37"/>
      <c r="P3" s="413"/>
      <c r="Q3" s="414"/>
      <c r="R3" s="409"/>
      <c r="S3" s="36"/>
      <c r="T3" s="37"/>
      <c r="U3" s="40"/>
      <c r="V3" s="40"/>
      <c r="W3" s="386"/>
      <c r="X3" s="379"/>
    </row>
    <row r="4" spans="1:24">
      <c r="A4" s="38">
        <v>46204</v>
      </c>
      <c r="B4" s="44"/>
      <c r="C4" s="45"/>
      <c r="D4" s="145"/>
      <c r="E4" s="44"/>
      <c r="F4" s="45"/>
      <c r="G4" s="326">
        <f ca="1">'3M SOFR CALCS'!F37</f>
        <v>-8.1939402440696085E-3</v>
      </c>
      <c r="H4" s="44">
        <f>INPUT!H38</f>
        <v>96.314999999999998</v>
      </c>
      <c r="I4" s="45">
        <f t="shared" si="0"/>
        <v>3.6850000000000023</v>
      </c>
      <c r="J4" s="38">
        <f t="shared" si="1"/>
        <v>46204</v>
      </c>
      <c r="K4" s="39"/>
      <c r="L4" s="40"/>
      <c r="M4" s="295"/>
      <c r="N4" s="40"/>
      <c r="O4" s="41"/>
      <c r="P4" s="373"/>
      <c r="Q4" s="40"/>
      <c r="R4" s="372"/>
      <c r="S4" s="40"/>
      <c r="T4" s="41">
        <f>T3+S4</f>
        <v>0</v>
      </c>
      <c r="U4" s="40">
        <v>3.9999999999807301E-2</v>
      </c>
      <c r="V4" s="40">
        <f t="shared" ref="V4:V9" si="2">U4-T4</f>
        <v>3.9999999999807301E-2</v>
      </c>
      <c r="W4" s="18"/>
    </row>
    <row r="5" spans="1:24">
      <c r="A5" s="38">
        <v>46235</v>
      </c>
      <c r="B5" s="44">
        <f>INPUT!H2</f>
        <v>96.37</v>
      </c>
      <c r="C5" s="45">
        <f t="shared" ref="C5:C9" si="3">100-B5</f>
        <v>3.6299999999999955</v>
      </c>
      <c r="D5" s="145">
        <f t="shared" ref="D5:D9" si="4">B5-E5</f>
        <v>1.0000000000005116E-2</v>
      </c>
      <c r="E5" s="44">
        <f>INPUT!H19</f>
        <v>96.36</v>
      </c>
      <c r="F5" s="45">
        <f t="shared" ref="F5:F9" si="5">100-E5</f>
        <v>3.6400000000000006</v>
      </c>
      <c r="G5" s="326">
        <f ca="1">'3M SOFR CALCS'!F38</f>
        <v>-5.3066151170924059E-3</v>
      </c>
      <c r="H5" s="44">
        <f>INPUT!H39</f>
        <v>96.26</v>
      </c>
      <c r="I5" s="45">
        <f>100-H5</f>
        <v>3.7399999999999949</v>
      </c>
      <c r="J5" s="38">
        <f t="shared" si="1"/>
        <v>46235</v>
      </c>
      <c r="K5" s="39"/>
      <c r="L5" s="40"/>
      <c r="M5" s="295"/>
      <c r="N5" s="40"/>
      <c r="O5" s="41"/>
      <c r="P5" s="411"/>
      <c r="Q5" s="412">
        <f>'DAILY EXTRAPOLATION'!K2448</f>
        <v>3.6299999999999955</v>
      </c>
      <c r="R5" s="40"/>
      <c r="S5" s="40"/>
      <c r="T5" s="41">
        <f t="shared" ref="T5:T9" si="6">T4+S5</f>
        <v>0</v>
      </c>
      <c r="U5" s="40">
        <v>3.9999999999807301E-2</v>
      </c>
      <c r="V5" s="40">
        <f t="shared" si="2"/>
        <v>3.9999999999807301E-2</v>
      </c>
      <c r="W5" s="18"/>
      <c r="X5" s="40"/>
    </row>
    <row r="6" spans="1:24">
      <c r="A6" s="32">
        <v>46266</v>
      </c>
      <c r="B6" s="95">
        <f>INPUT!H3</f>
        <v>96.32</v>
      </c>
      <c r="C6" s="34">
        <f t="shared" si="3"/>
        <v>3.6800000000000068</v>
      </c>
      <c r="D6" s="286">
        <f t="shared" si="4"/>
        <v>9.9999999999909051E-3</v>
      </c>
      <c r="E6" s="33">
        <f>INPUT!H20</f>
        <v>96.31</v>
      </c>
      <c r="F6" s="34">
        <f t="shared" si="5"/>
        <v>3.6899999999999977</v>
      </c>
      <c r="G6" s="325">
        <f ca="1">'3M SOFR CALCS'!F39</f>
        <v>-3.2023912831675716E-3</v>
      </c>
      <c r="H6" s="33">
        <f>INPUT!H40</f>
        <v>96.197500000000005</v>
      </c>
      <c r="I6" s="34">
        <f>100-H6</f>
        <v>3.8024999999999949</v>
      </c>
      <c r="J6" s="32">
        <f t="shared" si="1"/>
        <v>46266</v>
      </c>
      <c r="K6" s="35"/>
      <c r="L6" s="36"/>
      <c r="M6" s="252" t="s">
        <v>133</v>
      </c>
      <c r="N6" s="36"/>
      <c r="O6" s="37"/>
      <c r="P6" s="413">
        <f ca="1">'DAILY EXTRAPOLATION'!K2495</f>
        <v>3.636562500000013</v>
      </c>
      <c r="Q6" s="414"/>
      <c r="R6" s="409">
        <f ca="1">'DAILY EXTRAPOLATION'!K2477</f>
        <v>3.7296428571428568</v>
      </c>
      <c r="S6" s="36">
        <f ca="1">R6-Q5</f>
        <v>9.9642857142861363E-2</v>
      </c>
      <c r="T6" s="37">
        <f t="shared" ca="1" si="6"/>
        <v>9.9642857142861363E-2</v>
      </c>
      <c r="U6" s="40">
        <v>0.21196428571408532</v>
      </c>
      <c r="V6" s="40">
        <f t="shared" ca="1" si="2"/>
        <v>0.11232142857122396</v>
      </c>
      <c r="W6" s="18"/>
    </row>
    <row r="7" spans="1:24">
      <c r="A7" s="38">
        <v>46296</v>
      </c>
      <c r="B7" s="44">
        <f>INPUT!H4</f>
        <v>96.265000000000001</v>
      </c>
      <c r="C7" s="45">
        <f>100-B7</f>
        <v>3.7349999999999994</v>
      </c>
      <c r="D7" s="145">
        <f>B7-E7</f>
        <v>1.9999999999996021E-2</v>
      </c>
      <c r="E7" s="44">
        <f>INPUT!H21</f>
        <v>96.245000000000005</v>
      </c>
      <c r="F7" s="45">
        <f>100-E7</f>
        <v>3.7549999999999955</v>
      </c>
      <c r="G7" s="391">
        <v>2027</v>
      </c>
      <c r="H7" s="44">
        <f>INPUT!H41</f>
        <v>96.13</v>
      </c>
      <c r="I7" s="45">
        <f t="shared" si="0"/>
        <v>3.8700000000000045</v>
      </c>
      <c r="J7" s="38">
        <f t="shared" si="1"/>
        <v>46296</v>
      </c>
      <c r="K7" s="39"/>
      <c r="L7" s="40"/>
      <c r="M7" s="295" t="s">
        <v>132</v>
      </c>
      <c r="N7" s="40"/>
      <c r="O7" s="41"/>
      <c r="P7" s="373">
        <f ca="1">'DAILY EXTRAPOLATION'!K2525</f>
        <v>3.7296428571428568</v>
      </c>
      <c r="Q7" s="40"/>
      <c r="R7" s="372">
        <f>'DAILY EXTRAPOLATION'!K2507</f>
        <v>3.7849999999999966</v>
      </c>
      <c r="S7" s="40">
        <f ca="1">R7-P7</f>
        <v>5.5357142857139774E-2</v>
      </c>
      <c r="T7" s="41">
        <f t="shared" ca="1" si="6"/>
        <v>0.15500000000000114</v>
      </c>
      <c r="U7" s="40">
        <v>0.29499999999980275</v>
      </c>
      <c r="V7" s="40">
        <f t="shared" ca="1" si="2"/>
        <v>0.13999999999980162</v>
      </c>
      <c r="W7" s="18"/>
    </row>
    <row r="8" spans="1:24">
      <c r="A8" s="38">
        <v>46327</v>
      </c>
      <c r="B8" s="44">
        <f>INPUT!H5</f>
        <v>96.215000000000003</v>
      </c>
      <c r="C8" s="45">
        <f>100-B8</f>
        <v>3.7849999999999966</v>
      </c>
      <c r="D8" s="145">
        <f>B8-E8</f>
        <v>2.5000000000005684E-2</v>
      </c>
      <c r="E8" s="44">
        <f>INPUT!H22</f>
        <v>96.19</v>
      </c>
      <c r="F8" s="45">
        <f>100-E8</f>
        <v>3.8100000000000023</v>
      </c>
      <c r="G8" s="391">
        <v>2027</v>
      </c>
      <c r="H8" s="44">
        <f>INPUT!H42</f>
        <v>96.084999999999994</v>
      </c>
      <c r="I8" s="45">
        <f t="shared" ref="I8" si="7">100-H8</f>
        <v>3.9150000000000063</v>
      </c>
      <c r="J8" s="38">
        <f t="shared" si="1"/>
        <v>46327</v>
      </c>
      <c r="K8" s="39"/>
      <c r="L8" s="40"/>
      <c r="M8" s="295"/>
      <c r="N8" s="40"/>
      <c r="O8" s="41"/>
      <c r="P8" s="39"/>
      <c r="Q8" s="372">
        <f>'DAILY EXTRAPOLATION'!K2540</f>
        <v>3.7849999999999966</v>
      </c>
      <c r="R8" s="40"/>
      <c r="S8" s="40"/>
      <c r="T8" s="41">
        <f t="shared" ca="1" si="6"/>
        <v>0.15500000000000114</v>
      </c>
      <c r="U8" s="40">
        <v>0.29499999999980275</v>
      </c>
      <c r="V8" s="40">
        <f t="shared" ca="1" si="2"/>
        <v>0.13999999999980162</v>
      </c>
    </row>
    <row r="9" spans="1:24" ht="15.75" thickBot="1">
      <c r="A9" s="43">
        <v>46357</v>
      </c>
      <c r="B9" s="50">
        <f>INPUT!H6</f>
        <v>96.14</v>
      </c>
      <c r="C9" s="51">
        <f t="shared" si="3"/>
        <v>3.8599999999999994</v>
      </c>
      <c r="D9" s="399">
        <f t="shared" si="4"/>
        <v>3.4999999999996589E-2</v>
      </c>
      <c r="E9" s="50">
        <f>INPUT!H23</f>
        <v>96.105000000000004</v>
      </c>
      <c r="F9" s="51">
        <f t="shared" si="5"/>
        <v>3.894999999999996</v>
      </c>
      <c r="G9" s="392">
        <v>2027</v>
      </c>
      <c r="H9" s="50">
        <f>INPUT!H43</f>
        <v>96.045000000000002</v>
      </c>
      <c r="I9" s="51">
        <f t="shared" si="0"/>
        <v>3.9549999999999983</v>
      </c>
      <c r="J9" s="43">
        <f t="shared" si="1"/>
        <v>46357</v>
      </c>
      <c r="K9" s="46"/>
      <c r="L9" s="47"/>
      <c r="M9" s="253" t="s">
        <v>212</v>
      </c>
      <c r="N9" s="47"/>
      <c r="O9" s="48"/>
      <c r="P9" s="374">
        <f ca="1">'DAILY EXTRAPOLATION'!K2568</f>
        <v>3.7849999999999966</v>
      </c>
      <c r="Q9" s="410"/>
      <c r="R9" s="410">
        <f ca="1">'DAILY EXTRAPOLATION'!K2586</f>
        <v>3.8906818181818186</v>
      </c>
      <c r="S9" s="47">
        <f ca="1">R9-P9</f>
        <v>0.10568181818182198</v>
      </c>
      <c r="T9" s="48">
        <f t="shared" ca="1" si="6"/>
        <v>0.26068181818182312</v>
      </c>
      <c r="U9" s="40">
        <v>0.38659090909070848</v>
      </c>
      <c r="V9" s="40">
        <f t="shared" ca="1" si="2"/>
        <v>0.12590909090888536</v>
      </c>
    </row>
    <row r="10" spans="1:24">
      <c r="R10" s="177" t="s">
        <v>246</v>
      </c>
      <c r="S10" s="420">
        <v>0.25</v>
      </c>
      <c r="T10" s="423">
        <f ca="1">T9/S10</f>
        <v>1.0427272727272925</v>
      </c>
      <c r="U10" s="21" t="s">
        <v>250</v>
      </c>
      <c r="V10" s="40"/>
    </row>
    <row r="19" spans="10:10">
      <c r="J19" s="17"/>
    </row>
    <row r="20" spans="10:10">
      <c r="J20" s="17"/>
    </row>
    <row r="21" spans="10:10">
      <c r="J21" s="17"/>
    </row>
    <row r="22" spans="10:10">
      <c r="J22" s="17"/>
    </row>
    <row r="23" spans="10:10">
      <c r="J23" s="17"/>
    </row>
    <row r="24" spans="10:10">
      <c r="J24" s="17"/>
    </row>
    <row r="25" spans="10:10">
      <c r="J25" s="17"/>
    </row>
    <row r="26" spans="10:10">
      <c r="J26" s="17"/>
    </row>
    <row r="27" spans="10:10">
      <c r="J27" s="17"/>
    </row>
  </sheetData>
  <mergeCells count="4">
    <mergeCell ref="B1:C1"/>
    <mergeCell ref="E1:F1"/>
    <mergeCell ref="H1:I1"/>
    <mergeCell ref="P1:T1"/>
  </mergeCells>
  <conditionalFormatting sqref="C3:C9">
    <cfRule type="top10" dxfId="683" priority="3249" bottom="1" rank="1"/>
    <cfRule type="top10" dxfId="682" priority="3250" rank="1"/>
  </conditionalFormatting>
  <conditionalFormatting sqref="F3:F9">
    <cfRule type="top10" dxfId="681" priority="3251" bottom="1" rank="1"/>
    <cfRule type="top10" dxfId="680" priority="3252" rank="1"/>
  </conditionalFormatting>
  <conditionalFormatting sqref="O3:O9">
    <cfRule type="top10" dxfId="679" priority="3253" bottom="1" rank="1"/>
    <cfRule type="top10" dxfId="678" priority="3254" rank="1"/>
  </conditionalFormatting>
  <pageMargins left="0.7" right="0.7" top="0.75" bottom="0.75" header="0.3" footer="0.3"/>
  <pageSetup scale="2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80B25-F121-D04D-B39B-18BB5EE0BDD8}">
  <sheetPr codeName="Sheet2"/>
  <dimension ref="A1:AB2595"/>
  <sheetViews>
    <sheetView zoomScale="75" zoomScaleNormal="75" workbookViewId="0">
      <pane ySplit="1" topLeftCell="A2444" activePane="bottomLeft" state="frozen"/>
      <selection pane="bottomLeft" activeCell="D2456" sqref="D2456"/>
    </sheetView>
  </sheetViews>
  <sheetFormatPr defaultColWidth="14.5" defaultRowHeight="15"/>
  <cols>
    <col min="1" max="1" width="12.375" style="39" customWidth="1"/>
    <col min="2" max="2" width="12.875" style="60" customWidth="1"/>
    <col min="3" max="3" width="14" style="122" customWidth="1"/>
    <col min="4" max="4" width="14.125" style="173" customWidth="1"/>
    <col min="5" max="5" width="12.625" style="18" customWidth="1"/>
    <col min="6" max="6" width="7.125" style="121" customWidth="1"/>
    <col min="7" max="7" width="11.125" style="214" customWidth="1"/>
    <col min="8" max="8" width="11.625" style="425" customWidth="1"/>
    <col min="9" max="9" width="14.25" style="457" bestFit="1" customWidth="1"/>
    <col min="10" max="10" width="22.75" style="15" bestFit="1" customWidth="1"/>
    <col min="11" max="11" width="23.75" style="15" bestFit="1" customWidth="1"/>
    <col min="12" max="12" width="23.75" style="179" bestFit="1" customWidth="1"/>
    <col min="13" max="13" width="11.875" style="113" customWidth="1"/>
    <col min="14" max="14" width="11.875" style="65" customWidth="1"/>
    <col min="15" max="15" width="31.5" style="59" customWidth="1"/>
    <col min="16" max="16" width="17" style="18" bestFit="1" customWidth="1"/>
    <col min="17" max="17" width="12.125" style="17" bestFit="1" customWidth="1"/>
    <col min="18" max="18" width="10.5" style="17" customWidth="1"/>
    <col min="19" max="28" width="14.5" style="17" customWidth="1"/>
    <col min="29" max="16384" width="14.5" style="17"/>
  </cols>
  <sheetData>
    <row r="1" spans="1:15" s="57" customFormat="1" ht="15.75" thickBot="1">
      <c r="A1" s="54" t="s">
        <v>21</v>
      </c>
      <c r="B1" s="224" t="s">
        <v>29</v>
      </c>
      <c r="C1" s="52" t="s">
        <v>35</v>
      </c>
      <c r="D1" s="161" t="s">
        <v>233</v>
      </c>
      <c r="E1" s="55" t="s">
        <v>38</v>
      </c>
      <c r="F1" s="53" t="s">
        <v>0</v>
      </c>
      <c r="G1" s="212" t="s">
        <v>22</v>
      </c>
      <c r="H1" s="424" t="s">
        <v>28</v>
      </c>
      <c r="I1" s="455" t="s">
        <v>247</v>
      </c>
      <c r="J1" s="55" t="s">
        <v>160</v>
      </c>
      <c r="K1" s="55" t="s">
        <v>161</v>
      </c>
      <c r="L1" s="53" t="s">
        <v>162</v>
      </c>
      <c r="M1" s="472" t="s">
        <v>43</v>
      </c>
      <c r="N1" s="473"/>
      <c r="O1" s="56"/>
    </row>
    <row r="2" spans="1:15">
      <c r="A2" s="59"/>
      <c r="B2" s="41"/>
      <c r="C2" s="61">
        <v>43800</v>
      </c>
      <c r="D2" s="172"/>
      <c r="E2" s="164"/>
      <c r="F2" s="58" t="str">
        <f>VLOOKUP(MOD(C2,7),'CALENDAR INFO'!$I$2:$J$8,2)</f>
        <v>SUN</v>
      </c>
      <c r="G2" s="213">
        <v>1.56</v>
      </c>
      <c r="H2" s="149">
        <v>1.65</v>
      </c>
      <c r="I2" s="456">
        <f>H2-G2</f>
        <v>8.9999999999999858E-2</v>
      </c>
      <c r="J2" s="15" t="s">
        <v>118</v>
      </c>
      <c r="K2" s="15">
        <f>VLOOKUP(MONTH($C2),'CALENDAR INFO'!$I$12:$J$23,2)</f>
        <v>31</v>
      </c>
      <c r="L2" s="179">
        <f>K2</f>
        <v>31</v>
      </c>
      <c r="M2" s="279"/>
      <c r="N2" s="280"/>
    </row>
    <row r="3" spans="1:15">
      <c r="A3" s="59"/>
      <c r="B3" s="41"/>
      <c r="C3" s="61">
        <f>C2+1</f>
        <v>43801</v>
      </c>
      <c r="D3" s="172"/>
      <c r="E3" s="164"/>
      <c r="F3" s="58" t="str">
        <f>VLOOKUP(MOD(C3,7),'CALENDAR INFO'!$I$2:$J$8,2)</f>
        <v>MON</v>
      </c>
      <c r="G3" s="213">
        <v>1.56</v>
      </c>
      <c r="H3" s="149">
        <v>1.63</v>
      </c>
      <c r="I3" s="456">
        <f t="shared" ref="I3:I66" si="0">H3-G3</f>
        <v>6.999999999999984E-2</v>
      </c>
      <c r="J3" s="15" t="s">
        <v>151</v>
      </c>
      <c r="K3" s="15">
        <f>ROW($C3)-1</f>
        <v>2</v>
      </c>
      <c r="L3" s="179">
        <f>K3</f>
        <v>2</v>
      </c>
      <c r="M3" s="279"/>
      <c r="N3" s="280"/>
    </row>
    <row r="4" spans="1:15">
      <c r="A4" s="59"/>
      <c r="B4" s="41"/>
      <c r="C4" s="61">
        <f t="shared" ref="C4:C40" si="1">C3+1</f>
        <v>43802</v>
      </c>
      <c r="D4" s="172"/>
      <c r="E4" s="164"/>
      <c r="F4" s="58" t="str">
        <f>VLOOKUP(MOD(C4,7),'CALENDAR INFO'!$I$2:$J$8,2)</f>
        <v>TUE</v>
      </c>
      <c r="G4" s="213">
        <v>1.55</v>
      </c>
      <c r="H4" s="149">
        <v>1.55</v>
      </c>
      <c r="I4" s="456">
        <f t="shared" si="0"/>
        <v>0</v>
      </c>
      <c r="J4" s="15" t="s">
        <v>152</v>
      </c>
      <c r="K4" s="15">
        <f>K2+K3-1</f>
        <v>32</v>
      </c>
      <c r="L4" s="179">
        <f>K4</f>
        <v>32</v>
      </c>
      <c r="M4" s="279"/>
      <c r="N4" s="280"/>
    </row>
    <row r="5" spans="1:15">
      <c r="A5" s="59"/>
      <c r="B5" s="41"/>
      <c r="C5" s="61">
        <f t="shared" si="1"/>
        <v>43803</v>
      </c>
      <c r="D5" s="172"/>
      <c r="E5" s="164" t="s">
        <v>19</v>
      </c>
      <c r="F5" s="58" t="str">
        <f>VLOOKUP(MOD(C5,7),'CALENDAR INFO'!$I$2:$J$8,2)</f>
        <v>WED</v>
      </c>
      <c r="G5" s="213">
        <v>1.55</v>
      </c>
      <c r="H5" s="149">
        <v>1.54</v>
      </c>
      <c r="I5" s="456">
        <f t="shared" si="0"/>
        <v>-1.0000000000000009E-2</v>
      </c>
      <c r="M5" s="279"/>
      <c r="N5" s="280"/>
    </row>
    <row r="6" spans="1:15">
      <c r="A6" s="59"/>
      <c r="B6" s="41"/>
      <c r="C6" s="61">
        <f t="shared" si="1"/>
        <v>43804</v>
      </c>
      <c r="D6" s="172"/>
      <c r="E6" s="165" t="s">
        <v>18</v>
      </c>
      <c r="F6" s="58" t="str">
        <f>VLOOKUP(MOD(C6,7),'CALENDAR INFO'!$I$2:$J$8,2)</f>
        <v>THU</v>
      </c>
      <c r="G6" s="213">
        <v>1.55</v>
      </c>
      <c r="H6" s="149">
        <v>1.55</v>
      </c>
      <c r="I6" s="456">
        <f t="shared" si="0"/>
        <v>0</v>
      </c>
      <c r="J6" s="15" t="s">
        <v>153</v>
      </c>
      <c r="K6" s="15" t="str">
        <f>_xlfn.CONCAT("A",TEXT(K3,0),":","A",TEXT(K4,0))</f>
        <v>A2:A32</v>
      </c>
      <c r="L6" s="179" t="str">
        <f>_xlfn.CONCAT("B",TEXT(L3,0),":","B",TEXT(L4,0))</f>
        <v>B2:B32</v>
      </c>
      <c r="M6" s="279"/>
      <c r="N6" s="280"/>
    </row>
    <row r="7" spans="1:15">
      <c r="A7" s="59"/>
      <c r="B7" s="41"/>
      <c r="C7" s="61">
        <f t="shared" si="1"/>
        <v>43805</v>
      </c>
      <c r="D7" s="172"/>
      <c r="E7" s="165"/>
      <c r="F7" s="58" t="str">
        <f>VLOOKUP(MOD(C7,7),'CALENDAR INFO'!$I$2:$J$8,2)</f>
        <v>FRI</v>
      </c>
      <c r="G7" s="213">
        <v>1.55</v>
      </c>
      <c r="H7" s="149">
        <v>1.55</v>
      </c>
      <c r="I7" s="456">
        <f t="shared" si="0"/>
        <v>0</v>
      </c>
      <c r="J7" s="15" t="s">
        <v>154</v>
      </c>
      <c r="K7" s="15" t="str">
        <f>_xlfn.CONCAT("F",TEXT(K3,0),":","F",TEXT(K4,0))</f>
        <v>F2:F32</v>
      </c>
      <c r="L7" s="179" t="str">
        <f>_xlfn.CONCAT("G",TEXT(L3,0),":","G",TEXT(L4,0))</f>
        <v>G2:G32</v>
      </c>
      <c r="M7" s="279"/>
      <c r="N7" s="280"/>
    </row>
    <row r="8" spans="1:15">
      <c r="A8" s="59"/>
      <c r="B8" s="41"/>
      <c r="C8" s="61">
        <f t="shared" si="1"/>
        <v>43806</v>
      </c>
      <c r="D8" s="172"/>
      <c r="E8" s="165"/>
      <c r="F8" s="58" t="str">
        <f>VLOOKUP(MOD(C8,7),'CALENDAR INFO'!$I$2:$J$8,2)</f>
        <v>SAT</v>
      </c>
      <c r="G8" s="213">
        <v>1.55</v>
      </c>
      <c r="H8" s="149">
        <v>1.55</v>
      </c>
      <c r="I8" s="456">
        <f t="shared" si="0"/>
        <v>0</v>
      </c>
      <c r="M8" s="279"/>
      <c r="N8" s="280"/>
    </row>
    <row r="9" spans="1:15">
      <c r="A9" s="59"/>
      <c r="B9" s="41"/>
      <c r="C9" s="61">
        <f t="shared" si="1"/>
        <v>43807</v>
      </c>
      <c r="D9" s="172"/>
      <c r="E9" s="165"/>
      <c r="F9" s="58" t="str">
        <f>VLOOKUP(MOD(C9,7),'CALENDAR INFO'!$I$2:$J$8,2)</f>
        <v>SUN</v>
      </c>
      <c r="G9" s="213">
        <v>1.55</v>
      </c>
      <c r="H9" s="149">
        <v>1.55</v>
      </c>
      <c r="I9" s="456">
        <f t="shared" si="0"/>
        <v>0</v>
      </c>
      <c r="J9" s="15" t="s">
        <v>155</v>
      </c>
      <c r="K9" s="15">
        <f ca="1">SUM(INDIRECT(K6))</f>
        <v>0</v>
      </c>
      <c r="L9" s="179">
        <f ca="1">SUM(INDIRECT(L6))</f>
        <v>0</v>
      </c>
      <c r="M9" s="279"/>
      <c r="N9" s="280"/>
    </row>
    <row r="10" spans="1:15">
      <c r="A10" s="59"/>
      <c r="B10" s="41"/>
      <c r="C10" s="61">
        <f t="shared" si="1"/>
        <v>43808</v>
      </c>
      <c r="D10" s="172"/>
      <c r="E10" s="165"/>
      <c r="F10" s="58" t="str">
        <f>VLOOKUP(MOD(C10,7),'CALENDAR INFO'!$I$2:$J$8,2)</f>
        <v>MON</v>
      </c>
      <c r="G10" s="213">
        <v>1.55</v>
      </c>
      <c r="H10" s="149">
        <v>1.56</v>
      </c>
      <c r="I10" s="456">
        <f t="shared" si="0"/>
        <v>1.0000000000000009E-2</v>
      </c>
      <c r="J10" s="15" t="s">
        <v>156</v>
      </c>
      <c r="K10" s="207">
        <f ca="1">SUM(INDIRECT(K7))</f>
        <v>0</v>
      </c>
      <c r="L10" s="208">
        <f ca="1">SUM(INDIRECT(L7))</f>
        <v>48.079999999999977</v>
      </c>
      <c r="M10" s="279"/>
      <c r="N10" s="280"/>
    </row>
    <row r="11" spans="1:15">
      <c r="A11" s="59"/>
      <c r="B11" s="41"/>
      <c r="C11" s="61">
        <f t="shared" si="1"/>
        <v>43809</v>
      </c>
      <c r="D11" s="172"/>
      <c r="E11" s="165"/>
      <c r="F11" s="58" t="str">
        <f>VLOOKUP(MOD(C11,7),'CALENDAR INFO'!$I$2:$J$8,2)</f>
        <v>TUE</v>
      </c>
      <c r="G11" s="213">
        <v>1.55</v>
      </c>
      <c r="H11" s="149">
        <v>1.55</v>
      </c>
      <c r="I11" s="456">
        <f t="shared" si="0"/>
        <v>0</v>
      </c>
      <c r="J11" s="15" t="s">
        <v>157</v>
      </c>
      <c r="K11" s="178">
        <f ca="1">K9+K10</f>
        <v>0</v>
      </c>
      <c r="L11" s="192">
        <f ca="1">L9+L10</f>
        <v>48.079999999999977</v>
      </c>
      <c r="M11" s="279"/>
      <c r="N11" s="280"/>
    </row>
    <row r="12" spans="1:15">
      <c r="A12" s="59"/>
      <c r="B12" s="41"/>
      <c r="C12" s="61">
        <f t="shared" si="1"/>
        <v>43810</v>
      </c>
      <c r="D12" s="172"/>
      <c r="E12" s="165"/>
      <c r="F12" s="58" t="str">
        <f>VLOOKUP(MOD(C12,7),'CALENDAR INFO'!$I$2:$J$8,2)</f>
        <v>WED</v>
      </c>
      <c r="G12" s="213">
        <v>1.55</v>
      </c>
      <c r="H12" s="149">
        <v>1.54</v>
      </c>
      <c r="I12" s="456">
        <f t="shared" si="0"/>
        <v>-1.0000000000000009E-2</v>
      </c>
      <c r="M12" s="279"/>
      <c r="N12" s="280"/>
    </row>
    <row r="13" spans="1:15">
      <c r="A13" s="59"/>
      <c r="B13" s="41"/>
      <c r="C13" s="61">
        <f t="shared" si="1"/>
        <v>43811</v>
      </c>
      <c r="D13" s="172"/>
      <c r="E13" s="165"/>
      <c r="F13" s="58" t="str">
        <f>VLOOKUP(MOD(C13,7),'CALENDAR INFO'!$I$2:$J$8,2)</f>
        <v>THU</v>
      </c>
      <c r="G13" s="213">
        <v>1.55</v>
      </c>
      <c r="H13" s="149">
        <v>1.53</v>
      </c>
      <c r="I13" s="456">
        <f t="shared" si="0"/>
        <v>-2.0000000000000018E-2</v>
      </c>
      <c r="J13" s="15" t="s">
        <v>158</v>
      </c>
      <c r="K13" s="178">
        <f ca="1">K11/K2</f>
        <v>0</v>
      </c>
      <c r="L13" s="192">
        <f ca="1">L11/L2</f>
        <v>1.550967741935483</v>
      </c>
      <c r="M13" s="279"/>
      <c r="N13" s="280"/>
    </row>
    <row r="14" spans="1:15">
      <c r="A14" s="59"/>
      <c r="B14" s="41"/>
      <c r="C14" s="61">
        <f t="shared" si="1"/>
        <v>43812</v>
      </c>
      <c r="D14" s="172"/>
      <c r="E14" s="165"/>
      <c r="F14" s="58" t="str">
        <f>VLOOKUP(MOD(C14,7),'CALENDAR INFO'!$I$2:$J$8,2)</f>
        <v>FRI</v>
      </c>
      <c r="G14" s="213">
        <v>1.55</v>
      </c>
      <c r="H14" s="149">
        <v>1.54</v>
      </c>
      <c r="I14" s="456">
        <f t="shared" si="0"/>
        <v>-1.0000000000000009E-2</v>
      </c>
      <c r="J14" s="177" t="s">
        <v>159</v>
      </c>
      <c r="K14" s="180">
        <f ca="1">100-K13</f>
        <v>100</v>
      </c>
      <c r="L14" s="193">
        <f ca="1">100-L13</f>
        <v>98.44903225806452</v>
      </c>
      <c r="M14" s="279"/>
      <c r="N14" s="280"/>
    </row>
    <row r="15" spans="1:15">
      <c r="A15" s="59"/>
      <c r="B15" s="41"/>
      <c r="C15" s="61">
        <f t="shared" si="1"/>
        <v>43813</v>
      </c>
      <c r="D15" s="172"/>
      <c r="E15" s="165"/>
      <c r="F15" s="58" t="str">
        <f>VLOOKUP(MOD(C15,7),'CALENDAR INFO'!$I$2:$J$8,2)</f>
        <v>SAT</v>
      </c>
      <c r="G15" s="213">
        <v>1.55</v>
      </c>
      <c r="H15" s="149">
        <v>1.54</v>
      </c>
      <c r="I15" s="456">
        <f t="shared" si="0"/>
        <v>-1.0000000000000009E-2</v>
      </c>
      <c r="M15" s="279"/>
      <c r="N15" s="280"/>
    </row>
    <row r="16" spans="1:15">
      <c r="A16" s="59"/>
      <c r="B16" s="41"/>
      <c r="C16" s="61">
        <f t="shared" si="1"/>
        <v>43814</v>
      </c>
      <c r="D16" s="172"/>
      <c r="E16" s="165"/>
      <c r="F16" s="58" t="str">
        <f>VLOOKUP(MOD(C16,7),'CALENDAR INFO'!$I$2:$J$8,2)</f>
        <v>SUN</v>
      </c>
      <c r="G16" s="213">
        <v>1.55</v>
      </c>
      <c r="H16" s="149">
        <v>1.54</v>
      </c>
      <c r="I16" s="456">
        <f t="shared" si="0"/>
        <v>-1.0000000000000009E-2</v>
      </c>
      <c r="J16" s="176"/>
      <c r="K16" s="186"/>
      <c r="L16" s="194"/>
      <c r="M16" s="279"/>
      <c r="N16" s="280"/>
    </row>
    <row r="17" spans="1:24">
      <c r="A17" s="59"/>
      <c r="B17" s="41"/>
      <c r="C17" s="61">
        <f t="shared" si="1"/>
        <v>43815</v>
      </c>
      <c r="D17" s="172"/>
      <c r="E17" s="165"/>
      <c r="F17" s="58" t="str">
        <f>VLOOKUP(MOD(C17,7),'CALENDAR INFO'!$I$2:$J$8,2)</f>
        <v>MON</v>
      </c>
      <c r="G17" s="213">
        <v>1.56</v>
      </c>
      <c r="H17" s="149">
        <v>1.62</v>
      </c>
      <c r="I17" s="456">
        <f t="shared" si="0"/>
        <v>6.0000000000000053E-2</v>
      </c>
      <c r="M17" s="279"/>
      <c r="N17" s="280"/>
    </row>
    <row r="18" spans="1:24">
      <c r="A18" s="59"/>
      <c r="B18" s="41"/>
      <c r="C18" s="61">
        <f t="shared" si="1"/>
        <v>43816</v>
      </c>
      <c r="D18" s="172"/>
      <c r="E18" s="165"/>
      <c r="F18" s="58" t="str">
        <f>VLOOKUP(MOD(C18,7),'CALENDAR INFO'!$I$2:$J$8,2)</f>
        <v>TUE</v>
      </c>
      <c r="G18" s="213">
        <v>1.55</v>
      </c>
      <c r="H18" s="149">
        <v>1.54</v>
      </c>
      <c r="I18" s="456">
        <f t="shared" si="0"/>
        <v>-1.0000000000000009E-2</v>
      </c>
      <c r="M18" s="279"/>
      <c r="N18" s="280"/>
    </row>
    <row r="19" spans="1:24">
      <c r="A19" s="59"/>
      <c r="B19" s="41"/>
      <c r="C19" s="61">
        <f t="shared" si="1"/>
        <v>43817</v>
      </c>
      <c r="D19" s="172"/>
      <c r="E19" s="165" t="s">
        <v>19</v>
      </c>
      <c r="F19" s="58" t="str">
        <f>VLOOKUP(MOD(C19,7),'CALENDAR INFO'!$I$2:$J$8,2)</f>
        <v>WED</v>
      </c>
      <c r="G19" s="213">
        <v>1.55</v>
      </c>
      <c r="H19" s="149">
        <v>1.53</v>
      </c>
      <c r="I19" s="456">
        <f t="shared" si="0"/>
        <v>-2.0000000000000018E-2</v>
      </c>
      <c r="M19" s="63">
        <f t="shared" ref="M19:M31" si="2">IF(MOD(C19,7)&lt;2,0,IF(MOD(C19,7)=6,3,1))</f>
        <v>1</v>
      </c>
      <c r="N19" s="64">
        <f t="shared" ref="N19:N82" si="3">1+(M19/360)*(MAX(H19,B19)/100)</f>
        <v>1.0000424999999999</v>
      </c>
    </row>
    <row r="20" spans="1:24">
      <c r="A20" s="59"/>
      <c r="B20" s="41"/>
      <c r="C20" s="61">
        <f t="shared" si="1"/>
        <v>43818</v>
      </c>
      <c r="D20" s="172"/>
      <c r="E20" s="164" t="s">
        <v>18</v>
      </c>
      <c r="F20" s="58" t="str">
        <f>VLOOKUP(MOD(C20,7),'CALENDAR INFO'!$I$2:$J$8,2)</f>
        <v>THU</v>
      </c>
      <c r="G20" s="213">
        <v>1.55</v>
      </c>
      <c r="H20" s="149">
        <v>1.53</v>
      </c>
      <c r="I20" s="456">
        <f t="shared" si="0"/>
        <v>-2.0000000000000018E-2</v>
      </c>
      <c r="M20" s="63">
        <f t="shared" si="2"/>
        <v>1</v>
      </c>
      <c r="N20" s="64">
        <f t="shared" si="3"/>
        <v>1.0000424999999999</v>
      </c>
    </row>
    <row r="21" spans="1:24">
      <c r="A21" s="59"/>
      <c r="B21" s="41"/>
      <c r="C21" s="61">
        <f t="shared" si="1"/>
        <v>43819</v>
      </c>
      <c r="D21" s="172"/>
      <c r="E21" s="164"/>
      <c r="F21" s="58" t="str">
        <f>VLOOKUP(MOD(C21,7),'CALENDAR INFO'!$I$2:$J$8,2)</f>
        <v>FRI</v>
      </c>
      <c r="G21" s="213">
        <v>1.55</v>
      </c>
      <c r="H21" s="149">
        <v>1.53</v>
      </c>
      <c r="I21" s="456">
        <f t="shared" si="0"/>
        <v>-2.0000000000000018E-2</v>
      </c>
      <c r="M21" s="63">
        <f t="shared" si="2"/>
        <v>3</v>
      </c>
      <c r="N21" s="64">
        <f t="shared" si="3"/>
        <v>1.0001275000000001</v>
      </c>
      <c r="O21" s="66"/>
      <c r="P21" s="67"/>
      <c r="Q21" s="67"/>
    </row>
    <row r="22" spans="1:24">
      <c r="A22" s="59"/>
      <c r="B22" s="41"/>
      <c r="C22" s="61">
        <f t="shared" si="1"/>
        <v>43820</v>
      </c>
      <c r="D22" s="172"/>
      <c r="E22" s="164"/>
      <c r="F22" s="58" t="str">
        <f>VLOOKUP(MOD(C22,7),'CALENDAR INFO'!$I$2:$J$8,2)</f>
        <v>SAT</v>
      </c>
      <c r="G22" s="213">
        <v>1.55</v>
      </c>
      <c r="H22" s="149">
        <v>1.53</v>
      </c>
      <c r="I22" s="456">
        <f t="shared" si="0"/>
        <v>-2.0000000000000018E-2</v>
      </c>
      <c r="M22" s="63">
        <f t="shared" si="2"/>
        <v>0</v>
      </c>
      <c r="N22" s="64">
        <f t="shared" si="3"/>
        <v>1</v>
      </c>
      <c r="P22" s="68"/>
      <c r="Q22" s="69"/>
      <c r="R22" s="69"/>
      <c r="S22" s="69"/>
      <c r="T22" s="69"/>
      <c r="U22" s="69"/>
      <c r="V22" s="69"/>
      <c r="W22" s="69"/>
      <c r="X22" s="69"/>
    </row>
    <row r="23" spans="1:24">
      <c r="A23" s="59"/>
      <c r="B23" s="41"/>
      <c r="C23" s="61">
        <f t="shared" si="1"/>
        <v>43821</v>
      </c>
      <c r="D23" s="172"/>
      <c r="E23" s="164"/>
      <c r="F23" s="58" t="str">
        <f>VLOOKUP(MOD(C23,7),'CALENDAR INFO'!$I$2:$J$8,2)</f>
        <v>SUN</v>
      </c>
      <c r="G23" s="213">
        <v>1.55</v>
      </c>
      <c r="H23" s="149">
        <v>1.53</v>
      </c>
      <c r="I23" s="456">
        <f t="shared" si="0"/>
        <v>-2.0000000000000018E-2</v>
      </c>
      <c r="M23" s="63">
        <f t="shared" si="2"/>
        <v>0</v>
      </c>
      <c r="N23" s="64">
        <f t="shared" si="3"/>
        <v>1</v>
      </c>
      <c r="P23" s="68"/>
      <c r="Q23" s="69"/>
      <c r="R23" s="69"/>
      <c r="S23" s="69"/>
      <c r="T23" s="69"/>
      <c r="U23" s="69"/>
      <c r="V23" s="69"/>
      <c r="W23" s="69"/>
      <c r="X23" s="69"/>
    </row>
    <row r="24" spans="1:24">
      <c r="A24" s="59"/>
      <c r="B24" s="41"/>
      <c r="C24" s="61">
        <f t="shared" si="1"/>
        <v>43822</v>
      </c>
      <c r="D24" s="172"/>
      <c r="E24" s="164"/>
      <c r="F24" s="58" t="str">
        <f>VLOOKUP(MOD(C24,7),'CALENDAR INFO'!$I$2:$J$8,2)</f>
        <v>MON</v>
      </c>
      <c r="G24" s="213">
        <v>1.55</v>
      </c>
      <c r="H24" s="149">
        <v>1.52</v>
      </c>
      <c r="I24" s="456">
        <f t="shared" si="0"/>
        <v>-3.0000000000000027E-2</v>
      </c>
      <c r="M24" s="63">
        <f t="shared" si="2"/>
        <v>1</v>
      </c>
      <c r="N24" s="64">
        <f t="shared" si="3"/>
        <v>1.0000422222222223</v>
      </c>
      <c r="P24" s="68"/>
      <c r="Q24" s="69"/>
      <c r="R24" s="69"/>
      <c r="S24" s="69"/>
      <c r="T24" s="69"/>
      <c r="U24" s="69"/>
      <c r="V24" s="69"/>
      <c r="W24" s="69"/>
      <c r="X24" s="69"/>
    </row>
    <row r="25" spans="1:24">
      <c r="A25" s="59"/>
      <c r="B25" s="41"/>
      <c r="C25" s="61">
        <f t="shared" si="1"/>
        <v>43823</v>
      </c>
      <c r="D25" s="172"/>
      <c r="E25" s="164"/>
      <c r="F25" s="58" t="str">
        <f>VLOOKUP(MOD(C25,7),'CALENDAR INFO'!$I$2:$J$8,2)</f>
        <v>TUE</v>
      </c>
      <c r="G25" s="213">
        <v>1.55</v>
      </c>
      <c r="H25" s="149">
        <v>1.52</v>
      </c>
      <c r="I25" s="456">
        <f t="shared" si="0"/>
        <v>-3.0000000000000027E-2</v>
      </c>
      <c r="M25" s="63">
        <f t="shared" si="2"/>
        <v>1</v>
      </c>
      <c r="N25" s="64">
        <f t="shared" si="3"/>
        <v>1.0000422222222223</v>
      </c>
      <c r="P25" s="68"/>
      <c r="Q25" s="69"/>
      <c r="R25" s="69"/>
      <c r="S25" s="69"/>
      <c r="T25" s="69"/>
      <c r="U25" s="69"/>
      <c r="V25" s="69"/>
      <c r="W25" s="69"/>
      <c r="X25" s="69"/>
    </row>
    <row r="26" spans="1:24">
      <c r="A26" s="59"/>
      <c r="B26" s="41"/>
      <c r="C26" s="61">
        <f t="shared" si="1"/>
        <v>43824</v>
      </c>
      <c r="D26" s="172"/>
      <c r="E26" s="164"/>
      <c r="F26" s="58" t="str">
        <f>VLOOKUP(MOD(C26,7),'CALENDAR INFO'!$I$2:$J$8,2)</f>
        <v>WED</v>
      </c>
      <c r="G26" s="213">
        <v>1.55</v>
      </c>
      <c r="H26" s="149">
        <v>1.52</v>
      </c>
      <c r="I26" s="456">
        <f t="shared" si="0"/>
        <v>-3.0000000000000027E-2</v>
      </c>
      <c r="M26" s="63">
        <f t="shared" si="2"/>
        <v>1</v>
      </c>
      <c r="N26" s="64">
        <f t="shared" si="3"/>
        <v>1.0000422222222223</v>
      </c>
      <c r="P26" s="68"/>
      <c r="Q26" s="69"/>
      <c r="R26" s="69"/>
      <c r="S26" s="69"/>
      <c r="T26" s="69"/>
      <c r="U26" s="69"/>
      <c r="V26" s="69"/>
      <c r="W26" s="69"/>
      <c r="X26" s="69"/>
    </row>
    <row r="27" spans="1:24">
      <c r="A27" s="59"/>
      <c r="B27" s="41"/>
      <c r="C27" s="61">
        <f t="shared" si="1"/>
        <v>43825</v>
      </c>
      <c r="D27" s="172"/>
      <c r="E27" s="164"/>
      <c r="F27" s="58" t="str">
        <f>VLOOKUP(MOD(C27,7),'CALENDAR INFO'!$I$2:$J$8,2)</f>
        <v>THU</v>
      </c>
      <c r="G27" s="213">
        <v>1.55</v>
      </c>
      <c r="H27" s="149">
        <v>1.52</v>
      </c>
      <c r="I27" s="456">
        <f t="shared" si="0"/>
        <v>-3.0000000000000027E-2</v>
      </c>
      <c r="M27" s="63">
        <f t="shared" si="2"/>
        <v>1</v>
      </c>
      <c r="N27" s="64">
        <f t="shared" si="3"/>
        <v>1.0000422222222223</v>
      </c>
      <c r="P27" s="68"/>
      <c r="Q27" s="69"/>
      <c r="R27" s="69"/>
      <c r="S27" s="69"/>
      <c r="T27" s="69"/>
      <c r="U27" s="69"/>
      <c r="V27" s="69"/>
      <c r="W27" s="69"/>
      <c r="X27" s="69"/>
    </row>
    <row r="28" spans="1:24">
      <c r="A28" s="70"/>
      <c r="B28" s="225"/>
      <c r="C28" s="61">
        <f t="shared" si="1"/>
        <v>43826</v>
      </c>
      <c r="D28" s="172"/>
      <c r="E28" s="164"/>
      <c r="F28" s="58" t="str">
        <f>VLOOKUP(MOD(C28,7),'CALENDAR INFO'!$I$2:$J$8,2)</f>
        <v>FRI</v>
      </c>
      <c r="G28" s="214">
        <v>1.55</v>
      </c>
      <c r="H28" s="425">
        <v>1.53</v>
      </c>
      <c r="I28" s="457">
        <f t="shared" si="0"/>
        <v>-2.0000000000000018E-2</v>
      </c>
      <c r="K28" s="178"/>
      <c r="M28" s="63">
        <f t="shared" si="2"/>
        <v>3</v>
      </c>
      <c r="N28" s="64">
        <f t="shared" si="3"/>
        <v>1.0001275000000001</v>
      </c>
      <c r="P28" s="68"/>
      <c r="Q28" s="69"/>
      <c r="R28" s="69"/>
      <c r="S28" s="69"/>
      <c r="T28" s="69"/>
      <c r="U28" s="69"/>
      <c r="V28" s="69"/>
      <c r="W28" s="69"/>
      <c r="X28" s="69"/>
    </row>
    <row r="29" spans="1:24">
      <c r="A29" s="70"/>
      <c r="B29" s="225"/>
      <c r="C29" s="61">
        <f t="shared" si="1"/>
        <v>43827</v>
      </c>
      <c r="D29" s="172"/>
      <c r="E29" s="164"/>
      <c r="F29" s="58" t="str">
        <f>VLOOKUP(MOD(C29,7),'CALENDAR INFO'!$I$2:$J$8,2)</f>
        <v>SAT</v>
      </c>
      <c r="G29" s="214">
        <v>1.55</v>
      </c>
      <c r="H29" s="425">
        <v>1.53</v>
      </c>
      <c r="I29" s="457">
        <f t="shared" si="0"/>
        <v>-2.0000000000000018E-2</v>
      </c>
      <c r="K29" s="178"/>
      <c r="M29" s="63">
        <f t="shared" si="2"/>
        <v>0</v>
      </c>
      <c r="N29" s="64">
        <f t="shared" si="3"/>
        <v>1</v>
      </c>
      <c r="P29" s="68"/>
      <c r="Q29" s="69"/>
      <c r="R29" s="69"/>
      <c r="S29" s="69"/>
      <c r="T29" s="69"/>
      <c r="U29" s="69"/>
      <c r="V29" s="69"/>
      <c r="W29" s="69"/>
      <c r="X29" s="69"/>
    </row>
    <row r="30" spans="1:24">
      <c r="A30" s="70"/>
      <c r="B30" s="225"/>
      <c r="C30" s="61">
        <f t="shared" si="1"/>
        <v>43828</v>
      </c>
      <c r="D30" s="172"/>
      <c r="E30" s="164"/>
      <c r="F30" s="58" t="str">
        <f>VLOOKUP(MOD(C30,7),'CALENDAR INFO'!$I$2:$J$8,2)</f>
        <v>SUN</v>
      </c>
      <c r="G30" s="214">
        <v>1.55</v>
      </c>
      <c r="H30" s="425">
        <v>1.53</v>
      </c>
      <c r="I30" s="457">
        <f t="shared" si="0"/>
        <v>-2.0000000000000018E-2</v>
      </c>
      <c r="J30" s="433"/>
      <c r="K30" s="187"/>
      <c r="L30" s="195"/>
      <c r="M30" s="63">
        <f t="shared" si="2"/>
        <v>0</v>
      </c>
      <c r="N30" s="64">
        <f t="shared" si="3"/>
        <v>1</v>
      </c>
      <c r="P30" s="68"/>
      <c r="Q30" s="69"/>
      <c r="R30" s="69"/>
      <c r="S30" s="69"/>
      <c r="T30" s="69"/>
      <c r="U30" s="69"/>
      <c r="V30" s="69"/>
      <c r="W30" s="69"/>
      <c r="X30" s="69"/>
    </row>
    <row r="31" spans="1:24">
      <c r="A31" s="70"/>
      <c r="B31" s="225"/>
      <c r="C31" s="61">
        <f t="shared" si="1"/>
        <v>43829</v>
      </c>
      <c r="D31" s="172"/>
      <c r="E31" s="164"/>
      <c r="F31" s="58" t="str">
        <f>VLOOKUP(MOD(C31,7),'CALENDAR INFO'!$I$2:$J$8,2)</f>
        <v>MON</v>
      </c>
      <c r="G31" s="214">
        <v>1.55</v>
      </c>
      <c r="H31" s="425">
        <v>1.54</v>
      </c>
      <c r="I31" s="457">
        <f t="shared" si="0"/>
        <v>-1.0000000000000009E-2</v>
      </c>
      <c r="K31" s="178"/>
      <c r="M31" s="63">
        <f t="shared" si="2"/>
        <v>1</v>
      </c>
      <c r="N31" s="64">
        <f t="shared" si="3"/>
        <v>1.0000427777777778</v>
      </c>
      <c r="P31" s="68"/>
      <c r="Q31" s="69"/>
      <c r="R31" s="69"/>
      <c r="S31" s="69"/>
      <c r="T31" s="69"/>
      <c r="U31" s="69"/>
      <c r="V31" s="69"/>
      <c r="W31" s="69"/>
      <c r="X31" s="69"/>
    </row>
    <row r="32" spans="1:24" s="79" customFormat="1" ht="15.75" thickBot="1">
      <c r="A32" s="72"/>
      <c r="B32" s="226"/>
      <c r="C32" s="75">
        <f t="shared" si="1"/>
        <v>43830</v>
      </c>
      <c r="D32" s="242"/>
      <c r="E32" s="74"/>
      <c r="F32" s="71" t="str">
        <f>VLOOKUP(MOD(C32,7),'CALENDAR INFO'!$I$2:$J$8,2)</f>
        <v>TUE</v>
      </c>
      <c r="G32" s="215">
        <v>1.55</v>
      </c>
      <c r="H32" s="426">
        <v>1.55</v>
      </c>
      <c r="I32" s="458">
        <f t="shared" si="0"/>
        <v>0</v>
      </c>
      <c r="J32" s="434"/>
      <c r="K32" s="188"/>
      <c r="L32" s="196"/>
      <c r="M32" s="76">
        <f>IF(MOD(C32,7)&lt;2,0,IF(MOD(C32,7)=6,3,1))+1</f>
        <v>2</v>
      </c>
      <c r="N32" s="77">
        <f t="shared" si="3"/>
        <v>1.000086111111111</v>
      </c>
      <c r="O32" s="78"/>
    </row>
    <row r="33" spans="1:24">
      <c r="A33" s="80"/>
      <c r="B33" s="227"/>
      <c r="C33" s="61">
        <f t="shared" si="1"/>
        <v>43831</v>
      </c>
      <c r="D33" s="172" t="s">
        <v>53</v>
      </c>
      <c r="E33" s="164" t="s">
        <v>19</v>
      </c>
      <c r="F33" s="58" t="str">
        <f>VLOOKUP(MOD(C33,7),'CALENDAR INFO'!$I$2:$J$8,2)</f>
        <v>WED</v>
      </c>
      <c r="G33" s="213">
        <v>1.55</v>
      </c>
      <c r="H33" s="149">
        <v>1.55</v>
      </c>
      <c r="I33" s="456">
        <f t="shared" si="0"/>
        <v>0</v>
      </c>
      <c r="J33" s="15" t="s">
        <v>118</v>
      </c>
      <c r="K33" s="15">
        <f>VLOOKUP(MONTH($C33),'CALENDAR INFO'!$I$12:$J$23,2)</f>
        <v>31</v>
      </c>
      <c r="L33" s="179">
        <f>K33</f>
        <v>31</v>
      </c>
      <c r="M33" s="81">
        <f>IF(MOD(C33,7)&lt;2,0,IF(MOD(C33,7)=6,3,1))-1</f>
        <v>0</v>
      </c>
      <c r="N33" s="64">
        <f t="shared" si="3"/>
        <v>1</v>
      </c>
      <c r="O33" s="82"/>
      <c r="P33" s="83"/>
    </row>
    <row r="34" spans="1:24">
      <c r="A34" s="84"/>
      <c r="B34" s="228"/>
      <c r="C34" s="61">
        <f t="shared" si="1"/>
        <v>43832</v>
      </c>
      <c r="D34" s="172"/>
      <c r="E34" s="166" t="s">
        <v>18</v>
      </c>
      <c r="F34" s="58" t="str">
        <f>VLOOKUP(MOD(C34,7),'CALENDAR INFO'!$I$2:$J$8,2)</f>
        <v>THU</v>
      </c>
      <c r="G34" s="213">
        <v>1.55</v>
      </c>
      <c r="H34" s="149">
        <v>1.54</v>
      </c>
      <c r="I34" s="456">
        <f t="shared" si="0"/>
        <v>-1.0000000000000009E-2</v>
      </c>
      <c r="J34" s="15" t="s">
        <v>151</v>
      </c>
      <c r="K34" s="15">
        <f>ROW($C34)-1</f>
        <v>33</v>
      </c>
      <c r="L34" s="179">
        <f>K34</f>
        <v>33</v>
      </c>
      <c r="M34" s="63">
        <f t="shared" ref="M34:M48" si="4">IF(MOD(C34,7)&lt;2,0,IF(MOD(C34,7)=6,3,1))</f>
        <v>1</v>
      </c>
      <c r="N34" s="64">
        <f t="shared" si="3"/>
        <v>1.0000427777777778</v>
      </c>
    </row>
    <row r="35" spans="1:24">
      <c r="A35" s="84"/>
      <c r="B35" s="228"/>
      <c r="C35" s="61">
        <f t="shared" si="1"/>
        <v>43833</v>
      </c>
      <c r="D35" s="172"/>
      <c r="E35" s="166"/>
      <c r="F35" s="58" t="str">
        <f>VLOOKUP(MOD(C35,7),'CALENDAR INFO'!$I$2:$J$8,2)</f>
        <v>FRI</v>
      </c>
      <c r="G35" s="213">
        <v>1.55</v>
      </c>
      <c r="H35" s="149">
        <v>1.55</v>
      </c>
      <c r="I35" s="456">
        <f t="shared" si="0"/>
        <v>0</v>
      </c>
      <c r="J35" s="15" t="s">
        <v>152</v>
      </c>
      <c r="K35" s="15">
        <f>K33+K34-1</f>
        <v>63</v>
      </c>
      <c r="L35" s="179">
        <f>K35</f>
        <v>63</v>
      </c>
      <c r="M35" s="63">
        <f t="shared" si="4"/>
        <v>3</v>
      </c>
      <c r="N35" s="64">
        <f t="shared" si="3"/>
        <v>1.0001291666666667</v>
      </c>
      <c r="R35" s="69"/>
      <c r="S35" s="69"/>
      <c r="T35" s="69"/>
      <c r="U35" s="69"/>
      <c r="V35" s="69"/>
      <c r="W35" s="69"/>
      <c r="X35" s="69"/>
    </row>
    <row r="36" spans="1:24">
      <c r="B36" s="228"/>
      <c r="C36" s="61">
        <f t="shared" si="1"/>
        <v>43834</v>
      </c>
      <c r="D36" s="172"/>
      <c r="E36" s="166"/>
      <c r="F36" s="58" t="str">
        <f>VLOOKUP(MOD(C36,7),'CALENDAR INFO'!$I$2:$J$8,2)</f>
        <v>SAT</v>
      </c>
      <c r="G36" s="213">
        <v>1.55</v>
      </c>
      <c r="H36" s="149">
        <v>1.55</v>
      </c>
      <c r="I36" s="456">
        <f t="shared" si="0"/>
        <v>0</v>
      </c>
      <c r="M36" s="63">
        <f t="shared" si="4"/>
        <v>0</v>
      </c>
      <c r="N36" s="64">
        <f t="shared" si="3"/>
        <v>1</v>
      </c>
      <c r="R36" s="69"/>
      <c r="S36" s="69"/>
      <c r="T36" s="69"/>
      <c r="U36" s="69"/>
      <c r="V36" s="69"/>
      <c r="W36" s="69"/>
      <c r="X36" s="69"/>
    </row>
    <row r="37" spans="1:24">
      <c r="B37" s="228"/>
      <c r="C37" s="61">
        <f t="shared" si="1"/>
        <v>43835</v>
      </c>
      <c r="D37" s="172"/>
      <c r="E37" s="166"/>
      <c r="F37" s="58" t="str">
        <f>VLOOKUP(MOD(C37,7),'CALENDAR INFO'!$I$2:$J$8,2)</f>
        <v>SUN</v>
      </c>
      <c r="G37" s="213">
        <v>1.55</v>
      </c>
      <c r="H37" s="149">
        <v>1.55</v>
      </c>
      <c r="I37" s="456">
        <f t="shared" si="0"/>
        <v>0</v>
      </c>
      <c r="J37" s="15" t="s">
        <v>153</v>
      </c>
      <c r="K37" s="15" t="str">
        <f>_xlfn.CONCAT("A",TEXT(K34,0),":","A",TEXT(K35,0))</f>
        <v>A33:A63</v>
      </c>
      <c r="L37" s="179" t="str">
        <f>_xlfn.CONCAT("B",TEXT(L34,0),":","B",TEXT(L35,0))</f>
        <v>B33:B63</v>
      </c>
      <c r="M37" s="63">
        <f t="shared" si="4"/>
        <v>0</v>
      </c>
      <c r="N37" s="64">
        <f t="shared" si="3"/>
        <v>1</v>
      </c>
      <c r="R37" s="69"/>
      <c r="S37" s="69"/>
      <c r="T37" s="69"/>
      <c r="U37" s="69"/>
      <c r="V37" s="69"/>
      <c r="W37" s="69"/>
      <c r="X37" s="69"/>
    </row>
    <row r="38" spans="1:24">
      <c r="B38" s="228"/>
      <c r="C38" s="61">
        <f t="shared" si="1"/>
        <v>43836</v>
      </c>
      <c r="D38" s="172"/>
      <c r="E38" s="166"/>
      <c r="F38" s="58" t="str">
        <f>VLOOKUP(MOD(C38,7),'CALENDAR INFO'!$I$2:$J$8,2)</f>
        <v>MON</v>
      </c>
      <c r="G38" s="213">
        <v>1.55</v>
      </c>
      <c r="H38" s="149">
        <v>1.55</v>
      </c>
      <c r="I38" s="456">
        <f t="shared" si="0"/>
        <v>0</v>
      </c>
      <c r="J38" s="15" t="s">
        <v>154</v>
      </c>
      <c r="K38" s="15" t="str">
        <f>_xlfn.CONCAT("F",TEXT(K34,0),":","F",TEXT(K35,0))</f>
        <v>F33:F63</v>
      </c>
      <c r="L38" s="179" t="str">
        <f>_xlfn.CONCAT("G",TEXT(L34,0),":","G",TEXT(L35,0))</f>
        <v>G33:G63</v>
      </c>
      <c r="M38" s="63">
        <f t="shared" si="4"/>
        <v>1</v>
      </c>
      <c r="N38" s="64">
        <f t="shared" si="3"/>
        <v>1.0000430555555555</v>
      </c>
      <c r="R38" s="69"/>
      <c r="S38" s="69"/>
      <c r="T38" s="69"/>
      <c r="U38" s="69"/>
      <c r="V38" s="69"/>
      <c r="W38" s="69"/>
      <c r="X38" s="69"/>
    </row>
    <row r="39" spans="1:24">
      <c r="B39" s="228"/>
      <c r="C39" s="61">
        <f t="shared" si="1"/>
        <v>43837</v>
      </c>
      <c r="D39" s="172"/>
      <c r="E39" s="166"/>
      <c r="F39" s="58" t="str">
        <f>VLOOKUP(MOD(C39,7),'CALENDAR INFO'!$I$2:$J$8,2)</f>
        <v>TUE</v>
      </c>
      <c r="G39" s="213">
        <v>1.55</v>
      </c>
      <c r="H39" s="149">
        <v>1.56</v>
      </c>
      <c r="I39" s="456">
        <f t="shared" si="0"/>
        <v>1.0000000000000009E-2</v>
      </c>
      <c r="M39" s="63">
        <f t="shared" si="4"/>
        <v>1</v>
      </c>
      <c r="N39" s="64">
        <f t="shared" si="3"/>
        <v>1.0000433333333334</v>
      </c>
      <c r="P39" s="85"/>
      <c r="Q39" s="69"/>
      <c r="R39" s="69"/>
      <c r="S39" s="69"/>
      <c r="T39" s="69"/>
      <c r="U39" s="69"/>
      <c r="V39" s="69"/>
      <c r="W39" s="69"/>
      <c r="X39" s="69"/>
    </row>
    <row r="40" spans="1:24">
      <c r="B40" s="228"/>
      <c r="C40" s="61">
        <f t="shared" si="1"/>
        <v>43838</v>
      </c>
      <c r="D40" s="172"/>
      <c r="E40" s="166"/>
      <c r="F40" s="58" t="str">
        <f>VLOOKUP(MOD(C40,7),'CALENDAR INFO'!$I$2:$J$8,2)</f>
        <v>WED</v>
      </c>
      <c r="G40" s="213">
        <v>1.55</v>
      </c>
      <c r="H40" s="149">
        <v>1.55</v>
      </c>
      <c r="I40" s="456">
        <f t="shared" si="0"/>
        <v>0</v>
      </c>
      <c r="J40" s="15" t="s">
        <v>155</v>
      </c>
      <c r="K40" s="15">
        <f ca="1">SUM(INDIRECT(K37))</f>
        <v>0</v>
      </c>
      <c r="L40" s="179">
        <f ca="1">SUM(INDIRECT(L37))</f>
        <v>0</v>
      </c>
      <c r="M40" s="63">
        <f t="shared" si="4"/>
        <v>1</v>
      </c>
      <c r="N40" s="64">
        <f t="shared" si="3"/>
        <v>1.0000430555555555</v>
      </c>
      <c r="P40" s="85"/>
      <c r="Q40" s="69"/>
      <c r="R40" s="69"/>
      <c r="S40" s="69"/>
      <c r="T40" s="69"/>
      <c r="U40" s="69"/>
      <c r="V40" s="69"/>
      <c r="W40" s="69"/>
      <c r="X40" s="69"/>
    </row>
    <row r="41" spans="1:24">
      <c r="B41" s="228"/>
      <c r="C41" s="61">
        <f t="shared" ref="C41:C57" si="5">C40+1</f>
        <v>43839</v>
      </c>
      <c r="D41" s="172"/>
      <c r="E41" s="166"/>
      <c r="F41" s="58" t="str">
        <f>VLOOKUP(MOD(C41,7),'CALENDAR INFO'!$I$2:$J$8,2)</f>
        <v>THU</v>
      </c>
      <c r="G41" s="213">
        <v>1.55</v>
      </c>
      <c r="H41" s="149">
        <v>1.55</v>
      </c>
      <c r="I41" s="456">
        <f t="shared" si="0"/>
        <v>0</v>
      </c>
      <c r="J41" s="15" t="s">
        <v>156</v>
      </c>
      <c r="K41" s="207">
        <f ca="1">SUM(INDIRECT(K38))</f>
        <v>0</v>
      </c>
      <c r="L41" s="208">
        <f ca="1">SUM(INDIRECT(L38))</f>
        <v>48.069999999999979</v>
      </c>
      <c r="M41" s="63">
        <f t="shared" si="4"/>
        <v>1</v>
      </c>
      <c r="N41" s="64">
        <f t="shared" si="3"/>
        <v>1.0000430555555555</v>
      </c>
      <c r="P41" s="68"/>
      <c r="Q41" s="69"/>
      <c r="R41" s="69"/>
      <c r="S41" s="69"/>
      <c r="T41" s="69"/>
      <c r="U41" s="69"/>
      <c r="V41" s="69"/>
      <c r="W41" s="69"/>
      <c r="X41" s="69"/>
    </row>
    <row r="42" spans="1:24">
      <c r="B42" s="228"/>
      <c r="C42" s="61">
        <f t="shared" si="5"/>
        <v>43840</v>
      </c>
      <c r="D42" s="172"/>
      <c r="E42" s="166"/>
      <c r="F42" s="58" t="str">
        <f>VLOOKUP(MOD(C42,7),'CALENDAR INFO'!$I$2:$J$8,2)</f>
        <v>FRI</v>
      </c>
      <c r="G42" s="213">
        <v>1.54</v>
      </c>
      <c r="H42" s="149">
        <v>1.55</v>
      </c>
      <c r="I42" s="456">
        <f t="shared" si="0"/>
        <v>1.0000000000000009E-2</v>
      </c>
      <c r="J42" s="15" t="s">
        <v>157</v>
      </c>
      <c r="K42" s="178">
        <f ca="1">K40+K41</f>
        <v>0</v>
      </c>
      <c r="L42" s="192">
        <f ca="1">L40+L41</f>
        <v>48.069999999999979</v>
      </c>
      <c r="M42" s="63">
        <f t="shared" si="4"/>
        <v>3</v>
      </c>
      <c r="N42" s="64">
        <f t="shared" si="3"/>
        <v>1.0001291666666667</v>
      </c>
      <c r="P42" s="68"/>
      <c r="Q42" s="69"/>
      <c r="R42" s="69"/>
      <c r="S42" s="69"/>
      <c r="T42" s="69"/>
      <c r="U42" s="69"/>
      <c r="V42" s="69"/>
      <c r="W42" s="69"/>
      <c r="X42" s="69"/>
    </row>
    <row r="43" spans="1:24">
      <c r="B43" s="228"/>
      <c r="C43" s="61">
        <f t="shared" si="5"/>
        <v>43841</v>
      </c>
      <c r="D43" s="172"/>
      <c r="E43" s="166"/>
      <c r="F43" s="58" t="str">
        <f>VLOOKUP(MOD(C43,7),'CALENDAR INFO'!$I$2:$J$8,2)</f>
        <v>SAT</v>
      </c>
      <c r="G43" s="213">
        <v>1.54</v>
      </c>
      <c r="H43" s="149">
        <v>1.55</v>
      </c>
      <c r="I43" s="456">
        <f t="shared" si="0"/>
        <v>1.0000000000000009E-2</v>
      </c>
      <c r="M43" s="63">
        <f t="shared" si="4"/>
        <v>0</v>
      </c>
      <c r="N43" s="64">
        <f t="shared" si="3"/>
        <v>1</v>
      </c>
      <c r="P43" s="68"/>
      <c r="Q43" s="69"/>
      <c r="R43" s="69"/>
      <c r="S43" s="69"/>
      <c r="T43" s="69"/>
      <c r="U43" s="69"/>
      <c r="V43" s="69"/>
      <c r="W43" s="69"/>
      <c r="X43" s="69"/>
    </row>
    <row r="44" spans="1:24">
      <c r="B44" s="228"/>
      <c r="C44" s="61">
        <f t="shared" si="5"/>
        <v>43842</v>
      </c>
      <c r="D44" s="172"/>
      <c r="E44" s="166"/>
      <c r="F44" s="58" t="str">
        <f>VLOOKUP(MOD(C44,7),'CALENDAR INFO'!$I$2:$J$8,2)</f>
        <v>SUN</v>
      </c>
      <c r="G44" s="213">
        <v>1.54</v>
      </c>
      <c r="H44" s="149">
        <v>1.55</v>
      </c>
      <c r="I44" s="456">
        <f t="shared" si="0"/>
        <v>1.0000000000000009E-2</v>
      </c>
      <c r="J44" s="15" t="s">
        <v>158</v>
      </c>
      <c r="K44" s="178">
        <f ca="1">K42/K33</f>
        <v>0</v>
      </c>
      <c r="L44" s="192">
        <f ca="1">L42/L33</f>
        <v>1.5506451612903218</v>
      </c>
      <c r="M44" s="63">
        <f t="shared" si="4"/>
        <v>0</v>
      </c>
      <c r="N44" s="64">
        <f t="shared" si="3"/>
        <v>1</v>
      </c>
      <c r="P44" s="68"/>
      <c r="Q44" s="69"/>
      <c r="R44" s="69"/>
      <c r="S44" s="69"/>
      <c r="T44" s="69"/>
      <c r="U44" s="69"/>
      <c r="V44" s="69"/>
      <c r="W44" s="69"/>
      <c r="X44" s="69"/>
    </row>
    <row r="45" spans="1:24">
      <c r="B45" s="228"/>
      <c r="C45" s="61">
        <f t="shared" si="5"/>
        <v>43843</v>
      </c>
      <c r="D45" s="172"/>
      <c r="E45" s="166"/>
      <c r="F45" s="58" t="str">
        <f>VLOOKUP(MOD(C45,7),'CALENDAR INFO'!$I$2:$J$8,2)</f>
        <v>MON</v>
      </c>
      <c r="G45" s="213">
        <v>1.54</v>
      </c>
      <c r="H45" s="149">
        <v>1.54</v>
      </c>
      <c r="I45" s="456">
        <f t="shared" si="0"/>
        <v>0</v>
      </c>
      <c r="J45" s="177" t="s">
        <v>159</v>
      </c>
      <c r="K45" s="180">
        <f ca="1">100-K44</f>
        <v>100</v>
      </c>
      <c r="L45" s="193">
        <f ca="1">100-L44</f>
        <v>98.449354838709681</v>
      </c>
      <c r="M45" s="63">
        <f t="shared" si="4"/>
        <v>1</v>
      </c>
      <c r="N45" s="64">
        <f t="shared" si="3"/>
        <v>1.0000427777777778</v>
      </c>
      <c r="P45" s="68"/>
      <c r="Q45" s="69"/>
      <c r="R45" s="69"/>
      <c r="S45" s="69"/>
      <c r="T45" s="69"/>
      <c r="U45" s="69"/>
      <c r="V45" s="69"/>
      <c r="W45" s="69"/>
      <c r="X45" s="69"/>
    </row>
    <row r="46" spans="1:24">
      <c r="B46" s="228"/>
      <c r="C46" s="61">
        <f t="shared" si="5"/>
        <v>43844</v>
      </c>
      <c r="D46" s="172"/>
      <c r="E46" s="166"/>
      <c r="F46" s="58" t="str">
        <f>VLOOKUP(MOD(C46,7),'CALENDAR INFO'!$I$2:$J$8,2)</f>
        <v>TUE</v>
      </c>
      <c r="G46" s="213">
        <v>1.54</v>
      </c>
      <c r="H46" s="149">
        <v>1.55</v>
      </c>
      <c r="I46" s="456">
        <f t="shared" si="0"/>
        <v>1.0000000000000009E-2</v>
      </c>
      <c r="K46" s="178"/>
      <c r="L46" s="192"/>
      <c r="M46" s="63">
        <f t="shared" si="4"/>
        <v>1</v>
      </c>
      <c r="N46" s="64">
        <f t="shared" si="3"/>
        <v>1.0000430555555555</v>
      </c>
      <c r="P46" s="68"/>
      <c r="Q46" s="69"/>
      <c r="R46" s="69"/>
      <c r="S46" s="69"/>
      <c r="T46" s="69"/>
      <c r="U46" s="69"/>
      <c r="V46" s="69"/>
      <c r="W46" s="69"/>
      <c r="X46" s="69"/>
    </row>
    <row r="47" spans="1:24">
      <c r="B47" s="228"/>
      <c r="C47" s="61">
        <f t="shared" si="5"/>
        <v>43845</v>
      </c>
      <c r="D47" s="172"/>
      <c r="E47" s="166" t="s">
        <v>19</v>
      </c>
      <c r="F47" s="58" t="str">
        <f>VLOOKUP(MOD(C47,7),'CALENDAR INFO'!$I$2:$J$8,2)</f>
        <v>WED</v>
      </c>
      <c r="G47" s="213">
        <v>1.54</v>
      </c>
      <c r="H47" s="149">
        <v>1.56</v>
      </c>
      <c r="I47" s="456">
        <f t="shared" si="0"/>
        <v>2.0000000000000018E-2</v>
      </c>
      <c r="J47" s="176"/>
      <c r="K47" s="186"/>
      <c r="L47" s="194"/>
      <c r="M47" s="63">
        <f t="shared" si="4"/>
        <v>1</v>
      </c>
      <c r="N47" s="64">
        <f t="shared" si="3"/>
        <v>1.0000433333333334</v>
      </c>
      <c r="P47" s="68"/>
      <c r="Q47" s="69"/>
      <c r="R47" s="69"/>
      <c r="S47" s="69"/>
      <c r="T47" s="69"/>
      <c r="U47" s="69"/>
      <c r="V47" s="69"/>
      <c r="W47" s="69"/>
      <c r="X47" s="69"/>
    </row>
    <row r="48" spans="1:24">
      <c r="B48" s="228"/>
      <c r="C48" s="61">
        <f t="shared" si="5"/>
        <v>43846</v>
      </c>
      <c r="D48" s="172"/>
      <c r="E48" s="164" t="s">
        <v>18</v>
      </c>
      <c r="F48" s="58" t="str">
        <f>VLOOKUP(MOD(C48,7),'CALENDAR INFO'!$I$2:$J$8,2)</f>
        <v>THU</v>
      </c>
      <c r="G48" s="213">
        <v>1.54</v>
      </c>
      <c r="H48" s="149">
        <v>1.55</v>
      </c>
      <c r="I48" s="456">
        <f t="shared" si="0"/>
        <v>1.0000000000000009E-2</v>
      </c>
      <c r="J48" s="177"/>
      <c r="K48" s="177"/>
      <c r="L48" s="197"/>
      <c r="M48" s="63">
        <f t="shared" si="4"/>
        <v>1</v>
      </c>
      <c r="N48" s="64">
        <f t="shared" si="3"/>
        <v>1.0000430555555555</v>
      </c>
    </row>
    <row r="49" spans="1:16">
      <c r="B49" s="228"/>
      <c r="C49" s="61">
        <f t="shared" si="5"/>
        <v>43847</v>
      </c>
      <c r="D49" s="172"/>
      <c r="E49" s="164"/>
      <c r="F49" s="58" t="str">
        <f>VLOOKUP(MOD(C49,7),'CALENDAR INFO'!$I$2:$J$8,2)</f>
        <v>FRI</v>
      </c>
      <c r="G49" s="213">
        <v>1.55</v>
      </c>
      <c r="H49" s="149">
        <v>1.54</v>
      </c>
      <c r="I49" s="456">
        <f t="shared" si="0"/>
        <v>-1.0000000000000009E-2</v>
      </c>
      <c r="M49" s="81">
        <f>IF(MOD(C49,7)&lt;2,0,IF(MOD(C49,7)=6,3,1))+1</f>
        <v>4</v>
      </c>
      <c r="N49" s="64">
        <f t="shared" si="3"/>
        <v>1.0001711111111111</v>
      </c>
    </row>
    <row r="50" spans="1:16">
      <c r="B50" s="228"/>
      <c r="C50" s="61">
        <f t="shared" si="5"/>
        <v>43848</v>
      </c>
      <c r="D50" s="172"/>
      <c r="E50" s="164"/>
      <c r="F50" s="58" t="str">
        <f>VLOOKUP(MOD(C50,7),'CALENDAR INFO'!$I$2:$J$8,2)</f>
        <v>SAT</v>
      </c>
      <c r="G50" s="213">
        <v>1.55</v>
      </c>
      <c r="H50" s="149">
        <v>1.54</v>
      </c>
      <c r="I50" s="456">
        <f t="shared" si="0"/>
        <v>-1.0000000000000009E-2</v>
      </c>
      <c r="M50" s="63">
        <f>IF(MOD(C50,7)&lt;2,0,IF(MOD(C50,7)=6,3,1))</f>
        <v>0</v>
      </c>
      <c r="N50" s="64">
        <f t="shared" si="3"/>
        <v>1</v>
      </c>
    </row>
    <row r="51" spans="1:16">
      <c r="B51" s="228"/>
      <c r="C51" s="61">
        <f t="shared" si="5"/>
        <v>43849</v>
      </c>
      <c r="D51" s="172"/>
      <c r="E51" s="164"/>
      <c r="F51" s="58" t="str">
        <f>VLOOKUP(MOD(C51,7),'CALENDAR INFO'!$I$2:$J$8,2)</f>
        <v>SUN</v>
      </c>
      <c r="G51" s="213">
        <v>1.55</v>
      </c>
      <c r="H51" s="149">
        <v>1.54</v>
      </c>
      <c r="I51" s="456">
        <f t="shared" si="0"/>
        <v>-1.0000000000000009E-2</v>
      </c>
      <c r="M51" s="63">
        <f>IF(MOD(C51,7)&lt;2,0,IF(MOD(C51,7)=6,3,1))</f>
        <v>0</v>
      </c>
      <c r="N51" s="64">
        <f t="shared" si="3"/>
        <v>1</v>
      </c>
    </row>
    <row r="52" spans="1:16">
      <c r="B52" s="228"/>
      <c r="C52" s="61">
        <f t="shared" si="5"/>
        <v>43850</v>
      </c>
      <c r="D52" s="172" t="s">
        <v>45</v>
      </c>
      <c r="E52" s="164"/>
      <c r="F52" s="58" t="str">
        <f>VLOOKUP(MOD(C52,7),'CALENDAR INFO'!$I$2:$J$8,2)</f>
        <v>MON</v>
      </c>
      <c r="G52" s="213">
        <v>1.55</v>
      </c>
      <c r="H52" s="149">
        <v>1.54</v>
      </c>
      <c r="I52" s="456">
        <f t="shared" si="0"/>
        <v>-1.0000000000000009E-2</v>
      </c>
      <c r="M52" s="81">
        <f>IF(MOD(C52,7)&lt;2,0,IF(MOD(C52,7)=6,3,1))-1</f>
        <v>0</v>
      </c>
      <c r="N52" s="64">
        <f t="shared" si="3"/>
        <v>1</v>
      </c>
    </row>
    <row r="53" spans="1:16">
      <c r="B53" s="228"/>
      <c r="C53" s="61">
        <f t="shared" si="5"/>
        <v>43851</v>
      </c>
      <c r="D53" s="172"/>
      <c r="E53" s="164"/>
      <c r="F53" s="58" t="str">
        <f>VLOOKUP(MOD(C53,7),'CALENDAR INFO'!$I$2:$J$8,2)</f>
        <v>TUE</v>
      </c>
      <c r="G53" s="213">
        <v>1.55</v>
      </c>
      <c r="H53" s="149">
        <v>1.54</v>
      </c>
      <c r="I53" s="456">
        <f t="shared" si="0"/>
        <v>-1.0000000000000009E-2</v>
      </c>
      <c r="M53" s="63">
        <f t="shared" ref="M53:M76" si="6">IF(MOD(C53,7)&lt;2,0,IF(MOD(C53,7)=6,3,1))</f>
        <v>1</v>
      </c>
      <c r="N53" s="64">
        <f t="shared" si="3"/>
        <v>1.0000427777777778</v>
      </c>
    </row>
    <row r="54" spans="1:16">
      <c r="B54" s="228"/>
      <c r="C54" s="61">
        <f t="shared" si="5"/>
        <v>43852</v>
      </c>
      <c r="D54" s="172"/>
      <c r="E54" s="164"/>
      <c r="F54" s="58" t="str">
        <f>VLOOKUP(MOD(C54,7),'CALENDAR INFO'!$I$2:$J$8,2)</f>
        <v>WED</v>
      </c>
      <c r="G54" s="213">
        <v>1.55</v>
      </c>
      <c r="H54" s="149">
        <v>1.54</v>
      </c>
      <c r="I54" s="456">
        <f t="shared" si="0"/>
        <v>-1.0000000000000009E-2</v>
      </c>
      <c r="M54" s="63">
        <f t="shared" si="6"/>
        <v>1</v>
      </c>
      <c r="N54" s="64">
        <f t="shared" si="3"/>
        <v>1.0000427777777778</v>
      </c>
    </row>
    <row r="55" spans="1:16">
      <c r="B55" s="228"/>
      <c r="C55" s="61">
        <f t="shared" si="5"/>
        <v>43853</v>
      </c>
      <c r="D55" s="172"/>
      <c r="E55" s="164"/>
      <c r="F55" s="58" t="str">
        <f>VLOOKUP(MOD(C55,7),'CALENDAR INFO'!$I$2:$J$8,2)</f>
        <v>THU</v>
      </c>
      <c r="G55" s="213">
        <v>1.55</v>
      </c>
      <c r="H55" s="149">
        <v>1.54</v>
      </c>
      <c r="I55" s="456">
        <f t="shared" si="0"/>
        <v>-1.0000000000000009E-2</v>
      </c>
      <c r="M55" s="63">
        <f t="shared" si="6"/>
        <v>1</v>
      </c>
      <c r="N55" s="64">
        <f t="shared" si="3"/>
        <v>1.0000427777777778</v>
      </c>
    </row>
    <row r="56" spans="1:16">
      <c r="B56" s="228"/>
      <c r="C56" s="61">
        <f t="shared" si="5"/>
        <v>43854</v>
      </c>
      <c r="D56" s="172"/>
      <c r="E56" s="164"/>
      <c r="F56" s="58" t="str">
        <f>VLOOKUP(MOD(C56,7),'CALENDAR INFO'!$I$2:$J$8,2)</f>
        <v>FRI</v>
      </c>
      <c r="G56" s="213">
        <v>1.55</v>
      </c>
      <c r="H56" s="149">
        <v>1.53</v>
      </c>
      <c r="I56" s="456">
        <f t="shared" si="0"/>
        <v>-2.0000000000000018E-2</v>
      </c>
      <c r="M56" s="63">
        <f t="shared" si="6"/>
        <v>3</v>
      </c>
      <c r="N56" s="64">
        <f t="shared" si="3"/>
        <v>1.0001275000000001</v>
      </c>
    </row>
    <row r="57" spans="1:16">
      <c r="B57" s="228"/>
      <c r="C57" s="61">
        <f t="shared" si="5"/>
        <v>43855</v>
      </c>
      <c r="D57" s="172"/>
      <c r="E57" s="164"/>
      <c r="F57" s="58" t="str">
        <f>VLOOKUP(MOD(C57,7),'CALENDAR INFO'!$I$2:$J$8,2)</f>
        <v>SAT</v>
      </c>
      <c r="G57" s="213">
        <v>1.55</v>
      </c>
      <c r="H57" s="149">
        <v>1.53</v>
      </c>
      <c r="I57" s="456">
        <f t="shared" si="0"/>
        <v>-2.0000000000000018E-2</v>
      </c>
      <c r="M57" s="63">
        <f t="shared" si="6"/>
        <v>0</v>
      </c>
      <c r="N57" s="64">
        <f t="shared" si="3"/>
        <v>1</v>
      </c>
    </row>
    <row r="58" spans="1:16">
      <c r="B58" s="228"/>
      <c r="C58" s="61">
        <f t="shared" ref="C58:C64" si="7">C57+1</f>
        <v>43856</v>
      </c>
      <c r="D58" s="172"/>
      <c r="E58" s="164"/>
      <c r="F58" s="58" t="str">
        <f>VLOOKUP(MOD(C58,7),'CALENDAR INFO'!$I$2:$J$8,2)</f>
        <v>SUN</v>
      </c>
      <c r="G58" s="213">
        <v>1.55</v>
      </c>
      <c r="H58" s="149">
        <v>1.53</v>
      </c>
      <c r="I58" s="456">
        <f t="shared" si="0"/>
        <v>-2.0000000000000018E-2</v>
      </c>
      <c r="K58" s="178"/>
      <c r="M58" s="63">
        <f t="shared" si="6"/>
        <v>0</v>
      </c>
      <c r="N58" s="64">
        <f t="shared" si="3"/>
        <v>1</v>
      </c>
    </row>
    <row r="59" spans="1:16">
      <c r="B59" s="228"/>
      <c r="C59" s="61">
        <f t="shared" si="7"/>
        <v>43857</v>
      </c>
      <c r="D59" s="172"/>
      <c r="E59" s="164"/>
      <c r="F59" s="58" t="str">
        <f>VLOOKUP(MOD(C59,7),'CALENDAR INFO'!$I$2:$J$8,2)</f>
        <v>MON</v>
      </c>
      <c r="G59" s="213">
        <v>1.55</v>
      </c>
      <c r="H59" s="149">
        <v>1.53</v>
      </c>
      <c r="I59" s="456">
        <f t="shared" si="0"/>
        <v>-2.0000000000000018E-2</v>
      </c>
      <c r="M59" s="63">
        <f t="shared" si="6"/>
        <v>1</v>
      </c>
      <c r="N59" s="64">
        <f t="shared" si="3"/>
        <v>1.0000424999999999</v>
      </c>
    </row>
    <row r="60" spans="1:16">
      <c r="B60" s="228"/>
      <c r="C60" s="61">
        <f t="shared" si="7"/>
        <v>43858</v>
      </c>
      <c r="D60" s="153" t="s">
        <v>20</v>
      </c>
      <c r="E60" s="164"/>
      <c r="F60" s="58" t="str">
        <f>VLOOKUP(MOD(C60,7),'CALENDAR INFO'!$I$2:$J$8,2)</f>
        <v>TUE</v>
      </c>
      <c r="G60" s="213">
        <v>1.55</v>
      </c>
      <c r="H60" s="149">
        <v>1.53</v>
      </c>
      <c r="I60" s="456">
        <f t="shared" si="0"/>
        <v>-2.0000000000000018E-2</v>
      </c>
      <c r="K60" s="178"/>
      <c r="M60" s="63">
        <f t="shared" si="6"/>
        <v>1</v>
      </c>
      <c r="N60" s="64">
        <f t="shared" si="3"/>
        <v>1.0000424999999999</v>
      </c>
    </row>
    <row r="61" spans="1:16">
      <c r="B61" s="228"/>
      <c r="C61" s="61">
        <f t="shared" si="7"/>
        <v>43859</v>
      </c>
      <c r="D61" s="153" t="s">
        <v>20</v>
      </c>
      <c r="E61" s="164" t="s">
        <v>19</v>
      </c>
      <c r="F61" s="58" t="str">
        <f>VLOOKUP(MOD(C61,7),'CALENDAR INFO'!$I$2:$J$8,2)</f>
        <v>WED</v>
      </c>
      <c r="G61" s="213">
        <v>1.55</v>
      </c>
      <c r="H61" s="149">
        <v>1.53</v>
      </c>
      <c r="I61" s="456">
        <f t="shared" si="0"/>
        <v>-2.0000000000000018E-2</v>
      </c>
      <c r="J61" s="433"/>
      <c r="K61" s="183"/>
      <c r="L61" s="195"/>
      <c r="M61" s="63">
        <f t="shared" si="6"/>
        <v>1</v>
      </c>
      <c r="N61" s="64">
        <f t="shared" si="3"/>
        <v>1.0000424999999999</v>
      </c>
    </row>
    <row r="62" spans="1:16">
      <c r="A62" s="84"/>
      <c r="B62" s="228"/>
      <c r="C62" s="61">
        <f t="shared" si="7"/>
        <v>43860</v>
      </c>
      <c r="D62" s="172"/>
      <c r="E62" s="166" t="s">
        <v>18</v>
      </c>
      <c r="F62" s="58" t="str">
        <f>VLOOKUP(MOD(C62,7),'CALENDAR INFO'!$I$2:$J$8,2)</f>
        <v>THU</v>
      </c>
      <c r="G62" s="214">
        <v>1.6</v>
      </c>
      <c r="H62" s="149">
        <v>1.58</v>
      </c>
      <c r="I62" s="456">
        <f t="shared" si="0"/>
        <v>-2.0000000000000018E-2</v>
      </c>
      <c r="K62" s="178"/>
      <c r="M62" s="63">
        <f t="shared" si="6"/>
        <v>1</v>
      </c>
      <c r="N62" s="64">
        <f t="shared" si="3"/>
        <v>1.000043888888889</v>
      </c>
    </row>
    <row r="63" spans="1:16" s="79" customFormat="1" ht="15.75" thickBot="1">
      <c r="A63" s="72"/>
      <c r="B63" s="226"/>
      <c r="C63" s="75">
        <f t="shared" si="7"/>
        <v>43861</v>
      </c>
      <c r="D63" s="242"/>
      <c r="E63" s="87"/>
      <c r="F63" s="71" t="str">
        <f>VLOOKUP(MOD(C63,7),'CALENDAR INFO'!$I$2:$J$8,2)</f>
        <v>FRI</v>
      </c>
      <c r="G63" s="216">
        <v>1.59</v>
      </c>
      <c r="H63" s="426">
        <v>1.6</v>
      </c>
      <c r="I63" s="458">
        <f t="shared" si="0"/>
        <v>1.0000000000000009E-2</v>
      </c>
      <c r="J63" s="434"/>
      <c r="K63" s="181"/>
      <c r="L63" s="196"/>
      <c r="M63" s="88">
        <f t="shared" si="6"/>
        <v>3</v>
      </c>
      <c r="N63" s="77">
        <f t="shared" si="3"/>
        <v>1.0001333333333333</v>
      </c>
      <c r="O63" s="78"/>
      <c r="P63" s="73"/>
    </row>
    <row r="64" spans="1:16">
      <c r="A64" s="80"/>
      <c r="B64" s="227"/>
      <c r="C64" s="61">
        <f t="shared" si="7"/>
        <v>43862</v>
      </c>
      <c r="D64" s="172"/>
      <c r="E64" s="166"/>
      <c r="F64" s="58" t="str">
        <f>VLOOKUP(MOD(C64,7),'CALENDAR INFO'!$I$2:$J$8,2)</f>
        <v>SAT</v>
      </c>
      <c r="G64" s="213">
        <v>1.59</v>
      </c>
      <c r="H64" s="425">
        <v>1.6</v>
      </c>
      <c r="I64" s="457">
        <f t="shared" si="0"/>
        <v>1.0000000000000009E-2</v>
      </c>
      <c r="J64" s="15" t="s">
        <v>118</v>
      </c>
      <c r="K64" s="15">
        <f>VLOOKUP(MONTH($C64),'CALENDAR INFO'!$I$12:$J$23,2)</f>
        <v>28</v>
      </c>
      <c r="L64" s="179">
        <f>K64</f>
        <v>28</v>
      </c>
      <c r="M64" s="63">
        <f t="shared" si="6"/>
        <v>0</v>
      </c>
      <c r="N64" s="64">
        <f t="shared" si="3"/>
        <v>1</v>
      </c>
    </row>
    <row r="65" spans="1:17">
      <c r="A65" s="80"/>
      <c r="B65" s="227"/>
      <c r="C65" s="61">
        <f t="shared" ref="C65:C128" si="8">C64+1</f>
        <v>43863</v>
      </c>
      <c r="E65" s="166"/>
      <c r="F65" s="58" t="str">
        <f>VLOOKUP(MOD(C65,7),'CALENDAR INFO'!$I$2:$J$8,2)</f>
        <v>SUN</v>
      </c>
      <c r="G65" s="213">
        <v>1.59</v>
      </c>
      <c r="H65" s="425">
        <v>1.6</v>
      </c>
      <c r="I65" s="457">
        <f t="shared" si="0"/>
        <v>1.0000000000000009E-2</v>
      </c>
      <c r="J65" s="15" t="s">
        <v>151</v>
      </c>
      <c r="K65" s="15">
        <f>ROW($C65)-1</f>
        <v>64</v>
      </c>
      <c r="L65" s="179">
        <f>K65</f>
        <v>64</v>
      </c>
      <c r="M65" s="63">
        <f t="shared" si="6"/>
        <v>0</v>
      </c>
      <c r="N65" s="64">
        <f t="shared" si="3"/>
        <v>1</v>
      </c>
    </row>
    <row r="66" spans="1:17">
      <c r="A66" s="80"/>
      <c r="B66" s="227"/>
      <c r="C66" s="61">
        <f t="shared" si="8"/>
        <v>43864</v>
      </c>
      <c r="E66" s="166"/>
      <c r="F66" s="58" t="str">
        <f>VLOOKUP(MOD(C66,7),'CALENDAR INFO'!$I$2:$J$8,2)</f>
        <v>MON</v>
      </c>
      <c r="G66" s="213">
        <v>1.59</v>
      </c>
      <c r="H66" s="425">
        <v>1.59</v>
      </c>
      <c r="I66" s="457">
        <f t="shared" si="0"/>
        <v>0</v>
      </c>
      <c r="J66" s="15" t="s">
        <v>152</v>
      </c>
      <c r="K66" s="15">
        <f>K64+K65-1</f>
        <v>91</v>
      </c>
      <c r="L66" s="179">
        <f>K66</f>
        <v>91</v>
      </c>
      <c r="M66" s="63">
        <f t="shared" si="6"/>
        <v>1</v>
      </c>
      <c r="N66" s="64">
        <f t="shared" si="3"/>
        <v>1.0000441666666666</v>
      </c>
      <c r="Q66" s="69"/>
    </row>
    <row r="67" spans="1:17">
      <c r="A67" s="80"/>
      <c r="B67" s="227"/>
      <c r="C67" s="61">
        <f t="shared" si="8"/>
        <v>43865</v>
      </c>
      <c r="E67" s="166"/>
      <c r="F67" s="58" t="str">
        <f>VLOOKUP(MOD(C67,7),'CALENDAR INFO'!$I$2:$J$8,2)</f>
        <v>TUE</v>
      </c>
      <c r="G67" s="213">
        <v>1.59</v>
      </c>
      <c r="H67" s="425">
        <v>1.6</v>
      </c>
      <c r="I67" s="457">
        <f t="shared" ref="I67:I130" si="9">H67-G67</f>
        <v>1.0000000000000009E-2</v>
      </c>
      <c r="K67" s="152"/>
      <c r="M67" s="63">
        <f t="shared" si="6"/>
        <v>1</v>
      </c>
      <c r="N67" s="64">
        <f t="shared" si="3"/>
        <v>1.0000444444444445</v>
      </c>
      <c r="Q67" s="69"/>
    </row>
    <row r="68" spans="1:17">
      <c r="A68" s="80"/>
      <c r="B68" s="227"/>
      <c r="C68" s="61">
        <f t="shared" si="8"/>
        <v>43866</v>
      </c>
      <c r="E68" s="166"/>
      <c r="F68" s="58" t="str">
        <f>VLOOKUP(MOD(C68,7),'CALENDAR INFO'!$I$2:$J$8,2)</f>
        <v>WED</v>
      </c>
      <c r="G68" s="213">
        <v>1.59</v>
      </c>
      <c r="H68" s="425">
        <v>1.59</v>
      </c>
      <c r="I68" s="457">
        <f t="shared" si="9"/>
        <v>0</v>
      </c>
      <c r="J68" s="15" t="s">
        <v>153</v>
      </c>
      <c r="K68" s="15" t="str">
        <f>_xlfn.CONCAT("A",TEXT(K65,0),":","A",TEXT(K66,0))</f>
        <v>A64:A91</v>
      </c>
      <c r="L68" s="179" t="str">
        <f>_xlfn.CONCAT("B",TEXT(L65,0),":","B",TEXT(L66,0))</f>
        <v>B64:B91</v>
      </c>
      <c r="M68" s="63">
        <f t="shared" si="6"/>
        <v>1</v>
      </c>
      <c r="N68" s="64">
        <f t="shared" si="3"/>
        <v>1.0000441666666666</v>
      </c>
      <c r="Q68" s="69"/>
    </row>
    <row r="69" spans="1:17">
      <c r="A69" s="80"/>
      <c r="B69" s="227"/>
      <c r="C69" s="61">
        <f t="shared" si="8"/>
        <v>43867</v>
      </c>
      <c r="E69" s="166"/>
      <c r="F69" s="58" t="str">
        <f>VLOOKUP(MOD(C69,7),'CALENDAR INFO'!$I$2:$J$8,2)</f>
        <v>THU</v>
      </c>
      <c r="G69" s="213">
        <v>1.59</v>
      </c>
      <c r="H69" s="425">
        <v>1.59</v>
      </c>
      <c r="I69" s="457">
        <f t="shared" si="9"/>
        <v>0</v>
      </c>
      <c r="J69" s="15" t="s">
        <v>154</v>
      </c>
      <c r="K69" s="15" t="str">
        <f>_xlfn.CONCAT("F",TEXT(K65,0),":","F",TEXT(K66,0))</f>
        <v>F64:F91</v>
      </c>
      <c r="L69" s="179" t="str">
        <f>_xlfn.CONCAT("G",TEXT(L65,0),":","G",TEXT(L66,0))</f>
        <v>G64:G91</v>
      </c>
      <c r="M69" s="63">
        <f t="shared" si="6"/>
        <v>1</v>
      </c>
      <c r="N69" s="64">
        <f t="shared" si="3"/>
        <v>1.0000441666666666</v>
      </c>
      <c r="P69" s="17"/>
      <c r="Q69" s="69"/>
    </row>
    <row r="70" spans="1:17">
      <c r="A70" s="80"/>
      <c r="B70" s="227"/>
      <c r="C70" s="61">
        <f t="shared" si="8"/>
        <v>43868</v>
      </c>
      <c r="E70" s="166"/>
      <c r="F70" s="58" t="str">
        <f>VLOOKUP(MOD(C70,7),'CALENDAR INFO'!$I$2:$J$8,2)</f>
        <v>FRI</v>
      </c>
      <c r="G70" s="213">
        <v>1.58</v>
      </c>
      <c r="H70" s="425">
        <v>1.58</v>
      </c>
      <c r="I70" s="457">
        <f t="shared" si="9"/>
        <v>0</v>
      </c>
      <c r="M70" s="63">
        <f t="shared" si="6"/>
        <v>3</v>
      </c>
      <c r="N70" s="64">
        <f t="shared" si="3"/>
        <v>1.0001316666666666</v>
      </c>
    </row>
    <row r="71" spans="1:17">
      <c r="A71" s="80"/>
      <c r="B71" s="41"/>
      <c r="C71" s="61">
        <f t="shared" si="8"/>
        <v>43869</v>
      </c>
      <c r="E71" s="166"/>
      <c r="F71" s="58" t="str">
        <f>VLOOKUP(MOD(C71,7),'CALENDAR INFO'!$I$2:$J$8,2)</f>
        <v>SAT</v>
      </c>
      <c r="G71" s="213">
        <v>1.58</v>
      </c>
      <c r="H71" s="425">
        <v>1.58</v>
      </c>
      <c r="I71" s="457">
        <f t="shared" si="9"/>
        <v>0</v>
      </c>
      <c r="J71" s="15" t="s">
        <v>155</v>
      </c>
      <c r="K71" s="15">
        <f ca="1">SUM(INDIRECT(K68))</f>
        <v>0</v>
      </c>
      <c r="L71" s="179">
        <f ca="1">SUM(INDIRECT(L68))</f>
        <v>0</v>
      </c>
      <c r="M71" s="63">
        <f t="shared" si="6"/>
        <v>0</v>
      </c>
      <c r="N71" s="64">
        <f t="shared" si="3"/>
        <v>1</v>
      </c>
    </row>
    <row r="72" spans="1:17">
      <c r="A72" s="80"/>
      <c r="B72" s="227"/>
      <c r="C72" s="61">
        <f t="shared" si="8"/>
        <v>43870</v>
      </c>
      <c r="E72" s="166"/>
      <c r="F72" s="58" t="str">
        <f>VLOOKUP(MOD(C72,7),'CALENDAR INFO'!$I$2:$J$8,2)</f>
        <v>SUN</v>
      </c>
      <c r="G72" s="213">
        <v>1.58</v>
      </c>
      <c r="H72" s="425">
        <v>1.58</v>
      </c>
      <c r="I72" s="457">
        <f t="shared" si="9"/>
        <v>0</v>
      </c>
      <c r="J72" s="15" t="s">
        <v>156</v>
      </c>
      <c r="K72" s="207">
        <f ca="1">SUM(INDIRECT(K69))</f>
        <v>0</v>
      </c>
      <c r="L72" s="208">
        <f ca="1">SUM(INDIRECT(L69))</f>
        <v>44.329999999999984</v>
      </c>
      <c r="M72" s="63">
        <f t="shared" si="6"/>
        <v>0</v>
      </c>
      <c r="N72" s="64">
        <f t="shared" si="3"/>
        <v>1</v>
      </c>
    </row>
    <row r="73" spans="1:17">
      <c r="A73" s="80"/>
      <c r="B73" s="227"/>
      <c r="C73" s="61">
        <f t="shared" si="8"/>
        <v>43871</v>
      </c>
      <c r="E73" s="166"/>
      <c r="F73" s="58" t="str">
        <f>VLOOKUP(MOD(C73,7),'CALENDAR INFO'!$I$2:$J$8,2)</f>
        <v>MON</v>
      </c>
      <c r="G73" s="213">
        <v>1.58</v>
      </c>
      <c r="H73" s="425">
        <v>1.58</v>
      </c>
      <c r="I73" s="457">
        <f t="shared" si="9"/>
        <v>0</v>
      </c>
      <c r="J73" s="15" t="s">
        <v>157</v>
      </c>
      <c r="K73" s="178">
        <f ca="1">K71+K72</f>
        <v>0</v>
      </c>
      <c r="L73" s="192">
        <f ca="1">L71+L72</f>
        <v>44.329999999999984</v>
      </c>
      <c r="M73" s="63">
        <f t="shared" si="6"/>
        <v>1</v>
      </c>
      <c r="N73" s="64">
        <f t="shared" si="3"/>
        <v>1.000043888888889</v>
      </c>
    </row>
    <row r="74" spans="1:17">
      <c r="A74" s="80"/>
      <c r="B74" s="41"/>
      <c r="C74" s="61">
        <f t="shared" si="8"/>
        <v>43872</v>
      </c>
      <c r="E74" s="166"/>
      <c r="F74" s="58" t="str">
        <f>VLOOKUP(MOD(C74,7),'CALENDAR INFO'!$I$2:$J$8,2)</f>
        <v>TUE</v>
      </c>
      <c r="G74" s="213">
        <v>1.58</v>
      </c>
      <c r="H74" s="425">
        <v>1.58</v>
      </c>
      <c r="I74" s="457">
        <f t="shared" si="9"/>
        <v>0</v>
      </c>
      <c r="M74" s="63">
        <f t="shared" si="6"/>
        <v>1</v>
      </c>
      <c r="N74" s="64">
        <f t="shared" si="3"/>
        <v>1.000043888888889</v>
      </c>
    </row>
    <row r="75" spans="1:17">
      <c r="A75" s="80"/>
      <c r="B75" s="227"/>
      <c r="C75" s="61">
        <f t="shared" si="8"/>
        <v>43873</v>
      </c>
      <c r="E75" s="166" t="s">
        <v>19</v>
      </c>
      <c r="F75" s="58" t="str">
        <f>VLOOKUP(MOD(C75,7),'CALENDAR INFO'!$I$2:$J$8,2)</f>
        <v>WED</v>
      </c>
      <c r="G75" s="213">
        <v>1.58</v>
      </c>
      <c r="H75" s="425">
        <v>1.57</v>
      </c>
      <c r="I75" s="457">
        <f t="shared" si="9"/>
        <v>-1.0000000000000009E-2</v>
      </c>
      <c r="J75" s="15" t="s">
        <v>158</v>
      </c>
      <c r="K75" s="178">
        <f ca="1">K73/K64</f>
        <v>0</v>
      </c>
      <c r="L75" s="192">
        <f ca="1">L73/L64</f>
        <v>1.5832142857142852</v>
      </c>
      <c r="M75" s="63">
        <f t="shared" si="6"/>
        <v>1</v>
      </c>
      <c r="N75" s="64">
        <f t="shared" si="3"/>
        <v>1.0000436111111111</v>
      </c>
    </row>
    <row r="76" spans="1:17">
      <c r="A76" s="80"/>
      <c r="B76" s="41"/>
      <c r="C76" s="61">
        <f t="shared" si="8"/>
        <v>43874</v>
      </c>
      <c r="E76" s="164" t="s">
        <v>18</v>
      </c>
      <c r="F76" s="58" t="str">
        <f>VLOOKUP(MOD(C76,7),'CALENDAR INFO'!$I$2:$J$8,2)</f>
        <v>THU</v>
      </c>
      <c r="G76" s="213">
        <v>1.58</v>
      </c>
      <c r="H76" s="425">
        <v>1.57</v>
      </c>
      <c r="I76" s="457">
        <f t="shared" si="9"/>
        <v>-1.0000000000000009E-2</v>
      </c>
      <c r="J76" s="177" t="s">
        <v>159</v>
      </c>
      <c r="K76" s="180">
        <f ca="1">100-K75</f>
        <v>100</v>
      </c>
      <c r="L76" s="193">
        <f ca="1">100-L75</f>
        <v>98.416785714285709</v>
      </c>
      <c r="M76" s="63">
        <f t="shared" si="6"/>
        <v>1</v>
      </c>
      <c r="N76" s="64">
        <f t="shared" si="3"/>
        <v>1.0000436111111111</v>
      </c>
    </row>
    <row r="77" spans="1:17">
      <c r="B77" s="41"/>
      <c r="C77" s="61">
        <f t="shared" si="8"/>
        <v>43875</v>
      </c>
      <c r="E77" s="164"/>
      <c r="F77" s="58" t="str">
        <f>VLOOKUP(MOD(C77,7),'CALENDAR INFO'!$I$2:$J$8,2)</f>
        <v>FRI</v>
      </c>
      <c r="G77" s="213">
        <v>1.58</v>
      </c>
      <c r="H77" s="425">
        <v>1.58</v>
      </c>
      <c r="I77" s="457">
        <f t="shared" si="9"/>
        <v>0</v>
      </c>
      <c r="K77" s="178"/>
      <c r="L77" s="192"/>
      <c r="M77" s="81">
        <f>IF(MOD(C77,7)&lt;2,0,IF(MOD(C77,7)=6,3,1))+1</f>
        <v>4</v>
      </c>
      <c r="N77" s="64">
        <f t="shared" si="3"/>
        <v>1.0001755555555556</v>
      </c>
    </row>
    <row r="78" spans="1:17">
      <c r="B78" s="41"/>
      <c r="C78" s="61">
        <f t="shared" si="8"/>
        <v>43876</v>
      </c>
      <c r="E78" s="164"/>
      <c r="F78" s="58" t="str">
        <f>VLOOKUP(MOD(C78,7),'CALENDAR INFO'!$I$2:$J$8,2)</f>
        <v>SAT</v>
      </c>
      <c r="G78" s="213">
        <v>1.58</v>
      </c>
      <c r="H78" s="425">
        <v>1.58</v>
      </c>
      <c r="I78" s="457">
        <f t="shared" si="9"/>
        <v>0</v>
      </c>
      <c r="J78" s="176"/>
      <c r="K78" s="186"/>
      <c r="L78" s="194"/>
      <c r="M78" s="63">
        <f>IF(MOD(C78,7)&lt;2,0,IF(MOD(C78,7)=6,3,1))</f>
        <v>0</v>
      </c>
      <c r="N78" s="64">
        <f t="shared" si="3"/>
        <v>1</v>
      </c>
    </row>
    <row r="79" spans="1:17">
      <c r="B79" s="41"/>
      <c r="C79" s="61">
        <f t="shared" si="8"/>
        <v>43877</v>
      </c>
      <c r="E79" s="164"/>
      <c r="F79" s="58" t="str">
        <f>VLOOKUP(MOD(C79,7),'CALENDAR INFO'!$I$2:$J$8,2)</f>
        <v>SUN</v>
      </c>
      <c r="G79" s="213">
        <v>1.58</v>
      </c>
      <c r="H79" s="425">
        <v>1.58</v>
      </c>
      <c r="I79" s="457">
        <f t="shared" si="9"/>
        <v>0</v>
      </c>
      <c r="J79" s="176"/>
      <c r="K79" s="176"/>
      <c r="L79" s="198"/>
      <c r="M79" s="63">
        <f>IF(MOD(C79,7)&lt;2,0,IF(MOD(C79,7)=6,3,1))</f>
        <v>0</v>
      </c>
      <c r="N79" s="64">
        <f t="shared" si="3"/>
        <v>1</v>
      </c>
    </row>
    <row r="80" spans="1:17">
      <c r="B80" s="41"/>
      <c r="C80" s="61">
        <f t="shared" si="8"/>
        <v>43878</v>
      </c>
      <c r="D80" s="173" t="s">
        <v>39</v>
      </c>
      <c r="E80" s="164"/>
      <c r="F80" s="58" t="str">
        <f>VLOOKUP(MOD(C80,7),'CALENDAR INFO'!$I$2:$J$8,2)</f>
        <v>MON</v>
      </c>
      <c r="G80" s="213">
        <v>1.58</v>
      </c>
      <c r="H80" s="425">
        <v>1.58</v>
      </c>
      <c r="I80" s="457">
        <f t="shared" si="9"/>
        <v>0</v>
      </c>
      <c r="M80" s="81">
        <f>IF(MOD(C80,7)&lt;2,0,IF(MOD(C80,7)=6,3,1))-1</f>
        <v>0</v>
      </c>
      <c r="N80" s="64">
        <f t="shared" si="3"/>
        <v>1</v>
      </c>
    </row>
    <row r="81" spans="1:18">
      <c r="B81" s="41"/>
      <c r="C81" s="61">
        <f t="shared" si="8"/>
        <v>43879</v>
      </c>
      <c r="E81" s="164"/>
      <c r="F81" s="58" t="str">
        <f>VLOOKUP(MOD(C81,7),'CALENDAR INFO'!$I$2:$J$8,2)</f>
        <v>TUE</v>
      </c>
      <c r="G81" s="213">
        <v>1.59</v>
      </c>
      <c r="H81" s="425">
        <v>1.6</v>
      </c>
      <c r="I81" s="457">
        <f t="shared" si="9"/>
        <v>1.0000000000000009E-2</v>
      </c>
      <c r="M81" s="63">
        <f t="shared" ref="M81:M112" si="10">IF(MOD(C81,7)&lt;2,0,IF(MOD(C81,7)=6,3,1))</f>
        <v>1</v>
      </c>
      <c r="N81" s="64">
        <f t="shared" si="3"/>
        <v>1.0000444444444445</v>
      </c>
    </row>
    <row r="82" spans="1:18">
      <c r="B82" s="41"/>
      <c r="C82" s="61">
        <f t="shared" si="8"/>
        <v>43880</v>
      </c>
      <c r="E82" s="164"/>
      <c r="F82" s="58" t="str">
        <f>VLOOKUP(MOD(C82,7),'CALENDAR INFO'!$I$2:$J$8,2)</f>
        <v>WED</v>
      </c>
      <c r="G82" s="213">
        <v>1.59</v>
      </c>
      <c r="H82" s="425">
        <v>1.59</v>
      </c>
      <c r="I82" s="457">
        <f t="shared" si="9"/>
        <v>0</v>
      </c>
      <c r="M82" s="63">
        <f t="shared" si="10"/>
        <v>1</v>
      </c>
      <c r="N82" s="64">
        <f t="shared" si="3"/>
        <v>1.0000441666666666</v>
      </c>
    </row>
    <row r="83" spans="1:18">
      <c r="B83" s="41"/>
      <c r="C83" s="61">
        <f t="shared" si="8"/>
        <v>43881</v>
      </c>
      <c r="E83" s="164"/>
      <c r="F83" s="58" t="str">
        <f>VLOOKUP(MOD(C83,7),'CALENDAR INFO'!$I$2:$J$8,2)</f>
        <v>THU</v>
      </c>
      <c r="G83" s="213">
        <v>1.59</v>
      </c>
      <c r="H83" s="425">
        <v>1.6</v>
      </c>
      <c r="I83" s="457">
        <f t="shared" si="9"/>
        <v>1.0000000000000009E-2</v>
      </c>
      <c r="M83" s="63">
        <f t="shared" si="10"/>
        <v>1</v>
      </c>
      <c r="N83" s="64">
        <f t="shared" ref="N83:N146" si="11">1+(M83/360)*(MAX(H83,B83)/100)</f>
        <v>1.0000444444444445</v>
      </c>
    </row>
    <row r="84" spans="1:18">
      <c r="B84" s="41"/>
      <c r="C84" s="61">
        <f t="shared" si="8"/>
        <v>43882</v>
      </c>
      <c r="E84" s="164"/>
      <c r="F84" s="58" t="str">
        <f>VLOOKUP(MOD(C84,7),'CALENDAR INFO'!$I$2:$J$8,2)</f>
        <v>FRI</v>
      </c>
      <c r="G84" s="213">
        <v>1.58</v>
      </c>
      <c r="H84" s="425">
        <v>1.58</v>
      </c>
      <c r="I84" s="457">
        <f t="shared" si="9"/>
        <v>0</v>
      </c>
      <c r="M84" s="63">
        <f t="shared" si="10"/>
        <v>3</v>
      </c>
      <c r="N84" s="64">
        <f t="shared" si="11"/>
        <v>1.0001316666666666</v>
      </c>
    </row>
    <row r="85" spans="1:18">
      <c r="B85" s="41"/>
      <c r="C85" s="61">
        <f t="shared" si="8"/>
        <v>43883</v>
      </c>
      <c r="E85" s="164"/>
      <c r="F85" s="58" t="str">
        <f>VLOOKUP(MOD(C85,7),'CALENDAR INFO'!$I$2:$J$8,2)</f>
        <v>SAT</v>
      </c>
      <c r="G85" s="213">
        <v>1.58</v>
      </c>
      <c r="H85" s="425">
        <v>1.58</v>
      </c>
      <c r="I85" s="457">
        <f t="shared" si="9"/>
        <v>0</v>
      </c>
      <c r="M85" s="63">
        <f t="shared" si="10"/>
        <v>0</v>
      </c>
      <c r="N85" s="64">
        <f t="shared" si="11"/>
        <v>1</v>
      </c>
    </row>
    <row r="86" spans="1:18">
      <c r="B86" s="41"/>
      <c r="C86" s="61">
        <f t="shared" si="8"/>
        <v>43884</v>
      </c>
      <c r="E86" s="164"/>
      <c r="F86" s="58" t="str">
        <f>VLOOKUP(MOD(C86,7),'CALENDAR INFO'!$I$2:$J$8,2)</f>
        <v>SUN</v>
      </c>
      <c r="G86" s="213">
        <v>1.58</v>
      </c>
      <c r="H86" s="425">
        <v>1.58</v>
      </c>
      <c r="I86" s="457">
        <f t="shared" si="9"/>
        <v>0</v>
      </c>
      <c r="M86" s="63">
        <f t="shared" si="10"/>
        <v>0</v>
      </c>
      <c r="N86" s="64">
        <f t="shared" si="11"/>
        <v>1</v>
      </c>
    </row>
    <row r="87" spans="1:18">
      <c r="B87" s="41"/>
      <c r="C87" s="61">
        <f t="shared" si="8"/>
        <v>43885</v>
      </c>
      <c r="E87" s="164"/>
      <c r="F87" s="58" t="str">
        <f>VLOOKUP(MOD(C87,7),'CALENDAR INFO'!$I$2:$J$8,2)</f>
        <v>MON</v>
      </c>
      <c r="G87" s="213">
        <v>1.58</v>
      </c>
      <c r="H87" s="425">
        <v>1.58</v>
      </c>
      <c r="I87" s="457">
        <f t="shared" si="9"/>
        <v>0</v>
      </c>
      <c r="K87" s="178"/>
      <c r="M87" s="63">
        <f t="shared" si="10"/>
        <v>1</v>
      </c>
      <c r="N87" s="64">
        <f t="shared" si="11"/>
        <v>1.000043888888889</v>
      </c>
    </row>
    <row r="88" spans="1:18">
      <c r="B88" s="41"/>
      <c r="C88" s="61">
        <f t="shared" si="8"/>
        <v>43886</v>
      </c>
      <c r="E88" s="164"/>
      <c r="F88" s="58" t="str">
        <f>VLOOKUP(MOD(C88,7),'CALENDAR INFO'!$I$2:$J$8,2)</f>
        <v>TUE</v>
      </c>
      <c r="G88" s="213">
        <v>1.58</v>
      </c>
      <c r="H88" s="425">
        <v>1.59</v>
      </c>
      <c r="I88" s="457">
        <f t="shared" si="9"/>
        <v>1.0000000000000009E-2</v>
      </c>
      <c r="M88" s="63">
        <f t="shared" si="10"/>
        <v>1</v>
      </c>
      <c r="N88" s="64">
        <f t="shared" si="11"/>
        <v>1.0000441666666666</v>
      </c>
      <c r="O88" s="89" t="s">
        <v>93</v>
      </c>
      <c r="P88" s="90"/>
    </row>
    <row r="89" spans="1:18">
      <c r="B89" s="41"/>
      <c r="C89" s="61">
        <f t="shared" si="8"/>
        <v>43887</v>
      </c>
      <c r="E89" s="164" t="s">
        <v>19</v>
      </c>
      <c r="F89" s="58" t="str">
        <f>VLOOKUP(MOD(C89,7),'CALENDAR INFO'!$I$2:$J$8,2)</f>
        <v>WED</v>
      </c>
      <c r="G89" s="213">
        <v>1.58</v>
      </c>
      <c r="H89" s="425">
        <v>1.58</v>
      </c>
      <c r="I89" s="457">
        <f t="shared" si="9"/>
        <v>0</v>
      </c>
      <c r="K89" s="178"/>
      <c r="M89" s="63">
        <f t="shared" si="10"/>
        <v>1</v>
      </c>
      <c r="N89" s="64">
        <f t="shared" si="11"/>
        <v>1.000043888888889</v>
      </c>
      <c r="O89" s="89" t="s">
        <v>26</v>
      </c>
      <c r="P89" s="91">
        <v>98.417000000000002</v>
      </c>
      <c r="R89" s="62"/>
    </row>
    <row r="90" spans="1:18">
      <c r="B90" s="41"/>
      <c r="C90" s="61">
        <f t="shared" si="8"/>
        <v>43888</v>
      </c>
      <c r="E90" s="165" t="s">
        <v>18</v>
      </c>
      <c r="F90" s="58" t="str">
        <f>VLOOKUP(MOD(C90,7),'CALENDAR INFO'!$I$2:$J$8,2)</f>
        <v>THU</v>
      </c>
      <c r="G90" s="213">
        <v>1.58</v>
      </c>
      <c r="H90" s="425">
        <v>1.58</v>
      </c>
      <c r="I90" s="457">
        <f t="shared" si="9"/>
        <v>0</v>
      </c>
      <c r="J90" s="433"/>
      <c r="K90" s="183"/>
      <c r="L90" s="195"/>
      <c r="M90" s="63">
        <f t="shared" si="10"/>
        <v>1</v>
      </c>
      <c r="N90" s="64">
        <f t="shared" si="11"/>
        <v>1.000043888888889</v>
      </c>
      <c r="O90" s="89" t="s">
        <v>76</v>
      </c>
      <c r="P90" s="91">
        <v>98.414000000000001</v>
      </c>
    </row>
    <row r="91" spans="1:18">
      <c r="A91" s="80"/>
      <c r="B91" s="227"/>
      <c r="C91" s="61">
        <f t="shared" si="8"/>
        <v>43889</v>
      </c>
      <c r="E91" s="167"/>
      <c r="F91" s="58" t="str">
        <f>VLOOKUP(MOD(C91,7),'CALENDAR INFO'!$I$2:$J$8,2)</f>
        <v>FRI</v>
      </c>
      <c r="G91" s="213">
        <v>1.58</v>
      </c>
      <c r="H91" s="425">
        <v>1.6</v>
      </c>
      <c r="I91" s="457">
        <f t="shared" si="9"/>
        <v>2.0000000000000018E-2</v>
      </c>
      <c r="K91" s="178"/>
      <c r="M91" s="63">
        <f t="shared" si="10"/>
        <v>3</v>
      </c>
      <c r="N91" s="64">
        <f t="shared" si="11"/>
        <v>1.0001333333333333</v>
      </c>
    </row>
    <row r="92" spans="1:18" s="79" customFormat="1" ht="15.75" thickBot="1">
      <c r="A92" s="72"/>
      <c r="B92" s="226"/>
      <c r="C92" s="75">
        <f t="shared" si="8"/>
        <v>43890</v>
      </c>
      <c r="D92" s="112"/>
      <c r="E92" s="92"/>
      <c r="F92" s="71" t="str">
        <f>VLOOKUP(MOD(C92,7),'CALENDAR INFO'!$I$2:$J$8,2)</f>
        <v>SAT</v>
      </c>
      <c r="G92" s="216">
        <v>1.58</v>
      </c>
      <c r="H92" s="426">
        <v>1.6</v>
      </c>
      <c r="I92" s="458">
        <f t="shared" si="9"/>
        <v>2.0000000000000018E-2</v>
      </c>
      <c r="J92" s="434"/>
      <c r="K92" s="181"/>
      <c r="L92" s="196"/>
      <c r="M92" s="88">
        <f t="shared" si="10"/>
        <v>0</v>
      </c>
      <c r="N92" s="77">
        <f t="shared" si="11"/>
        <v>1</v>
      </c>
      <c r="O92" s="78"/>
      <c r="P92" s="73"/>
    </row>
    <row r="93" spans="1:18">
      <c r="A93" s="80"/>
      <c r="B93" s="227"/>
      <c r="C93" s="61">
        <f t="shared" si="8"/>
        <v>43891</v>
      </c>
      <c r="E93" s="167"/>
      <c r="F93" s="58" t="str">
        <f>VLOOKUP(MOD(C93,7),'CALENDAR INFO'!$I$2:$J$8,2)</f>
        <v>SUN</v>
      </c>
      <c r="G93" s="213">
        <v>1.58</v>
      </c>
      <c r="H93" s="425">
        <v>1.6</v>
      </c>
      <c r="I93" s="457">
        <f t="shared" si="9"/>
        <v>2.0000000000000018E-2</v>
      </c>
      <c r="J93" s="15" t="s">
        <v>118</v>
      </c>
      <c r="K93" s="15">
        <f>VLOOKUP(MONTH($C93),'CALENDAR INFO'!$I$12:$J$23,2)</f>
        <v>31</v>
      </c>
      <c r="L93" s="179">
        <f>K93</f>
        <v>31</v>
      </c>
      <c r="M93" s="63">
        <f t="shared" si="10"/>
        <v>0</v>
      </c>
      <c r="N93" s="64">
        <f t="shared" si="11"/>
        <v>1</v>
      </c>
      <c r="P93" s="17"/>
      <c r="R93" s="40"/>
    </row>
    <row r="94" spans="1:18">
      <c r="A94" s="84"/>
      <c r="B94" s="228"/>
      <c r="C94" s="61">
        <f t="shared" si="8"/>
        <v>43892</v>
      </c>
      <c r="E94" s="167"/>
      <c r="F94" s="58" t="str">
        <f>VLOOKUP(MOD(C94,7),'CALENDAR INFO'!$I$2:$J$8,2)</f>
        <v>MON</v>
      </c>
      <c r="G94" s="213">
        <v>1.59</v>
      </c>
      <c r="H94" s="149">
        <v>1.59</v>
      </c>
      <c r="I94" s="456">
        <f t="shared" si="9"/>
        <v>0</v>
      </c>
      <c r="J94" s="15" t="s">
        <v>151</v>
      </c>
      <c r="K94" s="15">
        <f>ROW($C94)-1</f>
        <v>93</v>
      </c>
      <c r="L94" s="179">
        <f>K94</f>
        <v>93</v>
      </c>
      <c r="M94" s="63">
        <f t="shared" si="10"/>
        <v>1</v>
      </c>
      <c r="N94" s="64">
        <f t="shared" si="11"/>
        <v>1.0000441666666666</v>
      </c>
      <c r="P94" s="17"/>
      <c r="R94" s="40"/>
    </row>
    <row r="95" spans="1:18">
      <c r="A95" s="84"/>
      <c r="B95" s="228"/>
      <c r="C95" s="61">
        <f t="shared" si="8"/>
        <v>43893</v>
      </c>
      <c r="E95" s="168" t="s">
        <v>95</v>
      </c>
      <c r="F95" s="58" t="str">
        <f>VLOOKUP(MOD(C95,7),'CALENDAR INFO'!$I$2:$J$8,2)</f>
        <v>TUE</v>
      </c>
      <c r="G95" s="213">
        <v>1.59</v>
      </c>
      <c r="H95" s="427">
        <v>1.64</v>
      </c>
      <c r="I95" s="459">
        <f t="shared" si="9"/>
        <v>4.9999999999999822E-2</v>
      </c>
      <c r="J95" s="435" t="s">
        <v>152</v>
      </c>
      <c r="K95" s="15">
        <f>K93+K94-1</f>
        <v>123</v>
      </c>
      <c r="L95" s="179">
        <f>K95</f>
        <v>123</v>
      </c>
      <c r="M95" s="63">
        <f t="shared" si="10"/>
        <v>1</v>
      </c>
      <c r="N95" s="64">
        <f t="shared" si="11"/>
        <v>1.0000455555555556</v>
      </c>
      <c r="P95" s="17"/>
      <c r="R95" s="40"/>
    </row>
    <row r="96" spans="1:18">
      <c r="A96" s="84"/>
      <c r="B96" s="228"/>
      <c r="C96" s="61">
        <f t="shared" si="8"/>
        <v>43894</v>
      </c>
      <c r="E96" s="167" t="s">
        <v>94</v>
      </c>
      <c r="F96" s="58" t="str">
        <f>VLOOKUP(MOD(C96,7),'CALENDAR INFO'!$I$2:$J$8,2)</f>
        <v>WED</v>
      </c>
      <c r="G96" s="213">
        <v>1.0900000000000001</v>
      </c>
      <c r="H96" s="149">
        <v>1.23</v>
      </c>
      <c r="I96" s="456">
        <f t="shared" si="9"/>
        <v>0.1399999999999999</v>
      </c>
      <c r="M96" s="63">
        <f t="shared" si="10"/>
        <v>1</v>
      </c>
      <c r="N96" s="64">
        <f t="shared" si="11"/>
        <v>1.0000341666666666</v>
      </c>
      <c r="P96" s="17"/>
      <c r="R96" s="40"/>
    </row>
    <row r="97" spans="1:18">
      <c r="A97" s="84"/>
      <c r="B97" s="228"/>
      <c r="C97" s="61">
        <f t="shared" si="8"/>
        <v>43895</v>
      </c>
      <c r="E97" s="167"/>
      <c r="F97" s="58" t="str">
        <f>VLOOKUP(MOD(C97,7),'CALENDAR INFO'!$I$2:$J$8,2)</f>
        <v>THU</v>
      </c>
      <c r="G97" s="214">
        <v>1.0900000000000001</v>
      </c>
      <c r="H97" s="149">
        <v>1.1200000000000001</v>
      </c>
      <c r="I97" s="456">
        <f t="shared" si="9"/>
        <v>3.0000000000000027E-2</v>
      </c>
      <c r="J97" s="15" t="s">
        <v>153</v>
      </c>
      <c r="K97" s="15" t="str">
        <f>_xlfn.CONCAT("A",TEXT(K94,0),":","A",TEXT(K95,0))</f>
        <v>A93:A123</v>
      </c>
      <c r="L97" s="179" t="str">
        <f>_xlfn.CONCAT("B",TEXT(L94,0),":","B",TEXT(L95,0))</f>
        <v>B93:B123</v>
      </c>
      <c r="M97" s="63">
        <f t="shared" si="10"/>
        <v>1</v>
      </c>
      <c r="N97" s="64">
        <f t="shared" si="11"/>
        <v>1.0000311111111111</v>
      </c>
      <c r="P97" s="17"/>
      <c r="R97" s="40"/>
    </row>
    <row r="98" spans="1:18">
      <c r="A98" s="84"/>
      <c r="B98" s="228"/>
      <c r="C98" s="61">
        <f t="shared" si="8"/>
        <v>43896</v>
      </c>
      <c r="E98" s="167"/>
      <c r="F98" s="58" t="str">
        <f>VLOOKUP(MOD(C98,7),'CALENDAR INFO'!$I$2:$J$8,2)</f>
        <v>FRI</v>
      </c>
      <c r="G98" s="214">
        <v>1.0900000000000001</v>
      </c>
      <c r="H98" s="425">
        <v>1.1000000000000001</v>
      </c>
      <c r="I98" s="457">
        <f t="shared" si="9"/>
        <v>1.0000000000000009E-2</v>
      </c>
      <c r="J98" s="15" t="s">
        <v>154</v>
      </c>
      <c r="K98" s="15" t="str">
        <f>_xlfn.CONCAT("F",TEXT(K94,0),":","F",TEXT(K95,0))</f>
        <v>F93:F123</v>
      </c>
      <c r="L98" s="179" t="str">
        <f>_xlfn.CONCAT("G",TEXT(L94,0),":","G",TEXT(L95,0))</f>
        <v>G93:G123</v>
      </c>
      <c r="M98" s="63">
        <f t="shared" si="10"/>
        <v>3</v>
      </c>
      <c r="N98" s="64">
        <f t="shared" si="11"/>
        <v>1.0000916666666666</v>
      </c>
      <c r="P98" s="17"/>
    </row>
    <row r="99" spans="1:18">
      <c r="A99" s="84"/>
      <c r="B99" s="228"/>
      <c r="C99" s="61">
        <f t="shared" si="8"/>
        <v>43897</v>
      </c>
      <c r="E99" s="167"/>
      <c r="F99" s="58" t="str">
        <f>VLOOKUP(MOD(C99,7),'CALENDAR INFO'!$I$2:$J$8,2)</f>
        <v>SAT</v>
      </c>
      <c r="G99" s="214">
        <v>1.0900000000000001</v>
      </c>
      <c r="H99" s="425">
        <v>1.1000000000000001</v>
      </c>
      <c r="I99" s="457">
        <f t="shared" si="9"/>
        <v>1.0000000000000009E-2</v>
      </c>
      <c r="M99" s="63">
        <f t="shared" si="10"/>
        <v>0</v>
      </c>
      <c r="N99" s="64">
        <f t="shared" si="11"/>
        <v>1</v>
      </c>
      <c r="P99" s="17"/>
    </row>
    <row r="100" spans="1:18">
      <c r="A100" s="84"/>
      <c r="B100" s="228"/>
      <c r="C100" s="61">
        <f t="shared" si="8"/>
        <v>43898</v>
      </c>
      <c r="E100" s="167"/>
      <c r="F100" s="58" t="str">
        <f>VLOOKUP(MOD(C100,7),'CALENDAR INFO'!$I$2:$J$8,2)</f>
        <v>SUN</v>
      </c>
      <c r="G100" s="214">
        <v>1.0900000000000001</v>
      </c>
      <c r="H100" s="425">
        <v>1.1000000000000001</v>
      </c>
      <c r="I100" s="457">
        <f t="shared" si="9"/>
        <v>1.0000000000000009E-2</v>
      </c>
      <c r="J100" s="15" t="s">
        <v>155</v>
      </c>
      <c r="K100" s="15">
        <f ca="1">SUM(INDIRECT(K97))</f>
        <v>0</v>
      </c>
      <c r="L100" s="179">
        <f ca="1">SUM(INDIRECT(L97))</f>
        <v>0</v>
      </c>
      <c r="M100" s="63">
        <f t="shared" si="10"/>
        <v>0</v>
      </c>
      <c r="N100" s="64">
        <f t="shared" si="11"/>
        <v>1</v>
      </c>
      <c r="P100" s="17"/>
    </row>
    <row r="101" spans="1:18">
      <c r="A101" s="84"/>
      <c r="B101" s="228"/>
      <c r="C101" s="61">
        <f t="shared" si="8"/>
        <v>43899</v>
      </c>
      <c r="E101" s="167"/>
      <c r="F101" s="58" t="str">
        <f>VLOOKUP(MOD(C101,7),'CALENDAR INFO'!$I$2:$J$8,2)</f>
        <v>MON</v>
      </c>
      <c r="G101" s="213">
        <v>1.0900000000000001</v>
      </c>
      <c r="H101" s="149">
        <v>1.0900000000000001</v>
      </c>
      <c r="I101" s="456">
        <f t="shared" si="9"/>
        <v>0</v>
      </c>
      <c r="J101" s="15" t="s">
        <v>156</v>
      </c>
      <c r="K101" s="207">
        <f ca="1">SUM(INDIRECT(K98))</f>
        <v>0</v>
      </c>
      <c r="L101" s="208">
        <f ca="1">SUM(INDIRECT(L98))</f>
        <v>20.22</v>
      </c>
      <c r="M101" s="63">
        <f t="shared" si="10"/>
        <v>1</v>
      </c>
      <c r="N101" s="64">
        <f t="shared" si="11"/>
        <v>1.0000302777777779</v>
      </c>
      <c r="P101" s="17"/>
    </row>
    <row r="102" spans="1:18">
      <c r="A102" s="84"/>
      <c r="B102" s="228"/>
      <c r="C102" s="61">
        <f t="shared" si="8"/>
        <v>43900</v>
      </c>
      <c r="E102" s="167"/>
      <c r="F102" s="58" t="str">
        <f>VLOOKUP(MOD(C102,7),'CALENDAR INFO'!$I$2:$J$8,2)</f>
        <v>TUE</v>
      </c>
      <c r="G102" s="213">
        <v>1.0900000000000001</v>
      </c>
      <c r="H102" s="149">
        <v>1.1100000000000001</v>
      </c>
      <c r="I102" s="456">
        <f t="shared" si="9"/>
        <v>2.0000000000000018E-2</v>
      </c>
      <c r="J102" s="15" t="s">
        <v>157</v>
      </c>
      <c r="K102" s="178">
        <f ca="1">K100+K101</f>
        <v>0</v>
      </c>
      <c r="L102" s="192">
        <f ca="1">L100+L101</f>
        <v>20.22</v>
      </c>
      <c r="M102" s="63">
        <f t="shared" si="10"/>
        <v>1</v>
      </c>
      <c r="N102" s="64">
        <f t="shared" si="11"/>
        <v>1.0000308333333334</v>
      </c>
      <c r="P102" s="17"/>
    </row>
    <row r="103" spans="1:18">
      <c r="A103" s="84"/>
      <c r="B103" s="228"/>
      <c r="C103" s="61">
        <f t="shared" si="8"/>
        <v>43901</v>
      </c>
      <c r="E103" s="165" t="s">
        <v>19</v>
      </c>
      <c r="F103" s="58" t="str">
        <f>VLOOKUP(MOD(C103,7),'CALENDAR INFO'!$I$2:$J$8,2)</f>
        <v>WED</v>
      </c>
      <c r="G103" s="213">
        <v>1.0900000000000001</v>
      </c>
      <c r="H103" s="149">
        <v>1.1499999999999999</v>
      </c>
      <c r="I103" s="456">
        <f t="shared" si="9"/>
        <v>5.9999999999999831E-2</v>
      </c>
      <c r="K103" s="178"/>
      <c r="L103" s="192"/>
      <c r="M103" s="63">
        <f t="shared" si="10"/>
        <v>1</v>
      </c>
      <c r="N103" s="64">
        <f t="shared" si="11"/>
        <v>1.0000319444444445</v>
      </c>
    </row>
    <row r="104" spans="1:18">
      <c r="A104" s="95"/>
      <c r="B104" s="229"/>
      <c r="C104" s="96">
        <f t="shared" si="8"/>
        <v>43902</v>
      </c>
      <c r="D104" s="243"/>
      <c r="E104" s="164" t="s">
        <v>18</v>
      </c>
      <c r="F104" s="94" t="str">
        <f>VLOOKUP(MOD(C104,7),'CALENDAR INFO'!$I$2:$J$8,2)</f>
        <v>THU</v>
      </c>
      <c r="G104" s="217">
        <v>1.1000000000000001</v>
      </c>
      <c r="H104" s="428">
        <v>1.2</v>
      </c>
      <c r="I104" s="457">
        <f t="shared" si="9"/>
        <v>9.9999999999999867E-2</v>
      </c>
      <c r="J104" s="15" t="s">
        <v>158</v>
      </c>
      <c r="K104" s="178">
        <f ca="1">K102/K93</f>
        <v>0</v>
      </c>
      <c r="L104" s="192">
        <f ca="1">L102/L93</f>
        <v>0.652258064516129</v>
      </c>
      <c r="M104" s="63">
        <f t="shared" si="10"/>
        <v>1</v>
      </c>
      <c r="N104" s="64">
        <f t="shared" si="11"/>
        <v>1.0000333333333333</v>
      </c>
    </row>
    <row r="105" spans="1:18">
      <c r="A105" s="84"/>
      <c r="B105" s="228"/>
      <c r="C105" s="61">
        <f t="shared" si="8"/>
        <v>43903</v>
      </c>
      <c r="E105" s="164"/>
      <c r="F105" s="58" t="str">
        <f>VLOOKUP(MOD(C105,7),'CALENDAR INFO'!$I$2:$J$8,2)</f>
        <v>FRI</v>
      </c>
      <c r="G105" s="214">
        <v>1.1000000000000001</v>
      </c>
      <c r="H105" s="425">
        <v>1.1000000000000001</v>
      </c>
      <c r="I105" s="457">
        <f t="shared" si="9"/>
        <v>0</v>
      </c>
      <c r="J105" s="177" t="s">
        <v>159</v>
      </c>
      <c r="K105" s="180">
        <f ca="1">100-K104</f>
        <v>100</v>
      </c>
      <c r="L105" s="193">
        <f ca="1">100-L104</f>
        <v>99.347741935483867</v>
      </c>
      <c r="M105" s="63">
        <f t="shared" si="10"/>
        <v>3</v>
      </c>
      <c r="N105" s="64">
        <f t="shared" si="11"/>
        <v>1.0000916666666666</v>
      </c>
    </row>
    <row r="106" spans="1:18">
      <c r="B106" s="228"/>
      <c r="C106" s="61">
        <f t="shared" si="8"/>
        <v>43904</v>
      </c>
      <c r="E106" s="164"/>
      <c r="F106" s="58" t="str">
        <f>VLOOKUP(MOD(C106,7),'CALENDAR INFO'!$I$2:$J$8,2)</f>
        <v>SAT</v>
      </c>
      <c r="G106" s="214">
        <v>1.1000000000000001</v>
      </c>
      <c r="H106" s="425">
        <v>1.1000000000000001</v>
      </c>
      <c r="I106" s="457">
        <f t="shared" si="9"/>
        <v>0</v>
      </c>
      <c r="K106" s="178"/>
      <c r="L106" s="192"/>
      <c r="M106" s="63">
        <f t="shared" si="10"/>
        <v>0</v>
      </c>
      <c r="N106" s="64">
        <f t="shared" si="11"/>
        <v>1</v>
      </c>
      <c r="O106" s="89" t="s">
        <v>98</v>
      </c>
      <c r="P106" s="90"/>
    </row>
    <row r="107" spans="1:18">
      <c r="B107" s="228"/>
      <c r="C107" s="61">
        <f t="shared" si="8"/>
        <v>43905</v>
      </c>
      <c r="E107" s="169" t="s">
        <v>96</v>
      </c>
      <c r="F107" s="58" t="str">
        <f>VLOOKUP(MOD(C107,7),'CALENDAR INFO'!$I$2:$J$8,2)</f>
        <v>SUN</v>
      </c>
      <c r="G107" s="214">
        <v>1.1000000000000001</v>
      </c>
      <c r="H107" s="425">
        <v>1.1000000000000001</v>
      </c>
      <c r="I107" s="457">
        <f t="shared" si="9"/>
        <v>0</v>
      </c>
      <c r="J107" s="176"/>
      <c r="K107" s="186"/>
      <c r="L107" s="194"/>
      <c r="M107" s="63">
        <f t="shared" si="10"/>
        <v>0</v>
      </c>
      <c r="N107" s="64">
        <f t="shared" si="11"/>
        <v>1</v>
      </c>
      <c r="O107" s="89" t="s">
        <v>77</v>
      </c>
      <c r="P107" s="97">
        <v>98.519599999999997</v>
      </c>
    </row>
    <row r="108" spans="1:18">
      <c r="B108" s="228"/>
      <c r="C108" s="61">
        <f t="shared" si="8"/>
        <v>43906</v>
      </c>
      <c r="E108" s="169" t="s">
        <v>97</v>
      </c>
      <c r="F108" s="58" t="str">
        <f>VLOOKUP(MOD(C108,7),'CALENDAR INFO'!$I$2:$J$8,2)</f>
        <v>MON</v>
      </c>
      <c r="G108" s="214">
        <v>0.25</v>
      </c>
      <c r="H108" s="425">
        <v>0.26</v>
      </c>
      <c r="I108" s="457">
        <f t="shared" si="9"/>
        <v>1.0000000000000009E-2</v>
      </c>
      <c r="K108" s="178"/>
      <c r="L108" s="192"/>
      <c r="M108" s="63">
        <f t="shared" si="10"/>
        <v>1</v>
      </c>
      <c r="N108" s="64">
        <f t="shared" si="11"/>
        <v>1.0000072222222223</v>
      </c>
    </row>
    <row r="109" spans="1:18">
      <c r="B109" s="228"/>
      <c r="C109" s="61">
        <f t="shared" si="8"/>
        <v>43907</v>
      </c>
      <c r="D109" s="153" t="s">
        <v>20</v>
      </c>
      <c r="E109" s="164"/>
      <c r="F109" s="58" t="str">
        <f>VLOOKUP(MOD(C109,7),'CALENDAR INFO'!$I$2:$J$8,2)</f>
        <v>TUE</v>
      </c>
      <c r="G109" s="214">
        <v>0.25</v>
      </c>
      <c r="H109" s="425">
        <v>0.54</v>
      </c>
      <c r="I109" s="457">
        <f t="shared" si="9"/>
        <v>0.29000000000000004</v>
      </c>
      <c r="M109" s="63">
        <f t="shared" si="10"/>
        <v>1</v>
      </c>
      <c r="N109" s="64">
        <f t="shared" si="11"/>
        <v>1.0000150000000001</v>
      </c>
    </row>
    <row r="110" spans="1:18">
      <c r="B110" s="228"/>
      <c r="C110" s="61">
        <f t="shared" si="8"/>
        <v>43908</v>
      </c>
      <c r="D110" s="153" t="s">
        <v>20</v>
      </c>
      <c r="E110" s="164"/>
      <c r="F110" s="58" t="str">
        <f>VLOOKUP(MOD(C110,7),'CALENDAR INFO'!$I$2:$J$8,2)</f>
        <v>WED</v>
      </c>
      <c r="G110" s="214">
        <v>0.25</v>
      </c>
      <c r="H110" s="425">
        <v>0.1</v>
      </c>
      <c r="I110" s="457">
        <f t="shared" si="9"/>
        <v>-0.15</v>
      </c>
      <c r="K110" s="178"/>
      <c r="M110" s="63">
        <f t="shared" si="10"/>
        <v>1</v>
      </c>
      <c r="N110" s="64">
        <f t="shared" si="11"/>
        <v>1.0000027777777778</v>
      </c>
      <c r="P110" s="17"/>
    </row>
    <row r="111" spans="1:18">
      <c r="B111" s="228"/>
      <c r="C111" s="61">
        <f t="shared" si="8"/>
        <v>43909</v>
      </c>
      <c r="E111" s="164"/>
      <c r="F111" s="58" t="str">
        <f>VLOOKUP(MOD(C111,7),'CALENDAR INFO'!$I$2:$J$8,2)</f>
        <v>THU</v>
      </c>
      <c r="G111" s="214">
        <v>0.2</v>
      </c>
      <c r="H111" s="425">
        <v>0.06</v>
      </c>
      <c r="I111" s="457">
        <f t="shared" si="9"/>
        <v>-0.14000000000000001</v>
      </c>
      <c r="M111" s="63">
        <f t="shared" si="10"/>
        <v>1</v>
      </c>
      <c r="N111" s="64">
        <f t="shared" si="11"/>
        <v>1.0000016666666667</v>
      </c>
    </row>
    <row r="112" spans="1:18">
      <c r="B112" s="228"/>
      <c r="C112" s="61">
        <f t="shared" si="8"/>
        <v>43910</v>
      </c>
      <c r="E112" s="164"/>
      <c r="F112" s="58" t="str">
        <f>VLOOKUP(MOD(C112,7),'CALENDAR INFO'!$I$2:$J$8,2)</f>
        <v>FRI</v>
      </c>
      <c r="G112" s="214">
        <v>0.15</v>
      </c>
      <c r="H112" s="425">
        <v>0.04</v>
      </c>
      <c r="I112" s="457">
        <f t="shared" si="9"/>
        <v>-0.10999999999999999</v>
      </c>
      <c r="M112" s="63">
        <f t="shared" si="10"/>
        <v>3</v>
      </c>
      <c r="N112" s="64">
        <f t="shared" si="11"/>
        <v>1.0000033333333334</v>
      </c>
    </row>
    <row r="113" spans="1:20">
      <c r="B113" s="228"/>
      <c r="C113" s="61">
        <f t="shared" si="8"/>
        <v>43911</v>
      </c>
      <c r="E113" s="164"/>
      <c r="F113" s="58" t="str">
        <f>VLOOKUP(MOD(C113,7),'CALENDAR INFO'!$I$2:$J$8,2)</f>
        <v>SAT</v>
      </c>
      <c r="G113" s="214">
        <v>0.15</v>
      </c>
      <c r="H113" s="425">
        <v>0.04</v>
      </c>
      <c r="I113" s="457">
        <f t="shared" si="9"/>
        <v>-0.10999999999999999</v>
      </c>
      <c r="M113" s="63">
        <f t="shared" ref="M113:M131" si="12">IF(MOD(C113,7)&lt;2,0,IF(MOD(C113,7)=6,3,1))</f>
        <v>0</v>
      </c>
      <c r="N113" s="64">
        <f t="shared" si="11"/>
        <v>1</v>
      </c>
    </row>
    <row r="114" spans="1:20">
      <c r="B114" s="228"/>
      <c r="C114" s="61">
        <f t="shared" si="8"/>
        <v>43912</v>
      </c>
      <c r="E114" s="164"/>
      <c r="F114" s="58" t="str">
        <f>VLOOKUP(MOD(C114,7),'CALENDAR INFO'!$I$2:$J$8,2)</f>
        <v>SUN</v>
      </c>
      <c r="G114" s="214">
        <v>0.15</v>
      </c>
      <c r="H114" s="425">
        <v>0.04</v>
      </c>
      <c r="I114" s="457">
        <f t="shared" si="9"/>
        <v>-0.10999999999999999</v>
      </c>
      <c r="M114" s="63">
        <f t="shared" si="12"/>
        <v>0</v>
      </c>
      <c r="N114" s="64">
        <f t="shared" si="11"/>
        <v>1</v>
      </c>
    </row>
    <row r="115" spans="1:20">
      <c r="B115" s="228"/>
      <c r="C115" s="61">
        <f t="shared" si="8"/>
        <v>43913</v>
      </c>
      <c r="E115" s="164"/>
      <c r="F115" s="58" t="str">
        <f>VLOOKUP(MOD(C115,7),'CALENDAR INFO'!$I$2:$J$8,2)</f>
        <v>MON</v>
      </c>
      <c r="G115" s="214">
        <v>0.15</v>
      </c>
      <c r="H115" s="425">
        <v>0.02</v>
      </c>
      <c r="I115" s="457">
        <f t="shared" si="9"/>
        <v>-0.13</v>
      </c>
      <c r="J115" s="176"/>
      <c r="K115" s="176"/>
      <c r="M115" s="63">
        <f t="shared" si="12"/>
        <v>1</v>
      </c>
      <c r="N115" s="64">
        <f t="shared" si="11"/>
        <v>1.0000005555555556</v>
      </c>
    </row>
    <row r="116" spans="1:20">
      <c r="B116" s="228"/>
      <c r="C116" s="61">
        <f t="shared" si="8"/>
        <v>43914</v>
      </c>
      <c r="E116" s="164"/>
      <c r="F116" s="58" t="str">
        <f>VLOOKUP(MOD(C116,7),'CALENDAR INFO'!$I$2:$J$8,2)</f>
        <v>TUE</v>
      </c>
      <c r="G116" s="214">
        <v>0.12</v>
      </c>
      <c r="H116" s="425">
        <v>0.01</v>
      </c>
      <c r="I116" s="457">
        <f t="shared" si="9"/>
        <v>-0.11</v>
      </c>
      <c r="M116" s="63">
        <f t="shared" si="12"/>
        <v>1</v>
      </c>
      <c r="N116" s="64">
        <f t="shared" si="11"/>
        <v>1.0000002777777777</v>
      </c>
    </row>
    <row r="117" spans="1:20">
      <c r="B117" s="228"/>
      <c r="C117" s="61">
        <f t="shared" si="8"/>
        <v>43915</v>
      </c>
      <c r="E117" s="164" t="s">
        <v>19</v>
      </c>
      <c r="F117" s="58" t="str">
        <f>VLOOKUP(MOD(C117,7),'CALENDAR INFO'!$I$2:$J$8,2)</f>
        <v>WED</v>
      </c>
      <c r="G117" s="214">
        <v>0.1</v>
      </c>
      <c r="H117" s="425">
        <v>0.01</v>
      </c>
      <c r="I117" s="457">
        <f t="shared" si="9"/>
        <v>-9.0000000000000011E-2</v>
      </c>
      <c r="M117" s="63">
        <f t="shared" si="12"/>
        <v>1</v>
      </c>
      <c r="N117" s="64">
        <f t="shared" si="11"/>
        <v>1.0000002777777777</v>
      </c>
    </row>
    <row r="118" spans="1:20">
      <c r="B118" s="228"/>
      <c r="C118" s="61">
        <f t="shared" si="8"/>
        <v>43916</v>
      </c>
      <c r="E118" s="165" t="s">
        <v>18</v>
      </c>
      <c r="F118" s="58" t="str">
        <f>VLOOKUP(MOD(C118,7),'CALENDAR INFO'!$I$2:$J$8,2)</f>
        <v>THU</v>
      </c>
      <c r="G118" s="214">
        <v>0.1</v>
      </c>
      <c r="H118" s="425">
        <v>0.01</v>
      </c>
      <c r="I118" s="457">
        <f t="shared" si="9"/>
        <v>-9.0000000000000011E-2</v>
      </c>
      <c r="K118" s="178"/>
      <c r="M118" s="63">
        <f t="shared" si="12"/>
        <v>1</v>
      </c>
      <c r="N118" s="64">
        <f t="shared" si="11"/>
        <v>1.0000002777777777</v>
      </c>
      <c r="R118" s="40"/>
    </row>
    <row r="119" spans="1:20">
      <c r="B119" s="228"/>
      <c r="C119" s="61">
        <f t="shared" si="8"/>
        <v>43917</v>
      </c>
      <c r="E119" s="167"/>
      <c r="F119" s="58" t="str">
        <f>VLOOKUP(MOD(C119,7),'CALENDAR INFO'!$I$2:$J$8,2)</f>
        <v>FRI</v>
      </c>
      <c r="G119" s="214">
        <v>0.1</v>
      </c>
      <c r="H119" s="425">
        <v>0.01</v>
      </c>
      <c r="I119" s="457">
        <f t="shared" si="9"/>
        <v>-9.0000000000000011E-2</v>
      </c>
      <c r="M119" s="63">
        <f t="shared" si="12"/>
        <v>3</v>
      </c>
      <c r="N119" s="64">
        <f t="shared" si="11"/>
        <v>1.0000008333333332</v>
      </c>
      <c r="O119" s="89" t="s">
        <v>93</v>
      </c>
      <c r="P119" s="90"/>
      <c r="R119" s="40"/>
    </row>
    <row r="120" spans="1:20">
      <c r="B120" s="228"/>
      <c r="C120" s="61">
        <f t="shared" si="8"/>
        <v>43918</v>
      </c>
      <c r="E120" s="167"/>
      <c r="F120" s="58" t="str">
        <f>VLOOKUP(MOD(C120,7),'CALENDAR INFO'!$I$2:$J$8,2)</f>
        <v>SAT</v>
      </c>
      <c r="G120" s="214">
        <v>0.1</v>
      </c>
      <c r="H120" s="425">
        <v>0.01</v>
      </c>
      <c r="I120" s="457">
        <f t="shared" si="9"/>
        <v>-9.0000000000000011E-2</v>
      </c>
      <c r="K120" s="189"/>
      <c r="M120" s="63">
        <f t="shared" si="12"/>
        <v>0</v>
      </c>
      <c r="N120" s="64">
        <f t="shared" si="11"/>
        <v>1</v>
      </c>
      <c r="O120" s="89" t="s">
        <v>26</v>
      </c>
      <c r="P120" s="91">
        <v>99.347999999999999</v>
      </c>
      <c r="R120" s="40"/>
    </row>
    <row r="121" spans="1:20">
      <c r="B121" s="228"/>
      <c r="C121" s="61">
        <f t="shared" si="8"/>
        <v>43919</v>
      </c>
      <c r="E121" s="167"/>
      <c r="F121" s="58" t="str">
        <f>VLOOKUP(MOD(C121,7),'CALENDAR INFO'!$I$2:$J$8,2)</f>
        <v>SUN</v>
      </c>
      <c r="G121" s="214">
        <v>0.1</v>
      </c>
      <c r="H121" s="425">
        <v>0.01</v>
      </c>
      <c r="I121" s="457">
        <f t="shared" si="9"/>
        <v>-9.0000000000000011E-2</v>
      </c>
      <c r="J121" s="433"/>
      <c r="K121" s="187"/>
      <c r="L121" s="195"/>
      <c r="M121" s="63">
        <f t="shared" si="12"/>
        <v>0</v>
      </c>
      <c r="N121" s="64">
        <f t="shared" si="11"/>
        <v>1</v>
      </c>
      <c r="O121" s="89" t="s">
        <v>76</v>
      </c>
      <c r="P121" s="91">
        <v>99.370999999999995</v>
      </c>
      <c r="R121" s="40"/>
    </row>
    <row r="122" spans="1:20">
      <c r="B122" s="228"/>
      <c r="C122" s="61">
        <f t="shared" si="8"/>
        <v>43920</v>
      </c>
      <c r="E122" s="167"/>
      <c r="F122" s="58" t="str">
        <f>VLOOKUP(MOD(C122,7),'CALENDAR INFO'!$I$2:$J$8,2)</f>
        <v>MON</v>
      </c>
      <c r="G122" s="214">
        <v>0.09</v>
      </c>
      <c r="H122" s="425">
        <v>0.01</v>
      </c>
      <c r="I122" s="457">
        <f t="shared" si="9"/>
        <v>-0.08</v>
      </c>
      <c r="K122" s="178"/>
      <c r="M122" s="63">
        <f t="shared" si="12"/>
        <v>1</v>
      </c>
      <c r="N122" s="64">
        <f t="shared" si="11"/>
        <v>1.0000002777777777</v>
      </c>
      <c r="P122" s="17"/>
      <c r="R122" s="40"/>
    </row>
    <row r="123" spans="1:20" s="79" customFormat="1" ht="15.75" thickBot="1">
      <c r="A123" s="98"/>
      <c r="B123" s="230"/>
      <c r="C123" s="75">
        <f t="shared" si="8"/>
        <v>43921</v>
      </c>
      <c r="D123" s="112"/>
      <c r="E123" s="92"/>
      <c r="F123" s="71" t="str">
        <f>VLOOKUP(MOD(C123,7),'CALENDAR INFO'!$I$2:$J$8,2)</f>
        <v>TUE</v>
      </c>
      <c r="G123" s="216">
        <v>0.08</v>
      </c>
      <c r="H123" s="429">
        <v>0.01</v>
      </c>
      <c r="I123" s="460">
        <f t="shared" si="9"/>
        <v>-7.0000000000000007E-2</v>
      </c>
      <c r="J123" s="434"/>
      <c r="K123" s="181"/>
      <c r="L123" s="196"/>
      <c r="M123" s="114">
        <f t="shared" si="12"/>
        <v>1</v>
      </c>
      <c r="N123" s="77">
        <f t="shared" si="11"/>
        <v>1.0000002777777777</v>
      </c>
      <c r="O123" s="78"/>
      <c r="P123" s="99"/>
      <c r="T123" s="99"/>
    </row>
    <row r="124" spans="1:20">
      <c r="B124" s="41"/>
      <c r="C124" s="61">
        <f t="shared" si="8"/>
        <v>43922</v>
      </c>
      <c r="E124" s="167"/>
      <c r="F124" s="58" t="str">
        <f>VLOOKUP(MOD(C124,7),'CALENDAR INFO'!$I$2:$J$8,2)</f>
        <v>WED</v>
      </c>
      <c r="G124" s="213">
        <v>0.06</v>
      </c>
      <c r="H124" s="149">
        <v>0.01</v>
      </c>
      <c r="I124" s="456">
        <f t="shared" si="9"/>
        <v>-4.9999999999999996E-2</v>
      </c>
      <c r="J124" s="15" t="s">
        <v>118</v>
      </c>
      <c r="K124" s="15">
        <f>VLOOKUP(MONTH($C124),'CALENDAR INFO'!$I$12:$J$23,2)</f>
        <v>30</v>
      </c>
      <c r="L124" s="179">
        <f>K124</f>
        <v>30</v>
      </c>
      <c r="M124" s="113">
        <f t="shared" si="12"/>
        <v>1</v>
      </c>
      <c r="N124" s="64">
        <f t="shared" si="11"/>
        <v>1.0000002777777777</v>
      </c>
    </row>
    <row r="125" spans="1:20">
      <c r="B125" s="41"/>
      <c r="C125" s="61">
        <f t="shared" si="8"/>
        <v>43923</v>
      </c>
      <c r="E125" s="167"/>
      <c r="F125" s="58" t="str">
        <f>VLOOKUP(MOD(C125,7),'CALENDAR INFO'!$I$2:$J$8,2)</f>
        <v>THU</v>
      </c>
      <c r="G125" s="213">
        <v>0.05</v>
      </c>
      <c r="H125" s="149">
        <v>0.01</v>
      </c>
      <c r="I125" s="456">
        <f t="shared" si="9"/>
        <v>-0.04</v>
      </c>
      <c r="J125" s="15" t="s">
        <v>151</v>
      </c>
      <c r="K125" s="15">
        <f>ROW($C125)-1</f>
        <v>124</v>
      </c>
      <c r="L125" s="179">
        <f>K125</f>
        <v>124</v>
      </c>
      <c r="M125" s="113">
        <f t="shared" si="12"/>
        <v>1</v>
      </c>
      <c r="N125" s="64">
        <f t="shared" si="11"/>
        <v>1.0000002777777777</v>
      </c>
    </row>
    <row r="126" spans="1:20">
      <c r="B126" s="41"/>
      <c r="C126" s="61">
        <f t="shared" si="8"/>
        <v>43924</v>
      </c>
      <c r="E126" s="167"/>
      <c r="F126" s="58" t="str">
        <f>VLOOKUP(MOD(C126,7),'CALENDAR INFO'!$I$2:$J$8,2)</f>
        <v>FRI</v>
      </c>
      <c r="G126" s="213">
        <v>0.05</v>
      </c>
      <c r="H126" s="149">
        <v>0.01</v>
      </c>
      <c r="I126" s="456">
        <f t="shared" si="9"/>
        <v>-0.04</v>
      </c>
      <c r="J126" s="15" t="s">
        <v>152</v>
      </c>
      <c r="K126" s="15">
        <f>K124+K125-1</f>
        <v>153</v>
      </c>
      <c r="L126" s="179">
        <f>K126</f>
        <v>153</v>
      </c>
      <c r="M126" s="113">
        <f t="shared" si="12"/>
        <v>3</v>
      </c>
      <c r="N126" s="64">
        <f t="shared" si="11"/>
        <v>1.0000008333333332</v>
      </c>
    </row>
    <row r="127" spans="1:20">
      <c r="B127" s="41"/>
      <c r="C127" s="61">
        <f t="shared" si="8"/>
        <v>43925</v>
      </c>
      <c r="E127" s="167"/>
      <c r="F127" s="58" t="str">
        <f>VLOOKUP(MOD(C127,7),'CALENDAR INFO'!$I$2:$J$8,2)</f>
        <v>SAT</v>
      </c>
      <c r="G127" s="213">
        <v>0.05</v>
      </c>
      <c r="H127" s="149">
        <v>0.01</v>
      </c>
      <c r="I127" s="456">
        <f t="shared" si="9"/>
        <v>-0.04</v>
      </c>
      <c r="M127" s="113">
        <f t="shared" si="12"/>
        <v>0</v>
      </c>
      <c r="N127" s="64">
        <f t="shared" si="11"/>
        <v>1</v>
      </c>
    </row>
    <row r="128" spans="1:20">
      <c r="B128" s="41"/>
      <c r="C128" s="61">
        <f t="shared" si="8"/>
        <v>43926</v>
      </c>
      <c r="E128" s="167"/>
      <c r="F128" s="58" t="str">
        <f>VLOOKUP(MOD(C128,7),'CALENDAR INFO'!$I$2:$J$8,2)</f>
        <v>SUN</v>
      </c>
      <c r="G128" s="213">
        <v>0.05</v>
      </c>
      <c r="H128" s="149">
        <v>0.01</v>
      </c>
      <c r="I128" s="456">
        <f t="shared" si="9"/>
        <v>-0.04</v>
      </c>
      <c r="J128" s="15" t="s">
        <v>153</v>
      </c>
      <c r="K128" s="15" t="str">
        <f>_xlfn.CONCAT("A",TEXT(K125,0),":","A",TEXT(K126,0))</f>
        <v>A124:A153</v>
      </c>
      <c r="L128" s="179" t="str">
        <f>_xlfn.CONCAT("B",TEXT(L125,0),":","B",TEXT(L126,0))</f>
        <v>B124:B153</v>
      </c>
      <c r="M128" s="113">
        <f t="shared" si="12"/>
        <v>0</v>
      </c>
      <c r="N128" s="64">
        <f t="shared" si="11"/>
        <v>1</v>
      </c>
    </row>
    <row r="129" spans="2:14">
      <c r="B129" s="41"/>
      <c r="C129" s="61">
        <f t="shared" ref="C129:C192" si="13">C128+1</f>
        <v>43927</v>
      </c>
      <c r="E129" s="167"/>
      <c r="F129" s="58" t="str">
        <f>VLOOKUP(MOD(C129,7),'CALENDAR INFO'!$I$2:$J$8,2)</f>
        <v>MON</v>
      </c>
      <c r="G129" s="213">
        <v>0.05</v>
      </c>
      <c r="H129" s="149">
        <v>0.01</v>
      </c>
      <c r="I129" s="456">
        <f t="shared" si="9"/>
        <v>-0.04</v>
      </c>
      <c r="J129" s="15" t="s">
        <v>154</v>
      </c>
      <c r="K129" s="15" t="str">
        <f>_xlfn.CONCAT("F",TEXT(K125,0),":","F",TEXT(K126,0))</f>
        <v>F124:F153</v>
      </c>
      <c r="L129" s="179" t="str">
        <f>_xlfn.CONCAT("G",TEXT(L125,0),":","G",TEXT(L126,0))</f>
        <v>G124:G153</v>
      </c>
      <c r="M129" s="113">
        <f t="shared" si="12"/>
        <v>1</v>
      </c>
      <c r="N129" s="64">
        <f t="shared" si="11"/>
        <v>1.0000002777777777</v>
      </c>
    </row>
    <row r="130" spans="2:14">
      <c r="B130" s="41"/>
      <c r="C130" s="61">
        <f t="shared" si="13"/>
        <v>43928</v>
      </c>
      <c r="E130" s="167"/>
      <c r="F130" s="58" t="str">
        <f>VLOOKUP(MOD(C130,7),'CALENDAR INFO'!$I$2:$J$8,2)</f>
        <v>TUE</v>
      </c>
      <c r="G130" s="213">
        <v>0.05</v>
      </c>
      <c r="H130" s="149">
        <v>0.01</v>
      </c>
      <c r="I130" s="456">
        <f t="shared" si="9"/>
        <v>-0.04</v>
      </c>
      <c r="M130" s="113">
        <f t="shared" si="12"/>
        <v>1</v>
      </c>
      <c r="N130" s="64">
        <f t="shared" si="11"/>
        <v>1.0000002777777777</v>
      </c>
    </row>
    <row r="131" spans="2:14">
      <c r="B131" s="41"/>
      <c r="C131" s="61">
        <f t="shared" si="13"/>
        <v>43929</v>
      </c>
      <c r="E131" s="167" t="s">
        <v>19</v>
      </c>
      <c r="F131" s="58" t="str">
        <f>VLOOKUP(MOD(C131,7),'CALENDAR INFO'!$I$2:$J$8,2)</f>
        <v>WED</v>
      </c>
      <c r="G131" s="213">
        <v>0.05</v>
      </c>
      <c r="H131" s="149">
        <v>0.01</v>
      </c>
      <c r="I131" s="456">
        <f t="shared" ref="I131:I194" si="14">H131-G131</f>
        <v>-0.04</v>
      </c>
      <c r="J131" s="15" t="s">
        <v>155</v>
      </c>
      <c r="K131" s="15">
        <f ca="1">SUM(INDIRECT(K128))</f>
        <v>0</v>
      </c>
      <c r="L131" s="179">
        <f ca="1">SUM(INDIRECT(L128))</f>
        <v>0</v>
      </c>
      <c r="M131" s="113">
        <f t="shared" si="12"/>
        <v>1</v>
      </c>
      <c r="N131" s="64">
        <f t="shared" si="11"/>
        <v>1.0000002777777777</v>
      </c>
    </row>
    <row r="132" spans="2:14">
      <c r="B132" s="41"/>
      <c r="C132" s="61">
        <f t="shared" si="13"/>
        <v>43930</v>
      </c>
      <c r="E132" s="170" t="s">
        <v>18</v>
      </c>
      <c r="F132" s="58" t="str">
        <f>VLOOKUP(MOD(C132,7),'CALENDAR INFO'!$I$2:$J$8,2)</f>
        <v>THU</v>
      </c>
      <c r="G132" s="213">
        <v>0.05</v>
      </c>
      <c r="H132" s="149">
        <v>0.01</v>
      </c>
      <c r="I132" s="456">
        <f t="shared" si="14"/>
        <v>-0.04</v>
      </c>
      <c r="J132" s="15" t="s">
        <v>156</v>
      </c>
      <c r="K132" s="207">
        <f ca="1">SUM(INDIRECT(K129))</f>
        <v>0</v>
      </c>
      <c r="L132" s="208">
        <f ca="1">SUM(INDIRECT(L129))</f>
        <v>1.4700000000000009</v>
      </c>
      <c r="M132" s="117">
        <f>IF(MOD(C132,7)&lt;2,0,IF(MOD(C132,7)=6,3,1))+3</f>
        <v>4</v>
      </c>
      <c r="N132" s="64">
        <f t="shared" si="11"/>
        <v>1.0000011111111111</v>
      </c>
    </row>
    <row r="133" spans="2:14">
      <c r="B133" s="41"/>
      <c r="C133" s="61">
        <f t="shared" si="13"/>
        <v>43931</v>
      </c>
      <c r="D133" s="173" t="s">
        <v>56</v>
      </c>
      <c r="E133" s="170"/>
      <c r="F133" s="58" t="str">
        <f>VLOOKUP(MOD(C133,7),'CALENDAR INFO'!$I$2:$J$8,2)</f>
        <v>FRI</v>
      </c>
      <c r="G133" s="213">
        <v>0.05</v>
      </c>
      <c r="H133" s="149">
        <v>0.01</v>
      </c>
      <c r="I133" s="456">
        <f t="shared" si="14"/>
        <v>-0.04</v>
      </c>
      <c r="J133" s="15" t="s">
        <v>157</v>
      </c>
      <c r="K133" s="178">
        <f ca="1">K131+K132</f>
        <v>0</v>
      </c>
      <c r="L133" s="192">
        <f ca="1">L131+L132</f>
        <v>1.4700000000000009</v>
      </c>
      <c r="M133" s="117">
        <f>IF(MOD(C133,7)&lt;2,0,IF(MOD(C133,7)=6,3,1))-3</f>
        <v>0</v>
      </c>
      <c r="N133" s="64">
        <f t="shared" si="11"/>
        <v>1</v>
      </c>
    </row>
    <row r="134" spans="2:14">
      <c r="B134" s="41"/>
      <c r="C134" s="61">
        <f t="shared" si="13"/>
        <v>43932</v>
      </c>
      <c r="E134" s="170"/>
      <c r="F134" s="58" t="str">
        <f>VLOOKUP(MOD(C134,7),'CALENDAR INFO'!$I$2:$J$8,2)</f>
        <v>SAT</v>
      </c>
      <c r="G134" s="213">
        <v>0.05</v>
      </c>
      <c r="H134" s="149">
        <v>0.01</v>
      </c>
      <c r="I134" s="456">
        <f t="shared" si="14"/>
        <v>-0.04</v>
      </c>
      <c r="K134" s="178"/>
      <c r="L134" s="192"/>
      <c r="M134" s="113">
        <f t="shared" ref="M134:M174" si="15">IF(MOD(C134,7)&lt;2,0,IF(MOD(C134,7)=6,3,1))</f>
        <v>0</v>
      </c>
      <c r="N134" s="64">
        <f t="shared" si="11"/>
        <v>1</v>
      </c>
    </row>
    <row r="135" spans="2:14">
      <c r="B135" s="41"/>
      <c r="C135" s="61">
        <f t="shared" si="13"/>
        <v>43933</v>
      </c>
      <c r="E135" s="170"/>
      <c r="F135" s="58" t="str">
        <f>VLOOKUP(MOD(C135,7),'CALENDAR INFO'!$I$2:$J$8,2)</f>
        <v>SUN</v>
      </c>
      <c r="G135" s="213">
        <v>0.05</v>
      </c>
      <c r="H135" s="149">
        <v>0.01</v>
      </c>
      <c r="I135" s="456">
        <f t="shared" si="14"/>
        <v>-0.04</v>
      </c>
      <c r="J135" s="15" t="s">
        <v>158</v>
      </c>
      <c r="K135" s="178">
        <f ca="1">K133/K124</f>
        <v>0</v>
      </c>
      <c r="L135" s="192">
        <f ca="1">L133/L124</f>
        <v>4.900000000000003E-2</v>
      </c>
      <c r="M135" s="113">
        <f t="shared" si="15"/>
        <v>0</v>
      </c>
      <c r="N135" s="64">
        <f t="shared" si="11"/>
        <v>1</v>
      </c>
    </row>
    <row r="136" spans="2:14">
      <c r="B136" s="41"/>
      <c r="C136" s="61">
        <f t="shared" si="13"/>
        <v>43934</v>
      </c>
      <c r="E136" s="170"/>
      <c r="F136" s="58" t="str">
        <f>VLOOKUP(MOD(C136,7),'CALENDAR INFO'!$I$2:$J$8,2)</f>
        <v>MON</v>
      </c>
      <c r="G136" s="213">
        <v>0.05</v>
      </c>
      <c r="H136" s="149">
        <v>0.02</v>
      </c>
      <c r="I136" s="456">
        <f t="shared" si="14"/>
        <v>-3.0000000000000002E-2</v>
      </c>
      <c r="J136" s="177" t="s">
        <v>159</v>
      </c>
      <c r="K136" s="180">
        <f ca="1">100-K135</f>
        <v>100</v>
      </c>
      <c r="L136" s="193">
        <f ca="1">100-L135</f>
        <v>99.950999999999993</v>
      </c>
      <c r="M136" s="113">
        <f t="shared" si="15"/>
        <v>1</v>
      </c>
      <c r="N136" s="64">
        <f t="shared" si="11"/>
        <v>1.0000005555555556</v>
      </c>
    </row>
    <row r="137" spans="2:14">
      <c r="B137" s="41"/>
      <c r="C137" s="61">
        <f t="shared" si="13"/>
        <v>43935</v>
      </c>
      <c r="E137" s="170"/>
      <c r="F137" s="58" t="str">
        <f>VLOOKUP(MOD(C137,7),'CALENDAR INFO'!$I$2:$J$8,2)</f>
        <v>TUE</v>
      </c>
      <c r="G137" s="213">
        <v>0.05</v>
      </c>
      <c r="H137" s="149">
        <v>0.06</v>
      </c>
      <c r="I137" s="456">
        <f t="shared" si="14"/>
        <v>9.999999999999995E-3</v>
      </c>
      <c r="K137" s="178"/>
      <c r="L137" s="192"/>
      <c r="M137" s="113">
        <f t="shared" si="15"/>
        <v>1</v>
      </c>
      <c r="N137" s="64">
        <f t="shared" si="11"/>
        <v>1.0000016666666667</v>
      </c>
    </row>
    <row r="138" spans="2:14">
      <c r="B138" s="41"/>
      <c r="C138" s="61">
        <f t="shared" si="13"/>
        <v>43936</v>
      </c>
      <c r="E138" s="170"/>
      <c r="F138" s="58" t="str">
        <f>VLOOKUP(MOD(C138,7),'CALENDAR INFO'!$I$2:$J$8,2)</f>
        <v>WED</v>
      </c>
      <c r="G138" s="213">
        <v>0.05</v>
      </c>
      <c r="H138" s="149">
        <v>0.03</v>
      </c>
      <c r="I138" s="456">
        <f t="shared" si="14"/>
        <v>-2.0000000000000004E-2</v>
      </c>
      <c r="J138" s="176"/>
      <c r="K138" s="186"/>
      <c r="L138" s="194"/>
      <c r="M138" s="113">
        <f t="shared" si="15"/>
        <v>1</v>
      </c>
      <c r="N138" s="64">
        <f t="shared" si="11"/>
        <v>1.0000008333333332</v>
      </c>
    </row>
    <row r="139" spans="2:14">
      <c r="B139" s="41"/>
      <c r="C139" s="61">
        <f t="shared" si="13"/>
        <v>43937</v>
      </c>
      <c r="E139" s="170"/>
      <c r="F139" s="58" t="str">
        <f>VLOOKUP(MOD(C139,7),'CALENDAR INFO'!$I$2:$J$8,2)</f>
        <v>THU</v>
      </c>
      <c r="G139" s="213">
        <v>0.05</v>
      </c>
      <c r="H139" s="149">
        <v>0.03</v>
      </c>
      <c r="I139" s="456">
        <f t="shared" si="14"/>
        <v>-2.0000000000000004E-2</v>
      </c>
      <c r="K139" s="178"/>
      <c r="L139" s="192"/>
      <c r="M139" s="113">
        <f t="shared" si="15"/>
        <v>1</v>
      </c>
      <c r="N139" s="64">
        <f t="shared" si="11"/>
        <v>1.0000008333333332</v>
      </c>
    </row>
    <row r="140" spans="2:14">
      <c r="B140" s="41"/>
      <c r="C140" s="61">
        <f t="shared" si="13"/>
        <v>43938</v>
      </c>
      <c r="E140" s="170"/>
      <c r="F140" s="58" t="str">
        <f>VLOOKUP(MOD(C140,7),'CALENDAR INFO'!$I$2:$J$8,2)</f>
        <v>FRI</v>
      </c>
      <c r="G140" s="213">
        <v>0.05</v>
      </c>
      <c r="H140" s="149">
        <v>0.03</v>
      </c>
      <c r="I140" s="456">
        <f t="shared" si="14"/>
        <v>-2.0000000000000004E-2</v>
      </c>
      <c r="M140" s="113">
        <f t="shared" si="15"/>
        <v>3</v>
      </c>
      <c r="N140" s="64">
        <f t="shared" si="11"/>
        <v>1.0000024999999999</v>
      </c>
    </row>
    <row r="141" spans="2:14">
      <c r="B141" s="41"/>
      <c r="C141" s="61">
        <f t="shared" si="13"/>
        <v>43939</v>
      </c>
      <c r="E141" s="170"/>
      <c r="F141" s="58" t="str">
        <f>VLOOKUP(MOD(C141,7),'CALENDAR INFO'!$I$2:$J$8,2)</f>
        <v>SAT</v>
      </c>
      <c r="G141" s="213">
        <v>0.05</v>
      </c>
      <c r="H141" s="149">
        <v>0.03</v>
      </c>
      <c r="I141" s="456">
        <f t="shared" si="14"/>
        <v>-2.0000000000000004E-2</v>
      </c>
      <c r="M141" s="113">
        <f t="shared" si="15"/>
        <v>0</v>
      </c>
      <c r="N141" s="64">
        <f t="shared" si="11"/>
        <v>1</v>
      </c>
    </row>
    <row r="142" spans="2:14">
      <c r="B142" s="41"/>
      <c r="C142" s="61">
        <f t="shared" si="13"/>
        <v>43940</v>
      </c>
      <c r="E142" s="170"/>
      <c r="F142" s="58" t="str">
        <f>VLOOKUP(MOD(C142,7),'CALENDAR INFO'!$I$2:$J$8,2)</f>
        <v>SUN</v>
      </c>
      <c r="G142" s="213">
        <v>0.05</v>
      </c>
      <c r="H142" s="149">
        <v>0.03</v>
      </c>
      <c r="I142" s="456">
        <f t="shared" si="14"/>
        <v>-2.0000000000000004E-2</v>
      </c>
      <c r="M142" s="113">
        <f t="shared" si="15"/>
        <v>0</v>
      </c>
      <c r="N142" s="64">
        <f t="shared" si="11"/>
        <v>1</v>
      </c>
    </row>
    <row r="143" spans="2:14">
      <c r="B143" s="41"/>
      <c r="C143" s="61">
        <f t="shared" si="13"/>
        <v>43941</v>
      </c>
      <c r="E143" s="170"/>
      <c r="F143" s="58" t="str">
        <f>VLOOKUP(MOD(C143,7),'CALENDAR INFO'!$I$2:$J$8,2)</f>
        <v>MON</v>
      </c>
      <c r="G143" s="213">
        <v>0.05</v>
      </c>
      <c r="H143" s="149">
        <v>0.02</v>
      </c>
      <c r="I143" s="456">
        <f t="shared" si="14"/>
        <v>-3.0000000000000002E-2</v>
      </c>
      <c r="M143" s="113">
        <f t="shared" si="15"/>
        <v>1</v>
      </c>
      <c r="N143" s="64">
        <f t="shared" si="11"/>
        <v>1.0000005555555556</v>
      </c>
    </row>
    <row r="144" spans="2:14">
      <c r="B144" s="41"/>
      <c r="C144" s="61">
        <f t="shared" si="13"/>
        <v>43942</v>
      </c>
      <c r="E144" s="170"/>
      <c r="F144" s="58" t="str">
        <f>VLOOKUP(MOD(C144,7),'CALENDAR INFO'!$I$2:$J$8,2)</f>
        <v>TUE</v>
      </c>
      <c r="G144" s="213">
        <v>0.05</v>
      </c>
      <c r="H144" s="149">
        <v>0.01</v>
      </c>
      <c r="I144" s="456">
        <f t="shared" si="14"/>
        <v>-0.04</v>
      </c>
      <c r="M144" s="113">
        <f t="shared" si="15"/>
        <v>1</v>
      </c>
      <c r="N144" s="64">
        <f t="shared" si="11"/>
        <v>1.0000002777777777</v>
      </c>
    </row>
    <row r="145" spans="1:17">
      <c r="B145" s="41"/>
      <c r="C145" s="61">
        <f t="shared" si="13"/>
        <v>43943</v>
      </c>
      <c r="E145" s="170" t="s">
        <v>19</v>
      </c>
      <c r="F145" s="58" t="str">
        <f>VLOOKUP(MOD(C145,7),'CALENDAR INFO'!$I$2:$J$8,2)</f>
        <v>WED</v>
      </c>
      <c r="G145" s="213">
        <v>0.05</v>
      </c>
      <c r="H145" s="149">
        <v>0.01</v>
      </c>
      <c r="I145" s="456">
        <f t="shared" si="14"/>
        <v>-0.04</v>
      </c>
      <c r="M145" s="113">
        <f t="shared" si="15"/>
        <v>1</v>
      </c>
      <c r="N145" s="64">
        <f t="shared" si="11"/>
        <v>1.0000002777777777</v>
      </c>
    </row>
    <row r="146" spans="1:17">
      <c r="B146" s="41"/>
      <c r="C146" s="61">
        <f t="shared" si="13"/>
        <v>43944</v>
      </c>
      <c r="E146" s="167" t="s">
        <v>18</v>
      </c>
      <c r="F146" s="58" t="str">
        <f>VLOOKUP(MOD(C146,7),'CALENDAR INFO'!$I$2:$J$8,2)</f>
        <v>THU</v>
      </c>
      <c r="G146" s="213">
        <v>0.04</v>
      </c>
      <c r="H146" s="149">
        <v>0.01</v>
      </c>
      <c r="I146" s="456">
        <f t="shared" si="14"/>
        <v>-0.03</v>
      </c>
      <c r="M146" s="113">
        <f t="shared" si="15"/>
        <v>1</v>
      </c>
      <c r="N146" s="64">
        <f t="shared" si="11"/>
        <v>1.0000002777777777</v>
      </c>
    </row>
    <row r="147" spans="1:17">
      <c r="B147" s="41"/>
      <c r="C147" s="61">
        <f t="shared" si="13"/>
        <v>43945</v>
      </c>
      <c r="E147" s="167"/>
      <c r="F147" s="58" t="str">
        <f>VLOOKUP(MOD(C147,7),'CALENDAR INFO'!$I$2:$J$8,2)</f>
        <v>FRI</v>
      </c>
      <c r="G147" s="213">
        <v>0.05</v>
      </c>
      <c r="H147" s="149">
        <v>0.03</v>
      </c>
      <c r="I147" s="456">
        <f t="shared" si="14"/>
        <v>-2.0000000000000004E-2</v>
      </c>
      <c r="M147" s="113">
        <f t="shared" si="15"/>
        <v>3</v>
      </c>
      <c r="N147" s="64">
        <f t="shared" ref="N147:N210" si="16">1+(M147/360)*(MAX(H147,B147)/100)</f>
        <v>1.0000024999999999</v>
      </c>
    </row>
    <row r="148" spans="1:17">
      <c r="B148" s="41"/>
      <c r="C148" s="61">
        <f t="shared" si="13"/>
        <v>43946</v>
      </c>
      <c r="E148" s="167"/>
      <c r="F148" s="58" t="str">
        <f>VLOOKUP(MOD(C148,7),'CALENDAR INFO'!$I$2:$J$8,2)</f>
        <v>SAT</v>
      </c>
      <c r="G148" s="213">
        <v>0.05</v>
      </c>
      <c r="H148" s="149">
        <v>0.03</v>
      </c>
      <c r="I148" s="456">
        <f t="shared" si="14"/>
        <v>-2.0000000000000004E-2</v>
      </c>
      <c r="K148" s="178"/>
      <c r="M148" s="113">
        <f t="shared" si="15"/>
        <v>0</v>
      </c>
      <c r="N148" s="64">
        <f t="shared" si="16"/>
        <v>1</v>
      </c>
    </row>
    <row r="149" spans="1:17">
      <c r="B149" s="41"/>
      <c r="C149" s="61">
        <f t="shared" si="13"/>
        <v>43947</v>
      </c>
      <c r="E149" s="167"/>
      <c r="F149" s="58" t="str">
        <f>VLOOKUP(MOD(C149,7),'CALENDAR INFO'!$I$2:$J$8,2)</f>
        <v>SUN</v>
      </c>
      <c r="G149" s="213">
        <v>0.05</v>
      </c>
      <c r="H149" s="149">
        <v>0.03</v>
      </c>
      <c r="I149" s="456">
        <f t="shared" si="14"/>
        <v>-2.0000000000000004E-2</v>
      </c>
      <c r="M149" s="113">
        <f t="shared" si="15"/>
        <v>0</v>
      </c>
      <c r="N149" s="64">
        <f t="shared" si="16"/>
        <v>1</v>
      </c>
      <c r="O149" s="89" t="s">
        <v>93</v>
      </c>
      <c r="P149" s="90"/>
    </row>
    <row r="150" spans="1:17">
      <c r="B150" s="41"/>
      <c r="C150" s="61">
        <f t="shared" si="13"/>
        <v>43948</v>
      </c>
      <c r="E150" s="167"/>
      <c r="F150" s="58" t="str">
        <f>VLOOKUP(MOD(C150,7),'CALENDAR INFO'!$I$2:$J$8,2)</f>
        <v>MON</v>
      </c>
      <c r="G150" s="213">
        <v>0.04</v>
      </c>
      <c r="H150" s="149">
        <v>0.03</v>
      </c>
      <c r="I150" s="456">
        <f t="shared" si="14"/>
        <v>-1.0000000000000002E-2</v>
      </c>
      <c r="K150" s="189"/>
      <c r="M150" s="113">
        <f t="shared" si="15"/>
        <v>1</v>
      </c>
      <c r="N150" s="64">
        <f t="shared" si="16"/>
        <v>1.0000008333333332</v>
      </c>
      <c r="O150" s="89" t="s">
        <v>26</v>
      </c>
      <c r="P150" s="91">
        <v>99.950999999999993</v>
      </c>
    </row>
    <row r="151" spans="1:17">
      <c r="B151" s="41"/>
      <c r="C151" s="61">
        <f t="shared" si="13"/>
        <v>43949</v>
      </c>
      <c r="D151" s="153" t="s">
        <v>20</v>
      </c>
      <c r="E151" s="167"/>
      <c r="F151" s="58" t="str">
        <f>VLOOKUP(MOD(C151,7),'CALENDAR INFO'!$I$2:$J$8,2)</f>
        <v>TUE</v>
      </c>
      <c r="G151" s="213">
        <v>0.04</v>
      </c>
      <c r="H151" s="149">
        <v>0.01</v>
      </c>
      <c r="I151" s="456">
        <f t="shared" si="14"/>
        <v>-0.03</v>
      </c>
      <c r="J151" s="433"/>
      <c r="K151" s="187"/>
      <c r="L151" s="195"/>
      <c r="M151" s="113">
        <f t="shared" si="15"/>
        <v>1</v>
      </c>
      <c r="N151" s="64">
        <f t="shared" si="16"/>
        <v>1.0000002777777777</v>
      </c>
      <c r="O151" s="89" t="s">
        <v>76</v>
      </c>
      <c r="P151" s="91">
        <v>99.980999999999995</v>
      </c>
      <c r="Q151" s="40"/>
    </row>
    <row r="152" spans="1:17">
      <c r="B152" s="41"/>
      <c r="C152" s="61">
        <f t="shared" si="13"/>
        <v>43950</v>
      </c>
      <c r="D152" s="153" t="s">
        <v>20</v>
      </c>
      <c r="E152" s="167"/>
      <c r="F152" s="58" t="str">
        <f>VLOOKUP(MOD(C152,7),'CALENDAR INFO'!$I$2:$J$8,2)</f>
        <v>WED</v>
      </c>
      <c r="G152" s="213">
        <v>0.04</v>
      </c>
      <c r="H152" s="149">
        <v>0.01</v>
      </c>
      <c r="I152" s="456">
        <f t="shared" si="14"/>
        <v>-0.03</v>
      </c>
      <c r="K152" s="178"/>
      <c r="M152" s="113">
        <f t="shared" si="15"/>
        <v>1</v>
      </c>
      <c r="N152" s="64">
        <f t="shared" si="16"/>
        <v>1.0000002777777777</v>
      </c>
    </row>
    <row r="153" spans="1:17" s="79" customFormat="1" ht="15.75" thickBot="1">
      <c r="A153" s="98"/>
      <c r="B153" s="230"/>
      <c r="C153" s="75">
        <f t="shared" si="13"/>
        <v>43951</v>
      </c>
      <c r="D153" s="112"/>
      <c r="E153" s="92"/>
      <c r="F153" s="71" t="str">
        <f>VLOOKUP(MOD(C153,7),'CALENDAR INFO'!$I$2:$J$8,2)</f>
        <v>THU</v>
      </c>
      <c r="G153" s="216">
        <v>0.05</v>
      </c>
      <c r="H153" s="429">
        <v>0.04</v>
      </c>
      <c r="I153" s="460">
        <f t="shared" si="14"/>
        <v>-1.0000000000000002E-2</v>
      </c>
      <c r="J153" s="434"/>
      <c r="K153" s="181"/>
      <c r="L153" s="196"/>
      <c r="M153" s="114">
        <f t="shared" si="15"/>
        <v>1</v>
      </c>
      <c r="N153" s="77">
        <f t="shared" si="16"/>
        <v>1.0000011111111111</v>
      </c>
      <c r="O153" s="78"/>
      <c r="P153" s="73"/>
    </row>
    <row r="154" spans="1:17">
      <c r="B154" s="41"/>
      <c r="C154" s="61">
        <f t="shared" si="13"/>
        <v>43952</v>
      </c>
      <c r="E154" s="167"/>
      <c r="F154" s="58" t="str">
        <f>VLOOKUP(MOD(C154,7),'CALENDAR INFO'!$I$2:$J$8,2)</f>
        <v>FRI</v>
      </c>
      <c r="G154" s="213">
        <v>0.05</v>
      </c>
      <c r="H154" s="149">
        <v>0.03</v>
      </c>
      <c r="I154" s="456">
        <f t="shared" si="14"/>
        <v>-2.0000000000000004E-2</v>
      </c>
      <c r="J154" s="15" t="s">
        <v>118</v>
      </c>
      <c r="K154" s="15">
        <f>VLOOKUP(MONTH($C154),'CALENDAR INFO'!$I$12:$J$23,2)</f>
        <v>31</v>
      </c>
      <c r="L154" s="179">
        <f>K154</f>
        <v>31</v>
      </c>
      <c r="M154" s="113">
        <f t="shared" si="15"/>
        <v>3</v>
      </c>
      <c r="N154" s="64">
        <f t="shared" si="16"/>
        <v>1.0000024999999999</v>
      </c>
    </row>
    <row r="155" spans="1:17">
      <c r="B155" s="41"/>
      <c r="C155" s="61">
        <f t="shared" si="13"/>
        <v>43953</v>
      </c>
      <c r="E155" s="167"/>
      <c r="F155" s="58" t="str">
        <f>VLOOKUP(MOD(C155,7),'CALENDAR INFO'!$I$2:$J$8,2)</f>
        <v>SAT</v>
      </c>
      <c r="G155" s="213">
        <v>0.05</v>
      </c>
      <c r="H155" s="149">
        <v>0.03</v>
      </c>
      <c r="I155" s="456">
        <f t="shared" si="14"/>
        <v>-2.0000000000000004E-2</v>
      </c>
      <c r="J155" s="15" t="s">
        <v>151</v>
      </c>
      <c r="K155" s="15">
        <f>ROW($C155)-1</f>
        <v>154</v>
      </c>
      <c r="L155" s="179">
        <f>K155</f>
        <v>154</v>
      </c>
      <c r="M155" s="113">
        <f t="shared" si="15"/>
        <v>0</v>
      </c>
      <c r="N155" s="64">
        <f t="shared" si="16"/>
        <v>1</v>
      </c>
    </row>
    <row r="156" spans="1:17">
      <c r="B156" s="41"/>
      <c r="C156" s="61">
        <f t="shared" si="13"/>
        <v>43954</v>
      </c>
      <c r="E156" s="167"/>
      <c r="F156" s="58" t="str">
        <f>VLOOKUP(MOD(C156,7),'CALENDAR INFO'!$I$2:$J$8,2)</f>
        <v>SUN</v>
      </c>
      <c r="G156" s="213">
        <v>0.05</v>
      </c>
      <c r="H156" s="149">
        <v>0.03</v>
      </c>
      <c r="I156" s="456">
        <f t="shared" si="14"/>
        <v>-2.0000000000000004E-2</v>
      </c>
      <c r="J156" s="15" t="s">
        <v>152</v>
      </c>
      <c r="K156" s="15">
        <f>K154+K155-1</f>
        <v>184</v>
      </c>
      <c r="L156" s="179">
        <f>K156</f>
        <v>184</v>
      </c>
      <c r="M156" s="113">
        <f t="shared" si="15"/>
        <v>0</v>
      </c>
      <c r="N156" s="64">
        <f t="shared" si="16"/>
        <v>1</v>
      </c>
    </row>
    <row r="157" spans="1:17">
      <c r="B157" s="41"/>
      <c r="C157" s="61">
        <f t="shared" si="13"/>
        <v>43955</v>
      </c>
      <c r="E157" s="167"/>
      <c r="F157" s="58" t="str">
        <f>VLOOKUP(MOD(C157,7),'CALENDAR INFO'!$I$2:$J$8,2)</f>
        <v>MON</v>
      </c>
      <c r="G157" s="213">
        <v>0.05</v>
      </c>
      <c r="H157" s="149">
        <v>0.05</v>
      </c>
      <c r="I157" s="456">
        <f t="shared" si="14"/>
        <v>0</v>
      </c>
      <c r="M157" s="113">
        <f t="shared" si="15"/>
        <v>1</v>
      </c>
      <c r="N157" s="64">
        <f t="shared" si="16"/>
        <v>1.0000013888888888</v>
      </c>
    </row>
    <row r="158" spans="1:17">
      <c r="B158" s="41"/>
      <c r="C158" s="61">
        <f t="shared" si="13"/>
        <v>43956</v>
      </c>
      <c r="E158" s="167"/>
      <c r="F158" s="58" t="str">
        <f>VLOOKUP(MOD(C158,7),'CALENDAR INFO'!$I$2:$J$8,2)</f>
        <v>TUE</v>
      </c>
      <c r="G158" s="213">
        <v>0.05</v>
      </c>
      <c r="H158" s="149">
        <v>0.05</v>
      </c>
      <c r="I158" s="456">
        <f t="shared" si="14"/>
        <v>0</v>
      </c>
      <c r="J158" s="15" t="s">
        <v>153</v>
      </c>
      <c r="K158" s="15" t="str">
        <f>_xlfn.CONCAT("A",TEXT(K155,0),":","A",TEXT(K156,0))</f>
        <v>A154:A184</v>
      </c>
      <c r="L158" s="179" t="str">
        <f>_xlfn.CONCAT("B",TEXT(L155,0),":","B",TEXT(L156,0))</f>
        <v>B154:B184</v>
      </c>
      <c r="M158" s="113">
        <f t="shared" si="15"/>
        <v>1</v>
      </c>
      <c r="N158" s="64">
        <f t="shared" si="16"/>
        <v>1.0000013888888888</v>
      </c>
    </row>
    <row r="159" spans="1:17">
      <c r="B159" s="41"/>
      <c r="C159" s="61">
        <f t="shared" si="13"/>
        <v>43957</v>
      </c>
      <c r="E159" s="167" t="s">
        <v>19</v>
      </c>
      <c r="F159" s="58" t="str">
        <f>VLOOKUP(MOD(C159,7),'CALENDAR INFO'!$I$2:$J$8,2)</f>
        <v>WED</v>
      </c>
      <c r="G159" s="213">
        <v>0.05</v>
      </c>
      <c r="H159" s="149">
        <v>0.05</v>
      </c>
      <c r="I159" s="456">
        <f t="shared" si="14"/>
        <v>0</v>
      </c>
      <c r="J159" s="15" t="s">
        <v>154</v>
      </c>
      <c r="K159" s="15" t="str">
        <f>_xlfn.CONCAT("F",TEXT(K155,0),":","F",TEXT(K156,0))</f>
        <v>F154:F184</v>
      </c>
      <c r="L159" s="179" t="str">
        <f>_xlfn.CONCAT("G",TEXT(L155,0),":","G",TEXT(L156,0))</f>
        <v>G154:G184</v>
      </c>
      <c r="M159" s="113">
        <f t="shared" si="15"/>
        <v>1</v>
      </c>
      <c r="N159" s="64">
        <f t="shared" si="16"/>
        <v>1.0000013888888888</v>
      </c>
    </row>
    <row r="160" spans="1:17">
      <c r="B160" s="41"/>
      <c r="C160" s="61">
        <f t="shared" si="13"/>
        <v>43958</v>
      </c>
      <c r="E160" s="170" t="s">
        <v>18</v>
      </c>
      <c r="F160" s="58" t="str">
        <f>VLOOKUP(MOD(C160,7),'CALENDAR INFO'!$I$2:$J$8,2)</f>
        <v>THU</v>
      </c>
      <c r="G160" s="213">
        <v>0.05</v>
      </c>
      <c r="H160" s="149">
        <v>0.05</v>
      </c>
      <c r="I160" s="456">
        <f t="shared" si="14"/>
        <v>0</v>
      </c>
      <c r="K160" s="178"/>
      <c r="L160" s="192"/>
      <c r="M160" s="113">
        <f t="shared" si="15"/>
        <v>1</v>
      </c>
      <c r="N160" s="64">
        <f t="shared" si="16"/>
        <v>1.0000013888888888</v>
      </c>
    </row>
    <row r="161" spans="2:14">
      <c r="B161" s="41"/>
      <c r="C161" s="61">
        <f t="shared" si="13"/>
        <v>43959</v>
      </c>
      <c r="E161" s="170"/>
      <c r="F161" s="58" t="str">
        <f>VLOOKUP(MOD(C161,7),'CALENDAR INFO'!$I$2:$J$8,2)</f>
        <v>FRI</v>
      </c>
      <c r="G161" s="213">
        <v>0.05</v>
      </c>
      <c r="H161" s="149">
        <v>0.06</v>
      </c>
      <c r="I161" s="456">
        <f t="shared" si="14"/>
        <v>9.999999999999995E-3</v>
      </c>
      <c r="J161" s="15" t="s">
        <v>155</v>
      </c>
      <c r="K161" s="185">
        <f ca="1">SUM(INDIRECT(K158))</f>
        <v>0</v>
      </c>
      <c r="L161" s="93">
        <f ca="1">SUM(INDIRECT(L158))</f>
        <v>0</v>
      </c>
      <c r="M161" s="113">
        <f t="shared" si="15"/>
        <v>3</v>
      </c>
      <c r="N161" s="64">
        <f t="shared" si="16"/>
        <v>1.000005</v>
      </c>
    </row>
    <row r="162" spans="2:14">
      <c r="B162" s="41"/>
      <c r="C162" s="61">
        <f t="shared" si="13"/>
        <v>43960</v>
      </c>
      <c r="E162" s="170"/>
      <c r="F162" s="58" t="str">
        <f>VLOOKUP(MOD(C162,7),'CALENDAR INFO'!$I$2:$J$8,2)</f>
        <v>SAT</v>
      </c>
      <c r="G162" s="213">
        <v>0.05</v>
      </c>
      <c r="H162" s="149">
        <v>0.06</v>
      </c>
      <c r="I162" s="456">
        <f t="shared" si="14"/>
        <v>9.999999999999995E-3</v>
      </c>
      <c r="J162" s="15" t="s">
        <v>156</v>
      </c>
      <c r="K162" s="207">
        <f ca="1">SUM(INDIRECT(K159))</f>
        <v>0</v>
      </c>
      <c r="L162" s="208">
        <f ca="1">SUM(INDIRECT(L159))</f>
        <v>1.5500000000000007</v>
      </c>
      <c r="M162" s="113">
        <f t="shared" si="15"/>
        <v>0</v>
      </c>
      <c r="N162" s="64">
        <f t="shared" si="16"/>
        <v>1</v>
      </c>
    </row>
    <row r="163" spans="2:14">
      <c r="B163" s="41"/>
      <c r="C163" s="61">
        <f t="shared" si="13"/>
        <v>43961</v>
      </c>
      <c r="E163" s="170"/>
      <c r="F163" s="58" t="str">
        <f>VLOOKUP(MOD(C163,7),'CALENDAR INFO'!$I$2:$J$8,2)</f>
        <v>SUN</v>
      </c>
      <c r="G163" s="213">
        <v>0.05</v>
      </c>
      <c r="H163" s="149">
        <v>0.06</v>
      </c>
      <c r="I163" s="456">
        <f t="shared" si="14"/>
        <v>9.999999999999995E-3</v>
      </c>
      <c r="J163" s="15" t="s">
        <v>157</v>
      </c>
      <c r="K163" s="178">
        <f ca="1">K161+K162</f>
        <v>0</v>
      </c>
      <c r="L163" s="192">
        <f ca="1">L161+L162</f>
        <v>1.5500000000000007</v>
      </c>
      <c r="M163" s="113">
        <f t="shared" si="15"/>
        <v>0</v>
      </c>
      <c r="N163" s="64">
        <f t="shared" si="16"/>
        <v>1</v>
      </c>
    </row>
    <row r="164" spans="2:14">
      <c r="B164" s="41"/>
      <c r="C164" s="61">
        <f t="shared" si="13"/>
        <v>43962</v>
      </c>
      <c r="E164" s="170"/>
      <c r="F164" s="58" t="str">
        <f>VLOOKUP(MOD(C164,7),'CALENDAR INFO'!$I$2:$J$8,2)</f>
        <v>MON</v>
      </c>
      <c r="G164" s="213">
        <v>0.05</v>
      </c>
      <c r="H164" s="149">
        <v>0.06</v>
      </c>
      <c r="I164" s="456">
        <f t="shared" si="14"/>
        <v>9.999999999999995E-3</v>
      </c>
      <c r="K164" s="178"/>
      <c r="L164" s="192"/>
      <c r="M164" s="113">
        <f t="shared" si="15"/>
        <v>1</v>
      </c>
      <c r="N164" s="64">
        <f t="shared" si="16"/>
        <v>1.0000016666666667</v>
      </c>
    </row>
    <row r="165" spans="2:14">
      <c r="B165" s="41"/>
      <c r="C165" s="61">
        <f t="shared" si="13"/>
        <v>43963</v>
      </c>
      <c r="E165" s="170"/>
      <c r="F165" s="58" t="str">
        <f>VLOOKUP(MOD(C165,7),'CALENDAR INFO'!$I$2:$J$8,2)</f>
        <v>TUE</v>
      </c>
      <c r="G165" s="213">
        <v>0.05</v>
      </c>
      <c r="H165" s="149">
        <v>0.06</v>
      </c>
      <c r="I165" s="456">
        <f t="shared" si="14"/>
        <v>9.999999999999995E-3</v>
      </c>
      <c r="J165" s="15" t="s">
        <v>158</v>
      </c>
      <c r="K165" s="178">
        <f ca="1">K163/K154</f>
        <v>0</v>
      </c>
      <c r="L165" s="192">
        <f ca="1">L163/L154</f>
        <v>5.0000000000000024E-2</v>
      </c>
      <c r="M165" s="113">
        <f t="shared" si="15"/>
        <v>1</v>
      </c>
      <c r="N165" s="64">
        <f t="shared" si="16"/>
        <v>1.0000016666666667</v>
      </c>
    </row>
    <row r="166" spans="2:14">
      <c r="B166" s="41"/>
      <c r="C166" s="61">
        <f t="shared" si="13"/>
        <v>43964</v>
      </c>
      <c r="E166" s="170"/>
      <c r="F166" s="58" t="str">
        <f>VLOOKUP(MOD(C166,7),'CALENDAR INFO'!$I$2:$J$8,2)</f>
        <v>WED</v>
      </c>
      <c r="G166" s="213">
        <v>0.05</v>
      </c>
      <c r="H166" s="149">
        <v>0.04</v>
      </c>
      <c r="I166" s="456">
        <f t="shared" si="14"/>
        <v>-1.0000000000000002E-2</v>
      </c>
      <c r="J166" s="433" t="s">
        <v>159</v>
      </c>
      <c r="K166" s="183">
        <f ca="1">100-K165</f>
        <v>100</v>
      </c>
      <c r="L166" s="199">
        <f ca="1">100-L165</f>
        <v>99.95</v>
      </c>
      <c r="M166" s="113">
        <f t="shared" si="15"/>
        <v>1</v>
      </c>
      <c r="N166" s="64">
        <f t="shared" si="16"/>
        <v>1.0000011111111111</v>
      </c>
    </row>
    <row r="167" spans="2:14">
      <c r="B167" s="41"/>
      <c r="C167" s="61">
        <f t="shared" si="13"/>
        <v>43965</v>
      </c>
      <c r="E167" s="170"/>
      <c r="F167" s="58" t="str">
        <f>VLOOKUP(MOD(C167,7),'CALENDAR INFO'!$I$2:$J$8,2)</f>
        <v>THU</v>
      </c>
      <c r="G167" s="213">
        <v>0.05</v>
      </c>
      <c r="H167" s="149">
        <v>0.02</v>
      </c>
      <c r="I167" s="456">
        <f t="shared" si="14"/>
        <v>-3.0000000000000002E-2</v>
      </c>
      <c r="K167" s="178"/>
      <c r="L167" s="192"/>
      <c r="M167" s="113">
        <f t="shared" si="15"/>
        <v>1</v>
      </c>
      <c r="N167" s="64">
        <f t="shared" si="16"/>
        <v>1.0000005555555556</v>
      </c>
    </row>
    <row r="168" spans="2:14">
      <c r="B168" s="41"/>
      <c r="C168" s="61">
        <f t="shared" si="13"/>
        <v>43966</v>
      </c>
      <c r="E168" s="170"/>
      <c r="F168" s="58" t="str">
        <f>VLOOKUP(MOD(C168,7),'CALENDAR INFO'!$I$2:$J$8,2)</f>
        <v>FRI</v>
      </c>
      <c r="G168" s="213">
        <v>0.05</v>
      </c>
      <c r="H168" s="149">
        <v>0.05</v>
      </c>
      <c r="I168" s="456">
        <f t="shared" si="14"/>
        <v>0</v>
      </c>
      <c r="J168" s="176"/>
      <c r="K168" s="186"/>
      <c r="L168" s="194"/>
      <c r="M168" s="113">
        <f t="shared" si="15"/>
        <v>3</v>
      </c>
      <c r="N168" s="64">
        <f t="shared" si="16"/>
        <v>1.0000041666666666</v>
      </c>
    </row>
    <row r="169" spans="2:14">
      <c r="B169" s="41"/>
      <c r="C169" s="61">
        <f t="shared" si="13"/>
        <v>43967</v>
      </c>
      <c r="E169" s="170"/>
      <c r="F169" s="58" t="str">
        <f>VLOOKUP(MOD(C169,7),'CALENDAR INFO'!$I$2:$J$8,2)</f>
        <v>SAT</v>
      </c>
      <c r="G169" s="213">
        <v>0.05</v>
      </c>
      <c r="H169" s="149">
        <v>0.05</v>
      </c>
      <c r="I169" s="456">
        <f t="shared" si="14"/>
        <v>0</v>
      </c>
      <c r="M169" s="113">
        <f t="shared" si="15"/>
        <v>0</v>
      </c>
      <c r="N169" s="64">
        <f t="shared" si="16"/>
        <v>1</v>
      </c>
    </row>
    <row r="170" spans="2:14">
      <c r="B170" s="41"/>
      <c r="C170" s="61">
        <f t="shared" si="13"/>
        <v>43968</v>
      </c>
      <c r="E170" s="170"/>
      <c r="F170" s="58" t="str">
        <f>VLOOKUP(MOD(C170,7),'CALENDAR INFO'!$I$2:$J$8,2)</f>
        <v>SUN</v>
      </c>
      <c r="G170" s="213">
        <v>0.05</v>
      </c>
      <c r="H170" s="149">
        <v>0.05</v>
      </c>
      <c r="I170" s="456">
        <f t="shared" si="14"/>
        <v>0</v>
      </c>
      <c r="M170" s="113">
        <f t="shared" si="15"/>
        <v>0</v>
      </c>
      <c r="N170" s="64">
        <f t="shared" si="16"/>
        <v>1</v>
      </c>
    </row>
    <row r="171" spans="2:14">
      <c r="B171" s="41"/>
      <c r="C171" s="61">
        <f t="shared" si="13"/>
        <v>43969</v>
      </c>
      <c r="E171" s="170"/>
      <c r="F171" s="58" t="str">
        <f>VLOOKUP(MOD(C171,7),'CALENDAR INFO'!$I$2:$J$8,2)</f>
        <v>MON</v>
      </c>
      <c r="G171" s="213">
        <v>0.05</v>
      </c>
      <c r="H171" s="149">
        <v>0.04</v>
      </c>
      <c r="I171" s="456">
        <f t="shared" si="14"/>
        <v>-1.0000000000000002E-2</v>
      </c>
      <c r="M171" s="113">
        <f t="shared" si="15"/>
        <v>1</v>
      </c>
      <c r="N171" s="64">
        <f t="shared" si="16"/>
        <v>1.0000011111111111</v>
      </c>
    </row>
    <row r="172" spans="2:14">
      <c r="B172" s="41"/>
      <c r="C172" s="61">
        <f t="shared" si="13"/>
        <v>43970</v>
      </c>
      <c r="E172" s="170"/>
      <c r="F172" s="58" t="str">
        <f>VLOOKUP(MOD(C172,7),'CALENDAR INFO'!$I$2:$J$8,2)</f>
        <v>TUE</v>
      </c>
      <c r="G172" s="213">
        <v>0.05</v>
      </c>
      <c r="H172" s="149">
        <v>0.04</v>
      </c>
      <c r="I172" s="456">
        <f t="shared" si="14"/>
        <v>-1.0000000000000002E-2</v>
      </c>
      <c r="M172" s="113">
        <f t="shared" si="15"/>
        <v>1</v>
      </c>
      <c r="N172" s="64">
        <f t="shared" si="16"/>
        <v>1.0000011111111111</v>
      </c>
    </row>
    <row r="173" spans="2:14">
      <c r="B173" s="41"/>
      <c r="C173" s="61">
        <f t="shared" si="13"/>
        <v>43971</v>
      </c>
      <c r="E173" s="170" t="s">
        <v>19</v>
      </c>
      <c r="F173" s="58" t="str">
        <f>VLOOKUP(MOD(C173,7),'CALENDAR INFO'!$I$2:$J$8,2)</f>
        <v>WED</v>
      </c>
      <c r="G173" s="213">
        <v>0.05</v>
      </c>
      <c r="H173" s="149">
        <v>0.01</v>
      </c>
      <c r="I173" s="456">
        <f t="shared" si="14"/>
        <v>-0.04</v>
      </c>
      <c r="M173" s="113">
        <f t="shared" si="15"/>
        <v>1</v>
      </c>
      <c r="N173" s="64">
        <f t="shared" si="16"/>
        <v>1.0000002777777777</v>
      </c>
    </row>
    <row r="174" spans="2:14">
      <c r="B174" s="41"/>
      <c r="C174" s="61">
        <f t="shared" si="13"/>
        <v>43972</v>
      </c>
      <c r="E174" s="167" t="s">
        <v>18</v>
      </c>
      <c r="F174" s="58" t="str">
        <f>VLOOKUP(MOD(C174,7),'CALENDAR INFO'!$I$2:$J$8,2)</f>
        <v>THU</v>
      </c>
      <c r="G174" s="213">
        <v>0.05</v>
      </c>
      <c r="H174" s="149">
        <v>0.02</v>
      </c>
      <c r="I174" s="456">
        <f t="shared" si="14"/>
        <v>-3.0000000000000002E-2</v>
      </c>
      <c r="M174" s="113">
        <f t="shared" si="15"/>
        <v>1</v>
      </c>
      <c r="N174" s="64">
        <f t="shared" si="16"/>
        <v>1.0000005555555556</v>
      </c>
    </row>
    <row r="175" spans="2:14">
      <c r="B175" s="41"/>
      <c r="C175" s="61">
        <f t="shared" si="13"/>
        <v>43973</v>
      </c>
      <c r="E175" s="167"/>
      <c r="F175" s="58" t="str">
        <f>VLOOKUP(MOD(C175,7),'CALENDAR INFO'!$I$2:$J$8,2)</f>
        <v>FRI</v>
      </c>
      <c r="G175" s="213">
        <v>0.05</v>
      </c>
      <c r="H175" s="149">
        <v>0.04</v>
      </c>
      <c r="I175" s="456">
        <f t="shared" si="14"/>
        <v>-1.0000000000000002E-2</v>
      </c>
      <c r="M175" s="117">
        <f>IF(MOD(C175,7)&lt;2,0,IF(MOD(C175,7)=6,3,1))+1</f>
        <v>4</v>
      </c>
      <c r="N175" s="64">
        <f t="shared" si="16"/>
        <v>1.0000044444444445</v>
      </c>
    </row>
    <row r="176" spans="2:14">
      <c r="B176" s="41"/>
      <c r="C176" s="61">
        <f t="shared" si="13"/>
        <v>43974</v>
      </c>
      <c r="E176" s="167"/>
      <c r="F176" s="58" t="str">
        <f>VLOOKUP(MOD(C176,7),'CALENDAR INFO'!$I$2:$J$8,2)</f>
        <v>SAT</v>
      </c>
      <c r="G176" s="213">
        <v>0.05</v>
      </c>
      <c r="H176" s="149">
        <v>0.04</v>
      </c>
      <c r="I176" s="456">
        <f t="shared" si="14"/>
        <v>-1.0000000000000002E-2</v>
      </c>
      <c r="M176" s="113">
        <f>IF(MOD(C176,7)&lt;2,0,IF(MOD(C176,7)=6,3,1))</f>
        <v>0</v>
      </c>
      <c r="N176" s="64">
        <f t="shared" si="16"/>
        <v>1</v>
      </c>
    </row>
    <row r="177" spans="1:16">
      <c r="B177" s="41"/>
      <c r="C177" s="61">
        <f t="shared" si="13"/>
        <v>43975</v>
      </c>
      <c r="E177" s="167"/>
      <c r="F177" s="58" t="str">
        <f>VLOOKUP(MOD(C177,7),'CALENDAR INFO'!$I$2:$J$8,2)</f>
        <v>SUN</v>
      </c>
      <c r="G177" s="213">
        <v>0.05</v>
      </c>
      <c r="H177" s="149">
        <v>0.04</v>
      </c>
      <c r="I177" s="456">
        <f t="shared" si="14"/>
        <v>-1.0000000000000002E-2</v>
      </c>
      <c r="M177" s="113">
        <f>IF(MOD(C177,7)&lt;2,0,IF(MOD(C177,7)=6,3,1))</f>
        <v>0</v>
      </c>
      <c r="N177" s="64">
        <f t="shared" si="16"/>
        <v>1</v>
      </c>
    </row>
    <row r="178" spans="1:16">
      <c r="B178" s="41"/>
      <c r="C178" s="61">
        <f t="shared" si="13"/>
        <v>43976</v>
      </c>
      <c r="D178" s="173" t="s">
        <v>40</v>
      </c>
      <c r="E178" s="167"/>
      <c r="F178" s="58" t="str">
        <f>VLOOKUP(MOD(C178,7),'CALENDAR INFO'!$I$2:$J$8,2)</f>
        <v>MON</v>
      </c>
      <c r="G178" s="213">
        <v>0.05</v>
      </c>
      <c r="H178" s="149">
        <v>0.04</v>
      </c>
      <c r="I178" s="456">
        <f t="shared" si="14"/>
        <v>-1.0000000000000002E-2</v>
      </c>
      <c r="M178" s="117">
        <f>IF(MOD(C178,7)&lt;2,0,IF(MOD(C178,7)=6,3,1))-1</f>
        <v>0</v>
      </c>
      <c r="N178" s="64">
        <f t="shared" si="16"/>
        <v>1</v>
      </c>
    </row>
    <row r="179" spans="1:16">
      <c r="B179" s="41"/>
      <c r="C179" s="61">
        <f t="shared" si="13"/>
        <v>43977</v>
      </c>
      <c r="E179" s="167"/>
      <c r="F179" s="58" t="str">
        <f>VLOOKUP(MOD(C179,7),'CALENDAR INFO'!$I$2:$J$8,2)</f>
        <v>TUE</v>
      </c>
      <c r="G179" s="213">
        <v>0.05</v>
      </c>
      <c r="H179" s="149">
        <v>0.06</v>
      </c>
      <c r="I179" s="456">
        <f t="shared" si="14"/>
        <v>9.999999999999995E-3</v>
      </c>
      <c r="K179" s="178"/>
      <c r="M179" s="113">
        <f t="shared" ref="M179:M215" si="17">IF(MOD(C179,7)&lt;2,0,IF(MOD(C179,7)=6,3,1))</f>
        <v>1</v>
      </c>
      <c r="N179" s="64">
        <f t="shared" si="16"/>
        <v>1.0000016666666667</v>
      </c>
    </row>
    <row r="180" spans="1:16">
      <c r="B180" s="41"/>
      <c r="C180" s="61">
        <f t="shared" si="13"/>
        <v>43978</v>
      </c>
      <c r="E180" s="167"/>
      <c r="F180" s="58" t="str">
        <f>VLOOKUP(MOD(C180,7),'CALENDAR INFO'!$I$2:$J$8,2)</f>
        <v>WED</v>
      </c>
      <c r="G180" s="213">
        <v>0.05</v>
      </c>
      <c r="H180" s="149">
        <v>0.06</v>
      </c>
      <c r="I180" s="456">
        <f t="shared" si="14"/>
        <v>9.999999999999995E-3</v>
      </c>
      <c r="M180" s="113">
        <f t="shared" si="17"/>
        <v>1</v>
      </c>
      <c r="N180" s="64">
        <f t="shared" si="16"/>
        <v>1.0000016666666667</v>
      </c>
      <c r="O180" s="89" t="s">
        <v>93</v>
      </c>
      <c r="P180" s="90"/>
    </row>
    <row r="181" spans="1:16">
      <c r="B181" s="41"/>
      <c r="C181" s="61">
        <f t="shared" si="13"/>
        <v>43979</v>
      </c>
      <c r="E181" s="167"/>
      <c r="F181" s="58" t="str">
        <f>VLOOKUP(MOD(C181,7),'CALENDAR INFO'!$I$2:$J$8,2)</f>
        <v>THU</v>
      </c>
      <c r="G181" s="213">
        <v>0.05</v>
      </c>
      <c r="H181" s="149">
        <v>0.06</v>
      </c>
      <c r="I181" s="456">
        <f t="shared" si="14"/>
        <v>9.999999999999995E-3</v>
      </c>
      <c r="K181" s="189"/>
      <c r="M181" s="113">
        <f t="shared" si="17"/>
        <v>1</v>
      </c>
      <c r="N181" s="64">
        <f t="shared" si="16"/>
        <v>1.0000016666666667</v>
      </c>
      <c r="O181" s="89" t="s">
        <v>26</v>
      </c>
      <c r="P181" s="91">
        <v>99.95</v>
      </c>
    </row>
    <row r="182" spans="1:16">
      <c r="B182" s="41"/>
      <c r="C182" s="61">
        <f t="shared" si="13"/>
        <v>43980</v>
      </c>
      <c r="E182" s="167"/>
      <c r="F182" s="58" t="str">
        <f>VLOOKUP(MOD(C182,7),'CALENDAR INFO'!$I$2:$J$8,2)</f>
        <v>FRI</v>
      </c>
      <c r="G182" s="213">
        <v>0.05</v>
      </c>
      <c r="H182" s="149">
        <v>0.06</v>
      </c>
      <c r="I182" s="456">
        <f t="shared" si="14"/>
        <v>9.999999999999995E-3</v>
      </c>
      <c r="J182" s="433"/>
      <c r="K182" s="187"/>
      <c r="L182" s="195"/>
      <c r="M182" s="113">
        <f t="shared" si="17"/>
        <v>3</v>
      </c>
      <c r="N182" s="64">
        <f t="shared" si="16"/>
        <v>1.000005</v>
      </c>
      <c r="O182" s="89" t="s">
        <v>76</v>
      </c>
      <c r="P182" s="91">
        <v>99.953999999999994</v>
      </c>
    </row>
    <row r="183" spans="1:16">
      <c r="B183" s="41"/>
      <c r="C183" s="61">
        <f t="shared" si="13"/>
        <v>43981</v>
      </c>
      <c r="E183" s="167"/>
      <c r="F183" s="58" t="str">
        <f>VLOOKUP(MOD(C183,7),'CALENDAR INFO'!$I$2:$J$8,2)</f>
        <v>SAT</v>
      </c>
      <c r="G183" s="213">
        <v>0.05</v>
      </c>
      <c r="H183" s="149">
        <v>0.06</v>
      </c>
      <c r="I183" s="456">
        <f t="shared" si="14"/>
        <v>9.999999999999995E-3</v>
      </c>
      <c r="K183" s="178"/>
      <c r="M183" s="113">
        <f t="shared" si="17"/>
        <v>0</v>
      </c>
      <c r="N183" s="64">
        <f t="shared" si="16"/>
        <v>1</v>
      </c>
    </row>
    <row r="184" spans="1:16" s="79" customFormat="1" ht="15.75" thickBot="1">
      <c r="A184" s="98"/>
      <c r="B184" s="230"/>
      <c r="C184" s="75">
        <f t="shared" si="13"/>
        <v>43982</v>
      </c>
      <c r="D184" s="112"/>
      <c r="E184" s="92"/>
      <c r="F184" s="71" t="str">
        <f>VLOOKUP(MOD(C184,7),'CALENDAR INFO'!$I$2:$J$8,2)</f>
        <v>SUN</v>
      </c>
      <c r="G184" s="216">
        <v>0.05</v>
      </c>
      <c r="H184" s="429">
        <v>0.06</v>
      </c>
      <c r="I184" s="460">
        <f t="shared" si="14"/>
        <v>9.999999999999995E-3</v>
      </c>
      <c r="J184" s="434"/>
      <c r="K184" s="181"/>
      <c r="L184" s="196"/>
      <c r="M184" s="114">
        <f t="shared" si="17"/>
        <v>0</v>
      </c>
      <c r="N184" s="77">
        <f t="shared" si="16"/>
        <v>1</v>
      </c>
      <c r="O184" s="78"/>
      <c r="P184" s="73"/>
    </row>
    <row r="185" spans="1:16">
      <c r="B185" s="41"/>
      <c r="C185" s="61">
        <f t="shared" si="13"/>
        <v>43983</v>
      </c>
      <c r="E185" s="167"/>
      <c r="F185" s="58" t="str">
        <f>VLOOKUP(MOD(C185,7),'CALENDAR INFO'!$I$2:$J$8,2)</f>
        <v>MON</v>
      </c>
      <c r="G185" s="213">
        <v>0.05</v>
      </c>
      <c r="H185" s="425">
        <v>0.06</v>
      </c>
      <c r="I185" s="457">
        <f t="shared" si="14"/>
        <v>9.999999999999995E-3</v>
      </c>
      <c r="J185" s="15" t="s">
        <v>118</v>
      </c>
      <c r="K185" s="15">
        <f>VLOOKUP(MONTH($C185),'CALENDAR INFO'!$I$12:$J$23,2)</f>
        <v>30</v>
      </c>
      <c r="L185" s="179">
        <f>K185</f>
        <v>30</v>
      </c>
      <c r="M185" s="113">
        <f t="shared" si="17"/>
        <v>1</v>
      </c>
      <c r="N185" s="64">
        <f t="shared" si="16"/>
        <v>1.0000016666666667</v>
      </c>
    </row>
    <row r="186" spans="1:16">
      <c r="B186" s="41"/>
      <c r="C186" s="61">
        <f t="shared" si="13"/>
        <v>43984</v>
      </c>
      <c r="E186" s="167"/>
      <c r="F186" s="58" t="str">
        <f>VLOOKUP(MOD(C186,7),'CALENDAR INFO'!$I$2:$J$8,2)</f>
        <v>TUE</v>
      </c>
      <c r="G186" s="213">
        <v>0.06</v>
      </c>
      <c r="H186" s="425">
        <v>7.0000000000000007E-2</v>
      </c>
      <c r="I186" s="457">
        <f t="shared" si="14"/>
        <v>1.0000000000000009E-2</v>
      </c>
      <c r="J186" s="15" t="s">
        <v>151</v>
      </c>
      <c r="K186" s="15">
        <f>ROW($C186)-1</f>
        <v>185</v>
      </c>
      <c r="L186" s="179">
        <f>K186</f>
        <v>185</v>
      </c>
      <c r="M186" s="113">
        <f t="shared" si="17"/>
        <v>1</v>
      </c>
      <c r="N186" s="64">
        <f t="shared" si="16"/>
        <v>1.0000019444444443</v>
      </c>
    </row>
    <row r="187" spans="1:16">
      <c r="B187" s="41"/>
      <c r="C187" s="61">
        <f t="shared" si="13"/>
        <v>43985</v>
      </c>
      <c r="E187" s="167" t="s">
        <v>19</v>
      </c>
      <c r="F187" s="58" t="str">
        <f>VLOOKUP(MOD(C187,7),'CALENDAR INFO'!$I$2:$J$8,2)</f>
        <v>WED</v>
      </c>
      <c r="G187" s="213">
        <v>0.06</v>
      </c>
      <c r="H187" s="425">
        <v>0.06</v>
      </c>
      <c r="I187" s="457">
        <f t="shared" si="14"/>
        <v>0</v>
      </c>
      <c r="J187" s="15" t="s">
        <v>152</v>
      </c>
      <c r="K187" s="15">
        <f>K185+K186-1</f>
        <v>214</v>
      </c>
      <c r="L187" s="179">
        <f>K187</f>
        <v>214</v>
      </c>
      <c r="M187" s="113">
        <f t="shared" si="17"/>
        <v>1</v>
      </c>
      <c r="N187" s="64">
        <f t="shared" si="16"/>
        <v>1.0000016666666667</v>
      </c>
    </row>
    <row r="188" spans="1:16">
      <c r="B188" s="41"/>
      <c r="C188" s="61">
        <f t="shared" si="13"/>
        <v>43986</v>
      </c>
      <c r="E188" s="170" t="s">
        <v>18</v>
      </c>
      <c r="F188" s="58" t="str">
        <f>VLOOKUP(MOD(C188,7),'CALENDAR INFO'!$I$2:$J$8,2)</f>
        <v>THU</v>
      </c>
      <c r="G188" s="213">
        <v>0.06</v>
      </c>
      <c r="H188" s="425">
        <v>7.0000000000000007E-2</v>
      </c>
      <c r="I188" s="457">
        <f t="shared" si="14"/>
        <v>1.0000000000000009E-2</v>
      </c>
      <c r="M188" s="113">
        <f t="shared" si="17"/>
        <v>1</v>
      </c>
      <c r="N188" s="64">
        <f t="shared" si="16"/>
        <v>1.0000019444444443</v>
      </c>
    </row>
    <row r="189" spans="1:16">
      <c r="B189" s="41"/>
      <c r="C189" s="61">
        <f t="shared" si="13"/>
        <v>43987</v>
      </c>
      <c r="E189" s="170"/>
      <c r="F189" s="58" t="str">
        <f>VLOOKUP(MOD(C189,7),'CALENDAR INFO'!$I$2:$J$8,2)</f>
        <v>FRI</v>
      </c>
      <c r="G189" s="213">
        <v>7.0000000000000007E-2</v>
      </c>
      <c r="H189" s="425">
        <v>7.0000000000000007E-2</v>
      </c>
      <c r="I189" s="457">
        <f t="shared" si="14"/>
        <v>0</v>
      </c>
      <c r="J189" s="15" t="s">
        <v>153</v>
      </c>
      <c r="K189" s="15" t="str">
        <f>_xlfn.CONCAT("A",TEXT(K186,0),":","A",TEXT(K187,0))</f>
        <v>A185:A214</v>
      </c>
      <c r="L189" s="179" t="str">
        <f>_xlfn.CONCAT("B",TEXT(L186,0),":","B",TEXT(L187,0))</f>
        <v>B185:B214</v>
      </c>
      <c r="M189" s="113">
        <f t="shared" si="17"/>
        <v>3</v>
      </c>
      <c r="N189" s="64">
        <f t="shared" si="16"/>
        <v>1.0000058333333333</v>
      </c>
    </row>
    <row r="190" spans="1:16">
      <c r="B190" s="41"/>
      <c r="C190" s="61">
        <f t="shared" si="13"/>
        <v>43988</v>
      </c>
      <c r="E190" s="170"/>
      <c r="F190" s="58" t="str">
        <f>VLOOKUP(MOD(C190,7),'CALENDAR INFO'!$I$2:$J$8,2)</f>
        <v>SAT</v>
      </c>
      <c r="G190" s="213">
        <v>7.0000000000000007E-2</v>
      </c>
      <c r="H190" s="425">
        <v>7.0000000000000007E-2</v>
      </c>
      <c r="I190" s="457">
        <f t="shared" si="14"/>
        <v>0</v>
      </c>
      <c r="J190" s="15" t="s">
        <v>154</v>
      </c>
      <c r="K190" s="15" t="str">
        <f>_xlfn.CONCAT("F",TEXT(K186,0),":","F",TEXT(K187,0))</f>
        <v>F185:F214</v>
      </c>
      <c r="L190" s="179" t="str">
        <f>_xlfn.CONCAT("G",TEXT(L186,0),":","G",TEXT(L187,0))</f>
        <v>G185:G214</v>
      </c>
      <c r="M190" s="113">
        <f t="shared" si="17"/>
        <v>0</v>
      </c>
      <c r="N190" s="64">
        <f t="shared" si="16"/>
        <v>1</v>
      </c>
    </row>
    <row r="191" spans="1:16">
      <c r="B191" s="41"/>
      <c r="C191" s="61">
        <f t="shared" si="13"/>
        <v>43989</v>
      </c>
      <c r="E191" s="170"/>
      <c r="F191" s="58" t="str">
        <f>VLOOKUP(MOD(C191,7),'CALENDAR INFO'!$I$2:$J$8,2)</f>
        <v>SUN</v>
      </c>
      <c r="G191" s="213">
        <v>7.0000000000000007E-2</v>
      </c>
      <c r="H191" s="425">
        <v>7.0000000000000007E-2</v>
      </c>
      <c r="I191" s="457">
        <f t="shared" si="14"/>
        <v>0</v>
      </c>
      <c r="M191" s="113">
        <f t="shared" si="17"/>
        <v>0</v>
      </c>
      <c r="N191" s="64">
        <f t="shared" si="16"/>
        <v>1</v>
      </c>
    </row>
    <row r="192" spans="1:16">
      <c r="B192" s="41"/>
      <c r="C192" s="61">
        <f t="shared" si="13"/>
        <v>43990</v>
      </c>
      <c r="E192" s="170"/>
      <c r="F192" s="58" t="str">
        <f>VLOOKUP(MOD(C192,7),'CALENDAR INFO'!$I$2:$J$8,2)</f>
        <v>MON</v>
      </c>
      <c r="G192" s="213">
        <v>7.0000000000000007E-2</v>
      </c>
      <c r="H192" s="425">
        <v>7.0000000000000007E-2</v>
      </c>
      <c r="I192" s="457">
        <f t="shared" si="14"/>
        <v>0</v>
      </c>
      <c r="J192" s="15" t="s">
        <v>155</v>
      </c>
      <c r="K192" s="15">
        <f ca="1">SUM(INDIRECT(K189))</f>
        <v>0</v>
      </c>
      <c r="L192" s="179">
        <f ca="1">SUM(INDIRECT(L189))</f>
        <v>0</v>
      </c>
      <c r="M192" s="113">
        <f t="shared" si="17"/>
        <v>1</v>
      </c>
      <c r="N192" s="64">
        <f t="shared" si="16"/>
        <v>1.0000019444444443</v>
      </c>
    </row>
    <row r="193" spans="2:16">
      <c r="B193" s="41"/>
      <c r="C193" s="61">
        <f t="shared" ref="C193:C256" si="18">C192+1</f>
        <v>43991</v>
      </c>
      <c r="D193" s="153" t="s">
        <v>20</v>
      </c>
      <c r="E193" s="170"/>
      <c r="F193" s="58" t="str">
        <f>VLOOKUP(MOD(C193,7),'CALENDAR INFO'!$I$2:$J$8,2)</f>
        <v>TUE</v>
      </c>
      <c r="G193" s="213">
        <v>7.0000000000000007E-2</v>
      </c>
      <c r="H193" s="425">
        <v>0.08</v>
      </c>
      <c r="I193" s="457">
        <f t="shared" si="14"/>
        <v>9.999999999999995E-3</v>
      </c>
      <c r="J193" s="15" t="s">
        <v>156</v>
      </c>
      <c r="K193" s="207">
        <f ca="1">SUM(INDIRECT(K190))</f>
        <v>0</v>
      </c>
      <c r="L193" s="208">
        <f ca="1">SUM(INDIRECT(L190))</f>
        <v>2.330000000000001</v>
      </c>
      <c r="M193" s="113">
        <f t="shared" si="17"/>
        <v>1</v>
      </c>
      <c r="N193" s="64">
        <f t="shared" si="16"/>
        <v>1.0000022222222222</v>
      </c>
    </row>
    <row r="194" spans="2:16">
      <c r="B194" s="41"/>
      <c r="C194" s="61">
        <f t="shared" si="18"/>
        <v>43992</v>
      </c>
      <c r="D194" s="153" t="s">
        <v>20</v>
      </c>
      <c r="E194" s="170"/>
      <c r="F194" s="58" t="str">
        <f>VLOOKUP(MOD(C194,7),'CALENDAR INFO'!$I$2:$J$8,2)</f>
        <v>WED</v>
      </c>
      <c r="G194" s="213">
        <v>0.08</v>
      </c>
      <c r="H194" s="425">
        <v>7.0000000000000007E-2</v>
      </c>
      <c r="I194" s="457">
        <f t="shared" si="14"/>
        <v>-9.999999999999995E-3</v>
      </c>
      <c r="J194" s="15" t="s">
        <v>157</v>
      </c>
      <c r="K194" s="178">
        <f ca="1">K192+K193</f>
        <v>0</v>
      </c>
      <c r="L194" s="192">
        <f ca="1">L192+L193</f>
        <v>2.330000000000001</v>
      </c>
      <c r="M194" s="113">
        <f t="shared" si="17"/>
        <v>1</v>
      </c>
      <c r="N194" s="64">
        <f t="shared" si="16"/>
        <v>1.0000019444444443</v>
      </c>
    </row>
    <row r="195" spans="2:16">
      <c r="B195" s="41"/>
      <c r="C195" s="61">
        <f t="shared" si="18"/>
        <v>43993</v>
      </c>
      <c r="E195" s="170"/>
      <c r="F195" s="58" t="str">
        <f>VLOOKUP(MOD(C195,7),'CALENDAR INFO'!$I$2:$J$8,2)</f>
        <v>THU</v>
      </c>
      <c r="G195" s="213">
        <v>0.08</v>
      </c>
      <c r="H195" s="425">
        <v>0.08</v>
      </c>
      <c r="I195" s="457">
        <f t="shared" ref="I195:I258" si="19">H195-G195</f>
        <v>0</v>
      </c>
      <c r="K195" s="178"/>
      <c r="L195" s="192"/>
      <c r="M195" s="113">
        <f t="shared" si="17"/>
        <v>1</v>
      </c>
      <c r="N195" s="64">
        <f t="shared" si="16"/>
        <v>1.0000022222222222</v>
      </c>
    </row>
    <row r="196" spans="2:16">
      <c r="B196" s="41"/>
      <c r="C196" s="61">
        <f t="shared" si="18"/>
        <v>43994</v>
      </c>
      <c r="E196" s="170"/>
      <c r="F196" s="58" t="str">
        <f>VLOOKUP(MOD(C196,7),'CALENDAR INFO'!$I$2:$J$8,2)</f>
        <v>FRI</v>
      </c>
      <c r="G196" s="213">
        <v>0.08</v>
      </c>
      <c r="H196" s="425">
        <v>0.08</v>
      </c>
      <c r="I196" s="457">
        <f t="shared" si="19"/>
        <v>0</v>
      </c>
      <c r="J196" s="15" t="s">
        <v>158</v>
      </c>
      <c r="K196" s="178">
        <f ca="1">K194/K185</f>
        <v>0</v>
      </c>
      <c r="L196" s="192">
        <f ca="1">L194/L185</f>
        <v>7.7666666666666703E-2</v>
      </c>
      <c r="M196" s="113">
        <f t="shared" si="17"/>
        <v>3</v>
      </c>
      <c r="N196" s="64">
        <f t="shared" si="16"/>
        <v>1.0000066666666667</v>
      </c>
    </row>
    <row r="197" spans="2:16">
      <c r="B197" s="41"/>
      <c r="C197" s="61">
        <f t="shared" si="18"/>
        <v>43995</v>
      </c>
      <c r="E197" s="170"/>
      <c r="F197" s="58" t="str">
        <f>VLOOKUP(MOD(C197,7),'CALENDAR INFO'!$I$2:$J$8,2)</f>
        <v>SAT</v>
      </c>
      <c r="G197" s="213">
        <v>0.08</v>
      </c>
      <c r="H197" s="425">
        <v>0.08</v>
      </c>
      <c r="I197" s="457">
        <f t="shared" si="19"/>
        <v>0</v>
      </c>
      <c r="J197" s="177" t="s">
        <v>159</v>
      </c>
      <c r="K197" s="180">
        <f ca="1">100-K196</f>
        <v>100</v>
      </c>
      <c r="L197" s="193">
        <f ca="1">100-L196</f>
        <v>99.922333333333327</v>
      </c>
      <c r="M197" s="113">
        <f t="shared" si="17"/>
        <v>0</v>
      </c>
      <c r="N197" s="64">
        <f t="shared" si="16"/>
        <v>1</v>
      </c>
      <c r="O197" s="89" t="s">
        <v>93</v>
      </c>
      <c r="P197" s="90"/>
    </row>
    <row r="198" spans="2:16">
      <c r="B198" s="41"/>
      <c r="C198" s="61">
        <f t="shared" si="18"/>
        <v>43996</v>
      </c>
      <c r="E198" s="170"/>
      <c r="F198" s="58" t="str">
        <f>VLOOKUP(MOD(C198,7),'CALENDAR INFO'!$I$2:$J$8,2)</f>
        <v>SUN</v>
      </c>
      <c r="G198" s="213">
        <v>0.08</v>
      </c>
      <c r="H198" s="425">
        <v>0.08</v>
      </c>
      <c r="I198" s="457">
        <f t="shared" si="19"/>
        <v>0</v>
      </c>
      <c r="K198" s="178"/>
      <c r="L198" s="192"/>
      <c r="M198" s="113">
        <f t="shared" si="17"/>
        <v>0</v>
      </c>
      <c r="N198" s="64">
        <f t="shared" si="16"/>
        <v>1</v>
      </c>
      <c r="O198" s="89" t="s">
        <v>77</v>
      </c>
      <c r="P198" s="91">
        <v>99.960700000000003</v>
      </c>
    </row>
    <row r="199" spans="2:16">
      <c r="B199" s="41"/>
      <c r="C199" s="61">
        <f t="shared" si="18"/>
        <v>43997</v>
      </c>
      <c r="E199" s="170"/>
      <c r="F199" s="58" t="str">
        <f>VLOOKUP(MOD(C199,7),'CALENDAR INFO'!$I$2:$J$8,2)</f>
        <v>MON</v>
      </c>
      <c r="G199" s="213">
        <v>0.09</v>
      </c>
      <c r="H199" s="425">
        <v>0.09</v>
      </c>
      <c r="I199" s="457">
        <f t="shared" si="19"/>
        <v>0</v>
      </c>
      <c r="J199" s="176"/>
      <c r="K199" s="186"/>
      <c r="L199" s="194"/>
      <c r="M199" s="113">
        <f t="shared" si="17"/>
        <v>1</v>
      </c>
      <c r="N199" s="64">
        <f t="shared" si="16"/>
        <v>1.0000024999999999</v>
      </c>
    </row>
    <row r="200" spans="2:16">
      <c r="B200" s="41"/>
      <c r="C200" s="61">
        <f t="shared" si="18"/>
        <v>43998</v>
      </c>
      <c r="E200" s="170"/>
      <c r="F200" s="58" t="str">
        <f>VLOOKUP(MOD(C200,7),'CALENDAR INFO'!$I$2:$J$8,2)</f>
        <v>TUE</v>
      </c>
      <c r="G200" s="213">
        <v>0.09</v>
      </c>
      <c r="H200" s="425">
        <v>0.09</v>
      </c>
      <c r="I200" s="457">
        <f t="shared" si="19"/>
        <v>0</v>
      </c>
      <c r="M200" s="113">
        <f t="shared" si="17"/>
        <v>1</v>
      </c>
      <c r="N200" s="64">
        <f t="shared" si="16"/>
        <v>1.0000024999999999</v>
      </c>
    </row>
    <row r="201" spans="2:16">
      <c r="B201" s="41"/>
      <c r="C201" s="61">
        <f t="shared" si="18"/>
        <v>43999</v>
      </c>
      <c r="E201" s="170" t="s">
        <v>19</v>
      </c>
      <c r="F201" s="58" t="str">
        <f>VLOOKUP(MOD(C201,7),'CALENDAR INFO'!$I$2:$J$8,2)</f>
        <v>WED</v>
      </c>
      <c r="G201" s="213">
        <v>0.09</v>
      </c>
      <c r="H201" s="425">
        <v>0.09</v>
      </c>
      <c r="I201" s="457">
        <f t="shared" si="19"/>
        <v>0</v>
      </c>
      <c r="M201" s="63">
        <f t="shared" si="17"/>
        <v>1</v>
      </c>
      <c r="N201" s="64">
        <f t="shared" si="16"/>
        <v>1.0000024999999999</v>
      </c>
    </row>
    <row r="202" spans="2:16">
      <c r="B202" s="41"/>
      <c r="C202" s="61">
        <f t="shared" si="18"/>
        <v>44000</v>
      </c>
      <c r="E202" s="167" t="s">
        <v>18</v>
      </c>
      <c r="F202" s="58" t="str">
        <f>VLOOKUP(MOD(C202,7),'CALENDAR INFO'!$I$2:$J$8,2)</f>
        <v>THU</v>
      </c>
      <c r="G202" s="213">
        <v>0.09</v>
      </c>
      <c r="H202" s="425">
        <v>0.09</v>
      </c>
      <c r="I202" s="457">
        <f t="shared" si="19"/>
        <v>0</v>
      </c>
      <c r="M202" s="63">
        <f t="shared" si="17"/>
        <v>1</v>
      </c>
      <c r="N202" s="64">
        <f t="shared" si="16"/>
        <v>1.0000024999999999</v>
      </c>
    </row>
    <row r="203" spans="2:16">
      <c r="B203" s="41"/>
      <c r="C203" s="61">
        <f t="shared" si="18"/>
        <v>44001</v>
      </c>
      <c r="E203" s="167"/>
      <c r="F203" s="58" t="str">
        <f>VLOOKUP(MOD(C203,7),'CALENDAR INFO'!$I$2:$J$8,2)</f>
        <v>FRI</v>
      </c>
      <c r="G203" s="213">
        <v>0.09</v>
      </c>
      <c r="H203" s="425">
        <v>0.09</v>
      </c>
      <c r="I203" s="457">
        <f t="shared" si="19"/>
        <v>0</v>
      </c>
      <c r="M203" s="63">
        <f t="shared" si="17"/>
        <v>3</v>
      </c>
      <c r="N203" s="64">
        <f t="shared" si="16"/>
        <v>1.0000074999999999</v>
      </c>
    </row>
    <row r="204" spans="2:16">
      <c r="B204" s="41"/>
      <c r="C204" s="61">
        <f t="shared" si="18"/>
        <v>44002</v>
      </c>
      <c r="E204" s="167"/>
      <c r="F204" s="58" t="str">
        <f>VLOOKUP(MOD(C204,7),'CALENDAR INFO'!$I$2:$J$8,2)</f>
        <v>SAT</v>
      </c>
      <c r="G204" s="213">
        <v>0.09</v>
      </c>
      <c r="H204" s="425">
        <v>0.09</v>
      </c>
      <c r="I204" s="457">
        <f t="shared" si="19"/>
        <v>0</v>
      </c>
      <c r="M204" s="63">
        <f t="shared" si="17"/>
        <v>0</v>
      </c>
      <c r="N204" s="64">
        <f t="shared" si="16"/>
        <v>1</v>
      </c>
    </row>
    <row r="205" spans="2:16">
      <c r="B205" s="41"/>
      <c r="C205" s="61">
        <f t="shared" si="18"/>
        <v>44003</v>
      </c>
      <c r="E205" s="167"/>
      <c r="F205" s="58" t="str">
        <f>VLOOKUP(MOD(C205,7),'CALENDAR INFO'!$I$2:$J$8,2)</f>
        <v>SUN</v>
      </c>
      <c r="G205" s="213">
        <v>0.09</v>
      </c>
      <c r="H205" s="425">
        <v>0.09</v>
      </c>
      <c r="I205" s="457">
        <f t="shared" si="19"/>
        <v>0</v>
      </c>
      <c r="M205" s="63">
        <f t="shared" si="17"/>
        <v>0</v>
      </c>
      <c r="N205" s="64">
        <f t="shared" si="16"/>
        <v>1</v>
      </c>
    </row>
    <row r="206" spans="2:16">
      <c r="B206" s="41"/>
      <c r="C206" s="61">
        <f t="shared" si="18"/>
        <v>44004</v>
      </c>
      <c r="E206" s="167"/>
      <c r="F206" s="58" t="str">
        <f>VLOOKUP(MOD(C206,7),'CALENDAR INFO'!$I$2:$J$8,2)</f>
        <v>MON</v>
      </c>
      <c r="G206" s="213">
        <v>0.08</v>
      </c>
      <c r="H206" s="425">
        <v>0.08</v>
      </c>
      <c r="I206" s="457">
        <f t="shared" si="19"/>
        <v>0</v>
      </c>
      <c r="M206" s="63">
        <f t="shared" si="17"/>
        <v>1</v>
      </c>
      <c r="N206" s="64">
        <f t="shared" si="16"/>
        <v>1.0000022222222222</v>
      </c>
    </row>
    <row r="207" spans="2:16">
      <c r="B207" s="41"/>
      <c r="C207" s="61">
        <f t="shared" si="18"/>
        <v>44005</v>
      </c>
      <c r="E207" s="167"/>
      <c r="F207" s="58" t="str">
        <f>VLOOKUP(MOD(C207,7),'CALENDAR INFO'!$I$2:$J$8,2)</f>
        <v>TUE</v>
      </c>
      <c r="G207" s="213">
        <v>0.08</v>
      </c>
      <c r="H207" s="425">
        <v>7.0000000000000007E-2</v>
      </c>
      <c r="I207" s="457">
        <f t="shared" si="19"/>
        <v>-9.999999999999995E-3</v>
      </c>
      <c r="M207" s="63">
        <f t="shared" si="17"/>
        <v>1</v>
      </c>
      <c r="N207" s="64">
        <f t="shared" si="16"/>
        <v>1.0000019444444443</v>
      </c>
    </row>
    <row r="208" spans="2:16">
      <c r="B208" s="41"/>
      <c r="C208" s="61">
        <f t="shared" si="18"/>
        <v>44006</v>
      </c>
      <c r="E208" s="167"/>
      <c r="F208" s="58" t="str">
        <f>VLOOKUP(MOD(C208,7),'CALENDAR INFO'!$I$2:$J$8,2)</f>
        <v>WED</v>
      </c>
      <c r="G208" s="213">
        <v>0.08</v>
      </c>
      <c r="H208" s="425">
        <v>0.08</v>
      </c>
      <c r="I208" s="457">
        <f t="shared" si="19"/>
        <v>0</v>
      </c>
      <c r="M208" s="63">
        <f t="shared" si="17"/>
        <v>1</v>
      </c>
      <c r="N208" s="64">
        <f t="shared" si="16"/>
        <v>1.0000022222222222</v>
      </c>
    </row>
    <row r="209" spans="1:16">
      <c r="B209" s="41"/>
      <c r="C209" s="61">
        <f t="shared" si="18"/>
        <v>44007</v>
      </c>
      <c r="E209" s="167"/>
      <c r="F209" s="58" t="str">
        <f>VLOOKUP(MOD(C209,7),'CALENDAR INFO'!$I$2:$J$8,2)</f>
        <v>THU</v>
      </c>
      <c r="G209" s="213">
        <v>0.08</v>
      </c>
      <c r="H209" s="425">
        <v>0.09</v>
      </c>
      <c r="I209" s="457">
        <f t="shared" si="19"/>
        <v>9.999999999999995E-3</v>
      </c>
      <c r="K209" s="178"/>
      <c r="M209" s="63">
        <f t="shared" si="17"/>
        <v>1</v>
      </c>
      <c r="N209" s="64">
        <f t="shared" si="16"/>
        <v>1.0000024999999999</v>
      </c>
    </row>
    <row r="210" spans="1:16">
      <c r="B210" s="41"/>
      <c r="C210" s="61">
        <f t="shared" si="18"/>
        <v>44008</v>
      </c>
      <c r="E210" s="167"/>
      <c r="F210" s="58" t="str">
        <f>VLOOKUP(MOD(C210,7),'CALENDAR INFO'!$I$2:$J$8,2)</f>
        <v>FRI</v>
      </c>
      <c r="G210" s="213">
        <v>0.08</v>
      </c>
      <c r="H210" s="425">
        <v>0.08</v>
      </c>
      <c r="I210" s="457">
        <f t="shared" si="19"/>
        <v>0</v>
      </c>
      <c r="M210" s="63">
        <f t="shared" si="17"/>
        <v>3</v>
      </c>
      <c r="N210" s="64">
        <f t="shared" si="16"/>
        <v>1.0000066666666667</v>
      </c>
      <c r="O210" s="89" t="s">
        <v>93</v>
      </c>
      <c r="P210" s="90"/>
    </row>
    <row r="211" spans="1:16">
      <c r="B211" s="41"/>
      <c r="C211" s="61">
        <f t="shared" si="18"/>
        <v>44009</v>
      </c>
      <c r="E211" s="167"/>
      <c r="F211" s="58" t="str">
        <f>VLOOKUP(MOD(C211,7),'CALENDAR INFO'!$I$2:$J$8,2)</f>
        <v>SAT</v>
      </c>
      <c r="G211" s="213">
        <v>0.08</v>
      </c>
      <c r="H211" s="425">
        <v>0.08</v>
      </c>
      <c r="I211" s="457">
        <f t="shared" si="19"/>
        <v>0</v>
      </c>
      <c r="K211" s="189"/>
      <c r="M211" s="63">
        <f t="shared" si="17"/>
        <v>0</v>
      </c>
      <c r="N211" s="64">
        <f t="shared" ref="N211:N274" si="20">1+(M211/360)*(MAX(H211,B211)/100)</f>
        <v>1</v>
      </c>
      <c r="O211" s="89" t="s">
        <v>26</v>
      </c>
      <c r="P211" s="91">
        <v>99.921999999999997</v>
      </c>
    </row>
    <row r="212" spans="1:16">
      <c r="B212" s="41"/>
      <c r="C212" s="61">
        <f t="shared" si="18"/>
        <v>44010</v>
      </c>
      <c r="E212" s="167"/>
      <c r="F212" s="58" t="str">
        <f>VLOOKUP(MOD(C212,7),'CALENDAR INFO'!$I$2:$J$8,2)</f>
        <v>SUN</v>
      </c>
      <c r="G212" s="213">
        <v>0.08</v>
      </c>
      <c r="H212" s="425">
        <v>0.08</v>
      </c>
      <c r="I212" s="457">
        <f t="shared" si="19"/>
        <v>0</v>
      </c>
      <c r="J212" s="433"/>
      <c r="K212" s="187"/>
      <c r="L212" s="195"/>
      <c r="M212" s="63">
        <f t="shared" si="17"/>
        <v>0</v>
      </c>
      <c r="N212" s="64">
        <f t="shared" si="20"/>
        <v>1</v>
      </c>
      <c r="O212" s="89" t="s">
        <v>76</v>
      </c>
      <c r="P212" s="91">
        <v>99.921000000000006</v>
      </c>
    </row>
    <row r="213" spans="1:16">
      <c r="B213" s="41"/>
      <c r="C213" s="61">
        <f t="shared" si="18"/>
        <v>44011</v>
      </c>
      <c r="E213" s="167"/>
      <c r="F213" s="58" t="str">
        <f>VLOOKUP(MOD(C213,7),'CALENDAR INFO'!$I$2:$J$8,2)</f>
        <v>MON</v>
      </c>
      <c r="G213" s="213">
        <v>0.08</v>
      </c>
      <c r="H213" s="425">
        <v>0.08</v>
      </c>
      <c r="I213" s="457">
        <f t="shared" si="19"/>
        <v>0</v>
      </c>
      <c r="K213" s="178"/>
      <c r="M213" s="63">
        <f t="shared" si="17"/>
        <v>1</v>
      </c>
      <c r="N213" s="64">
        <f t="shared" si="20"/>
        <v>1.0000022222222222</v>
      </c>
    </row>
    <row r="214" spans="1:16" s="79" customFormat="1" ht="15.75" thickBot="1">
      <c r="A214" s="39"/>
      <c r="B214" s="41"/>
      <c r="C214" s="75">
        <f t="shared" si="18"/>
        <v>44012</v>
      </c>
      <c r="D214" s="112"/>
      <c r="E214" s="92"/>
      <c r="F214" s="71" t="str">
        <f>VLOOKUP(MOD(C214,7),'CALENDAR INFO'!$I$2:$J$8,2)</f>
        <v>TUE</v>
      </c>
      <c r="G214" s="216">
        <v>0.08</v>
      </c>
      <c r="H214" s="426">
        <v>0.1</v>
      </c>
      <c r="I214" s="458">
        <f t="shared" si="19"/>
        <v>2.0000000000000004E-2</v>
      </c>
      <c r="J214" s="434"/>
      <c r="K214" s="181"/>
      <c r="L214" s="196"/>
      <c r="M214" s="88">
        <f t="shared" si="17"/>
        <v>1</v>
      </c>
      <c r="N214" s="77">
        <f t="shared" si="20"/>
        <v>1.0000027777777778</v>
      </c>
      <c r="O214" s="78"/>
      <c r="P214" s="73"/>
    </row>
    <row r="215" spans="1:16">
      <c r="A215" s="100"/>
      <c r="B215" s="231"/>
      <c r="C215" s="61">
        <f t="shared" si="18"/>
        <v>44013</v>
      </c>
      <c r="E215" s="167" t="s">
        <v>19</v>
      </c>
      <c r="F215" s="58" t="str">
        <f>VLOOKUP(MOD(C215,7),'CALENDAR INFO'!$I$2:$J$8,2)</f>
        <v>WED</v>
      </c>
      <c r="G215" s="213">
        <v>0.08</v>
      </c>
      <c r="H215" s="425">
        <v>0.11</v>
      </c>
      <c r="I215" s="457">
        <f t="shared" si="19"/>
        <v>0.03</v>
      </c>
      <c r="J215" s="15" t="s">
        <v>118</v>
      </c>
      <c r="K215" s="15">
        <f>VLOOKUP(MONTH($C215),'CALENDAR INFO'!$I$12:$J$23,2)</f>
        <v>31</v>
      </c>
      <c r="L215" s="179">
        <f>K215</f>
        <v>31</v>
      </c>
      <c r="M215" s="63">
        <f t="shared" si="17"/>
        <v>1</v>
      </c>
      <c r="N215" s="64">
        <f t="shared" si="20"/>
        <v>1.0000030555555555</v>
      </c>
    </row>
    <row r="216" spans="1:16">
      <c r="B216" s="41"/>
      <c r="C216" s="61">
        <f t="shared" si="18"/>
        <v>44014</v>
      </c>
      <c r="E216" s="170" t="s">
        <v>18</v>
      </c>
      <c r="F216" s="58" t="str">
        <f>VLOOKUP(MOD(C216,7),'CALENDAR INFO'!$I$2:$J$8,2)</f>
        <v>THU</v>
      </c>
      <c r="G216" s="213">
        <v>0.09</v>
      </c>
      <c r="H216" s="425">
        <v>0.11</v>
      </c>
      <c r="I216" s="457">
        <f t="shared" si="19"/>
        <v>2.0000000000000004E-2</v>
      </c>
      <c r="J216" s="15" t="s">
        <v>151</v>
      </c>
      <c r="K216" s="15">
        <f>ROW($C216)-1</f>
        <v>215</v>
      </c>
      <c r="L216" s="179">
        <f>K216</f>
        <v>215</v>
      </c>
      <c r="M216" s="81">
        <f>IF(MOD(C216,7)&lt;2,0,IF(MOD(C216,7)=6,3,1))+3</f>
        <v>4</v>
      </c>
      <c r="N216" s="64">
        <f t="shared" si="20"/>
        <v>1.0000122222222223</v>
      </c>
    </row>
    <row r="217" spans="1:16">
      <c r="B217" s="41"/>
      <c r="C217" s="61">
        <f t="shared" si="18"/>
        <v>44015</v>
      </c>
      <c r="D217" s="174" t="s">
        <v>57</v>
      </c>
      <c r="E217" s="170"/>
      <c r="F217" s="58" t="str">
        <f>VLOOKUP(MOD(C217,7),'CALENDAR INFO'!$I$2:$J$8,2)</f>
        <v>FRI</v>
      </c>
      <c r="G217" s="213">
        <v>0.09</v>
      </c>
      <c r="H217" s="425">
        <v>0.11</v>
      </c>
      <c r="I217" s="457">
        <f t="shared" si="19"/>
        <v>2.0000000000000004E-2</v>
      </c>
      <c r="J217" s="15" t="s">
        <v>152</v>
      </c>
      <c r="K217" s="15">
        <f>K215+K216-1</f>
        <v>245</v>
      </c>
      <c r="L217" s="179">
        <f>K217</f>
        <v>245</v>
      </c>
      <c r="M217" s="81">
        <f>IF(MOD(C217,7)&lt;2,0,IF(MOD(C217,7)=6,3,1))-3</f>
        <v>0</v>
      </c>
      <c r="N217" s="64">
        <f t="shared" si="20"/>
        <v>1</v>
      </c>
    </row>
    <row r="218" spans="1:16">
      <c r="B218" s="41"/>
      <c r="C218" s="61">
        <f t="shared" si="18"/>
        <v>44016</v>
      </c>
      <c r="E218" s="170"/>
      <c r="F218" s="58" t="str">
        <f>VLOOKUP(MOD(C218,7),'CALENDAR INFO'!$I$2:$J$8,2)</f>
        <v>SAT</v>
      </c>
      <c r="G218" s="213">
        <v>0.09</v>
      </c>
      <c r="H218" s="425">
        <v>0.11</v>
      </c>
      <c r="I218" s="457">
        <f t="shared" si="19"/>
        <v>2.0000000000000004E-2</v>
      </c>
      <c r="M218" s="63">
        <f t="shared" ref="M218:M249" si="21">IF(MOD(C218,7)&lt;2,0,IF(MOD(C218,7)=6,3,1))</f>
        <v>0</v>
      </c>
      <c r="N218" s="64">
        <f t="shared" si="20"/>
        <v>1</v>
      </c>
    </row>
    <row r="219" spans="1:16">
      <c r="B219" s="41"/>
      <c r="C219" s="61">
        <f t="shared" si="18"/>
        <v>44017</v>
      </c>
      <c r="E219" s="170"/>
      <c r="F219" s="58" t="str">
        <f>VLOOKUP(MOD(C219,7),'CALENDAR INFO'!$I$2:$J$8,2)</f>
        <v>SUN</v>
      </c>
      <c r="G219" s="213">
        <v>0.09</v>
      </c>
      <c r="H219" s="425">
        <v>0.11</v>
      </c>
      <c r="I219" s="457">
        <f t="shared" si="19"/>
        <v>2.0000000000000004E-2</v>
      </c>
      <c r="J219" s="15" t="s">
        <v>153</v>
      </c>
      <c r="K219" s="15" t="str">
        <f>_xlfn.CONCAT("A",TEXT(K216,0),":","A",TEXT(K217,0))</f>
        <v>A215:A245</v>
      </c>
      <c r="L219" s="179" t="str">
        <f>_xlfn.CONCAT("B",TEXT(L216,0),":","B",TEXT(L217,0))</f>
        <v>B215:B245</v>
      </c>
      <c r="M219" s="63">
        <f t="shared" si="21"/>
        <v>0</v>
      </c>
      <c r="N219" s="64">
        <f t="shared" si="20"/>
        <v>1</v>
      </c>
    </row>
    <row r="220" spans="1:16">
      <c r="B220" s="41"/>
      <c r="C220" s="61">
        <f t="shared" si="18"/>
        <v>44018</v>
      </c>
      <c r="E220" s="170"/>
      <c r="F220" s="58" t="str">
        <f>VLOOKUP(MOD(C220,7),'CALENDAR INFO'!$I$2:$J$8,2)</f>
        <v>MON</v>
      </c>
      <c r="G220" s="213">
        <v>0.09</v>
      </c>
      <c r="H220" s="425">
        <v>0.1</v>
      </c>
      <c r="I220" s="457">
        <f t="shared" si="19"/>
        <v>1.0000000000000009E-2</v>
      </c>
      <c r="J220" s="15" t="s">
        <v>154</v>
      </c>
      <c r="K220" s="15" t="str">
        <f>_xlfn.CONCAT("F",TEXT(K216,0),":","F",TEXT(K217,0))</f>
        <v>F215:F245</v>
      </c>
      <c r="L220" s="179" t="str">
        <f>_xlfn.CONCAT("G",TEXT(L216,0),":","G",TEXT(L217,0))</f>
        <v>G215:G245</v>
      </c>
      <c r="M220" s="63">
        <f t="shared" si="21"/>
        <v>1</v>
      </c>
      <c r="N220" s="64">
        <f t="shared" si="20"/>
        <v>1.0000027777777778</v>
      </c>
    </row>
    <row r="221" spans="1:16">
      <c r="B221" s="41"/>
      <c r="C221" s="61">
        <f t="shared" si="18"/>
        <v>44019</v>
      </c>
      <c r="E221" s="170"/>
      <c r="F221" s="58" t="str">
        <f>VLOOKUP(MOD(C221,7),'CALENDAR INFO'!$I$2:$J$8,2)</f>
        <v>TUE</v>
      </c>
      <c r="G221" s="213">
        <v>0.09</v>
      </c>
      <c r="H221" s="425">
        <v>0.1</v>
      </c>
      <c r="I221" s="457">
        <f t="shared" si="19"/>
        <v>1.0000000000000009E-2</v>
      </c>
      <c r="L221" s="93"/>
      <c r="M221" s="63">
        <f t="shared" si="21"/>
        <v>1</v>
      </c>
      <c r="N221" s="64">
        <f t="shared" si="20"/>
        <v>1.0000027777777778</v>
      </c>
    </row>
    <row r="222" spans="1:16">
      <c r="B222" s="41"/>
      <c r="C222" s="61">
        <f t="shared" si="18"/>
        <v>44020</v>
      </c>
      <c r="E222" s="170"/>
      <c r="F222" s="58" t="str">
        <f>VLOOKUP(MOD(C222,7),'CALENDAR INFO'!$I$2:$J$8,2)</f>
        <v>WED</v>
      </c>
      <c r="G222" s="213">
        <v>0.09</v>
      </c>
      <c r="H222" s="425">
        <v>0.1</v>
      </c>
      <c r="I222" s="457">
        <f t="shared" si="19"/>
        <v>1.0000000000000009E-2</v>
      </c>
      <c r="J222" s="15" t="s">
        <v>155</v>
      </c>
      <c r="K222" s="15">
        <f ca="1">SUM(INDIRECT(K219))</f>
        <v>0</v>
      </c>
      <c r="L222" s="179">
        <f ca="1">SUM(INDIRECT(L219))</f>
        <v>0</v>
      </c>
      <c r="M222" s="63">
        <f t="shared" si="21"/>
        <v>1</v>
      </c>
      <c r="N222" s="64">
        <f t="shared" si="20"/>
        <v>1.0000027777777778</v>
      </c>
    </row>
    <row r="223" spans="1:16">
      <c r="B223" s="41"/>
      <c r="C223" s="61">
        <f t="shared" si="18"/>
        <v>44021</v>
      </c>
      <c r="E223" s="170"/>
      <c r="F223" s="58" t="str">
        <f>VLOOKUP(MOD(C223,7),'CALENDAR INFO'!$I$2:$J$8,2)</f>
        <v>THU</v>
      </c>
      <c r="G223" s="213">
        <v>0.09</v>
      </c>
      <c r="H223" s="425">
        <v>0.1</v>
      </c>
      <c r="I223" s="457">
        <f t="shared" si="19"/>
        <v>1.0000000000000009E-2</v>
      </c>
      <c r="J223" s="15" t="s">
        <v>156</v>
      </c>
      <c r="K223" s="207">
        <f ca="1">SUM(INDIRECT(K220))</f>
        <v>0</v>
      </c>
      <c r="L223" s="208">
        <f ca="1">SUM(INDIRECT(L220))</f>
        <v>2.8700000000000006</v>
      </c>
      <c r="M223" s="63">
        <f t="shared" si="21"/>
        <v>1</v>
      </c>
      <c r="N223" s="64">
        <f t="shared" si="20"/>
        <v>1.0000027777777778</v>
      </c>
    </row>
    <row r="224" spans="1:16">
      <c r="B224" s="41"/>
      <c r="C224" s="61">
        <f t="shared" si="18"/>
        <v>44022</v>
      </c>
      <c r="E224" s="170"/>
      <c r="F224" s="58" t="str">
        <f>VLOOKUP(MOD(C224,7),'CALENDAR INFO'!$I$2:$J$8,2)</f>
        <v>FRI</v>
      </c>
      <c r="G224" s="213">
        <v>0.09</v>
      </c>
      <c r="H224" s="425">
        <v>0.1</v>
      </c>
      <c r="I224" s="457">
        <f t="shared" si="19"/>
        <v>1.0000000000000009E-2</v>
      </c>
      <c r="J224" s="15" t="s">
        <v>157</v>
      </c>
      <c r="K224" s="178">
        <f ca="1">K222+K223</f>
        <v>0</v>
      </c>
      <c r="L224" s="192">
        <f ca="1">L222+L223</f>
        <v>2.8700000000000006</v>
      </c>
      <c r="M224" s="63">
        <f t="shared" si="21"/>
        <v>3</v>
      </c>
      <c r="N224" s="64">
        <f t="shared" si="20"/>
        <v>1.0000083333333334</v>
      </c>
    </row>
    <row r="225" spans="2:14">
      <c r="B225" s="41"/>
      <c r="C225" s="61">
        <f t="shared" si="18"/>
        <v>44023</v>
      </c>
      <c r="E225" s="170"/>
      <c r="F225" s="58" t="str">
        <f>VLOOKUP(MOD(C225,7),'CALENDAR INFO'!$I$2:$J$8,2)</f>
        <v>SAT</v>
      </c>
      <c r="G225" s="213">
        <v>0.09</v>
      </c>
      <c r="H225" s="425">
        <v>0.1</v>
      </c>
      <c r="I225" s="457">
        <f t="shared" si="19"/>
        <v>1.0000000000000009E-2</v>
      </c>
      <c r="K225" s="178"/>
      <c r="L225" s="192"/>
      <c r="M225" s="63">
        <f t="shared" si="21"/>
        <v>0</v>
      </c>
      <c r="N225" s="64">
        <f t="shared" si="20"/>
        <v>1</v>
      </c>
    </row>
    <row r="226" spans="2:14">
      <c r="B226" s="41"/>
      <c r="C226" s="61">
        <f t="shared" si="18"/>
        <v>44024</v>
      </c>
      <c r="E226" s="170"/>
      <c r="F226" s="58" t="str">
        <f>VLOOKUP(MOD(C226,7),'CALENDAR INFO'!$I$2:$J$8,2)</f>
        <v>SUN</v>
      </c>
      <c r="G226" s="213">
        <v>0.09</v>
      </c>
      <c r="H226" s="425">
        <v>0.1</v>
      </c>
      <c r="I226" s="457">
        <f t="shared" si="19"/>
        <v>1.0000000000000009E-2</v>
      </c>
      <c r="J226" s="15" t="s">
        <v>158</v>
      </c>
      <c r="K226" s="178">
        <f ca="1">K224/K215</f>
        <v>0</v>
      </c>
      <c r="L226" s="192">
        <f ca="1">L224/L215</f>
        <v>9.2580645161290345E-2</v>
      </c>
      <c r="M226" s="63">
        <f t="shared" si="21"/>
        <v>0</v>
      </c>
      <c r="N226" s="64">
        <f t="shared" si="20"/>
        <v>1</v>
      </c>
    </row>
    <row r="227" spans="2:14">
      <c r="B227" s="41"/>
      <c r="C227" s="61">
        <f t="shared" si="18"/>
        <v>44025</v>
      </c>
      <c r="E227" s="170"/>
      <c r="F227" s="58" t="str">
        <f>VLOOKUP(MOD(C227,7),'CALENDAR INFO'!$I$2:$J$8,2)</f>
        <v>MON</v>
      </c>
      <c r="G227" s="213">
        <v>0.09</v>
      </c>
      <c r="H227" s="425">
        <v>0.1</v>
      </c>
      <c r="I227" s="457">
        <f t="shared" si="19"/>
        <v>1.0000000000000009E-2</v>
      </c>
      <c r="J227" s="177" t="s">
        <v>159</v>
      </c>
      <c r="K227" s="180">
        <f ca="1">100-K226</f>
        <v>100</v>
      </c>
      <c r="L227" s="193">
        <f ca="1">100-L226</f>
        <v>99.907419354838709</v>
      </c>
      <c r="M227" s="63">
        <f t="shared" si="21"/>
        <v>1</v>
      </c>
      <c r="N227" s="64">
        <f t="shared" si="20"/>
        <v>1.0000027777777778</v>
      </c>
    </row>
    <row r="228" spans="2:14">
      <c r="B228" s="41"/>
      <c r="C228" s="61">
        <f t="shared" si="18"/>
        <v>44026</v>
      </c>
      <c r="E228" s="170"/>
      <c r="F228" s="58" t="str">
        <f>VLOOKUP(MOD(C228,7),'CALENDAR INFO'!$I$2:$J$8,2)</f>
        <v>TUE</v>
      </c>
      <c r="G228" s="213">
        <v>0.09</v>
      </c>
      <c r="H228" s="425">
        <v>0.11</v>
      </c>
      <c r="I228" s="457">
        <f t="shared" si="19"/>
        <v>2.0000000000000004E-2</v>
      </c>
      <c r="K228" s="178"/>
      <c r="L228" s="192"/>
      <c r="M228" s="63">
        <f t="shared" si="21"/>
        <v>1</v>
      </c>
      <c r="N228" s="64">
        <f t="shared" si="20"/>
        <v>1.0000030555555555</v>
      </c>
    </row>
    <row r="229" spans="2:14">
      <c r="B229" s="41"/>
      <c r="C229" s="61">
        <f t="shared" si="18"/>
        <v>44027</v>
      </c>
      <c r="E229" s="170" t="s">
        <v>19</v>
      </c>
      <c r="F229" s="58" t="str">
        <f>VLOOKUP(MOD(C229,7),'CALENDAR INFO'!$I$2:$J$8,2)</f>
        <v>WED</v>
      </c>
      <c r="G229" s="214">
        <v>0.1</v>
      </c>
      <c r="H229" s="425">
        <v>0.13</v>
      </c>
      <c r="I229" s="457">
        <f t="shared" si="19"/>
        <v>0.03</v>
      </c>
      <c r="J229" s="176"/>
      <c r="K229" s="186"/>
      <c r="L229" s="194"/>
      <c r="M229" s="63">
        <f t="shared" si="21"/>
        <v>1</v>
      </c>
      <c r="N229" s="64">
        <f t="shared" si="20"/>
        <v>1.000003611111111</v>
      </c>
    </row>
    <row r="230" spans="2:14">
      <c r="B230" s="41"/>
      <c r="C230" s="61">
        <f t="shared" si="18"/>
        <v>44028</v>
      </c>
      <c r="E230" s="167" t="s">
        <v>18</v>
      </c>
      <c r="F230" s="58" t="str">
        <f>VLOOKUP(MOD(C230,7),'CALENDAR INFO'!$I$2:$J$8,2)</f>
        <v>THU</v>
      </c>
      <c r="G230" s="214">
        <v>0.1</v>
      </c>
      <c r="H230" s="425">
        <v>0.12</v>
      </c>
      <c r="I230" s="457">
        <f t="shared" si="19"/>
        <v>1.999999999999999E-2</v>
      </c>
      <c r="K230" s="178"/>
      <c r="L230" s="192"/>
      <c r="M230" s="63">
        <f t="shared" si="21"/>
        <v>1</v>
      </c>
      <c r="N230" s="64">
        <f t="shared" si="20"/>
        <v>1.0000033333333334</v>
      </c>
    </row>
    <row r="231" spans="2:14">
      <c r="B231" s="41"/>
      <c r="C231" s="61">
        <f t="shared" si="18"/>
        <v>44029</v>
      </c>
      <c r="E231" s="167"/>
      <c r="F231" s="58" t="str">
        <f>VLOOKUP(MOD(C231,7),'CALENDAR INFO'!$I$2:$J$8,2)</f>
        <v>FRI</v>
      </c>
      <c r="G231" s="214">
        <v>0.09</v>
      </c>
      <c r="H231" s="425">
        <v>0.12</v>
      </c>
      <c r="I231" s="457">
        <f t="shared" si="19"/>
        <v>0.03</v>
      </c>
      <c r="M231" s="63">
        <f t="shared" si="21"/>
        <v>3</v>
      </c>
      <c r="N231" s="64">
        <f t="shared" si="20"/>
        <v>1.0000100000000001</v>
      </c>
    </row>
    <row r="232" spans="2:14">
      <c r="B232" s="41"/>
      <c r="C232" s="61">
        <f t="shared" si="18"/>
        <v>44030</v>
      </c>
      <c r="E232" s="167"/>
      <c r="F232" s="58" t="str">
        <f>VLOOKUP(MOD(C232,7),'CALENDAR INFO'!$I$2:$J$8,2)</f>
        <v>SAT</v>
      </c>
      <c r="G232" s="214">
        <v>0.09</v>
      </c>
      <c r="H232" s="425">
        <v>0.12</v>
      </c>
      <c r="I232" s="457">
        <f t="shared" si="19"/>
        <v>0.03</v>
      </c>
      <c r="M232" s="63">
        <f t="shared" si="21"/>
        <v>0</v>
      </c>
      <c r="N232" s="64">
        <f t="shared" si="20"/>
        <v>1</v>
      </c>
    </row>
    <row r="233" spans="2:14">
      <c r="B233" s="41"/>
      <c r="C233" s="61">
        <f t="shared" si="18"/>
        <v>44031</v>
      </c>
      <c r="E233" s="167"/>
      <c r="F233" s="58" t="str">
        <f>VLOOKUP(MOD(C233,7),'CALENDAR INFO'!$I$2:$J$8,2)</f>
        <v>SUN</v>
      </c>
      <c r="G233" s="214">
        <v>0.09</v>
      </c>
      <c r="H233" s="425">
        <v>0.12</v>
      </c>
      <c r="I233" s="457">
        <f t="shared" si="19"/>
        <v>0.03</v>
      </c>
      <c r="M233" s="63">
        <f t="shared" si="21"/>
        <v>0</v>
      </c>
      <c r="N233" s="64">
        <f t="shared" si="20"/>
        <v>1</v>
      </c>
    </row>
    <row r="234" spans="2:14">
      <c r="B234" s="41"/>
      <c r="C234" s="61">
        <f t="shared" si="18"/>
        <v>44032</v>
      </c>
      <c r="E234" s="167"/>
      <c r="F234" s="58" t="str">
        <f>VLOOKUP(MOD(C234,7),'CALENDAR INFO'!$I$2:$J$8,2)</f>
        <v>MON</v>
      </c>
      <c r="G234" s="214">
        <v>0.1</v>
      </c>
      <c r="H234" s="425">
        <v>0.12</v>
      </c>
      <c r="I234" s="457">
        <f t="shared" si="19"/>
        <v>1.999999999999999E-2</v>
      </c>
      <c r="M234" s="63">
        <f t="shared" si="21"/>
        <v>1</v>
      </c>
      <c r="N234" s="64">
        <f t="shared" si="20"/>
        <v>1.0000033333333334</v>
      </c>
    </row>
    <row r="235" spans="2:14">
      <c r="B235" s="41"/>
      <c r="C235" s="61">
        <f t="shared" si="18"/>
        <v>44033</v>
      </c>
      <c r="E235" s="167"/>
      <c r="F235" s="58" t="str">
        <f>VLOOKUP(MOD(C235,7),'CALENDAR INFO'!$I$2:$J$8,2)</f>
        <v>TUE</v>
      </c>
      <c r="G235" s="214">
        <v>0.1</v>
      </c>
      <c r="H235" s="425">
        <v>0.11</v>
      </c>
      <c r="I235" s="457">
        <f t="shared" si="19"/>
        <v>9.999999999999995E-3</v>
      </c>
      <c r="M235" s="63">
        <f t="shared" si="21"/>
        <v>1</v>
      </c>
      <c r="N235" s="64">
        <f t="shared" si="20"/>
        <v>1.0000030555555555</v>
      </c>
    </row>
    <row r="236" spans="2:14">
      <c r="B236" s="41"/>
      <c r="C236" s="61">
        <f t="shared" si="18"/>
        <v>44034</v>
      </c>
      <c r="E236" s="167"/>
      <c r="F236" s="58" t="str">
        <f>VLOOKUP(MOD(C236,7),'CALENDAR INFO'!$I$2:$J$8,2)</f>
        <v>WED</v>
      </c>
      <c r="G236" s="214">
        <v>0.09</v>
      </c>
      <c r="H236" s="425">
        <v>0.1</v>
      </c>
      <c r="I236" s="457">
        <f t="shared" si="19"/>
        <v>1.0000000000000009E-2</v>
      </c>
      <c r="M236" s="63">
        <f t="shared" si="21"/>
        <v>1</v>
      </c>
      <c r="N236" s="64">
        <f t="shared" si="20"/>
        <v>1.0000027777777778</v>
      </c>
    </row>
    <row r="237" spans="2:14">
      <c r="B237" s="41"/>
      <c r="C237" s="61">
        <f t="shared" si="18"/>
        <v>44035</v>
      </c>
      <c r="E237" s="167"/>
      <c r="F237" s="58" t="str">
        <f>VLOOKUP(MOD(C237,7),'CALENDAR INFO'!$I$2:$J$8,2)</f>
        <v>THU</v>
      </c>
      <c r="G237" s="214">
        <v>0.09</v>
      </c>
      <c r="H237" s="425">
        <v>0.1</v>
      </c>
      <c r="I237" s="457">
        <f t="shared" si="19"/>
        <v>1.0000000000000009E-2</v>
      </c>
      <c r="M237" s="63">
        <f t="shared" si="21"/>
        <v>1</v>
      </c>
      <c r="N237" s="64">
        <f t="shared" si="20"/>
        <v>1.0000027777777778</v>
      </c>
    </row>
    <row r="238" spans="2:14">
      <c r="B238" s="41"/>
      <c r="C238" s="61">
        <f t="shared" si="18"/>
        <v>44036</v>
      </c>
      <c r="E238" s="167"/>
      <c r="F238" s="58" t="str">
        <f>VLOOKUP(MOD(C238,7),'CALENDAR INFO'!$I$2:$J$8,2)</f>
        <v>FRI</v>
      </c>
      <c r="G238" s="214">
        <v>0.09</v>
      </c>
      <c r="H238" s="425">
        <v>0.1</v>
      </c>
      <c r="I238" s="457">
        <f t="shared" si="19"/>
        <v>1.0000000000000009E-2</v>
      </c>
      <c r="M238" s="63">
        <f t="shared" si="21"/>
        <v>3</v>
      </c>
      <c r="N238" s="64">
        <f t="shared" si="20"/>
        <v>1.0000083333333334</v>
      </c>
    </row>
    <row r="239" spans="2:14">
      <c r="B239" s="41"/>
      <c r="C239" s="61">
        <f t="shared" si="18"/>
        <v>44037</v>
      </c>
      <c r="E239" s="167"/>
      <c r="F239" s="58" t="str">
        <f>VLOOKUP(MOD(C239,7),'CALENDAR INFO'!$I$2:$J$8,2)</f>
        <v>SAT</v>
      </c>
      <c r="G239" s="214">
        <v>0.09</v>
      </c>
      <c r="H239" s="425">
        <v>0.1</v>
      </c>
      <c r="I239" s="457">
        <f t="shared" si="19"/>
        <v>1.0000000000000009E-2</v>
      </c>
      <c r="M239" s="63">
        <f t="shared" si="21"/>
        <v>0</v>
      </c>
      <c r="N239" s="64">
        <f t="shared" si="20"/>
        <v>1</v>
      </c>
    </row>
    <row r="240" spans="2:14">
      <c r="B240" s="41"/>
      <c r="C240" s="61">
        <f t="shared" si="18"/>
        <v>44038</v>
      </c>
      <c r="E240" s="167"/>
      <c r="F240" s="58" t="str">
        <f>VLOOKUP(MOD(C240,7),'CALENDAR INFO'!$I$2:$J$8,2)</f>
        <v>SUN</v>
      </c>
      <c r="G240" s="214">
        <v>0.09</v>
      </c>
      <c r="H240" s="425">
        <v>0.1</v>
      </c>
      <c r="I240" s="457">
        <f t="shared" si="19"/>
        <v>1.0000000000000009E-2</v>
      </c>
      <c r="K240" s="178"/>
      <c r="M240" s="63">
        <f t="shared" si="21"/>
        <v>0</v>
      </c>
      <c r="N240" s="64">
        <f t="shared" si="20"/>
        <v>1</v>
      </c>
    </row>
    <row r="241" spans="1:16">
      <c r="B241" s="41"/>
      <c r="C241" s="61">
        <f t="shared" si="18"/>
        <v>44039</v>
      </c>
      <c r="E241" s="167"/>
      <c r="F241" s="58" t="str">
        <f>VLOOKUP(MOD(C241,7),'CALENDAR INFO'!$I$2:$J$8,2)</f>
        <v>MON</v>
      </c>
      <c r="G241" s="214">
        <v>0.1</v>
      </c>
      <c r="H241" s="425">
        <v>0.1</v>
      </c>
      <c r="I241" s="457">
        <f t="shared" si="19"/>
        <v>0</v>
      </c>
      <c r="M241" s="63">
        <f t="shared" si="21"/>
        <v>1</v>
      </c>
      <c r="N241" s="64">
        <f t="shared" si="20"/>
        <v>1.0000027777777778</v>
      </c>
      <c r="O241" s="89" t="s">
        <v>93</v>
      </c>
      <c r="P241" s="90"/>
    </row>
    <row r="242" spans="1:16">
      <c r="B242" s="41"/>
      <c r="C242" s="61">
        <f t="shared" si="18"/>
        <v>44040</v>
      </c>
      <c r="D242" s="153" t="s">
        <v>20</v>
      </c>
      <c r="E242" s="167"/>
      <c r="F242" s="58" t="str">
        <f>VLOOKUP(MOD(C242,7),'CALENDAR INFO'!$I$2:$J$8,2)</f>
        <v>TUE</v>
      </c>
      <c r="G242" s="214">
        <v>0.1</v>
      </c>
      <c r="H242" s="425">
        <v>0.1</v>
      </c>
      <c r="I242" s="457">
        <f t="shared" si="19"/>
        <v>0</v>
      </c>
      <c r="K242" s="189"/>
      <c r="M242" s="63">
        <f t="shared" si="21"/>
        <v>1</v>
      </c>
      <c r="N242" s="64">
        <f t="shared" si="20"/>
        <v>1.0000027777777778</v>
      </c>
      <c r="O242" s="89" t="s">
        <v>26</v>
      </c>
      <c r="P242" s="91">
        <v>99.906999999999996</v>
      </c>
    </row>
    <row r="243" spans="1:16">
      <c r="B243" s="41"/>
      <c r="C243" s="61">
        <f t="shared" si="18"/>
        <v>44041</v>
      </c>
      <c r="D243" s="153" t="s">
        <v>20</v>
      </c>
      <c r="E243" s="167" t="s">
        <v>19</v>
      </c>
      <c r="F243" s="58" t="str">
        <f>VLOOKUP(MOD(C243,7),'CALENDAR INFO'!$I$2:$J$8,2)</f>
        <v>WED</v>
      </c>
      <c r="G243" s="214">
        <v>0.1</v>
      </c>
      <c r="H243" s="425">
        <v>0.09</v>
      </c>
      <c r="I243" s="457">
        <f t="shared" si="19"/>
        <v>-1.0000000000000009E-2</v>
      </c>
      <c r="J243" s="433"/>
      <c r="K243" s="187"/>
      <c r="L243" s="195"/>
      <c r="M243" s="63">
        <f t="shared" si="21"/>
        <v>1</v>
      </c>
      <c r="N243" s="64">
        <f t="shared" si="20"/>
        <v>1.0000024999999999</v>
      </c>
      <c r="O243" s="89" t="s">
        <v>76</v>
      </c>
      <c r="P243" s="91">
        <v>99.894000000000005</v>
      </c>
    </row>
    <row r="244" spans="1:16">
      <c r="B244" s="41"/>
      <c r="C244" s="61">
        <f t="shared" si="18"/>
        <v>44042</v>
      </c>
      <c r="E244" s="170" t="s">
        <v>18</v>
      </c>
      <c r="F244" s="58" t="str">
        <f>VLOOKUP(MOD(C244,7),'CALENDAR INFO'!$I$2:$J$8,2)</f>
        <v>THU</v>
      </c>
      <c r="G244" s="214">
        <v>0.1</v>
      </c>
      <c r="H244" s="425">
        <v>0.1</v>
      </c>
      <c r="I244" s="457">
        <f t="shared" si="19"/>
        <v>0</v>
      </c>
      <c r="K244" s="178"/>
      <c r="M244" s="63">
        <f t="shared" si="21"/>
        <v>1</v>
      </c>
      <c r="N244" s="64">
        <f t="shared" si="20"/>
        <v>1.0000027777777778</v>
      </c>
    </row>
    <row r="245" spans="1:16" s="79" customFormat="1" ht="15.75" thickBot="1">
      <c r="A245" s="72"/>
      <c r="B245" s="226"/>
      <c r="C245" s="75">
        <f t="shared" si="18"/>
        <v>44043</v>
      </c>
      <c r="D245" s="112"/>
      <c r="E245" s="101"/>
      <c r="F245" s="71" t="str">
        <f>VLOOKUP(MOD(C245,7),'CALENDAR INFO'!$I$2:$J$8,2)</f>
        <v>FRI</v>
      </c>
      <c r="G245" s="215">
        <v>0.1</v>
      </c>
      <c r="H245" s="426">
        <v>0.1</v>
      </c>
      <c r="I245" s="458">
        <f t="shared" si="19"/>
        <v>0</v>
      </c>
      <c r="J245" s="434"/>
      <c r="K245" s="181"/>
      <c r="L245" s="196"/>
      <c r="M245" s="88">
        <f t="shared" si="21"/>
        <v>3</v>
      </c>
      <c r="N245" s="77">
        <f t="shared" si="20"/>
        <v>1.0000083333333334</v>
      </c>
      <c r="O245" s="78"/>
      <c r="P245" s="73"/>
    </row>
    <row r="246" spans="1:16">
      <c r="A246" s="80"/>
      <c r="B246" s="227"/>
      <c r="C246" s="61">
        <f t="shared" si="18"/>
        <v>44044</v>
      </c>
      <c r="E246" s="170"/>
      <c r="F246" s="58" t="str">
        <f>VLOOKUP(MOD(C246,7),'CALENDAR INFO'!$I$2:$J$8,2)</f>
        <v>SAT</v>
      </c>
      <c r="G246" s="214">
        <v>0.1</v>
      </c>
      <c r="H246" s="425">
        <v>0.1</v>
      </c>
      <c r="I246" s="457">
        <f t="shared" si="19"/>
        <v>0</v>
      </c>
      <c r="J246" s="15" t="s">
        <v>118</v>
      </c>
      <c r="K246" s="15">
        <f>VLOOKUP(MONTH($C246),'CALENDAR INFO'!$I$12:$J$23,2)</f>
        <v>31</v>
      </c>
      <c r="L246" s="179">
        <f>K246</f>
        <v>31</v>
      </c>
      <c r="M246" s="63">
        <f t="shared" si="21"/>
        <v>0</v>
      </c>
      <c r="N246" s="64">
        <f t="shared" si="20"/>
        <v>1</v>
      </c>
    </row>
    <row r="247" spans="1:16">
      <c r="A247" s="80"/>
      <c r="B247" s="227"/>
      <c r="C247" s="61">
        <f t="shared" si="18"/>
        <v>44045</v>
      </c>
      <c r="E247" s="170"/>
      <c r="F247" s="58" t="str">
        <f>VLOOKUP(MOD(C247,7),'CALENDAR INFO'!$I$2:$J$8,2)</f>
        <v>SUN</v>
      </c>
      <c r="G247" s="214">
        <v>0.1</v>
      </c>
      <c r="H247" s="425">
        <v>0.1</v>
      </c>
      <c r="I247" s="457">
        <f t="shared" si="19"/>
        <v>0</v>
      </c>
      <c r="J247" s="15" t="s">
        <v>151</v>
      </c>
      <c r="K247" s="15">
        <f>ROW($C247)-1</f>
        <v>246</v>
      </c>
      <c r="L247" s="179">
        <f>K247</f>
        <v>246</v>
      </c>
      <c r="M247" s="63">
        <f t="shared" si="21"/>
        <v>0</v>
      </c>
      <c r="N247" s="64">
        <f t="shared" si="20"/>
        <v>1</v>
      </c>
    </row>
    <row r="248" spans="1:16">
      <c r="B248" s="41"/>
      <c r="C248" s="61">
        <f t="shared" si="18"/>
        <v>44046</v>
      </c>
      <c r="E248" s="170"/>
      <c r="F248" s="58" t="str">
        <f>VLOOKUP(MOD(C248,7),'CALENDAR INFO'!$I$2:$J$8,2)</f>
        <v>MON</v>
      </c>
      <c r="G248" s="214">
        <v>0.1</v>
      </c>
      <c r="H248" s="425">
        <v>0.1</v>
      </c>
      <c r="I248" s="457">
        <f t="shared" si="19"/>
        <v>0</v>
      </c>
      <c r="J248" s="15" t="s">
        <v>152</v>
      </c>
      <c r="K248" s="15">
        <f>K246+K247-1</f>
        <v>276</v>
      </c>
      <c r="L248" s="93">
        <f>K248</f>
        <v>276</v>
      </c>
      <c r="M248" s="63">
        <f t="shared" si="21"/>
        <v>1</v>
      </c>
      <c r="N248" s="64">
        <f t="shared" si="20"/>
        <v>1.0000027777777778</v>
      </c>
    </row>
    <row r="249" spans="1:16">
      <c r="B249" s="41"/>
      <c r="C249" s="61">
        <f t="shared" si="18"/>
        <v>44047</v>
      </c>
      <c r="E249" s="170"/>
      <c r="F249" s="58" t="str">
        <f>VLOOKUP(MOD(C249,7),'CALENDAR INFO'!$I$2:$J$8,2)</f>
        <v>TUE</v>
      </c>
      <c r="G249" s="214">
        <v>0.1</v>
      </c>
      <c r="H249" s="425">
        <v>0.09</v>
      </c>
      <c r="I249" s="457">
        <f t="shared" si="19"/>
        <v>-1.0000000000000009E-2</v>
      </c>
      <c r="M249" s="63">
        <f t="shared" si="21"/>
        <v>1</v>
      </c>
      <c r="N249" s="64">
        <f t="shared" si="20"/>
        <v>1.0000024999999999</v>
      </c>
    </row>
    <row r="250" spans="1:16">
      <c r="B250" s="41"/>
      <c r="C250" s="61">
        <f t="shared" si="18"/>
        <v>44048</v>
      </c>
      <c r="E250" s="170"/>
      <c r="F250" s="58" t="str">
        <f>VLOOKUP(MOD(C250,7),'CALENDAR INFO'!$I$2:$J$8,2)</f>
        <v>WED</v>
      </c>
      <c r="G250" s="214">
        <v>0.1</v>
      </c>
      <c r="H250" s="425">
        <v>0.09</v>
      </c>
      <c r="I250" s="457">
        <f t="shared" si="19"/>
        <v>-1.0000000000000009E-2</v>
      </c>
      <c r="J250" s="15" t="s">
        <v>153</v>
      </c>
      <c r="K250" s="15" t="str">
        <f>_xlfn.CONCAT("A",TEXT(K247,0),":","A",TEXT(K248,0))</f>
        <v>A246:A276</v>
      </c>
      <c r="L250" s="93" t="str">
        <f>_xlfn.CONCAT("B",TEXT(L247,0),":","B",TEXT(L248,0))</f>
        <v>B246:B276</v>
      </c>
      <c r="M250" s="63">
        <f t="shared" ref="M250:M279" si="22">IF(MOD(C250,7)&lt;2,0,IF(MOD(C250,7)=6,3,1))</f>
        <v>1</v>
      </c>
      <c r="N250" s="64">
        <f t="shared" si="20"/>
        <v>1.0000024999999999</v>
      </c>
    </row>
    <row r="251" spans="1:16">
      <c r="B251" s="41"/>
      <c r="C251" s="61">
        <f t="shared" si="18"/>
        <v>44049</v>
      </c>
      <c r="E251" s="170"/>
      <c r="F251" s="58" t="str">
        <f>VLOOKUP(MOD(C251,7),'CALENDAR INFO'!$I$2:$J$8,2)</f>
        <v>THU</v>
      </c>
      <c r="G251" s="214">
        <v>0.1</v>
      </c>
      <c r="H251" s="425">
        <v>0.09</v>
      </c>
      <c r="I251" s="457">
        <f t="shared" si="19"/>
        <v>-1.0000000000000009E-2</v>
      </c>
      <c r="J251" s="15" t="s">
        <v>154</v>
      </c>
      <c r="K251" s="15" t="str">
        <f>_xlfn.CONCAT("F",TEXT(K247,0),":","F",TEXT(K248,0))</f>
        <v>F246:F276</v>
      </c>
      <c r="L251" s="179" t="str">
        <f>_xlfn.CONCAT("G",TEXT(L247,0),":","G",TEXT(L248,0))</f>
        <v>G246:G276</v>
      </c>
      <c r="M251" s="63">
        <f t="shared" si="22"/>
        <v>1</v>
      </c>
      <c r="N251" s="64">
        <f t="shared" si="20"/>
        <v>1.0000024999999999</v>
      </c>
    </row>
    <row r="252" spans="1:16">
      <c r="B252" s="41"/>
      <c r="C252" s="61">
        <f t="shared" si="18"/>
        <v>44050</v>
      </c>
      <c r="E252" s="170"/>
      <c r="F252" s="58" t="str">
        <f>VLOOKUP(MOD(C252,7),'CALENDAR INFO'!$I$2:$J$8,2)</f>
        <v>FRI</v>
      </c>
      <c r="G252" s="214">
        <v>0.1</v>
      </c>
      <c r="H252" s="425">
        <v>0.09</v>
      </c>
      <c r="I252" s="457">
        <f t="shared" si="19"/>
        <v>-1.0000000000000009E-2</v>
      </c>
      <c r="L252" s="200"/>
      <c r="M252" s="63">
        <f t="shared" si="22"/>
        <v>3</v>
      </c>
      <c r="N252" s="64">
        <f t="shared" si="20"/>
        <v>1.0000074999999999</v>
      </c>
    </row>
    <row r="253" spans="1:16">
      <c r="B253" s="41"/>
      <c r="C253" s="61">
        <f t="shared" si="18"/>
        <v>44051</v>
      </c>
      <c r="E253" s="170"/>
      <c r="F253" s="58" t="str">
        <f>VLOOKUP(MOD(C253,7),'CALENDAR INFO'!$I$2:$J$8,2)</f>
        <v>SAT</v>
      </c>
      <c r="G253" s="214">
        <v>0.1</v>
      </c>
      <c r="H253" s="425">
        <v>0.09</v>
      </c>
      <c r="I253" s="457">
        <f t="shared" si="19"/>
        <v>-1.0000000000000009E-2</v>
      </c>
      <c r="J253" s="15" t="s">
        <v>155</v>
      </c>
      <c r="K253" s="15">
        <f ca="1">SUM(INDIRECT(K250))</f>
        <v>0</v>
      </c>
      <c r="L253" s="179">
        <f ca="1">SUM(INDIRECT(L250))</f>
        <v>0</v>
      </c>
      <c r="M253" s="63">
        <f t="shared" si="22"/>
        <v>0</v>
      </c>
      <c r="N253" s="64">
        <f t="shared" si="20"/>
        <v>1</v>
      </c>
    </row>
    <row r="254" spans="1:16">
      <c r="B254" s="41"/>
      <c r="C254" s="61">
        <f t="shared" si="18"/>
        <v>44052</v>
      </c>
      <c r="E254" s="170"/>
      <c r="F254" s="58" t="str">
        <f>VLOOKUP(MOD(C254,7),'CALENDAR INFO'!$I$2:$J$8,2)</f>
        <v>SUN</v>
      </c>
      <c r="G254" s="214">
        <v>0.1</v>
      </c>
      <c r="H254" s="425">
        <v>0.09</v>
      </c>
      <c r="I254" s="457">
        <f t="shared" si="19"/>
        <v>-1.0000000000000009E-2</v>
      </c>
      <c r="J254" s="15" t="s">
        <v>156</v>
      </c>
      <c r="K254" s="207">
        <f ca="1">SUM(INDIRECT(K251))</f>
        <v>0</v>
      </c>
      <c r="L254" s="208">
        <f ca="1">SUM(INDIRECT(L251))</f>
        <v>2.9499999999999993</v>
      </c>
      <c r="M254" s="63">
        <f t="shared" si="22"/>
        <v>0</v>
      </c>
      <c r="N254" s="64">
        <f t="shared" si="20"/>
        <v>1</v>
      </c>
    </row>
    <row r="255" spans="1:16">
      <c r="B255" s="41"/>
      <c r="C255" s="61">
        <f t="shared" si="18"/>
        <v>44053</v>
      </c>
      <c r="E255" s="170"/>
      <c r="F255" s="58" t="str">
        <f>VLOOKUP(MOD(C255,7),'CALENDAR INFO'!$I$2:$J$8,2)</f>
        <v>MON</v>
      </c>
      <c r="G255" s="214">
        <v>0.1</v>
      </c>
      <c r="H255" s="425">
        <v>0.09</v>
      </c>
      <c r="I255" s="457">
        <f t="shared" si="19"/>
        <v>-1.0000000000000009E-2</v>
      </c>
      <c r="J255" s="15" t="s">
        <v>157</v>
      </c>
      <c r="K255" s="178">
        <f ca="1">K253+K254</f>
        <v>0</v>
      </c>
      <c r="L255" s="192">
        <f ca="1">L253+L254</f>
        <v>2.9499999999999993</v>
      </c>
      <c r="M255" s="63">
        <f t="shared" si="22"/>
        <v>1</v>
      </c>
      <c r="N255" s="64">
        <f t="shared" si="20"/>
        <v>1.0000024999999999</v>
      </c>
    </row>
    <row r="256" spans="1:16">
      <c r="B256" s="41"/>
      <c r="C256" s="61">
        <f t="shared" si="18"/>
        <v>44054</v>
      </c>
      <c r="E256" s="170"/>
      <c r="F256" s="58" t="str">
        <f>VLOOKUP(MOD(C256,7),'CALENDAR INFO'!$I$2:$J$8,2)</f>
        <v>TUE</v>
      </c>
      <c r="G256" s="214">
        <v>0.1</v>
      </c>
      <c r="H256" s="425">
        <v>0.1</v>
      </c>
      <c r="I256" s="457">
        <f t="shared" si="19"/>
        <v>0</v>
      </c>
      <c r="K256" s="178"/>
      <c r="L256" s="192"/>
      <c r="M256" s="63">
        <f t="shared" si="22"/>
        <v>1</v>
      </c>
      <c r="N256" s="64">
        <f t="shared" si="20"/>
        <v>1.0000027777777778</v>
      </c>
    </row>
    <row r="257" spans="2:16">
      <c r="B257" s="41"/>
      <c r="C257" s="61">
        <f t="shared" ref="C257:C320" si="23">C256+1</f>
        <v>44055</v>
      </c>
      <c r="E257" s="170" t="s">
        <v>19</v>
      </c>
      <c r="F257" s="58" t="str">
        <f>VLOOKUP(MOD(C257,7),'CALENDAR INFO'!$I$2:$J$8,2)</f>
        <v>WED</v>
      </c>
      <c r="G257" s="214">
        <v>0.1</v>
      </c>
      <c r="H257" s="425">
        <v>0.09</v>
      </c>
      <c r="I257" s="457">
        <f t="shared" si="19"/>
        <v>-1.0000000000000009E-2</v>
      </c>
      <c r="J257" s="15" t="s">
        <v>158</v>
      </c>
      <c r="K257" s="178">
        <f ca="1">K255/K246</f>
        <v>0</v>
      </c>
      <c r="L257" s="192">
        <f ca="1">L255/L246</f>
        <v>9.5161290322580624E-2</v>
      </c>
      <c r="M257" s="63">
        <f t="shared" si="22"/>
        <v>1</v>
      </c>
      <c r="N257" s="64">
        <f t="shared" si="20"/>
        <v>1.0000024999999999</v>
      </c>
    </row>
    <row r="258" spans="2:16">
      <c r="B258" s="41"/>
      <c r="C258" s="61">
        <f t="shared" si="23"/>
        <v>44056</v>
      </c>
      <c r="E258" s="167" t="s">
        <v>18</v>
      </c>
      <c r="F258" s="58" t="str">
        <f>VLOOKUP(MOD(C258,7),'CALENDAR INFO'!$I$2:$J$8,2)</f>
        <v>THU</v>
      </c>
      <c r="G258" s="214">
        <v>0.1</v>
      </c>
      <c r="H258" s="425">
        <v>0.09</v>
      </c>
      <c r="I258" s="457">
        <f t="shared" si="19"/>
        <v>-1.0000000000000009E-2</v>
      </c>
      <c r="J258" s="177" t="s">
        <v>159</v>
      </c>
      <c r="K258" s="180">
        <f ca="1">100-K257</f>
        <v>100</v>
      </c>
      <c r="L258" s="193">
        <f ca="1">100-L257</f>
        <v>99.904838709677421</v>
      </c>
      <c r="M258" s="63">
        <f t="shared" si="22"/>
        <v>1</v>
      </c>
      <c r="N258" s="64">
        <f t="shared" si="20"/>
        <v>1.0000024999999999</v>
      </c>
    </row>
    <row r="259" spans="2:16">
      <c r="B259" s="41"/>
      <c r="C259" s="61">
        <f t="shared" si="23"/>
        <v>44057</v>
      </c>
      <c r="E259" s="167"/>
      <c r="F259" s="58" t="str">
        <f>VLOOKUP(MOD(C259,7),'CALENDAR INFO'!$I$2:$J$8,2)</f>
        <v>FRI</v>
      </c>
      <c r="G259" s="214">
        <v>0.1</v>
      </c>
      <c r="H259" s="425">
        <v>0.09</v>
      </c>
      <c r="I259" s="457">
        <f t="shared" ref="I259:I322" si="24">H259-G259</f>
        <v>-1.0000000000000009E-2</v>
      </c>
      <c r="K259" s="178"/>
      <c r="L259" s="192"/>
      <c r="M259" s="63">
        <f t="shared" si="22"/>
        <v>3</v>
      </c>
      <c r="N259" s="64">
        <f t="shared" si="20"/>
        <v>1.0000074999999999</v>
      </c>
    </row>
    <row r="260" spans="2:16">
      <c r="B260" s="41"/>
      <c r="C260" s="61">
        <f t="shared" si="23"/>
        <v>44058</v>
      </c>
      <c r="E260" s="167"/>
      <c r="F260" s="58" t="str">
        <f>VLOOKUP(MOD(C260,7),'CALENDAR INFO'!$I$2:$J$8,2)</f>
        <v>SAT</v>
      </c>
      <c r="G260" s="214">
        <v>0.1</v>
      </c>
      <c r="H260" s="425">
        <v>0.09</v>
      </c>
      <c r="I260" s="457">
        <f t="shared" si="24"/>
        <v>-1.0000000000000009E-2</v>
      </c>
      <c r="J260" s="176"/>
      <c r="K260" s="186"/>
      <c r="L260" s="194"/>
      <c r="M260" s="63">
        <f t="shared" si="22"/>
        <v>0</v>
      </c>
      <c r="N260" s="64">
        <f t="shared" si="20"/>
        <v>1</v>
      </c>
    </row>
    <row r="261" spans="2:16">
      <c r="B261" s="41"/>
      <c r="C261" s="61">
        <f t="shared" si="23"/>
        <v>44059</v>
      </c>
      <c r="E261" s="167"/>
      <c r="F261" s="58" t="str">
        <f>VLOOKUP(MOD(C261,7),'CALENDAR INFO'!$I$2:$J$8,2)</f>
        <v>SUN</v>
      </c>
      <c r="G261" s="214">
        <v>0.1</v>
      </c>
      <c r="H261" s="425">
        <v>0.09</v>
      </c>
      <c r="I261" s="457">
        <f t="shared" si="24"/>
        <v>-1.0000000000000009E-2</v>
      </c>
      <c r="M261" s="63">
        <f t="shared" si="22"/>
        <v>0</v>
      </c>
      <c r="N261" s="64">
        <f t="shared" si="20"/>
        <v>1</v>
      </c>
    </row>
    <row r="262" spans="2:16">
      <c r="B262" s="41"/>
      <c r="C262" s="61">
        <f t="shared" si="23"/>
        <v>44060</v>
      </c>
      <c r="E262" s="167"/>
      <c r="F262" s="58" t="str">
        <f>VLOOKUP(MOD(C262,7),'CALENDAR INFO'!$I$2:$J$8,2)</f>
        <v>MON</v>
      </c>
      <c r="G262" s="214">
        <v>0.1</v>
      </c>
      <c r="H262" s="425">
        <v>0.1</v>
      </c>
      <c r="I262" s="457">
        <f t="shared" si="24"/>
        <v>0</v>
      </c>
      <c r="M262" s="63">
        <f t="shared" si="22"/>
        <v>1</v>
      </c>
      <c r="N262" s="64">
        <f t="shared" si="20"/>
        <v>1.0000027777777778</v>
      </c>
    </row>
    <row r="263" spans="2:16">
      <c r="B263" s="41"/>
      <c r="C263" s="61">
        <f t="shared" si="23"/>
        <v>44061</v>
      </c>
      <c r="E263" s="167"/>
      <c r="F263" s="58" t="str">
        <f>VLOOKUP(MOD(C263,7),'CALENDAR INFO'!$I$2:$J$8,2)</f>
        <v>TUE</v>
      </c>
      <c r="G263" s="214">
        <v>0.09</v>
      </c>
      <c r="H263" s="425">
        <v>0.09</v>
      </c>
      <c r="I263" s="457">
        <f t="shared" si="24"/>
        <v>0</v>
      </c>
      <c r="M263" s="63">
        <f t="shared" si="22"/>
        <v>1</v>
      </c>
      <c r="N263" s="64">
        <f t="shared" si="20"/>
        <v>1.0000024999999999</v>
      </c>
    </row>
    <row r="264" spans="2:16">
      <c r="B264" s="41"/>
      <c r="C264" s="61">
        <f t="shared" si="23"/>
        <v>44062</v>
      </c>
      <c r="E264" s="167"/>
      <c r="F264" s="58" t="str">
        <f>VLOOKUP(MOD(C264,7),'CALENDAR INFO'!$I$2:$J$8,2)</f>
        <v>WED</v>
      </c>
      <c r="G264" s="214">
        <v>0.09</v>
      </c>
      <c r="H264" s="425">
        <v>0.09</v>
      </c>
      <c r="I264" s="457">
        <f t="shared" si="24"/>
        <v>0</v>
      </c>
      <c r="M264" s="63">
        <f t="shared" si="22"/>
        <v>1</v>
      </c>
      <c r="N264" s="64">
        <f t="shared" si="20"/>
        <v>1.0000024999999999</v>
      </c>
    </row>
    <row r="265" spans="2:16">
      <c r="B265" s="41"/>
      <c r="C265" s="61">
        <f t="shared" si="23"/>
        <v>44063</v>
      </c>
      <c r="E265" s="167"/>
      <c r="F265" s="58" t="str">
        <f>VLOOKUP(MOD(C265,7),'CALENDAR INFO'!$I$2:$J$8,2)</f>
        <v>THU</v>
      </c>
      <c r="G265" s="214">
        <v>0.09</v>
      </c>
      <c r="H265" s="425">
        <v>7.0000000000000007E-2</v>
      </c>
      <c r="I265" s="457">
        <f t="shared" si="24"/>
        <v>-1.999999999999999E-2</v>
      </c>
      <c r="M265" s="63">
        <f t="shared" si="22"/>
        <v>1</v>
      </c>
      <c r="N265" s="64">
        <f t="shared" si="20"/>
        <v>1.0000019444444443</v>
      </c>
    </row>
    <row r="266" spans="2:16">
      <c r="B266" s="41"/>
      <c r="C266" s="61">
        <f t="shared" si="23"/>
        <v>44064</v>
      </c>
      <c r="E266" s="167"/>
      <c r="F266" s="58" t="str">
        <f>VLOOKUP(MOD(C266,7),'CALENDAR INFO'!$I$2:$J$8,2)</f>
        <v>FRI</v>
      </c>
      <c r="G266" s="214">
        <v>0.09</v>
      </c>
      <c r="H266" s="425">
        <v>7.0000000000000007E-2</v>
      </c>
      <c r="I266" s="457">
        <f t="shared" si="24"/>
        <v>-1.999999999999999E-2</v>
      </c>
      <c r="M266" s="63">
        <f t="shared" si="22"/>
        <v>3</v>
      </c>
      <c r="N266" s="64">
        <f t="shared" si="20"/>
        <v>1.0000058333333333</v>
      </c>
    </row>
    <row r="267" spans="2:16">
      <c r="B267" s="41"/>
      <c r="C267" s="61">
        <f t="shared" si="23"/>
        <v>44065</v>
      </c>
      <c r="E267" s="167"/>
      <c r="F267" s="58" t="str">
        <f>VLOOKUP(MOD(C267,7),'CALENDAR INFO'!$I$2:$J$8,2)</f>
        <v>SAT</v>
      </c>
      <c r="G267" s="214">
        <v>0.09</v>
      </c>
      <c r="H267" s="425">
        <v>7.0000000000000007E-2</v>
      </c>
      <c r="I267" s="457">
        <f t="shared" si="24"/>
        <v>-1.999999999999999E-2</v>
      </c>
      <c r="M267" s="63">
        <f t="shared" si="22"/>
        <v>0</v>
      </c>
      <c r="N267" s="64">
        <f t="shared" si="20"/>
        <v>1</v>
      </c>
    </row>
    <row r="268" spans="2:16">
      <c r="B268" s="41"/>
      <c r="C268" s="61">
        <f t="shared" si="23"/>
        <v>44066</v>
      </c>
      <c r="E268" s="167"/>
      <c r="F268" s="58" t="str">
        <f>VLOOKUP(MOD(C268,7),'CALENDAR INFO'!$I$2:$J$8,2)</f>
        <v>SUN</v>
      </c>
      <c r="G268" s="214">
        <v>0.09</v>
      </c>
      <c r="H268" s="425">
        <v>7.0000000000000007E-2</v>
      </c>
      <c r="I268" s="457">
        <f t="shared" si="24"/>
        <v>-1.999999999999999E-2</v>
      </c>
      <c r="M268" s="63">
        <f t="shared" si="22"/>
        <v>0</v>
      </c>
      <c r="N268" s="64">
        <f t="shared" si="20"/>
        <v>1</v>
      </c>
    </row>
    <row r="269" spans="2:16">
      <c r="B269" s="41"/>
      <c r="C269" s="61">
        <f t="shared" si="23"/>
        <v>44067</v>
      </c>
      <c r="E269" s="167"/>
      <c r="F269" s="58" t="str">
        <f>VLOOKUP(MOD(C269,7),'CALENDAR INFO'!$I$2:$J$8,2)</f>
        <v>MON</v>
      </c>
      <c r="G269" s="214">
        <v>0.09</v>
      </c>
      <c r="H269" s="425">
        <v>0.08</v>
      </c>
      <c r="I269" s="457">
        <f t="shared" si="24"/>
        <v>-9.999999999999995E-3</v>
      </c>
      <c r="M269" s="63">
        <f t="shared" si="22"/>
        <v>1</v>
      </c>
      <c r="N269" s="64">
        <f t="shared" si="20"/>
        <v>1.0000022222222222</v>
      </c>
    </row>
    <row r="270" spans="2:16">
      <c r="B270" s="41"/>
      <c r="C270" s="61">
        <f t="shared" si="23"/>
        <v>44068</v>
      </c>
      <c r="E270" s="167"/>
      <c r="F270" s="58" t="str">
        <f>VLOOKUP(MOD(C270,7),'CALENDAR INFO'!$I$2:$J$8,2)</f>
        <v>TUE</v>
      </c>
      <c r="G270" s="214">
        <v>0.09</v>
      </c>
      <c r="H270" s="425">
        <v>0.08</v>
      </c>
      <c r="I270" s="457">
        <f t="shared" si="24"/>
        <v>-9.999999999999995E-3</v>
      </c>
      <c r="M270" s="63">
        <f t="shared" si="22"/>
        <v>1</v>
      </c>
      <c r="N270" s="64">
        <f t="shared" si="20"/>
        <v>1.0000022222222222</v>
      </c>
    </row>
    <row r="271" spans="2:16">
      <c r="B271" s="41"/>
      <c r="C271" s="61">
        <f t="shared" si="23"/>
        <v>44069</v>
      </c>
      <c r="E271" s="167" t="s">
        <v>19</v>
      </c>
      <c r="F271" s="58" t="str">
        <f>VLOOKUP(MOD(C271,7),'CALENDAR INFO'!$I$2:$J$8,2)</f>
        <v>WED</v>
      </c>
      <c r="G271" s="214">
        <v>0.09</v>
      </c>
      <c r="H271" s="425">
        <v>7.0000000000000007E-2</v>
      </c>
      <c r="I271" s="457">
        <f t="shared" si="24"/>
        <v>-1.999999999999999E-2</v>
      </c>
      <c r="K271" s="178"/>
      <c r="M271" s="63">
        <f t="shared" si="22"/>
        <v>1</v>
      </c>
      <c r="N271" s="64">
        <f t="shared" si="20"/>
        <v>1.0000019444444443</v>
      </c>
    </row>
    <row r="272" spans="2:16">
      <c r="B272" s="41"/>
      <c r="C272" s="61">
        <f t="shared" si="23"/>
        <v>44070</v>
      </c>
      <c r="E272" s="170" t="s">
        <v>18</v>
      </c>
      <c r="F272" s="58" t="str">
        <f>VLOOKUP(MOD(C272,7),'CALENDAR INFO'!$I$2:$J$8,2)</f>
        <v>THU</v>
      </c>
      <c r="G272" s="214">
        <v>0.08</v>
      </c>
      <c r="H272" s="425">
        <v>7.0000000000000007E-2</v>
      </c>
      <c r="I272" s="457">
        <f t="shared" si="24"/>
        <v>-9.999999999999995E-3</v>
      </c>
      <c r="M272" s="63">
        <f t="shared" si="22"/>
        <v>1</v>
      </c>
      <c r="N272" s="64">
        <f t="shared" si="20"/>
        <v>1.0000019444444443</v>
      </c>
      <c r="O272" s="89" t="s">
        <v>93</v>
      </c>
      <c r="P272" s="90"/>
    </row>
    <row r="273" spans="1:16">
      <c r="B273" s="41"/>
      <c r="C273" s="61">
        <f t="shared" si="23"/>
        <v>44071</v>
      </c>
      <c r="E273" s="170"/>
      <c r="F273" s="58" t="str">
        <f>VLOOKUP(MOD(C273,7),'CALENDAR INFO'!$I$2:$J$8,2)</f>
        <v>FRI</v>
      </c>
      <c r="G273" s="214">
        <v>0.09</v>
      </c>
      <c r="H273" s="425">
        <v>7.0000000000000007E-2</v>
      </c>
      <c r="I273" s="457">
        <f t="shared" si="24"/>
        <v>-1.999999999999999E-2</v>
      </c>
      <c r="K273" s="189"/>
      <c r="M273" s="63">
        <f t="shared" si="22"/>
        <v>3</v>
      </c>
      <c r="N273" s="64">
        <f t="shared" si="20"/>
        <v>1.0000058333333333</v>
      </c>
      <c r="O273" s="89" t="s">
        <v>26</v>
      </c>
      <c r="P273" s="91">
        <v>99.905000000000001</v>
      </c>
    </row>
    <row r="274" spans="1:16">
      <c r="B274" s="41"/>
      <c r="C274" s="61">
        <f t="shared" si="23"/>
        <v>44072</v>
      </c>
      <c r="E274" s="170"/>
      <c r="F274" s="58" t="str">
        <f>VLOOKUP(MOD(C274,7),'CALENDAR INFO'!$I$2:$J$8,2)</f>
        <v>SAT</v>
      </c>
      <c r="G274" s="214">
        <v>0.09</v>
      </c>
      <c r="H274" s="425">
        <v>7.0000000000000007E-2</v>
      </c>
      <c r="I274" s="457">
        <f t="shared" si="24"/>
        <v>-1.999999999999999E-2</v>
      </c>
      <c r="J274" s="433"/>
      <c r="K274" s="183"/>
      <c r="L274" s="195"/>
      <c r="M274" s="63">
        <f t="shared" si="22"/>
        <v>0</v>
      </c>
      <c r="N274" s="64">
        <f t="shared" si="20"/>
        <v>1</v>
      </c>
      <c r="O274" s="89" t="s">
        <v>76</v>
      </c>
      <c r="P274" s="91">
        <v>99.915000000000006</v>
      </c>
    </row>
    <row r="275" spans="1:16">
      <c r="B275" s="41"/>
      <c r="C275" s="61">
        <f t="shared" si="23"/>
        <v>44073</v>
      </c>
      <c r="E275" s="170"/>
      <c r="F275" s="58" t="str">
        <f>VLOOKUP(MOD(C275,7),'CALENDAR INFO'!$I$2:$J$8,2)</f>
        <v>SUN</v>
      </c>
      <c r="G275" s="214">
        <v>0.09</v>
      </c>
      <c r="H275" s="425">
        <v>7.0000000000000007E-2</v>
      </c>
      <c r="I275" s="457">
        <f t="shared" si="24"/>
        <v>-1.999999999999999E-2</v>
      </c>
      <c r="K275" s="178"/>
      <c r="M275" s="63">
        <f t="shared" si="22"/>
        <v>0</v>
      </c>
      <c r="N275" s="64">
        <f t="shared" ref="N275:N338" si="25">1+(M275/360)*(MAX(H275,B275)/100)</f>
        <v>1</v>
      </c>
    </row>
    <row r="276" spans="1:16" s="79" customFormat="1" ht="15.75" thickBot="1">
      <c r="A276" s="98"/>
      <c r="B276" s="230"/>
      <c r="C276" s="75">
        <f t="shared" si="23"/>
        <v>44074</v>
      </c>
      <c r="D276" s="112"/>
      <c r="E276" s="101"/>
      <c r="F276" s="71" t="str">
        <f>VLOOKUP(MOD(C276,7),'CALENDAR INFO'!$I$2:$J$8,2)</f>
        <v>MON</v>
      </c>
      <c r="G276" s="215">
        <v>0.09</v>
      </c>
      <c r="H276" s="426">
        <v>0.09</v>
      </c>
      <c r="I276" s="458">
        <f t="shared" si="24"/>
        <v>0</v>
      </c>
      <c r="J276" s="434"/>
      <c r="K276" s="181"/>
      <c r="L276" s="196"/>
      <c r="M276" s="88">
        <f t="shared" si="22"/>
        <v>1</v>
      </c>
      <c r="N276" s="77">
        <f t="shared" si="25"/>
        <v>1.0000024999999999</v>
      </c>
      <c r="O276" s="78"/>
      <c r="P276" s="73"/>
    </row>
    <row r="277" spans="1:16">
      <c r="B277" s="41"/>
      <c r="C277" s="61">
        <f t="shared" si="23"/>
        <v>44075</v>
      </c>
      <c r="E277" s="170"/>
      <c r="F277" s="58" t="str">
        <f>VLOOKUP(MOD(C277,7),'CALENDAR INFO'!$I$2:$J$8,2)</f>
        <v>TUE</v>
      </c>
      <c r="G277" s="213">
        <v>0.09</v>
      </c>
      <c r="H277" s="425">
        <v>0.09</v>
      </c>
      <c r="I277" s="457">
        <f t="shared" si="24"/>
        <v>0</v>
      </c>
      <c r="J277" s="15" t="s">
        <v>118</v>
      </c>
      <c r="K277" s="15">
        <f>VLOOKUP(MONTH($C277),'CALENDAR INFO'!$I$12:$J$23,2)</f>
        <v>30</v>
      </c>
      <c r="L277" s="179">
        <f>K277</f>
        <v>30</v>
      </c>
      <c r="M277" s="63">
        <f t="shared" si="22"/>
        <v>1</v>
      </c>
      <c r="N277" s="64">
        <f t="shared" si="25"/>
        <v>1.0000024999999999</v>
      </c>
    </row>
    <row r="278" spans="1:16">
      <c r="B278" s="41"/>
      <c r="C278" s="61">
        <f t="shared" si="23"/>
        <v>44076</v>
      </c>
      <c r="E278" s="170"/>
      <c r="F278" s="58" t="str">
        <f>VLOOKUP(MOD(C278,7),'CALENDAR INFO'!$I$2:$J$8,2)</f>
        <v>WED</v>
      </c>
      <c r="G278" s="213">
        <v>0.09</v>
      </c>
      <c r="H278" s="425">
        <v>0.09</v>
      </c>
      <c r="I278" s="457">
        <f t="shared" si="24"/>
        <v>0</v>
      </c>
      <c r="J278" s="15" t="s">
        <v>151</v>
      </c>
      <c r="K278" s="15">
        <f>ROW($C278)-1</f>
        <v>277</v>
      </c>
      <c r="L278" s="179">
        <f>K278</f>
        <v>277</v>
      </c>
      <c r="M278" s="63">
        <f t="shared" si="22"/>
        <v>1</v>
      </c>
      <c r="N278" s="64">
        <f t="shared" si="25"/>
        <v>1.0000024999999999</v>
      </c>
    </row>
    <row r="279" spans="1:16">
      <c r="B279" s="41"/>
      <c r="C279" s="61">
        <f t="shared" si="23"/>
        <v>44077</v>
      </c>
      <c r="E279" s="170"/>
      <c r="F279" s="58" t="str">
        <f>VLOOKUP(MOD(C279,7),'CALENDAR INFO'!$I$2:$J$8,2)</f>
        <v>THU</v>
      </c>
      <c r="G279" s="213">
        <v>0.09</v>
      </c>
      <c r="H279" s="425">
        <v>0.1</v>
      </c>
      <c r="I279" s="457">
        <f t="shared" si="24"/>
        <v>1.0000000000000009E-2</v>
      </c>
      <c r="J279" s="15" t="s">
        <v>152</v>
      </c>
      <c r="K279" s="15">
        <f>K277+K278-1</f>
        <v>306</v>
      </c>
      <c r="L279" s="93">
        <f>K279</f>
        <v>306</v>
      </c>
      <c r="M279" s="63">
        <f t="shared" si="22"/>
        <v>1</v>
      </c>
      <c r="N279" s="64">
        <f t="shared" si="25"/>
        <v>1.0000027777777778</v>
      </c>
    </row>
    <row r="280" spans="1:16">
      <c r="B280" s="41"/>
      <c r="C280" s="61">
        <f t="shared" si="23"/>
        <v>44078</v>
      </c>
      <c r="E280" s="170"/>
      <c r="F280" s="58" t="str">
        <f>VLOOKUP(MOD(C280,7),'CALENDAR INFO'!$I$2:$J$8,2)</f>
        <v>FRI</v>
      </c>
      <c r="G280" s="213">
        <v>0.09</v>
      </c>
      <c r="H280" s="425">
        <v>0.09</v>
      </c>
      <c r="I280" s="457">
        <f t="shared" si="24"/>
        <v>0</v>
      </c>
      <c r="M280" s="81">
        <f>IF(MOD(C280,7)&lt;2,0,IF(MOD(C280,7)=6,3,1))+1</f>
        <v>4</v>
      </c>
      <c r="N280" s="64">
        <f t="shared" si="25"/>
        <v>1.0000100000000001</v>
      </c>
    </row>
    <row r="281" spans="1:16">
      <c r="B281" s="41"/>
      <c r="C281" s="61">
        <f t="shared" si="23"/>
        <v>44079</v>
      </c>
      <c r="E281" s="170"/>
      <c r="F281" s="58" t="str">
        <f>VLOOKUP(MOD(C281,7),'CALENDAR INFO'!$I$2:$J$8,2)</f>
        <v>SAT</v>
      </c>
      <c r="G281" s="213">
        <v>0.09</v>
      </c>
      <c r="H281" s="425">
        <v>0.09</v>
      </c>
      <c r="I281" s="457">
        <f t="shared" si="24"/>
        <v>0</v>
      </c>
      <c r="J281" s="15" t="s">
        <v>153</v>
      </c>
      <c r="K281" s="15" t="str">
        <f>_xlfn.CONCAT("A",TEXT(K278,0),":","A",TEXT(K279,0))</f>
        <v>A277:A306</v>
      </c>
      <c r="L281" s="93" t="str">
        <f>_xlfn.CONCAT("B",TEXT(L278,0),":","B",TEXT(L279,0))</f>
        <v>B277:B306</v>
      </c>
      <c r="M281" s="63">
        <f>IF(MOD(C281,7)&lt;2,0,IF(MOD(C281,7)=6,3,1))</f>
        <v>0</v>
      </c>
      <c r="N281" s="64">
        <f t="shared" si="25"/>
        <v>1</v>
      </c>
    </row>
    <row r="282" spans="1:16">
      <c r="B282" s="41"/>
      <c r="C282" s="61">
        <f t="shared" si="23"/>
        <v>44080</v>
      </c>
      <c r="E282" s="170"/>
      <c r="F282" s="58" t="str">
        <f>VLOOKUP(MOD(C282,7),'CALENDAR INFO'!$I$2:$J$8,2)</f>
        <v>SUN</v>
      </c>
      <c r="G282" s="213">
        <v>0.09</v>
      </c>
      <c r="H282" s="425">
        <v>0.09</v>
      </c>
      <c r="I282" s="457">
        <f t="shared" si="24"/>
        <v>0</v>
      </c>
      <c r="J282" s="15" t="s">
        <v>154</v>
      </c>
      <c r="K282" s="15" t="str">
        <f>_xlfn.CONCAT("F",TEXT(K278,0),":","F",TEXT(K279,0))</f>
        <v>F277:F306</v>
      </c>
      <c r="L282" s="179" t="str">
        <f>_xlfn.CONCAT("G",TEXT(L278,0),":","G",TEXT(L279,0))</f>
        <v>G277:G306</v>
      </c>
      <c r="M282" s="63">
        <f>IF(MOD(C282,7)&lt;2,0,IF(MOD(C282,7)=6,3,1))</f>
        <v>0</v>
      </c>
      <c r="N282" s="64">
        <f t="shared" si="25"/>
        <v>1</v>
      </c>
    </row>
    <row r="283" spans="1:16">
      <c r="B283" s="41"/>
      <c r="C283" s="61">
        <f t="shared" si="23"/>
        <v>44081</v>
      </c>
      <c r="D283" s="174" t="s">
        <v>50</v>
      </c>
      <c r="E283" s="170"/>
      <c r="F283" s="58" t="str">
        <f>VLOOKUP(MOD(C283,7),'CALENDAR INFO'!$I$2:$J$8,2)</f>
        <v>MON</v>
      </c>
      <c r="G283" s="213">
        <v>0.09</v>
      </c>
      <c r="H283" s="425">
        <v>0.09</v>
      </c>
      <c r="I283" s="457">
        <f t="shared" si="24"/>
        <v>0</v>
      </c>
      <c r="M283" s="81">
        <f>IF(MOD(C283,7)&lt;2,0,IF(MOD(C283,7)=6,3,1))-1</f>
        <v>0</v>
      </c>
      <c r="N283" s="64">
        <f t="shared" si="25"/>
        <v>1</v>
      </c>
    </row>
    <row r="284" spans="1:16">
      <c r="B284" s="41"/>
      <c r="C284" s="61">
        <f t="shared" si="23"/>
        <v>44082</v>
      </c>
      <c r="E284" s="170"/>
      <c r="F284" s="58" t="str">
        <f>VLOOKUP(MOD(C284,7),'CALENDAR INFO'!$I$2:$J$8,2)</f>
        <v>TUE</v>
      </c>
      <c r="G284" s="213">
        <v>0.09</v>
      </c>
      <c r="H284" s="425">
        <v>0.09</v>
      </c>
      <c r="I284" s="457">
        <f t="shared" si="24"/>
        <v>0</v>
      </c>
      <c r="J284" s="15" t="s">
        <v>155</v>
      </c>
      <c r="K284" s="15">
        <f ca="1">SUM(INDIRECT(K281))</f>
        <v>0</v>
      </c>
      <c r="L284" s="179">
        <f ca="1">SUM(INDIRECT(L281))</f>
        <v>0</v>
      </c>
      <c r="M284" s="63">
        <f t="shared" ref="M284:M314" si="26">IF(MOD(C284,7)&lt;2,0,IF(MOD(C284,7)=6,3,1))</f>
        <v>1</v>
      </c>
      <c r="N284" s="64">
        <f t="shared" si="25"/>
        <v>1.0000024999999999</v>
      </c>
    </row>
    <row r="285" spans="1:16">
      <c r="B285" s="41"/>
      <c r="C285" s="61">
        <f t="shared" si="23"/>
        <v>44083</v>
      </c>
      <c r="E285" s="170" t="s">
        <v>19</v>
      </c>
      <c r="F285" s="58" t="str">
        <f>VLOOKUP(MOD(C285,7),'CALENDAR INFO'!$I$2:$J$8,2)</f>
        <v>WED</v>
      </c>
      <c r="G285" s="213">
        <v>0.09</v>
      </c>
      <c r="H285" s="425">
        <v>0.09</v>
      </c>
      <c r="I285" s="457">
        <f t="shared" si="24"/>
        <v>0</v>
      </c>
      <c r="J285" s="15" t="s">
        <v>156</v>
      </c>
      <c r="K285" s="207">
        <f ca="1">SUM(INDIRECT(K282))</f>
        <v>0</v>
      </c>
      <c r="L285" s="208">
        <f ca="1">SUM(INDIRECT(L282))</f>
        <v>2.6999999999999997</v>
      </c>
      <c r="M285" s="63">
        <f t="shared" si="26"/>
        <v>1</v>
      </c>
      <c r="N285" s="64">
        <f t="shared" si="25"/>
        <v>1.0000024999999999</v>
      </c>
    </row>
    <row r="286" spans="1:16">
      <c r="B286" s="41"/>
      <c r="C286" s="61">
        <f t="shared" si="23"/>
        <v>44084</v>
      </c>
      <c r="E286" s="167" t="s">
        <v>18</v>
      </c>
      <c r="F286" s="58" t="str">
        <f>VLOOKUP(MOD(C286,7),'CALENDAR INFO'!$I$2:$J$8,2)</f>
        <v>THU</v>
      </c>
      <c r="G286" s="213">
        <v>0.09</v>
      </c>
      <c r="H286" s="425">
        <v>0.09</v>
      </c>
      <c r="I286" s="457">
        <f t="shared" si="24"/>
        <v>0</v>
      </c>
      <c r="J286" s="15" t="s">
        <v>157</v>
      </c>
      <c r="K286" s="178">
        <f ca="1">K284+K285</f>
        <v>0</v>
      </c>
      <c r="L286" s="192">
        <f ca="1">L284+L285</f>
        <v>2.6999999999999997</v>
      </c>
      <c r="M286" s="63">
        <f t="shared" si="26"/>
        <v>1</v>
      </c>
      <c r="N286" s="64">
        <f t="shared" si="25"/>
        <v>1.0000024999999999</v>
      </c>
    </row>
    <row r="287" spans="1:16">
      <c r="B287" s="41"/>
      <c r="C287" s="61">
        <f t="shared" si="23"/>
        <v>44085</v>
      </c>
      <c r="E287" s="167"/>
      <c r="F287" s="58" t="str">
        <f>VLOOKUP(MOD(C287,7),'CALENDAR INFO'!$I$2:$J$8,2)</f>
        <v>FRI</v>
      </c>
      <c r="G287" s="213">
        <v>0.09</v>
      </c>
      <c r="H287" s="425">
        <v>0.09</v>
      </c>
      <c r="I287" s="457">
        <f t="shared" si="24"/>
        <v>0</v>
      </c>
      <c r="K287" s="178"/>
      <c r="L287" s="192"/>
      <c r="M287" s="63">
        <f t="shared" si="26"/>
        <v>3</v>
      </c>
      <c r="N287" s="64">
        <f t="shared" si="25"/>
        <v>1.0000074999999999</v>
      </c>
    </row>
    <row r="288" spans="1:16">
      <c r="B288" s="41"/>
      <c r="C288" s="61">
        <f t="shared" si="23"/>
        <v>44086</v>
      </c>
      <c r="E288" s="167"/>
      <c r="F288" s="58" t="str">
        <f>VLOOKUP(MOD(C288,7),'CALENDAR INFO'!$I$2:$J$8,2)</f>
        <v>SAT</v>
      </c>
      <c r="G288" s="213">
        <v>0.09</v>
      </c>
      <c r="H288" s="425">
        <v>0.09</v>
      </c>
      <c r="I288" s="457">
        <f t="shared" si="24"/>
        <v>0</v>
      </c>
      <c r="J288" s="15" t="s">
        <v>158</v>
      </c>
      <c r="K288" s="178">
        <f ca="1">K286/K277</f>
        <v>0</v>
      </c>
      <c r="L288" s="192">
        <f ca="1">L286/L277</f>
        <v>0.09</v>
      </c>
      <c r="M288" s="63">
        <f t="shared" si="26"/>
        <v>0</v>
      </c>
      <c r="N288" s="64">
        <f t="shared" si="25"/>
        <v>1</v>
      </c>
      <c r="O288" s="89" t="s">
        <v>93</v>
      </c>
      <c r="P288" s="90"/>
    </row>
    <row r="289" spans="2:16">
      <c r="B289" s="41"/>
      <c r="C289" s="61">
        <f t="shared" si="23"/>
        <v>44087</v>
      </c>
      <c r="E289" s="167"/>
      <c r="F289" s="58" t="str">
        <f>VLOOKUP(MOD(C289,7),'CALENDAR INFO'!$I$2:$J$8,2)</f>
        <v>SUN</v>
      </c>
      <c r="G289" s="213">
        <v>0.09</v>
      </c>
      <c r="H289" s="425">
        <v>0.09</v>
      </c>
      <c r="I289" s="457">
        <f t="shared" si="24"/>
        <v>0</v>
      </c>
      <c r="J289" s="177" t="s">
        <v>159</v>
      </c>
      <c r="K289" s="180">
        <f ca="1">100-K288</f>
        <v>100</v>
      </c>
      <c r="L289" s="193">
        <f ca="1">100-L288</f>
        <v>99.91</v>
      </c>
      <c r="M289" s="63">
        <f t="shared" si="26"/>
        <v>0</v>
      </c>
      <c r="N289" s="64">
        <f t="shared" si="25"/>
        <v>1</v>
      </c>
      <c r="O289" s="89" t="s">
        <v>77</v>
      </c>
      <c r="P289" s="102">
        <v>99.906700000000001</v>
      </c>
    </row>
    <row r="290" spans="2:16">
      <c r="B290" s="41"/>
      <c r="C290" s="61">
        <f t="shared" si="23"/>
        <v>44088</v>
      </c>
      <c r="E290" s="167"/>
      <c r="F290" s="58" t="str">
        <f>VLOOKUP(MOD(C290,7),'CALENDAR INFO'!$I$2:$J$8,2)</f>
        <v>MON</v>
      </c>
      <c r="G290" s="213">
        <v>0.09</v>
      </c>
      <c r="H290" s="425">
        <v>0.09</v>
      </c>
      <c r="I290" s="457">
        <f t="shared" si="24"/>
        <v>0</v>
      </c>
      <c r="K290" s="178"/>
      <c r="L290" s="192"/>
      <c r="M290" s="63">
        <f t="shared" si="26"/>
        <v>1</v>
      </c>
      <c r="N290" s="64">
        <f t="shared" si="25"/>
        <v>1.0000024999999999</v>
      </c>
    </row>
    <row r="291" spans="2:16">
      <c r="B291" s="41"/>
      <c r="C291" s="61">
        <f t="shared" si="23"/>
        <v>44089</v>
      </c>
      <c r="D291" s="153" t="s">
        <v>20</v>
      </c>
      <c r="E291" s="167"/>
      <c r="F291" s="58" t="str">
        <f>VLOOKUP(MOD(C291,7),'CALENDAR INFO'!$I$2:$J$8,2)</f>
        <v>TUE</v>
      </c>
      <c r="G291" s="213">
        <v>0.09</v>
      </c>
      <c r="H291" s="425">
        <v>0.1</v>
      </c>
      <c r="I291" s="457">
        <f t="shared" si="24"/>
        <v>1.0000000000000009E-2</v>
      </c>
      <c r="J291" s="176"/>
      <c r="K291" s="186"/>
      <c r="L291" s="194"/>
      <c r="M291" s="63">
        <f t="shared" si="26"/>
        <v>1</v>
      </c>
      <c r="N291" s="64">
        <f t="shared" si="25"/>
        <v>1.0000027777777778</v>
      </c>
    </row>
    <row r="292" spans="2:16">
      <c r="B292" s="41"/>
      <c r="C292" s="61">
        <f t="shared" si="23"/>
        <v>44090</v>
      </c>
      <c r="D292" s="153" t="s">
        <v>20</v>
      </c>
      <c r="E292" s="167"/>
      <c r="F292" s="58" t="str">
        <f>VLOOKUP(MOD(C292,7),'CALENDAR INFO'!$I$2:$J$8,2)</f>
        <v>WED</v>
      </c>
      <c r="G292" s="213">
        <v>0.09</v>
      </c>
      <c r="H292" s="425">
        <v>0.1</v>
      </c>
      <c r="I292" s="457">
        <f t="shared" si="24"/>
        <v>1.0000000000000009E-2</v>
      </c>
      <c r="M292" s="63">
        <f t="shared" si="26"/>
        <v>1</v>
      </c>
      <c r="N292" s="64">
        <f t="shared" si="25"/>
        <v>1.0000027777777778</v>
      </c>
    </row>
    <row r="293" spans="2:16">
      <c r="B293" s="41"/>
      <c r="C293" s="61">
        <f t="shared" si="23"/>
        <v>44091</v>
      </c>
      <c r="E293" s="167"/>
      <c r="F293" s="58" t="str">
        <f>VLOOKUP(MOD(C293,7),'CALENDAR INFO'!$I$2:$J$8,2)</f>
        <v>THU</v>
      </c>
      <c r="G293" s="213">
        <v>0.09</v>
      </c>
      <c r="H293" s="425">
        <v>0.1</v>
      </c>
      <c r="I293" s="457">
        <f t="shared" si="24"/>
        <v>1.0000000000000009E-2</v>
      </c>
      <c r="M293" s="63">
        <f t="shared" si="26"/>
        <v>1</v>
      </c>
      <c r="N293" s="64">
        <f t="shared" si="25"/>
        <v>1.0000027777777778</v>
      </c>
    </row>
    <row r="294" spans="2:16">
      <c r="B294" s="41"/>
      <c r="C294" s="61">
        <f t="shared" si="23"/>
        <v>44092</v>
      </c>
      <c r="E294" s="167"/>
      <c r="F294" s="58" t="str">
        <f>VLOOKUP(MOD(C294,7),'CALENDAR INFO'!$I$2:$J$8,2)</f>
        <v>FRI</v>
      </c>
      <c r="G294" s="213">
        <v>0.09</v>
      </c>
      <c r="H294" s="425">
        <v>0.09</v>
      </c>
      <c r="I294" s="457">
        <f t="shared" si="24"/>
        <v>0</v>
      </c>
      <c r="M294" s="63">
        <f t="shared" si="26"/>
        <v>3</v>
      </c>
      <c r="N294" s="64">
        <f t="shared" si="25"/>
        <v>1.0000074999999999</v>
      </c>
    </row>
    <row r="295" spans="2:16">
      <c r="B295" s="41"/>
      <c r="C295" s="61">
        <f t="shared" si="23"/>
        <v>44093</v>
      </c>
      <c r="E295" s="167"/>
      <c r="F295" s="58" t="str">
        <f>VLOOKUP(MOD(C295,7),'CALENDAR INFO'!$I$2:$J$8,2)</f>
        <v>SAT</v>
      </c>
      <c r="G295" s="213">
        <v>0.09</v>
      </c>
      <c r="H295" s="425">
        <v>0.09</v>
      </c>
      <c r="I295" s="457">
        <f t="shared" si="24"/>
        <v>0</v>
      </c>
      <c r="M295" s="63">
        <f t="shared" si="26"/>
        <v>0</v>
      </c>
      <c r="N295" s="64">
        <f t="shared" si="25"/>
        <v>1</v>
      </c>
    </row>
    <row r="296" spans="2:16">
      <c r="B296" s="41"/>
      <c r="C296" s="61">
        <f t="shared" si="23"/>
        <v>44094</v>
      </c>
      <c r="E296" s="167"/>
      <c r="F296" s="58" t="str">
        <f>VLOOKUP(MOD(C296,7),'CALENDAR INFO'!$I$2:$J$8,2)</f>
        <v>SUN</v>
      </c>
      <c r="G296" s="213">
        <v>0.09</v>
      </c>
      <c r="H296" s="425">
        <v>0.09</v>
      </c>
      <c r="I296" s="457">
        <f t="shared" si="24"/>
        <v>0</v>
      </c>
      <c r="M296" s="63">
        <f t="shared" si="26"/>
        <v>0</v>
      </c>
      <c r="N296" s="64">
        <f t="shared" si="25"/>
        <v>1</v>
      </c>
    </row>
    <row r="297" spans="2:16">
      <c r="B297" s="41"/>
      <c r="C297" s="61">
        <f t="shared" si="23"/>
        <v>44095</v>
      </c>
      <c r="E297" s="167"/>
      <c r="F297" s="58" t="str">
        <f>VLOOKUP(MOD(C297,7),'CALENDAR INFO'!$I$2:$J$8,2)</f>
        <v>MON</v>
      </c>
      <c r="G297" s="213">
        <v>0.09</v>
      </c>
      <c r="H297" s="425">
        <v>0.08</v>
      </c>
      <c r="I297" s="457">
        <f t="shared" si="24"/>
        <v>-9.999999999999995E-3</v>
      </c>
      <c r="M297" s="63">
        <f t="shared" si="26"/>
        <v>1</v>
      </c>
      <c r="N297" s="64">
        <f t="shared" si="25"/>
        <v>1.0000022222222222</v>
      </c>
    </row>
    <row r="298" spans="2:16">
      <c r="B298" s="41"/>
      <c r="C298" s="61">
        <f t="shared" si="23"/>
        <v>44096</v>
      </c>
      <c r="E298" s="167"/>
      <c r="F298" s="58" t="str">
        <f>VLOOKUP(MOD(C298,7),'CALENDAR INFO'!$I$2:$J$8,2)</f>
        <v>TUE</v>
      </c>
      <c r="G298" s="213">
        <v>0.09</v>
      </c>
      <c r="H298" s="425">
        <v>7.0000000000000007E-2</v>
      </c>
      <c r="I298" s="457">
        <f t="shared" si="24"/>
        <v>-1.999999999999999E-2</v>
      </c>
      <c r="M298" s="63">
        <f t="shared" si="26"/>
        <v>1</v>
      </c>
      <c r="N298" s="64">
        <f t="shared" si="25"/>
        <v>1.0000019444444443</v>
      </c>
    </row>
    <row r="299" spans="2:16">
      <c r="B299" s="41"/>
      <c r="C299" s="61">
        <f t="shared" si="23"/>
        <v>44097</v>
      </c>
      <c r="E299" s="167" t="s">
        <v>19</v>
      </c>
      <c r="F299" s="58" t="str">
        <f>VLOOKUP(MOD(C299,7),'CALENDAR INFO'!$I$2:$J$8,2)</f>
        <v>WED</v>
      </c>
      <c r="G299" s="213">
        <v>0.09</v>
      </c>
      <c r="H299" s="425">
        <v>0.06</v>
      </c>
      <c r="I299" s="457">
        <f t="shared" si="24"/>
        <v>-0.03</v>
      </c>
      <c r="M299" s="63">
        <f t="shared" si="26"/>
        <v>1</v>
      </c>
      <c r="N299" s="64">
        <f t="shared" si="25"/>
        <v>1.0000016666666667</v>
      </c>
    </row>
    <row r="300" spans="2:16">
      <c r="B300" s="41"/>
      <c r="C300" s="61">
        <f t="shared" si="23"/>
        <v>44098</v>
      </c>
      <c r="E300" s="170" t="s">
        <v>18</v>
      </c>
      <c r="F300" s="58" t="str">
        <f>VLOOKUP(MOD(C300,7),'CALENDAR INFO'!$I$2:$J$8,2)</f>
        <v>THU</v>
      </c>
      <c r="G300" s="213">
        <v>0.09</v>
      </c>
      <c r="H300" s="425">
        <v>7.0000000000000007E-2</v>
      </c>
      <c r="I300" s="457">
        <f t="shared" si="24"/>
        <v>-1.999999999999999E-2</v>
      </c>
      <c r="M300" s="63">
        <f t="shared" si="26"/>
        <v>1</v>
      </c>
      <c r="N300" s="64">
        <f t="shared" si="25"/>
        <v>1.0000019444444443</v>
      </c>
    </row>
    <row r="301" spans="2:16">
      <c r="B301" s="41"/>
      <c r="C301" s="61">
        <f t="shared" si="23"/>
        <v>44099</v>
      </c>
      <c r="E301" s="170"/>
      <c r="F301" s="58" t="str">
        <f>VLOOKUP(MOD(C301,7),'CALENDAR INFO'!$I$2:$J$8,2)</f>
        <v>FRI</v>
      </c>
      <c r="G301" s="213">
        <v>0.09</v>
      </c>
      <c r="H301" s="425">
        <v>0.08</v>
      </c>
      <c r="I301" s="457">
        <f t="shared" si="24"/>
        <v>-9.999999999999995E-3</v>
      </c>
      <c r="K301" s="178"/>
      <c r="M301" s="63">
        <f t="shared" si="26"/>
        <v>3</v>
      </c>
      <c r="N301" s="64">
        <f t="shared" si="25"/>
        <v>1.0000066666666667</v>
      </c>
    </row>
    <row r="302" spans="2:16">
      <c r="B302" s="41"/>
      <c r="C302" s="61">
        <f t="shared" si="23"/>
        <v>44100</v>
      </c>
      <c r="E302" s="170"/>
      <c r="F302" s="58" t="str">
        <f>VLOOKUP(MOD(C302,7),'CALENDAR INFO'!$I$2:$J$8,2)</f>
        <v>SAT</v>
      </c>
      <c r="G302" s="213">
        <v>0.09</v>
      </c>
      <c r="H302" s="425">
        <v>0.08</v>
      </c>
      <c r="I302" s="457">
        <f t="shared" si="24"/>
        <v>-9.999999999999995E-3</v>
      </c>
      <c r="M302" s="63">
        <f t="shared" si="26"/>
        <v>0</v>
      </c>
      <c r="N302" s="64">
        <f t="shared" si="25"/>
        <v>1</v>
      </c>
      <c r="O302" s="89" t="s">
        <v>93</v>
      </c>
      <c r="P302" s="90"/>
    </row>
    <row r="303" spans="2:16">
      <c r="B303" s="41"/>
      <c r="C303" s="61">
        <f t="shared" si="23"/>
        <v>44101</v>
      </c>
      <c r="E303" s="170"/>
      <c r="F303" s="58" t="str">
        <f>VLOOKUP(MOD(C303,7),'CALENDAR INFO'!$I$2:$J$8,2)</f>
        <v>SUN</v>
      </c>
      <c r="G303" s="213">
        <v>0.09</v>
      </c>
      <c r="H303" s="425">
        <v>0.08</v>
      </c>
      <c r="I303" s="457">
        <f t="shared" si="24"/>
        <v>-9.999999999999995E-3</v>
      </c>
      <c r="K303" s="189"/>
      <c r="M303" s="63">
        <f t="shared" si="26"/>
        <v>0</v>
      </c>
      <c r="N303" s="64">
        <f t="shared" si="25"/>
        <v>1</v>
      </c>
      <c r="O303" s="89" t="s">
        <v>26</v>
      </c>
      <c r="P303" s="91">
        <v>99.91</v>
      </c>
    </row>
    <row r="304" spans="2:16">
      <c r="B304" s="41"/>
      <c r="C304" s="61">
        <f t="shared" si="23"/>
        <v>44102</v>
      </c>
      <c r="E304" s="170"/>
      <c r="F304" s="58" t="str">
        <f>VLOOKUP(MOD(C304,7),'CALENDAR INFO'!$I$2:$J$8,2)</f>
        <v>MON</v>
      </c>
      <c r="G304" s="213">
        <v>0.09</v>
      </c>
      <c r="H304" s="425">
        <v>0.08</v>
      </c>
      <c r="I304" s="457">
        <f t="shared" si="24"/>
        <v>-9.999999999999995E-3</v>
      </c>
      <c r="J304" s="433"/>
      <c r="K304" s="187"/>
      <c r="L304" s="195"/>
      <c r="M304" s="63">
        <f t="shared" si="26"/>
        <v>1</v>
      </c>
      <c r="N304" s="64">
        <f t="shared" si="25"/>
        <v>1.0000022222222222</v>
      </c>
      <c r="O304" s="89" t="s">
        <v>76</v>
      </c>
      <c r="P304" s="91">
        <v>99.914000000000001</v>
      </c>
    </row>
    <row r="305" spans="1:16">
      <c r="B305" s="41"/>
      <c r="C305" s="61">
        <f t="shared" si="23"/>
        <v>44103</v>
      </c>
      <c r="E305" s="170"/>
      <c r="F305" s="58" t="str">
        <f>VLOOKUP(MOD(C305,7),'CALENDAR INFO'!$I$2:$J$8,2)</f>
        <v>TUE</v>
      </c>
      <c r="G305" s="213">
        <v>0.09</v>
      </c>
      <c r="H305" s="425">
        <v>7.0000000000000007E-2</v>
      </c>
      <c r="I305" s="457">
        <f t="shared" si="24"/>
        <v>-1.999999999999999E-2</v>
      </c>
      <c r="K305" s="178"/>
      <c r="M305" s="63">
        <f t="shared" si="26"/>
        <v>1</v>
      </c>
      <c r="N305" s="64">
        <f t="shared" si="25"/>
        <v>1.0000019444444443</v>
      </c>
    </row>
    <row r="306" spans="1:16" s="79" customFormat="1" ht="15.75" thickBot="1">
      <c r="A306" s="98"/>
      <c r="B306" s="230"/>
      <c r="C306" s="75">
        <f t="shared" si="23"/>
        <v>44104</v>
      </c>
      <c r="D306" s="112"/>
      <c r="E306" s="101"/>
      <c r="F306" s="71" t="str">
        <f>VLOOKUP(MOD(C306,7),'CALENDAR INFO'!$I$2:$J$8,2)</f>
        <v>WED</v>
      </c>
      <c r="G306" s="216">
        <v>0.09</v>
      </c>
      <c r="H306" s="426">
        <v>0.08</v>
      </c>
      <c r="I306" s="458">
        <f t="shared" si="24"/>
        <v>-9.999999999999995E-3</v>
      </c>
      <c r="J306" s="434"/>
      <c r="K306" s="181"/>
      <c r="L306" s="196"/>
      <c r="M306" s="114">
        <f t="shared" si="26"/>
        <v>1</v>
      </c>
      <c r="N306" s="77">
        <f t="shared" si="25"/>
        <v>1.0000022222222222</v>
      </c>
      <c r="O306" s="78"/>
      <c r="P306" s="73"/>
    </row>
    <row r="307" spans="1:16">
      <c r="B307" s="41"/>
      <c r="C307" s="61">
        <f t="shared" si="23"/>
        <v>44105</v>
      </c>
      <c r="E307" s="170"/>
      <c r="F307" s="58" t="str">
        <f>VLOOKUP(MOD(C307,7),'CALENDAR INFO'!$I$2:$J$8,2)</f>
        <v>THU</v>
      </c>
      <c r="G307" s="213">
        <v>0.09</v>
      </c>
      <c r="H307" s="425">
        <v>0.08</v>
      </c>
      <c r="I307" s="457">
        <f t="shared" si="24"/>
        <v>-9.999999999999995E-3</v>
      </c>
      <c r="J307" s="15" t="s">
        <v>118</v>
      </c>
      <c r="K307" s="15">
        <f>VLOOKUP(MONTH($C307),'CALENDAR INFO'!$I$12:$J$23,2)</f>
        <v>31</v>
      </c>
      <c r="L307" s="179">
        <f>K307</f>
        <v>31</v>
      </c>
      <c r="M307" s="113">
        <f t="shared" si="26"/>
        <v>1</v>
      </c>
      <c r="N307" s="64">
        <f t="shared" si="25"/>
        <v>1.0000022222222222</v>
      </c>
    </row>
    <row r="308" spans="1:16">
      <c r="B308" s="41"/>
      <c r="C308" s="61">
        <f t="shared" si="23"/>
        <v>44106</v>
      </c>
      <c r="E308" s="170"/>
      <c r="F308" s="58" t="str">
        <f>VLOOKUP(MOD(C308,7),'CALENDAR INFO'!$I$2:$J$8,2)</f>
        <v>FRI</v>
      </c>
      <c r="G308" s="213">
        <v>0.09</v>
      </c>
      <c r="H308" s="425">
        <v>0.1</v>
      </c>
      <c r="I308" s="457">
        <f t="shared" si="24"/>
        <v>1.0000000000000009E-2</v>
      </c>
      <c r="J308" s="15" t="s">
        <v>151</v>
      </c>
      <c r="K308" s="15">
        <f>ROW($C308)-1</f>
        <v>307</v>
      </c>
      <c r="L308" s="179">
        <f>K308</f>
        <v>307</v>
      </c>
      <c r="M308" s="113">
        <f t="shared" si="26"/>
        <v>3</v>
      </c>
      <c r="N308" s="64">
        <f t="shared" si="25"/>
        <v>1.0000083333333334</v>
      </c>
    </row>
    <row r="309" spans="1:16">
      <c r="B309" s="41"/>
      <c r="C309" s="61">
        <f t="shared" si="23"/>
        <v>44107</v>
      </c>
      <c r="E309" s="170"/>
      <c r="F309" s="58" t="str">
        <f>VLOOKUP(MOD(C309,7),'CALENDAR INFO'!$I$2:$J$8,2)</f>
        <v>SAT</v>
      </c>
      <c r="G309" s="213">
        <v>0.09</v>
      </c>
      <c r="H309" s="425">
        <v>0.1</v>
      </c>
      <c r="I309" s="457">
        <f t="shared" si="24"/>
        <v>1.0000000000000009E-2</v>
      </c>
      <c r="J309" s="15" t="s">
        <v>152</v>
      </c>
      <c r="K309" s="15">
        <f>K307+K308-1</f>
        <v>337</v>
      </c>
      <c r="L309" s="93">
        <f>K309</f>
        <v>337</v>
      </c>
      <c r="M309" s="113">
        <f t="shared" si="26"/>
        <v>0</v>
      </c>
      <c r="N309" s="64">
        <f t="shared" si="25"/>
        <v>1</v>
      </c>
    </row>
    <row r="310" spans="1:16">
      <c r="B310" s="41"/>
      <c r="C310" s="61">
        <f t="shared" si="23"/>
        <v>44108</v>
      </c>
      <c r="E310" s="170"/>
      <c r="F310" s="58" t="str">
        <f>VLOOKUP(MOD(C310,7),'CALENDAR INFO'!$I$2:$J$8,2)</f>
        <v>SUN</v>
      </c>
      <c r="G310" s="213">
        <v>0.09</v>
      </c>
      <c r="H310" s="425">
        <v>0.1</v>
      </c>
      <c r="I310" s="457">
        <f t="shared" si="24"/>
        <v>1.0000000000000009E-2</v>
      </c>
      <c r="M310" s="113">
        <f t="shared" si="26"/>
        <v>0</v>
      </c>
      <c r="N310" s="64">
        <f t="shared" si="25"/>
        <v>1</v>
      </c>
    </row>
    <row r="311" spans="1:16">
      <c r="B311" s="41"/>
      <c r="C311" s="61">
        <f t="shared" si="23"/>
        <v>44109</v>
      </c>
      <c r="E311" s="170"/>
      <c r="F311" s="58" t="str">
        <f>VLOOKUP(MOD(C311,7),'CALENDAR INFO'!$I$2:$J$8,2)</f>
        <v>MON</v>
      </c>
      <c r="G311" s="213">
        <v>0.09</v>
      </c>
      <c r="H311" s="425">
        <v>0.09</v>
      </c>
      <c r="I311" s="457">
        <f t="shared" si="24"/>
        <v>0</v>
      </c>
      <c r="J311" s="15" t="s">
        <v>153</v>
      </c>
      <c r="K311" s="15" t="str">
        <f>_xlfn.CONCAT("A",TEXT(K308,0),":","A",TEXT(K309,0))</f>
        <v>A307:A337</v>
      </c>
      <c r="L311" s="93" t="str">
        <f>_xlfn.CONCAT("B",TEXT(L308,0),":","B",TEXT(L309,0))</f>
        <v>B307:B337</v>
      </c>
      <c r="M311" s="113">
        <f t="shared" si="26"/>
        <v>1</v>
      </c>
      <c r="N311" s="64">
        <f t="shared" si="25"/>
        <v>1.0000024999999999</v>
      </c>
    </row>
    <row r="312" spans="1:16">
      <c r="B312" s="41"/>
      <c r="C312" s="61">
        <f t="shared" si="23"/>
        <v>44110</v>
      </c>
      <c r="E312" s="170"/>
      <c r="F312" s="58" t="str">
        <f>VLOOKUP(MOD(C312,7),'CALENDAR INFO'!$I$2:$J$8,2)</f>
        <v>TUE</v>
      </c>
      <c r="G312" s="213">
        <v>0.09</v>
      </c>
      <c r="H312" s="425">
        <v>0.1</v>
      </c>
      <c r="I312" s="457">
        <f t="shared" si="24"/>
        <v>1.0000000000000009E-2</v>
      </c>
      <c r="J312" s="15" t="s">
        <v>154</v>
      </c>
      <c r="K312" s="15" t="str">
        <f>_xlfn.CONCAT("F",TEXT(K308,0),":","F",TEXT(K309,0))</f>
        <v>F307:F337</v>
      </c>
      <c r="L312" s="179" t="str">
        <f>_xlfn.CONCAT("G",TEXT(L308,0),":","G",TEXT(L309,0))</f>
        <v>G307:G337</v>
      </c>
      <c r="M312" s="113">
        <f t="shared" si="26"/>
        <v>1</v>
      </c>
      <c r="N312" s="64">
        <f t="shared" si="25"/>
        <v>1.0000027777777778</v>
      </c>
    </row>
    <row r="313" spans="1:16">
      <c r="B313" s="41"/>
      <c r="C313" s="61">
        <f t="shared" si="23"/>
        <v>44111</v>
      </c>
      <c r="E313" s="170" t="s">
        <v>19</v>
      </c>
      <c r="F313" s="58" t="str">
        <f>VLOOKUP(MOD(C313,7),'CALENDAR INFO'!$I$2:$J$8,2)</f>
        <v>WED</v>
      </c>
      <c r="G313" s="213">
        <v>0.09</v>
      </c>
      <c r="H313" s="425">
        <v>0.09</v>
      </c>
      <c r="I313" s="457">
        <f t="shared" si="24"/>
        <v>0</v>
      </c>
      <c r="L313" s="200"/>
      <c r="M313" s="113">
        <f t="shared" si="26"/>
        <v>1</v>
      </c>
      <c r="N313" s="64">
        <f t="shared" si="25"/>
        <v>1.0000024999999999</v>
      </c>
    </row>
    <row r="314" spans="1:16">
      <c r="B314" s="41"/>
      <c r="C314" s="61">
        <f t="shared" si="23"/>
        <v>44112</v>
      </c>
      <c r="E314" s="167" t="s">
        <v>18</v>
      </c>
      <c r="F314" s="58" t="str">
        <f>VLOOKUP(MOD(C314,7),'CALENDAR INFO'!$I$2:$J$8,2)</f>
        <v>THU</v>
      </c>
      <c r="G314" s="213">
        <v>0.09</v>
      </c>
      <c r="H314" s="425">
        <v>0.08</v>
      </c>
      <c r="I314" s="457">
        <f t="shared" si="24"/>
        <v>-9.999999999999995E-3</v>
      </c>
      <c r="J314" s="15" t="s">
        <v>155</v>
      </c>
      <c r="K314" s="15">
        <f ca="1">SUM(INDIRECT(K311))</f>
        <v>0</v>
      </c>
      <c r="L314" s="179">
        <f ca="1">SUM(INDIRECT(L311))</f>
        <v>0</v>
      </c>
      <c r="M314" s="113">
        <f t="shared" si="26"/>
        <v>1</v>
      </c>
      <c r="N314" s="64">
        <f t="shared" si="25"/>
        <v>1.0000022222222222</v>
      </c>
    </row>
    <row r="315" spans="1:16">
      <c r="B315" s="41"/>
      <c r="C315" s="61">
        <f t="shared" si="23"/>
        <v>44113</v>
      </c>
      <c r="E315" s="167"/>
      <c r="F315" s="58" t="str">
        <f>VLOOKUP(MOD(C315,7),'CALENDAR INFO'!$I$2:$J$8,2)</f>
        <v>FRI</v>
      </c>
      <c r="G315" s="213">
        <v>0.09</v>
      </c>
      <c r="H315" s="425">
        <v>0.09</v>
      </c>
      <c r="I315" s="457">
        <f t="shared" si="24"/>
        <v>0</v>
      </c>
      <c r="J315" s="15" t="s">
        <v>156</v>
      </c>
      <c r="K315" s="207">
        <f ca="1">SUM(INDIRECT(K312))</f>
        <v>0</v>
      </c>
      <c r="L315" s="208">
        <f ca="1">SUM(INDIRECT(L312))</f>
        <v>2.7899999999999996</v>
      </c>
      <c r="M315" s="117">
        <f>IF(MOD(C315,7)&lt;2,0,IF(MOD(C315,7)=6,3,1))+1</f>
        <v>4</v>
      </c>
      <c r="N315" s="64">
        <f t="shared" si="25"/>
        <v>1.0000100000000001</v>
      </c>
    </row>
    <row r="316" spans="1:16">
      <c r="B316" s="41"/>
      <c r="C316" s="61">
        <f t="shared" si="23"/>
        <v>44114</v>
      </c>
      <c r="E316" s="167"/>
      <c r="F316" s="58" t="str">
        <f>VLOOKUP(MOD(C316,7),'CALENDAR INFO'!$I$2:$J$8,2)</f>
        <v>SAT</v>
      </c>
      <c r="G316" s="213">
        <v>0.09</v>
      </c>
      <c r="H316" s="425">
        <v>0.09</v>
      </c>
      <c r="I316" s="457">
        <f t="shared" si="24"/>
        <v>0</v>
      </c>
      <c r="J316" s="15" t="s">
        <v>157</v>
      </c>
      <c r="K316" s="178">
        <f ca="1">K314+K315</f>
        <v>0</v>
      </c>
      <c r="L316" s="192">
        <f ca="1">L314+L315</f>
        <v>2.7899999999999996</v>
      </c>
      <c r="M316" s="113">
        <f>IF(MOD(C316,7)&lt;2,0,IF(MOD(C316,7)=6,3,1))</f>
        <v>0</v>
      </c>
      <c r="N316" s="64">
        <f t="shared" si="25"/>
        <v>1</v>
      </c>
    </row>
    <row r="317" spans="1:16">
      <c r="B317" s="41"/>
      <c r="C317" s="61">
        <f t="shared" si="23"/>
        <v>44115</v>
      </c>
      <c r="E317" s="167"/>
      <c r="F317" s="58" t="str">
        <f>VLOOKUP(MOD(C317,7),'CALENDAR INFO'!$I$2:$J$8,2)</f>
        <v>SUN</v>
      </c>
      <c r="G317" s="213">
        <v>0.09</v>
      </c>
      <c r="H317" s="425">
        <v>0.09</v>
      </c>
      <c r="I317" s="457">
        <f t="shared" si="24"/>
        <v>0</v>
      </c>
      <c r="K317" s="178"/>
      <c r="L317" s="192"/>
      <c r="M317" s="113">
        <f>IF(MOD(C317,7)&lt;2,0,IF(MOD(C317,7)=6,3,1))</f>
        <v>0</v>
      </c>
      <c r="N317" s="64">
        <f t="shared" si="25"/>
        <v>1</v>
      </c>
    </row>
    <row r="318" spans="1:16">
      <c r="B318" s="41"/>
      <c r="C318" s="61">
        <f t="shared" si="23"/>
        <v>44116</v>
      </c>
      <c r="D318" s="173" t="s">
        <v>58</v>
      </c>
      <c r="E318" s="167"/>
      <c r="F318" s="58" t="str">
        <f>VLOOKUP(MOD(C318,7),'CALENDAR INFO'!$I$2:$J$8,2)</f>
        <v>MON</v>
      </c>
      <c r="G318" s="213">
        <v>0.09</v>
      </c>
      <c r="H318" s="425">
        <v>0.09</v>
      </c>
      <c r="I318" s="457">
        <f t="shared" si="24"/>
        <v>0</v>
      </c>
      <c r="J318" s="15" t="s">
        <v>158</v>
      </c>
      <c r="K318" s="178">
        <f ca="1">K316/K307</f>
        <v>0</v>
      </c>
      <c r="L318" s="192">
        <f ca="1">L316/L307</f>
        <v>8.9999999999999983E-2</v>
      </c>
      <c r="M318" s="117">
        <f>IF(MOD(C318,7)&lt;2,0,IF(MOD(C318,7)=6,3,1))-1</f>
        <v>0</v>
      </c>
      <c r="N318" s="64">
        <f t="shared" si="25"/>
        <v>1</v>
      </c>
    </row>
    <row r="319" spans="1:16">
      <c r="B319" s="41"/>
      <c r="C319" s="61">
        <f t="shared" si="23"/>
        <v>44117</v>
      </c>
      <c r="E319" s="167"/>
      <c r="F319" s="58" t="str">
        <f>VLOOKUP(MOD(C319,7),'CALENDAR INFO'!$I$2:$J$8,2)</f>
        <v>TUE</v>
      </c>
      <c r="G319" s="213">
        <v>0.09</v>
      </c>
      <c r="H319" s="425">
        <v>0.09</v>
      </c>
      <c r="I319" s="457">
        <f t="shared" si="24"/>
        <v>0</v>
      </c>
      <c r="J319" s="177" t="s">
        <v>159</v>
      </c>
      <c r="K319" s="180">
        <f ca="1">100-K318</f>
        <v>100</v>
      </c>
      <c r="L319" s="193">
        <f ca="1">100-L318</f>
        <v>99.91</v>
      </c>
      <c r="M319" s="113">
        <f t="shared" ref="M319:M346" si="27">IF(MOD(C319,7)&lt;2,0,IF(MOD(C319,7)=6,3,1))</f>
        <v>1</v>
      </c>
      <c r="N319" s="64">
        <f t="shared" si="25"/>
        <v>1.0000024999999999</v>
      </c>
    </row>
    <row r="320" spans="1:16">
      <c r="B320" s="41"/>
      <c r="C320" s="61">
        <f t="shared" si="23"/>
        <v>44118</v>
      </c>
      <c r="E320" s="167"/>
      <c r="F320" s="58" t="str">
        <f>VLOOKUP(MOD(C320,7),'CALENDAR INFO'!$I$2:$J$8,2)</f>
        <v>WED</v>
      </c>
      <c r="G320" s="213">
        <v>0.09</v>
      </c>
      <c r="H320" s="425">
        <v>0.09</v>
      </c>
      <c r="I320" s="457">
        <f t="shared" si="24"/>
        <v>0</v>
      </c>
      <c r="K320" s="178"/>
      <c r="L320" s="192"/>
      <c r="M320" s="113">
        <f t="shared" si="27"/>
        <v>1</v>
      </c>
      <c r="N320" s="64">
        <f t="shared" si="25"/>
        <v>1.0000024999999999</v>
      </c>
    </row>
    <row r="321" spans="1:17">
      <c r="B321" s="41"/>
      <c r="C321" s="61">
        <f t="shared" ref="C321:C328" si="28">C320+1</f>
        <v>44119</v>
      </c>
      <c r="E321" s="167"/>
      <c r="F321" s="58" t="str">
        <f>VLOOKUP(MOD(C321,7),'CALENDAR INFO'!$I$2:$J$8,2)</f>
        <v>THU</v>
      </c>
      <c r="G321" s="213">
        <v>0.09</v>
      </c>
      <c r="H321" s="425">
        <v>0.1</v>
      </c>
      <c r="I321" s="457">
        <f t="shared" si="24"/>
        <v>1.0000000000000009E-2</v>
      </c>
      <c r="J321" s="176"/>
      <c r="K321" s="186"/>
      <c r="L321" s="194"/>
      <c r="M321" s="113">
        <f t="shared" si="27"/>
        <v>1</v>
      </c>
      <c r="N321" s="64">
        <f t="shared" si="25"/>
        <v>1.0000027777777778</v>
      </c>
    </row>
    <row r="322" spans="1:17">
      <c r="B322" s="41"/>
      <c r="C322" s="61">
        <f t="shared" si="28"/>
        <v>44120</v>
      </c>
      <c r="E322" s="167"/>
      <c r="F322" s="58" t="str">
        <f>VLOOKUP(MOD(C322,7),'CALENDAR INFO'!$I$2:$J$8,2)</f>
        <v>FRI</v>
      </c>
      <c r="G322" s="213">
        <v>0.09</v>
      </c>
      <c r="H322" s="425">
        <v>0.09</v>
      </c>
      <c r="I322" s="457">
        <f t="shared" si="24"/>
        <v>0</v>
      </c>
      <c r="M322" s="113">
        <f t="shared" si="27"/>
        <v>3</v>
      </c>
      <c r="N322" s="64">
        <f t="shared" si="25"/>
        <v>1.0000074999999999</v>
      </c>
    </row>
    <row r="323" spans="1:17">
      <c r="B323" s="41"/>
      <c r="C323" s="61">
        <f t="shared" si="28"/>
        <v>44121</v>
      </c>
      <c r="E323" s="167"/>
      <c r="F323" s="58" t="str">
        <f>VLOOKUP(MOD(C323,7),'CALENDAR INFO'!$I$2:$J$8,2)</f>
        <v>SAT</v>
      </c>
      <c r="G323" s="213">
        <v>0.09</v>
      </c>
      <c r="H323" s="425">
        <v>0.09</v>
      </c>
      <c r="I323" s="457">
        <f t="shared" ref="I323:I386" si="29">H323-G323</f>
        <v>0</v>
      </c>
      <c r="M323" s="113">
        <f t="shared" si="27"/>
        <v>0</v>
      </c>
      <c r="N323" s="64">
        <f t="shared" si="25"/>
        <v>1</v>
      </c>
    </row>
    <row r="324" spans="1:17">
      <c r="B324" s="41"/>
      <c r="C324" s="61">
        <f t="shared" si="28"/>
        <v>44122</v>
      </c>
      <c r="E324" s="167"/>
      <c r="F324" s="58" t="str">
        <f>VLOOKUP(MOD(C324,7),'CALENDAR INFO'!$I$2:$J$8,2)</f>
        <v>SUN</v>
      </c>
      <c r="G324" s="213">
        <v>0.09</v>
      </c>
      <c r="H324" s="425">
        <v>0.09</v>
      </c>
      <c r="I324" s="457">
        <f t="shared" si="29"/>
        <v>0</v>
      </c>
      <c r="M324" s="113">
        <f t="shared" si="27"/>
        <v>0</v>
      </c>
      <c r="N324" s="64">
        <f t="shared" si="25"/>
        <v>1</v>
      </c>
    </row>
    <row r="325" spans="1:17">
      <c r="B325" s="41"/>
      <c r="C325" s="61">
        <f t="shared" si="28"/>
        <v>44123</v>
      </c>
      <c r="E325" s="167"/>
      <c r="F325" s="58" t="str">
        <f>VLOOKUP(MOD(C325,7),'CALENDAR INFO'!$I$2:$J$8,2)</f>
        <v>MON</v>
      </c>
      <c r="G325" s="213">
        <v>0.09</v>
      </c>
      <c r="H325" s="425">
        <v>0.09</v>
      </c>
      <c r="I325" s="457">
        <f t="shared" si="29"/>
        <v>0</v>
      </c>
      <c r="M325" s="113">
        <f t="shared" si="27"/>
        <v>1</v>
      </c>
      <c r="N325" s="64">
        <f t="shared" si="25"/>
        <v>1.0000024999999999</v>
      </c>
    </row>
    <row r="326" spans="1:17">
      <c r="B326" s="41"/>
      <c r="C326" s="61">
        <f t="shared" si="28"/>
        <v>44124</v>
      </c>
      <c r="E326" s="167"/>
      <c r="F326" s="58" t="str">
        <f>VLOOKUP(MOD(C326,7),'CALENDAR INFO'!$I$2:$J$8,2)</f>
        <v>TUE</v>
      </c>
      <c r="G326" s="213">
        <v>0.09</v>
      </c>
      <c r="H326" s="425">
        <v>0.08</v>
      </c>
      <c r="I326" s="457">
        <f t="shared" si="29"/>
        <v>-9.999999999999995E-3</v>
      </c>
      <c r="M326" s="113">
        <f t="shared" si="27"/>
        <v>1</v>
      </c>
      <c r="N326" s="64">
        <f t="shared" si="25"/>
        <v>1.0000022222222222</v>
      </c>
    </row>
    <row r="327" spans="1:17">
      <c r="B327" s="41"/>
      <c r="C327" s="61">
        <f t="shared" si="28"/>
        <v>44125</v>
      </c>
      <c r="E327" s="167" t="s">
        <v>19</v>
      </c>
      <c r="F327" s="58" t="str">
        <f>VLOOKUP(MOD(C327,7),'CALENDAR INFO'!$I$2:$J$8,2)</f>
        <v>WED</v>
      </c>
      <c r="G327" s="213">
        <v>0.09</v>
      </c>
      <c r="H327" s="425">
        <v>7.0000000000000007E-2</v>
      </c>
      <c r="I327" s="457">
        <f t="shared" si="29"/>
        <v>-1.999999999999999E-2</v>
      </c>
      <c r="M327" s="113">
        <f t="shared" si="27"/>
        <v>1</v>
      </c>
      <c r="N327" s="64">
        <f t="shared" si="25"/>
        <v>1.0000019444444443</v>
      </c>
    </row>
    <row r="328" spans="1:17">
      <c r="B328" s="41"/>
      <c r="C328" s="61">
        <f t="shared" si="28"/>
        <v>44126</v>
      </c>
      <c r="E328" s="170" t="s">
        <v>18</v>
      </c>
      <c r="F328" s="58" t="str">
        <f>VLOOKUP(MOD(C328,7),'CALENDAR INFO'!$I$2:$J$8,2)</f>
        <v>THU</v>
      </c>
      <c r="G328" s="213">
        <v>0.09</v>
      </c>
      <c r="H328" s="425">
        <v>7.0000000000000007E-2</v>
      </c>
      <c r="I328" s="457">
        <f t="shared" si="29"/>
        <v>-1.999999999999999E-2</v>
      </c>
      <c r="M328" s="113">
        <f t="shared" si="27"/>
        <v>1</v>
      </c>
      <c r="N328" s="64">
        <f t="shared" si="25"/>
        <v>1.0000019444444443</v>
      </c>
    </row>
    <row r="329" spans="1:17">
      <c r="B329" s="41"/>
      <c r="C329" s="61">
        <f t="shared" ref="C329:C372" si="30">C328+1</f>
        <v>44127</v>
      </c>
      <c r="E329" s="170"/>
      <c r="F329" s="58" t="str">
        <f>VLOOKUP(MOD(C329,7),'CALENDAR INFO'!$I$2:$J$8,2)</f>
        <v>FRI</v>
      </c>
      <c r="G329" s="213">
        <v>0.09</v>
      </c>
      <c r="H329" s="425">
        <v>0.08</v>
      </c>
      <c r="I329" s="457">
        <f t="shared" si="29"/>
        <v>-9.999999999999995E-3</v>
      </c>
      <c r="M329" s="113">
        <f t="shared" si="27"/>
        <v>3</v>
      </c>
      <c r="N329" s="64">
        <f t="shared" si="25"/>
        <v>1.0000066666666667</v>
      </c>
    </row>
    <row r="330" spans="1:17">
      <c r="B330" s="41"/>
      <c r="C330" s="61">
        <f t="shared" si="30"/>
        <v>44128</v>
      </c>
      <c r="E330" s="170"/>
      <c r="F330" s="58" t="str">
        <f>VLOOKUP(MOD(C330,7),'CALENDAR INFO'!$I$2:$J$8,2)</f>
        <v>SAT</v>
      </c>
      <c r="G330" s="213">
        <v>0.09</v>
      </c>
      <c r="H330" s="425">
        <v>0.08</v>
      </c>
      <c r="I330" s="457">
        <f t="shared" si="29"/>
        <v>-9.999999999999995E-3</v>
      </c>
      <c r="M330" s="113">
        <f t="shared" si="27"/>
        <v>0</v>
      </c>
      <c r="N330" s="64">
        <f t="shared" si="25"/>
        <v>1</v>
      </c>
    </row>
    <row r="331" spans="1:17">
      <c r="B331" s="41"/>
      <c r="C331" s="61">
        <f t="shared" si="30"/>
        <v>44129</v>
      </c>
      <c r="E331" s="170"/>
      <c r="F331" s="58" t="str">
        <f>VLOOKUP(MOD(C331,7),'CALENDAR INFO'!$I$2:$J$8,2)</f>
        <v>SUN</v>
      </c>
      <c r="G331" s="213">
        <v>0.09</v>
      </c>
      <c r="H331" s="425">
        <v>0.08</v>
      </c>
      <c r="I331" s="457">
        <f t="shared" si="29"/>
        <v>-9.999999999999995E-3</v>
      </c>
      <c r="M331" s="113">
        <f t="shared" si="27"/>
        <v>0</v>
      </c>
      <c r="N331" s="64">
        <f t="shared" si="25"/>
        <v>1</v>
      </c>
    </row>
    <row r="332" spans="1:17">
      <c r="B332" s="41"/>
      <c r="C332" s="61">
        <f t="shared" si="30"/>
        <v>44130</v>
      </c>
      <c r="E332" s="170"/>
      <c r="F332" s="58" t="str">
        <f>VLOOKUP(MOD(C332,7),'CALENDAR INFO'!$I$2:$J$8,2)</f>
        <v>MON</v>
      </c>
      <c r="G332" s="213">
        <v>0.09</v>
      </c>
      <c r="H332" s="425">
        <v>0.09</v>
      </c>
      <c r="I332" s="457">
        <f t="shared" si="29"/>
        <v>0</v>
      </c>
      <c r="K332" s="178"/>
      <c r="M332" s="113">
        <f t="shared" si="27"/>
        <v>1</v>
      </c>
      <c r="N332" s="64">
        <f t="shared" si="25"/>
        <v>1.0000024999999999</v>
      </c>
    </row>
    <row r="333" spans="1:17">
      <c r="B333" s="41"/>
      <c r="C333" s="61">
        <f t="shared" si="30"/>
        <v>44131</v>
      </c>
      <c r="E333" s="170"/>
      <c r="F333" s="58" t="str">
        <f>VLOOKUP(MOD(C333,7),'CALENDAR INFO'!$I$2:$J$8,2)</f>
        <v>TUE</v>
      </c>
      <c r="G333" s="213">
        <v>0.09</v>
      </c>
      <c r="H333" s="425">
        <v>0.09</v>
      </c>
      <c r="I333" s="457">
        <f t="shared" si="29"/>
        <v>0</v>
      </c>
      <c r="M333" s="113">
        <f t="shared" si="27"/>
        <v>1</v>
      </c>
      <c r="N333" s="64">
        <f t="shared" si="25"/>
        <v>1.0000024999999999</v>
      </c>
      <c r="O333" s="89" t="s">
        <v>93</v>
      </c>
      <c r="P333" s="90"/>
    </row>
    <row r="334" spans="1:17">
      <c r="B334" s="41"/>
      <c r="C334" s="61">
        <f t="shared" si="30"/>
        <v>44132</v>
      </c>
      <c r="E334" s="170"/>
      <c r="F334" s="58" t="str">
        <f>VLOOKUP(MOD(C334,7),'CALENDAR INFO'!$I$2:$J$8,2)</f>
        <v>WED</v>
      </c>
      <c r="G334" s="213">
        <v>0.09</v>
      </c>
      <c r="H334" s="425">
        <v>0.08</v>
      </c>
      <c r="I334" s="457">
        <f t="shared" si="29"/>
        <v>-9.999999999999995E-3</v>
      </c>
      <c r="K334" s="189"/>
      <c r="M334" s="113">
        <f t="shared" si="27"/>
        <v>1</v>
      </c>
      <c r="N334" s="64">
        <f t="shared" si="25"/>
        <v>1.0000022222222222</v>
      </c>
      <c r="O334" s="89" t="s">
        <v>26</v>
      </c>
      <c r="P334" s="91">
        <v>99.91</v>
      </c>
      <c r="Q334" s="17" t="s">
        <v>107</v>
      </c>
    </row>
    <row r="335" spans="1:17">
      <c r="B335" s="41"/>
      <c r="C335" s="61">
        <f t="shared" si="30"/>
        <v>44133</v>
      </c>
      <c r="E335" s="170"/>
      <c r="F335" s="58" t="str">
        <f>VLOOKUP(MOD(C335,7),'CALENDAR INFO'!$I$2:$J$8,2)</f>
        <v>THU</v>
      </c>
      <c r="G335" s="213">
        <v>0.09</v>
      </c>
      <c r="H335" s="425">
        <v>0.09</v>
      </c>
      <c r="I335" s="457">
        <f t="shared" si="29"/>
        <v>0</v>
      </c>
      <c r="J335" s="433"/>
      <c r="K335" s="187"/>
      <c r="L335" s="195"/>
      <c r="M335" s="113">
        <f t="shared" si="27"/>
        <v>1</v>
      </c>
      <c r="N335" s="64">
        <f t="shared" si="25"/>
        <v>1.0000024999999999</v>
      </c>
      <c r="O335" s="89" t="s">
        <v>76</v>
      </c>
      <c r="P335" s="91">
        <v>99.912000000000006</v>
      </c>
      <c r="Q335" s="17" t="s">
        <v>107</v>
      </c>
    </row>
    <row r="336" spans="1:17">
      <c r="A336" s="80"/>
      <c r="B336" s="227"/>
      <c r="C336" s="61">
        <f t="shared" si="30"/>
        <v>44134</v>
      </c>
      <c r="E336" s="170"/>
      <c r="F336" s="58" t="str">
        <f>VLOOKUP(MOD(C336,7),'CALENDAR INFO'!$I$2:$J$8,2)</f>
        <v>FRI</v>
      </c>
      <c r="G336" s="213">
        <v>0.09</v>
      </c>
      <c r="H336" s="425">
        <v>0.09</v>
      </c>
      <c r="I336" s="457">
        <f t="shared" si="29"/>
        <v>0</v>
      </c>
      <c r="K336" s="178"/>
      <c r="M336" s="113">
        <f t="shared" si="27"/>
        <v>3</v>
      </c>
      <c r="N336" s="64">
        <f t="shared" si="25"/>
        <v>1.0000074999999999</v>
      </c>
    </row>
    <row r="337" spans="1:16" s="79" customFormat="1" ht="15.75" thickBot="1">
      <c r="A337" s="72"/>
      <c r="B337" s="226"/>
      <c r="C337" s="75">
        <f t="shared" si="30"/>
        <v>44135</v>
      </c>
      <c r="D337" s="112"/>
      <c r="E337" s="101"/>
      <c r="F337" s="71" t="str">
        <f>VLOOKUP(MOD(C337,7),'CALENDAR INFO'!$I$2:$J$8,2)</f>
        <v>SAT</v>
      </c>
      <c r="G337" s="216">
        <v>0.09</v>
      </c>
      <c r="H337" s="426">
        <v>0.09</v>
      </c>
      <c r="I337" s="458">
        <f t="shared" si="29"/>
        <v>0</v>
      </c>
      <c r="J337" s="434"/>
      <c r="K337" s="188"/>
      <c r="L337" s="196"/>
      <c r="M337" s="114">
        <f t="shared" si="27"/>
        <v>0</v>
      </c>
      <c r="N337" s="77">
        <f t="shared" si="25"/>
        <v>1</v>
      </c>
      <c r="O337" s="78"/>
      <c r="P337" s="73"/>
    </row>
    <row r="338" spans="1:16">
      <c r="A338" s="80"/>
      <c r="B338" s="227"/>
      <c r="C338" s="61">
        <f t="shared" si="30"/>
        <v>44136</v>
      </c>
      <c r="E338" s="170"/>
      <c r="F338" s="58" t="str">
        <f>VLOOKUP(MOD(C338,7),'CALENDAR INFO'!$I$2:$J$8,2)</f>
        <v>SUN</v>
      </c>
      <c r="G338" s="214">
        <v>0.09</v>
      </c>
      <c r="H338" s="425">
        <v>0.09</v>
      </c>
      <c r="I338" s="457">
        <f t="shared" si="29"/>
        <v>0</v>
      </c>
      <c r="J338" s="15" t="s">
        <v>118</v>
      </c>
      <c r="K338" s="15">
        <f>VLOOKUP(MONTH($C338),'CALENDAR INFO'!$I$12:$J$23,2)</f>
        <v>30</v>
      </c>
      <c r="L338" s="179">
        <f>K338</f>
        <v>30</v>
      </c>
      <c r="M338" s="113">
        <f t="shared" si="27"/>
        <v>0</v>
      </c>
      <c r="N338" s="64">
        <f t="shared" si="25"/>
        <v>1</v>
      </c>
    </row>
    <row r="339" spans="1:16">
      <c r="B339" s="41"/>
      <c r="C339" s="61">
        <f t="shared" si="30"/>
        <v>44137</v>
      </c>
      <c r="E339" s="170"/>
      <c r="F339" s="58" t="str">
        <f>VLOOKUP(MOD(C339,7),'CALENDAR INFO'!$I$2:$J$8,2)</f>
        <v>MON</v>
      </c>
      <c r="G339" s="213">
        <v>0.09</v>
      </c>
      <c r="H339" s="425">
        <v>0.11</v>
      </c>
      <c r="I339" s="457">
        <f t="shared" si="29"/>
        <v>2.0000000000000004E-2</v>
      </c>
      <c r="J339" s="15" t="s">
        <v>151</v>
      </c>
      <c r="K339" s="15">
        <f>ROW($C339)-1</f>
        <v>338</v>
      </c>
      <c r="L339" s="179">
        <f>K339</f>
        <v>338</v>
      </c>
      <c r="M339" s="113">
        <f t="shared" si="27"/>
        <v>1</v>
      </c>
      <c r="N339" s="64">
        <f t="shared" ref="N339:N402" si="31">1+(M339/360)*(MAX(H339,B339)/100)</f>
        <v>1.0000030555555555</v>
      </c>
    </row>
    <row r="340" spans="1:16">
      <c r="B340" s="41"/>
      <c r="C340" s="61">
        <f t="shared" si="30"/>
        <v>44138</v>
      </c>
      <c r="E340" s="170"/>
      <c r="F340" s="58" t="str">
        <f>VLOOKUP(MOD(C340,7),'CALENDAR INFO'!$I$2:$J$8,2)</f>
        <v>TUE</v>
      </c>
      <c r="G340" s="213">
        <v>0.09</v>
      </c>
      <c r="H340" s="425">
        <v>0.1</v>
      </c>
      <c r="I340" s="457">
        <f t="shared" si="29"/>
        <v>1.0000000000000009E-2</v>
      </c>
      <c r="J340" s="15" t="s">
        <v>152</v>
      </c>
      <c r="K340" s="178">
        <f>K338+K339-1</f>
        <v>367</v>
      </c>
      <c r="L340" s="93">
        <f>K340</f>
        <v>367</v>
      </c>
      <c r="M340" s="113">
        <f t="shared" si="27"/>
        <v>1</v>
      </c>
      <c r="N340" s="64">
        <f t="shared" si="31"/>
        <v>1.0000027777777778</v>
      </c>
    </row>
    <row r="341" spans="1:16">
      <c r="B341" s="41"/>
      <c r="C341" s="61">
        <f t="shared" si="30"/>
        <v>44139</v>
      </c>
      <c r="D341" s="153" t="s">
        <v>20</v>
      </c>
      <c r="E341" s="170" t="s">
        <v>19</v>
      </c>
      <c r="F341" s="58" t="str">
        <f>VLOOKUP(MOD(C341,7),'CALENDAR INFO'!$I$2:$J$8,2)</f>
        <v>WED</v>
      </c>
      <c r="G341" s="213">
        <v>0.09</v>
      </c>
      <c r="H341" s="425">
        <v>0.1</v>
      </c>
      <c r="I341" s="457">
        <f t="shared" si="29"/>
        <v>1.0000000000000009E-2</v>
      </c>
      <c r="M341" s="113">
        <f t="shared" si="27"/>
        <v>1</v>
      </c>
      <c r="N341" s="64">
        <f t="shared" si="31"/>
        <v>1.0000027777777778</v>
      </c>
    </row>
    <row r="342" spans="1:16">
      <c r="B342" s="41"/>
      <c r="C342" s="61">
        <f t="shared" si="30"/>
        <v>44140</v>
      </c>
      <c r="D342" s="153" t="s">
        <v>20</v>
      </c>
      <c r="E342" s="167" t="s">
        <v>18</v>
      </c>
      <c r="F342" s="58" t="str">
        <f>VLOOKUP(MOD(C342,7),'CALENDAR INFO'!$I$2:$J$8,2)</f>
        <v>THU</v>
      </c>
      <c r="G342" s="213">
        <v>0.09</v>
      </c>
      <c r="H342" s="425">
        <v>0.11</v>
      </c>
      <c r="I342" s="457">
        <f t="shared" si="29"/>
        <v>2.0000000000000004E-2</v>
      </c>
      <c r="J342" s="15" t="s">
        <v>153</v>
      </c>
      <c r="K342" s="178" t="str">
        <f>_xlfn.CONCAT("A",TEXT(K339,0),":","A",TEXT(K340,0))</f>
        <v>A338:A367</v>
      </c>
      <c r="L342" s="93" t="str">
        <f>_xlfn.CONCAT("B",TEXT(L339,0),":","B",TEXT(L340,0))</f>
        <v>B338:B367</v>
      </c>
      <c r="M342" s="113">
        <f t="shared" si="27"/>
        <v>1</v>
      </c>
      <c r="N342" s="64">
        <f t="shared" si="31"/>
        <v>1.0000030555555555</v>
      </c>
    </row>
    <row r="343" spans="1:16">
      <c r="B343" s="41"/>
      <c r="C343" s="61">
        <f t="shared" si="30"/>
        <v>44141</v>
      </c>
      <c r="E343" s="167"/>
      <c r="F343" s="58" t="str">
        <f>VLOOKUP(MOD(C343,7),'CALENDAR INFO'!$I$2:$J$8,2)</f>
        <v>FRI</v>
      </c>
      <c r="G343" s="213">
        <v>0.09</v>
      </c>
      <c r="H343" s="425">
        <v>0.1</v>
      </c>
      <c r="I343" s="457">
        <f t="shared" si="29"/>
        <v>1.0000000000000009E-2</v>
      </c>
      <c r="J343" s="15" t="s">
        <v>154</v>
      </c>
      <c r="K343" s="15" t="str">
        <f>_xlfn.CONCAT("F",TEXT(K339,0),":","F",TEXT(K340,0))</f>
        <v>F338:F367</v>
      </c>
      <c r="L343" s="179" t="str">
        <f>_xlfn.CONCAT("G",TEXT(L339,0),":","G",TEXT(L340,0))</f>
        <v>G338:G367</v>
      </c>
      <c r="M343" s="113">
        <f t="shared" si="27"/>
        <v>3</v>
      </c>
      <c r="N343" s="64">
        <f t="shared" si="31"/>
        <v>1.0000083333333334</v>
      </c>
    </row>
    <row r="344" spans="1:16">
      <c r="B344" s="41"/>
      <c r="C344" s="61">
        <f t="shared" si="30"/>
        <v>44142</v>
      </c>
      <c r="E344" s="167"/>
      <c r="F344" s="58" t="str">
        <f>VLOOKUP(MOD(C344,7),'CALENDAR INFO'!$I$2:$J$8,2)</f>
        <v>SAT</v>
      </c>
      <c r="G344" s="213">
        <v>0.09</v>
      </c>
      <c r="H344" s="425">
        <v>0.1</v>
      </c>
      <c r="I344" s="457">
        <f t="shared" si="29"/>
        <v>1.0000000000000009E-2</v>
      </c>
      <c r="M344" s="113">
        <f t="shared" si="27"/>
        <v>0</v>
      </c>
      <c r="N344" s="64">
        <f t="shared" si="31"/>
        <v>1</v>
      </c>
    </row>
    <row r="345" spans="1:16">
      <c r="B345" s="41"/>
      <c r="C345" s="61">
        <f t="shared" si="30"/>
        <v>44143</v>
      </c>
      <c r="E345" s="167"/>
      <c r="F345" s="58" t="str">
        <f>VLOOKUP(MOD(C345,7),'CALENDAR INFO'!$I$2:$J$8,2)</f>
        <v>SUN</v>
      </c>
      <c r="G345" s="213">
        <v>0.09</v>
      </c>
      <c r="H345" s="425">
        <v>0.1</v>
      </c>
      <c r="I345" s="457">
        <f t="shared" si="29"/>
        <v>1.0000000000000009E-2</v>
      </c>
      <c r="J345" s="15" t="s">
        <v>155</v>
      </c>
      <c r="K345" s="15">
        <f ca="1">SUM(INDIRECT(K342))</f>
        <v>0</v>
      </c>
      <c r="L345" s="179">
        <f ca="1">SUM(INDIRECT(L342))</f>
        <v>0</v>
      </c>
      <c r="M345" s="113">
        <f t="shared" si="27"/>
        <v>0</v>
      </c>
      <c r="N345" s="64">
        <f t="shared" si="31"/>
        <v>1</v>
      </c>
    </row>
    <row r="346" spans="1:16">
      <c r="B346" s="41"/>
      <c r="C346" s="61">
        <f t="shared" si="30"/>
        <v>44144</v>
      </c>
      <c r="E346" s="167"/>
      <c r="F346" s="58" t="str">
        <f>VLOOKUP(MOD(C346,7),'CALENDAR INFO'!$I$2:$J$8,2)</f>
        <v>MON</v>
      </c>
      <c r="G346" s="213">
        <v>0.09</v>
      </c>
      <c r="H346" s="425">
        <v>0.1</v>
      </c>
      <c r="I346" s="457">
        <f t="shared" si="29"/>
        <v>1.0000000000000009E-2</v>
      </c>
      <c r="J346" s="15" t="s">
        <v>156</v>
      </c>
      <c r="K346" s="207">
        <f ca="1">SUM(INDIRECT(K343))</f>
        <v>0</v>
      </c>
      <c r="L346" s="208">
        <f ca="1">SUM(INDIRECT(L343))</f>
        <v>2.5900000000000007</v>
      </c>
      <c r="M346" s="113">
        <f t="shared" si="27"/>
        <v>1</v>
      </c>
      <c r="N346" s="64">
        <f t="shared" si="31"/>
        <v>1.0000027777777778</v>
      </c>
    </row>
    <row r="347" spans="1:16">
      <c r="B347" s="41"/>
      <c r="C347" s="61">
        <f t="shared" si="30"/>
        <v>44145</v>
      </c>
      <c r="E347" s="167"/>
      <c r="F347" s="58" t="str">
        <f>VLOOKUP(MOD(C347,7),'CALENDAR INFO'!$I$2:$J$8,2)</f>
        <v>TUE</v>
      </c>
      <c r="G347" s="213">
        <v>0.09</v>
      </c>
      <c r="H347" s="425">
        <v>0.1</v>
      </c>
      <c r="I347" s="457">
        <f t="shared" si="29"/>
        <v>1.0000000000000009E-2</v>
      </c>
      <c r="J347" s="15" t="s">
        <v>157</v>
      </c>
      <c r="K347" s="178">
        <f ca="1">K345+K346</f>
        <v>0</v>
      </c>
      <c r="L347" s="192">
        <f ca="1">L345+L346</f>
        <v>2.5900000000000007</v>
      </c>
      <c r="M347" s="117">
        <f>IF(MOD(C347,7)&lt;2,0,IF(MOD(C347,7)=6,3,1))+1</f>
        <v>2</v>
      </c>
      <c r="N347" s="64">
        <f t="shared" si="31"/>
        <v>1.0000055555555556</v>
      </c>
    </row>
    <row r="348" spans="1:16">
      <c r="B348" s="41"/>
      <c r="C348" s="61">
        <f t="shared" si="30"/>
        <v>44146</v>
      </c>
      <c r="D348" s="173" t="s">
        <v>59</v>
      </c>
      <c r="E348" s="167"/>
      <c r="F348" s="58" t="str">
        <f>VLOOKUP(MOD(C348,7),'CALENDAR INFO'!$I$2:$J$8,2)</f>
        <v>WED</v>
      </c>
      <c r="G348" s="213">
        <v>0.09</v>
      </c>
      <c r="H348" s="425">
        <v>0.1</v>
      </c>
      <c r="I348" s="457">
        <f t="shared" si="29"/>
        <v>1.0000000000000009E-2</v>
      </c>
      <c r="K348" s="178"/>
      <c r="L348" s="192"/>
      <c r="M348" s="117">
        <f>IF(MOD(C348,7)&lt;2,0,IF(MOD(C348,7)=6,3,1))-1</f>
        <v>0</v>
      </c>
      <c r="N348" s="64">
        <f t="shared" si="31"/>
        <v>1</v>
      </c>
    </row>
    <row r="349" spans="1:16">
      <c r="B349" s="41"/>
      <c r="C349" s="61">
        <f t="shared" si="30"/>
        <v>44147</v>
      </c>
      <c r="E349" s="167"/>
      <c r="F349" s="58" t="str">
        <f>VLOOKUP(MOD(C349,7),'CALENDAR INFO'!$I$2:$J$8,2)</f>
        <v>THU</v>
      </c>
      <c r="G349" s="213">
        <v>0.09</v>
      </c>
      <c r="H349" s="425">
        <v>0.09</v>
      </c>
      <c r="I349" s="457">
        <f t="shared" si="29"/>
        <v>0</v>
      </c>
      <c r="J349" s="15" t="s">
        <v>158</v>
      </c>
      <c r="K349" s="178">
        <f ca="1">K347/K338</f>
        <v>0</v>
      </c>
      <c r="L349" s="192">
        <f ca="1">L347/L338</f>
        <v>8.6333333333333359E-2</v>
      </c>
      <c r="M349" s="113">
        <f t="shared" ref="M349:M361" si="32">IF(MOD(C349,7)&lt;2,0,IF(MOD(C349,7)=6,3,1))</f>
        <v>1</v>
      </c>
      <c r="N349" s="64">
        <f t="shared" si="31"/>
        <v>1.0000024999999999</v>
      </c>
    </row>
    <row r="350" spans="1:16">
      <c r="B350" s="41"/>
      <c r="C350" s="61">
        <f t="shared" si="30"/>
        <v>44148</v>
      </c>
      <c r="E350" s="167"/>
      <c r="F350" s="58" t="str">
        <f>VLOOKUP(MOD(C350,7),'CALENDAR INFO'!$I$2:$J$8,2)</f>
        <v>FRI</v>
      </c>
      <c r="G350" s="213">
        <v>0.09</v>
      </c>
      <c r="H350" s="425">
        <v>0.09</v>
      </c>
      <c r="I350" s="457">
        <f t="shared" si="29"/>
        <v>0</v>
      </c>
      <c r="J350" s="177" t="s">
        <v>159</v>
      </c>
      <c r="K350" s="180">
        <f ca="1">100-K349</f>
        <v>100</v>
      </c>
      <c r="L350" s="193">
        <f ca="1">100-L349</f>
        <v>99.913666666666671</v>
      </c>
      <c r="M350" s="113">
        <f t="shared" si="32"/>
        <v>3</v>
      </c>
      <c r="N350" s="64">
        <f t="shared" si="31"/>
        <v>1.0000074999999999</v>
      </c>
    </row>
    <row r="351" spans="1:16">
      <c r="B351" s="41"/>
      <c r="C351" s="61">
        <f t="shared" si="30"/>
        <v>44149</v>
      </c>
      <c r="E351" s="167"/>
      <c r="F351" s="58" t="str">
        <f>VLOOKUP(MOD(C351,7),'CALENDAR INFO'!$I$2:$J$8,2)</f>
        <v>SAT</v>
      </c>
      <c r="G351" s="213">
        <v>0.09</v>
      </c>
      <c r="H351" s="425">
        <v>0.09</v>
      </c>
      <c r="I351" s="457">
        <f t="shared" si="29"/>
        <v>0</v>
      </c>
      <c r="K351" s="178"/>
      <c r="L351" s="192"/>
      <c r="M351" s="113">
        <f t="shared" si="32"/>
        <v>0</v>
      </c>
      <c r="N351" s="64">
        <f t="shared" si="31"/>
        <v>1</v>
      </c>
    </row>
    <row r="352" spans="1:16">
      <c r="B352" s="41"/>
      <c r="C352" s="61">
        <f t="shared" si="30"/>
        <v>44150</v>
      </c>
      <c r="E352" s="167"/>
      <c r="F352" s="58" t="str">
        <f>VLOOKUP(MOD(C352,7),'CALENDAR INFO'!$I$2:$J$8,2)</f>
        <v>SUN</v>
      </c>
      <c r="G352" s="213">
        <v>0.09</v>
      </c>
      <c r="H352" s="425">
        <v>0.09</v>
      </c>
      <c r="I352" s="457">
        <f t="shared" si="29"/>
        <v>0</v>
      </c>
      <c r="J352" s="176"/>
      <c r="K352" s="186"/>
      <c r="L352" s="194"/>
      <c r="M352" s="113">
        <f t="shared" si="32"/>
        <v>0</v>
      </c>
      <c r="N352" s="64">
        <f t="shared" si="31"/>
        <v>1</v>
      </c>
    </row>
    <row r="353" spans="1:17">
      <c r="B353" s="41"/>
      <c r="C353" s="61">
        <f t="shared" si="30"/>
        <v>44151</v>
      </c>
      <c r="E353" s="167"/>
      <c r="F353" s="58" t="str">
        <f>VLOOKUP(MOD(C353,7),'CALENDAR INFO'!$I$2:$J$8,2)</f>
        <v>MON</v>
      </c>
      <c r="G353" s="213">
        <v>0.09</v>
      </c>
      <c r="H353" s="425">
        <v>0.1</v>
      </c>
      <c r="I353" s="457">
        <f t="shared" si="29"/>
        <v>1.0000000000000009E-2</v>
      </c>
      <c r="M353" s="113">
        <f t="shared" si="32"/>
        <v>1</v>
      </c>
      <c r="N353" s="64">
        <f t="shared" si="31"/>
        <v>1.0000027777777778</v>
      </c>
    </row>
    <row r="354" spans="1:17">
      <c r="B354" s="41"/>
      <c r="C354" s="61">
        <f t="shared" si="30"/>
        <v>44152</v>
      </c>
      <c r="E354" s="167"/>
      <c r="F354" s="58" t="str">
        <f>VLOOKUP(MOD(C354,7),'CALENDAR INFO'!$I$2:$J$8,2)</f>
        <v>TUE</v>
      </c>
      <c r="G354" s="213">
        <v>0.09</v>
      </c>
      <c r="H354" s="425">
        <v>0.09</v>
      </c>
      <c r="I354" s="457">
        <f t="shared" si="29"/>
        <v>0</v>
      </c>
      <c r="M354" s="113">
        <f t="shared" si="32"/>
        <v>1</v>
      </c>
      <c r="N354" s="64">
        <f t="shared" si="31"/>
        <v>1.0000024999999999</v>
      </c>
    </row>
    <row r="355" spans="1:17">
      <c r="B355" s="41"/>
      <c r="C355" s="61">
        <f t="shared" si="30"/>
        <v>44153</v>
      </c>
      <c r="E355" s="167" t="s">
        <v>19</v>
      </c>
      <c r="F355" s="58" t="str">
        <f>VLOOKUP(MOD(C355,7),'CALENDAR INFO'!$I$2:$J$8,2)</f>
        <v>WED</v>
      </c>
      <c r="G355" s="213">
        <v>0.09</v>
      </c>
      <c r="H355" s="425">
        <v>7.0000000000000007E-2</v>
      </c>
      <c r="I355" s="457">
        <f t="shared" si="29"/>
        <v>-1.999999999999999E-2</v>
      </c>
      <c r="M355" s="113">
        <f t="shared" si="32"/>
        <v>1</v>
      </c>
      <c r="N355" s="64">
        <f t="shared" si="31"/>
        <v>1.0000019444444443</v>
      </c>
    </row>
    <row r="356" spans="1:17">
      <c r="B356" s="41"/>
      <c r="C356" s="61">
        <f t="shared" si="30"/>
        <v>44154</v>
      </c>
      <c r="E356" s="170" t="s">
        <v>18</v>
      </c>
      <c r="F356" s="58" t="str">
        <f>VLOOKUP(MOD(C356,7),'CALENDAR INFO'!$I$2:$J$8,2)</f>
        <v>THU</v>
      </c>
      <c r="G356" s="213">
        <v>0.08</v>
      </c>
      <c r="H356" s="425">
        <v>0.06</v>
      </c>
      <c r="I356" s="457">
        <f t="shared" si="29"/>
        <v>-2.0000000000000004E-2</v>
      </c>
      <c r="M356" s="113">
        <f t="shared" si="32"/>
        <v>1</v>
      </c>
      <c r="N356" s="64">
        <f t="shared" si="31"/>
        <v>1.0000016666666667</v>
      </c>
    </row>
    <row r="357" spans="1:17">
      <c r="B357" s="41"/>
      <c r="C357" s="61">
        <f t="shared" si="30"/>
        <v>44155</v>
      </c>
      <c r="E357" s="170"/>
      <c r="F357" s="58" t="str">
        <f>VLOOKUP(MOD(C357,7),'CALENDAR INFO'!$I$2:$J$8,2)</f>
        <v>FRI</v>
      </c>
      <c r="G357" s="213">
        <v>0.08</v>
      </c>
      <c r="H357" s="425">
        <v>0.05</v>
      </c>
      <c r="I357" s="457">
        <f t="shared" si="29"/>
        <v>-0.03</v>
      </c>
      <c r="M357" s="113">
        <f t="shared" si="32"/>
        <v>3</v>
      </c>
      <c r="N357" s="64">
        <f t="shared" si="31"/>
        <v>1.0000041666666666</v>
      </c>
    </row>
    <row r="358" spans="1:17">
      <c r="B358" s="41"/>
      <c r="C358" s="61">
        <f t="shared" si="30"/>
        <v>44156</v>
      </c>
      <c r="E358" s="170"/>
      <c r="F358" s="58" t="str">
        <f>VLOOKUP(MOD(C358,7),'CALENDAR INFO'!$I$2:$J$8,2)</f>
        <v>SAT</v>
      </c>
      <c r="G358" s="213">
        <v>0.08</v>
      </c>
      <c r="H358" s="425">
        <v>0.05</v>
      </c>
      <c r="I358" s="457">
        <f t="shared" si="29"/>
        <v>-0.03</v>
      </c>
      <c r="M358" s="113">
        <f t="shared" si="32"/>
        <v>0</v>
      </c>
      <c r="N358" s="64">
        <f t="shared" si="31"/>
        <v>1</v>
      </c>
    </row>
    <row r="359" spans="1:17">
      <c r="B359" s="41"/>
      <c r="C359" s="61">
        <f t="shared" si="30"/>
        <v>44157</v>
      </c>
      <c r="E359" s="170"/>
      <c r="F359" s="58" t="str">
        <f>VLOOKUP(MOD(C359,7),'CALENDAR INFO'!$I$2:$J$8,2)</f>
        <v>SUN</v>
      </c>
      <c r="G359" s="213">
        <v>0.08</v>
      </c>
      <c r="H359" s="425">
        <v>0.05</v>
      </c>
      <c r="I359" s="457">
        <f t="shared" si="29"/>
        <v>-0.03</v>
      </c>
      <c r="M359" s="113">
        <f t="shared" si="32"/>
        <v>0</v>
      </c>
      <c r="N359" s="64">
        <f t="shared" si="31"/>
        <v>1</v>
      </c>
    </row>
    <row r="360" spans="1:17">
      <c r="B360" s="41"/>
      <c r="C360" s="61">
        <f t="shared" si="30"/>
        <v>44158</v>
      </c>
      <c r="E360" s="170"/>
      <c r="F360" s="58" t="str">
        <f>VLOOKUP(MOD(C360,7),'CALENDAR INFO'!$I$2:$J$8,2)</f>
        <v>MON</v>
      </c>
      <c r="G360" s="213">
        <v>0.08</v>
      </c>
      <c r="H360" s="425">
        <v>0.05</v>
      </c>
      <c r="I360" s="457">
        <f t="shared" si="29"/>
        <v>-0.03</v>
      </c>
      <c r="M360" s="113">
        <f t="shared" si="32"/>
        <v>1</v>
      </c>
      <c r="N360" s="64">
        <f t="shared" si="31"/>
        <v>1.0000013888888888</v>
      </c>
    </row>
    <row r="361" spans="1:17">
      <c r="B361" s="41"/>
      <c r="C361" s="61">
        <f t="shared" si="30"/>
        <v>44159</v>
      </c>
      <c r="E361" s="170"/>
      <c r="F361" s="58" t="str">
        <f>VLOOKUP(MOD(C361,7),'CALENDAR INFO'!$I$2:$J$8,2)</f>
        <v>TUE</v>
      </c>
      <c r="G361" s="213">
        <v>0.08</v>
      </c>
      <c r="H361" s="425">
        <v>7.0000000000000007E-2</v>
      </c>
      <c r="I361" s="457">
        <f t="shared" si="29"/>
        <v>-9.999999999999995E-3</v>
      </c>
      <c r="M361" s="113">
        <f t="shared" si="32"/>
        <v>1</v>
      </c>
      <c r="N361" s="64">
        <f t="shared" si="31"/>
        <v>1.0000019444444443</v>
      </c>
    </row>
    <row r="362" spans="1:17">
      <c r="B362" s="41"/>
      <c r="C362" s="61">
        <f t="shared" si="30"/>
        <v>44160</v>
      </c>
      <c r="E362" s="170"/>
      <c r="F362" s="58" t="str">
        <f>VLOOKUP(MOD(C362,7),'CALENDAR INFO'!$I$2:$J$8,2)</f>
        <v>WED</v>
      </c>
      <c r="G362" s="213">
        <v>0.08</v>
      </c>
      <c r="H362" s="425">
        <v>0.08</v>
      </c>
      <c r="I362" s="457">
        <f t="shared" si="29"/>
        <v>0</v>
      </c>
      <c r="K362" s="178"/>
      <c r="M362" s="117">
        <f>IF(MOD(C362,7)&lt;2,0,IF(MOD(C362,7)=6,3,1))+1</f>
        <v>2</v>
      </c>
      <c r="N362" s="64">
        <f t="shared" si="31"/>
        <v>1.0000044444444445</v>
      </c>
    </row>
    <row r="363" spans="1:17">
      <c r="B363" s="41"/>
      <c r="C363" s="61">
        <f t="shared" si="30"/>
        <v>44161</v>
      </c>
      <c r="D363" s="173" t="s">
        <v>60</v>
      </c>
      <c r="E363" s="170"/>
      <c r="F363" s="58" t="str">
        <f>VLOOKUP(MOD(C363,7),'CALENDAR INFO'!$I$2:$J$8,2)</f>
        <v>THU</v>
      </c>
      <c r="G363" s="213">
        <v>0.08</v>
      </c>
      <c r="H363" s="425">
        <v>0.08</v>
      </c>
      <c r="I363" s="457">
        <f t="shared" si="29"/>
        <v>0</v>
      </c>
      <c r="M363" s="117">
        <f>IF(MOD(C363,7)&lt;2,0,IF(MOD(C363,7)=6,3,1))-1</f>
        <v>0</v>
      </c>
      <c r="N363" s="64">
        <f t="shared" si="31"/>
        <v>1</v>
      </c>
      <c r="O363" s="89" t="s">
        <v>93</v>
      </c>
      <c r="P363" s="90"/>
    </row>
    <row r="364" spans="1:17">
      <c r="B364" s="41"/>
      <c r="C364" s="61">
        <f t="shared" si="30"/>
        <v>44162</v>
      </c>
      <c r="E364" s="170"/>
      <c r="F364" s="58" t="str">
        <f>VLOOKUP(MOD(C364,7),'CALENDAR INFO'!$I$2:$J$8,2)</f>
        <v>FRI</v>
      </c>
      <c r="G364" s="213">
        <v>0.08</v>
      </c>
      <c r="H364" s="425">
        <v>0.08</v>
      </c>
      <c r="I364" s="457">
        <f t="shared" si="29"/>
        <v>0</v>
      </c>
      <c r="K364" s="189"/>
      <c r="M364" s="113">
        <f t="shared" ref="M364:M390" si="33">IF(MOD(C364,7)&lt;2,0,IF(MOD(C364,7)=6,3,1))</f>
        <v>3</v>
      </c>
      <c r="N364" s="64">
        <f t="shared" si="31"/>
        <v>1.0000066666666667</v>
      </c>
      <c r="O364" s="89" t="s">
        <v>26</v>
      </c>
      <c r="P364" s="91">
        <v>99.914000000000001</v>
      </c>
      <c r="Q364" s="17" t="s">
        <v>107</v>
      </c>
    </row>
    <row r="365" spans="1:17">
      <c r="B365" s="41"/>
      <c r="C365" s="61">
        <f t="shared" si="30"/>
        <v>44163</v>
      </c>
      <c r="E365" s="170"/>
      <c r="F365" s="58" t="str">
        <f>VLOOKUP(MOD(C365,7),'CALENDAR INFO'!$I$2:$J$8,2)</f>
        <v>SAT</v>
      </c>
      <c r="G365" s="213">
        <v>0.08</v>
      </c>
      <c r="H365" s="425">
        <v>0.08</v>
      </c>
      <c r="I365" s="457">
        <f t="shared" si="29"/>
        <v>0</v>
      </c>
      <c r="J365" s="433"/>
      <c r="K365" s="187"/>
      <c r="L365" s="195"/>
      <c r="M365" s="113">
        <f t="shared" si="33"/>
        <v>0</v>
      </c>
      <c r="N365" s="64">
        <f t="shared" si="31"/>
        <v>1</v>
      </c>
      <c r="O365" s="89" t="s">
        <v>76</v>
      </c>
      <c r="P365" s="91">
        <v>99.915000000000006</v>
      </c>
      <c r="Q365" s="17" t="s">
        <v>107</v>
      </c>
    </row>
    <row r="366" spans="1:17">
      <c r="B366" s="41"/>
      <c r="C366" s="61">
        <f t="shared" si="30"/>
        <v>44164</v>
      </c>
      <c r="E366" s="170"/>
      <c r="F366" s="58" t="str">
        <f>VLOOKUP(MOD(C366,7),'CALENDAR INFO'!$I$2:$J$8,2)</f>
        <v>SUN</v>
      </c>
      <c r="G366" s="213">
        <v>0.08</v>
      </c>
      <c r="H366" s="425">
        <v>0.08</v>
      </c>
      <c r="I366" s="457">
        <f t="shared" si="29"/>
        <v>0</v>
      </c>
      <c r="K366" s="178"/>
      <c r="M366" s="113">
        <f t="shared" si="33"/>
        <v>0</v>
      </c>
      <c r="N366" s="64">
        <f t="shared" si="31"/>
        <v>1</v>
      </c>
    </row>
    <row r="367" spans="1:17" s="79" customFormat="1" ht="15.75" thickBot="1">
      <c r="A367" s="98"/>
      <c r="B367" s="230"/>
      <c r="C367" s="75">
        <f t="shared" si="30"/>
        <v>44165</v>
      </c>
      <c r="D367" s="112"/>
      <c r="E367" s="101"/>
      <c r="F367" s="71" t="str">
        <f>VLOOKUP(MOD(C367,7),'CALENDAR INFO'!$I$2:$J$8,2)</f>
        <v>MON</v>
      </c>
      <c r="G367" s="216">
        <v>0.09</v>
      </c>
      <c r="H367" s="426">
        <v>0.09</v>
      </c>
      <c r="I367" s="458">
        <f t="shared" si="29"/>
        <v>0</v>
      </c>
      <c r="J367" s="434"/>
      <c r="K367" s="181"/>
      <c r="L367" s="196"/>
      <c r="M367" s="114">
        <f t="shared" si="33"/>
        <v>1</v>
      </c>
      <c r="N367" s="77">
        <f t="shared" si="31"/>
        <v>1.0000024999999999</v>
      </c>
      <c r="O367" s="78"/>
      <c r="P367" s="73"/>
    </row>
    <row r="368" spans="1:17">
      <c r="B368" s="41"/>
      <c r="C368" s="61">
        <f t="shared" si="30"/>
        <v>44166</v>
      </c>
      <c r="E368" s="170"/>
      <c r="F368" s="58" t="str">
        <f>VLOOKUP(MOD(C368,7),'CALENDAR INFO'!$I$2:$J$8,2)</f>
        <v>TUE</v>
      </c>
      <c r="G368" s="213">
        <v>0.09</v>
      </c>
      <c r="H368" s="425">
        <v>0.08</v>
      </c>
      <c r="I368" s="457">
        <f t="shared" si="29"/>
        <v>-9.999999999999995E-3</v>
      </c>
      <c r="J368" s="15" t="s">
        <v>118</v>
      </c>
      <c r="K368" s="15">
        <f>VLOOKUP(MONTH($C368),'CALENDAR INFO'!$I$12:$J$23,2)</f>
        <v>31</v>
      </c>
      <c r="L368" s="179">
        <f>K368</f>
        <v>31</v>
      </c>
      <c r="M368" s="113">
        <f t="shared" si="33"/>
        <v>1</v>
      </c>
      <c r="N368" s="64">
        <f t="shared" si="31"/>
        <v>1.0000022222222222</v>
      </c>
    </row>
    <row r="369" spans="2:17">
      <c r="B369" s="41"/>
      <c r="C369" s="61">
        <f t="shared" si="30"/>
        <v>44167</v>
      </c>
      <c r="E369" s="170" t="s">
        <v>19</v>
      </c>
      <c r="F369" s="58" t="str">
        <f>VLOOKUP(MOD(C369,7),'CALENDAR INFO'!$I$2:$J$8,2)</f>
        <v>WED</v>
      </c>
      <c r="G369" s="213">
        <v>0.09</v>
      </c>
      <c r="H369" s="425">
        <v>0.08</v>
      </c>
      <c r="I369" s="457">
        <f t="shared" si="29"/>
        <v>-9.999999999999995E-3</v>
      </c>
      <c r="J369" s="15" t="s">
        <v>151</v>
      </c>
      <c r="K369" s="15">
        <f>ROW($C369)-1</f>
        <v>368</v>
      </c>
      <c r="L369" s="179">
        <f>K369</f>
        <v>368</v>
      </c>
      <c r="M369" s="113">
        <f t="shared" si="33"/>
        <v>1</v>
      </c>
      <c r="N369" s="64">
        <f t="shared" si="31"/>
        <v>1.0000022222222222</v>
      </c>
    </row>
    <row r="370" spans="2:17">
      <c r="B370" s="41"/>
      <c r="C370" s="61">
        <f t="shared" si="30"/>
        <v>44168</v>
      </c>
      <c r="E370" s="167" t="s">
        <v>18</v>
      </c>
      <c r="F370" s="58" t="str">
        <f>VLOOKUP(MOD(C370,7),'CALENDAR INFO'!$I$2:$J$8,2)</f>
        <v>THU</v>
      </c>
      <c r="G370" s="213">
        <v>0.09</v>
      </c>
      <c r="H370" s="425">
        <v>0.08</v>
      </c>
      <c r="I370" s="457">
        <f t="shared" si="29"/>
        <v>-9.999999999999995E-3</v>
      </c>
      <c r="J370" s="15" t="s">
        <v>152</v>
      </c>
      <c r="K370" s="15">
        <f>K368+K369-1</f>
        <v>398</v>
      </c>
      <c r="L370" s="200">
        <f>K370</f>
        <v>398</v>
      </c>
      <c r="M370" s="113">
        <f t="shared" si="33"/>
        <v>1</v>
      </c>
      <c r="N370" s="64">
        <f t="shared" si="31"/>
        <v>1.0000022222222222</v>
      </c>
    </row>
    <row r="371" spans="2:17">
      <c r="B371" s="41"/>
      <c r="C371" s="61">
        <f t="shared" si="30"/>
        <v>44169</v>
      </c>
      <c r="E371" s="167"/>
      <c r="F371" s="58" t="str">
        <f>VLOOKUP(MOD(C371,7),'CALENDAR INFO'!$I$2:$J$8,2)</f>
        <v>FRI</v>
      </c>
      <c r="G371" s="213">
        <v>0.09</v>
      </c>
      <c r="H371" s="425">
        <v>0.09</v>
      </c>
      <c r="I371" s="457">
        <f t="shared" si="29"/>
        <v>0</v>
      </c>
      <c r="M371" s="113">
        <f t="shared" si="33"/>
        <v>3</v>
      </c>
      <c r="N371" s="64">
        <f t="shared" si="31"/>
        <v>1.0000074999999999</v>
      </c>
    </row>
    <row r="372" spans="2:17">
      <c r="B372" s="41"/>
      <c r="C372" s="61">
        <f t="shared" si="30"/>
        <v>44170</v>
      </c>
      <c r="E372" s="167"/>
      <c r="F372" s="58" t="str">
        <f>VLOOKUP(MOD(C372,7),'CALENDAR INFO'!$I$2:$J$8,2)</f>
        <v>SAT</v>
      </c>
      <c r="G372" s="213">
        <v>0.09</v>
      </c>
      <c r="H372" s="425">
        <v>0.09</v>
      </c>
      <c r="I372" s="457">
        <f t="shared" si="29"/>
        <v>0</v>
      </c>
      <c r="J372" s="15" t="s">
        <v>153</v>
      </c>
      <c r="K372" s="15" t="str">
        <f>_xlfn.CONCAT("A",TEXT(K369,0),":","A",TEXT(K370,0))</f>
        <v>A368:A398</v>
      </c>
      <c r="L372" s="93" t="str">
        <f>_xlfn.CONCAT("B",TEXT(L369,0),":","B",TEXT(L370,0))</f>
        <v>B368:B398</v>
      </c>
      <c r="M372" s="113">
        <f t="shared" si="33"/>
        <v>0</v>
      </c>
      <c r="N372" s="64">
        <f t="shared" si="31"/>
        <v>1</v>
      </c>
    </row>
    <row r="373" spans="2:17">
      <c r="B373" s="41"/>
      <c r="C373" s="61">
        <f t="shared" ref="C373:C436" si="34">C372+1</f>
        <v>44171</v>
      </c>
      <c r="E373" s="167"/>
      <c r="F373" s="58" t="str">
        <f>VLOOKUP(MOD(C373,7),'CALENDAR INFO'!$I$2:$J$8,2)</f>
        <v>SUN</v>
      </c>
      <c r="G373" s="213">
        <v>0.09</v>
      </c>
      <c r="H373" s="425">
        <v>0.09</v>
      </c>
      <c r="I373" s="457">
        <f t="shared" si="29"/>
        <v>0</v>
      </c>
      <c r="J373" s="15" t="s">
        <v>154</v>
      </c>
      <c r="K373" s="15" t="str">
        <f>_xlfn.CONCAT("F",TEXT(K369,0),":","F",TEXT(K370,0))</f>
        <v>F368:F398</v>
      </c>
      <c r="L373" s="179" t="str">
        <f>_xlfn.CONCAT("G",TEXT(L369,0),":","G",TEXT(L370,0))</f>
        <v>G368:G398</v>
      </c>
      <c r="M373" s="113">
        <f t="shared" si="33"/>
        <v>0</v>
      </c>
      <c r="N373" s="64">
        <f t="shared" si="31"/>
        <v>1</v>
      </c>
    </row>
    <row r="374" spans="2:17">
      <c r="B374" s="41"/>
      <c r="C374" s="61">
        <f t="shared" si="34"/>
        <v>44172</v>
      </c>
      <c r="E374" s="167"/>
      <c r="F374" s="58" t="str">
        <f>VLOOKUP(MOD(C374,7),'CALENDAR INFO'!$I$2:$J$8,2)</f>
        <v>MON</v>
      </c>
      <c r="G374" s="213">
        <v>0.09</v>
      </c>
      <c r="H374" s="425">
        <v>0.08</v>
      </c>
      <c r="I374" s="457">
        <f t="shared" si="29"/>
        <v>-9.999999999999995E-3</v>
      </c>
      <c r="L374" s="200"/>
      <c r="M374" s="113">
        <f t="shared" si="33"/>
        <v>1</v>
      </c>
      <c r="N374" s="64">
        <f t="shared" si="31"/>
        <v>1.0000022222222222</v>
      </c>
    </row>
    <row r="375" spans="2:17">
      <c r="B375" s="41"/>
      <c r="C375" s="61">
        <f t="shared" si="34"/>
        <v>44173</v>
      </c>
      <c r="E375" s="167"/>
      <c r="F375" s="58" t="str">
        <f>VLOOKUP(MOD(C375,7),'CALENDAR INFO'!$I$2:$J$8,2)</f>
        <v>TUE</v>
      </c>
      <c r="G375" s="213">
        <v>0.09</v>
      </c>
      <c r="H375" s="425">
        <v>7.0000000000000007E-2</v>
      </c>
      <c r="I375" s="457">
        <f t="shared" si="29"/>
        <v>-1.999999999999999E-2</v>
      </c>
      <c r="J375" s="15" t="s">
        <v>155</v>
      </c>
      <c r="K375" s="15">
        <f ca="1">SUM(INDIRECT(K372))</f>
        <v>0</v>
      </c>
      <c r="L375" s="179">
        <f ca="1">SUM(INDIRECT(L372))</f>
        <v>0</v>
      </c>
      <c r="M375" s="113">
        <f t="shared" si="33"/>
        <v>1</v>
      </c>
      <c r="N375" s="64">
        <f t="shared" si="31"/>
        <v>1.0000019444444443</v>
      </c>
    </row>
    <row r="376" spans="2:17">
      <c r="B376" s="41"/>
      <c r="C376" s="103">
        <f t="shared" si="34"/>
        <v>44174</v>
      </c>
      <c r="E376" s="167"/>
      <c r="F376" s="58" t="str">
        <f>VLOOKUP(MOD(C376,7),'CALENDAR INFO'!$I$2:$J$8,2)</f>
        <v>WED</v>
      </c>
      <c r="G376" s="213">
        <v>0.09</v>
      </c>
      <c r="H376" s="425">
        <v>0.08</v>
      </c>
      <c r="I376" s="457">
        <f t="shared" si="29"/>
        <v>-9.999999999999995E-3</v>
      </c>
      <c r="J376" s="15" t="s">
        <v>156</v>
      </c>
      <c r="K376" s="207">
        <f ca="1">SUM(INDIRECT(K373))</f>
        <v>0</v>
      </c>
      <c r="L376" s="208">
        <f ca="1">SUM(INDIRECT(L373))</f>
        <v>2.7899999999999996</v>
      </c>
      <c r="M376" s="113">
        <f t="shared" si="33"/>
        <v>1</v>
      </c>
      <c r="N376" s="64">
        <f t="shared" si="31"/>
        <v>1.0000022222222222</v>
      </c>
    </row>
    <row r="377" spans="2:17">
      <c r="B377" s="41"/>
      <c r="C377" s="103">
        <f t="shared" si="34"/>
        <v>44175</v>
      </c>
      <c r="E377" s="167"/>
      <c r="F377" s="58" t="str">
        <f>VLOOKUP(MOD(C377,7),'CALENDAR INFO'!$I$2:$J$8,2)</f>
        <v>THU</v>
      </c>
      <c r="G377" s="213">
        <v>0.09</v>
      </c>
      <c r="H377" s="425">
        <v>0.08</v>
      </c>
      <c r="I377" s="457">
        <f t="shared" si="29"/>
        <v>-9.999999999999995E-3</v>
      </c>
      <c r="J377" s="15" t="s">
        <v>157</v>
      </c>
      <c r="K377" s="178">
        <f ca="1">K375+K376</f>
        <v>0</v>
      </c>
      <c r="L377" s="192">
        <f ca="1">L375+L376</f>
        <v>2.7899999999999996</v>
      </c>
      <c r="M377" s="113">
        <f t="shared" si="33"/>
        <v>1</v>
      </c>
      <c r="N377" s="64">
        <f t="shared" si="31"/>
        <v>1.0000022222222222</v>
      </c>
    </row>
    <row r="378" spans="2:17">
      <c r="B378" s="41"/>
      <c r="C378" s="103">
        <f t="shared" si="34"/>
        <v>44176</v>
      </c>
      <c r="E378" s="167"/>
      <c r="F378" s="58" t="str">
        <f>VLOOKUP(MOD(C378,7),'CALENDAR INFO'!$I$2:$J$8,2)</f>
        <v>FRI</v>
      </c>
      <c r="G378" s="213">
        <v>0.09</v>
      </c>
      <c r="H378" s="425">
        <v>0.08</v>
      </c>
      <c r="I378" s="457">
        <f t="shared" si="29"/>
        <v>-9.999999999999995E-3</v>
      </c>
      <c r="K378" s="178"/>
      <c r="L378" s="192"/>
      <c r="M378" s="113">
        <f t="shared" si="33"/>
        <v>3</v>
      </c>
      <c r="N378" s="64">
        <f t="shared" si="31"/>
        <v>1.0000066666666667</v>
      </c>
    </row>
    <row r="379" spans="2:17">
      <c r="B379" s="41"/>
      <c r="C379" s="103">
        <f t="shared" si="34"/>
        <v>44177</v>
      </c>
      <c r="E379" s="167"/>
      <c r="F379" s="58" t="str">
        <f>VLOOKUP(MOD(C379,7),'CALENDAR INFO'!$I$2:$J$8,2)</f>
        <v>SAT</v>
      </c>
      <c r="G379" s="213">
        <v>0.09</v>
      </c>
      <c r="H379" s="425">
        <v>0.08</v>
      </c>
      <c r="I379" s="457">
        <f t="shared" si="29"/>
        <v>-9.999999999999995E-3</v>
      </c>
      <c r="J379" s="15" t="s">
        <v>158</v>
      </c>
      <c r="K379" s="178">
        <f ca="1">K377/K368</f>
        <v>0</v>
      </c>
      <c r="L379" s="192">
        <f ca="1">L377/L368</f>
        <v>8.9999999999999983E-2</v>
      </c>
      <c r="M379" s="113">
        <f t="shared" si="33"/>
        <v>0</v>
      </c>
      <c r="N379" s="64">
        <f t="shared" si="31"/>
        <v>1</v>
      </c>
    </row>
    <row r="380" spans="2:17">
      <c r="B380" s="41"/>
      <c r="C380" s="103">
        <f t="shared" si="34"/>
        <v>44178</v>
      </c>
      <c r="E380" s="167"/>
      <c r="F380" s="58" t="str">
        <f>VLOOKUP(MOD(C380,7),'CALENDAR INFO'!$I$2:$J$8,2)</f>
        <v>SUN</v>
      </c>
      <c r="G380" s="213">
        <v>0.09</v>
      </c>
      <c r="H380" s="425">
        <v>0.08</v>
      </c>
      <c r="I380" s="457">
        <f t="shared" si="29"/>
        <v>-9.999999999999995E-3</v>
      </c>
      <c r="J380" s="177" t="s">
        <v>159</v>
      </c>
      <c r="K380" s="180">
        <f ca="1">100-K379</f>
        <v>100</v>
      </c>
      <c r="L380" s="193">
        <f ca="1">100-L379</f>
        <v>99.91</v>
      </c>
      <c r="M380" s="113">
        <f t="shared" si="33"/>
        <v>0</v>
      </c>
      <c r="N380" s="64">
        <f t="shared" si="31"/>
        <v>1</v>
      </c>
    </row>
    <row r="381" spans="2:17">
      <c r="B381" s="41"/>
      <c r="C381" s="103">
        <f t="shared" si="34"/>
        <v>44179</v>
      </c>
      <c r="E381" s="167"/>
      <c r="F381" s="58" t="str">
        <f>VLOOKUP(MOD(C381,7),'CALENDAR INFO'!$I$2:$J$8,2)</f>
        <v>MON</v>
      </c>
      <c r="G381" s="213">
        <v>0.09</v>
      </c>
      <c r="H381" s="425">
        <v>0.08</v>
      </c>
      <c r="I381" s="457">
        <f t="shared" si="29"/>
        <v>-9.999999999999995E-3</v>
      </c>
      <c r="K381" s="178"/>
      <c r="L381" s="192"/>
      <c r="M381" s="113">
        <f t="shared" si="33"/>
        <v>1</v>
      </c>
      <c r="N381" s="64">
        <f t="shared" si="31"/>
        <v>1.0000022222222222</v>
      </c>
      <c r="O381" s="89" t="s">
        <v>93</v>
      </c>
      <c r="P381" s="90"/>
    </row>
    <row r="382" spans="2:17">
      <c r="B382" s="41"/>
      <c r="C382" s="103">
        <f t="shared" si="34"/>
        <v>44180</v>
      </c>
      <c r="D382" s="153" t="s">
        <v>20</v>
      </c>
      <c r="E382" s="167"/>
      <c r="F382" s="58" t="str">
        <f>VLOOKUP(MOD(C382,7),'CALENDAR INFO'!$I$2:$J$8,2)</f>
        <v>TUE</v>
      </c>
      <c r="G382" s="213">
        <v>0.09</v>
      </c>
      <c r="H382" s="425">
        <v>0.09</v>
      </c>
      <c r="I382" s="457">
        <f t="shared" si="29"/>
        <v>0</v>
      </c>
      <c r="J382" s="176"/>
      <c r="K382" s="186"/>
      <c r="L382" s="194"/>
      <c r="M382" s="113">
        <f t="shared" si="33"/>
        <v>1</v>
      </c>
      <c r="N382" s="64">
        <f t="shared" si="31"/>
        <v>1.0000024999999999</v>
      </c>
      <c r="O382" s="89" t="s">
        <v>26</v>
      </c>
      <c r="P382" s="132">
        <v>99.915000000000006</v>
      </c>
      <c r="Q382" s="17" t="s">
        <v>107</v>
      </c>
    </row>
    <row r="383" spans="2:17">
      <c r="B383" s="41"/>
      <c r="C383" s="103">
        <f t="shared" si="34"/>
        <v>44181</v>
      </c>
      <c r="D383" s="153" t="s">
        <v>20</v>
      </c>
      <c r="E383" s="167" t="s">
        <v>19</v>
      </c>
      <c r="F383" s="58" t="str">
        <f>VLOOKUP(MOD(C383,7),'CALENDAR INFO'!$I$2:$J$8,2)</f>
        <v>WED</v>
      </c>
      <c r="G383" s="213">
        <v>0.09</v>
      </c>
      <c r="H383" s="425">
        <v>0.09</v>
      </c>
      <c r="I383" s="457">
        <f t="shared" si="29"/>
        <v>0</v>
      </c>
      <c r="M383" s="63">
        <f t="shared" si="33"/>
        <v>1</v>
      </c>
      <c r="N383" s="64">
        <f t="shared" si="31"/>
        <v>1.0000024999999999</v>
      </c>
      <c r="P383" s="133"/>
    </row>
    <row r="384" spans="2:17">
      <c r="B384" s="41"/>
      <c r="C384" s="103">
        <f t="shared" si="34"/>
        <v>44182</v>
      </c>
      <c r="E384" s="170" t="s">
        <v>18</v>
      </c>
      <c r="F384" s="58" t="str">
        <f>VLOOKUP(MOD(C384,7),'CALENDAR INFO'!$I$2:$J$8,2)</f>
        <v>THU</v>
      </c>
      <c r="G384" s="213">
        <v>0.09</v>
      </c>
      <c r="H384" s="425">
        <v>0.09</v>
      </c>
      <c r="I384" s="457">
        <f t="shared" si="29"/>
        <v>0</v>
      </c>
      <c r="M384" s="63">
        <f t="shared" si="33"/>
        <v>1</v>
      </c>
      <c r="N384" s="64">
        <f t="shared" si="31"/>
        <v>1.0000024999999999</v>
      </c>
      <c r="P384" s="133"/>
    </row>
    <row r="385" spans="1:17">
      <c r="B385" s="41"/>
      <c r="C385" s="103">
        <f t="shared" si="34"/>
        <v>44183</v>
      </c>
      <c r="E385" s="170"/>
      <c r="F385" s="58" t="str">
        <f>VLOOKUP(MOD(C385,7),'CALENDAR INFO'!$I$2:$J$8,2)</f>
        <v>FRI</v>
      </c>
      <c r="G385" s="213">
        <v>0.09</v>
      </c>
      <c r="H385" s="425">
        <v>0.09</v>
      </c>
      <c r="I385" s="457">
        <f t="shared" si="29"/>
        <v>0</v>
      </c>
      <c r="M385" s="63">
        <f t="shared" si="33"/>
        <v>3</v>
      </c>
      <c r="N385" s="64">
        <f t="shared" si="31"/>
        <v>1.0000074999999999</v>
      </c>
      <c r="P385" s="133"/>
    </row>
    <row r="386" spans="1:17">
      <c r="B386" s="41"/>
      <c r="C386" s="103">
        <f t="shared" si="34"/>
        <v>44184</v>
      </c>
      <c r="E386" s="170"/>
      <c r="F386" s="58" t="str">
        <f>VLOOKUP(MOD(C386,7),'CALENDAR INFO'!$I$2:$J$8,2)</f>
        <v>SAT</v>
      </c>
      <c r="G386" s="213">
        <v>0.09</v>
      </c>
      <c r="H386" s="425">
        <v>0.09</v>
      </c>
      <c r="I386" s="457">
        <f t="shared" si="29"/>
        <v>0</v>
      </c>
      <c r="M386" s="63">
        <f t="shared" si="33"/>
        <v>0</v>
      </c>
      <c r="N386" s="64">
        <f t="shared" si="31"/>
        <v>1</v>
      </c>
      <c r="P386" s="133"/>
    </row>
    <row r="387" spans="1:17">
      <c r="B387" s="41"/>
      <c r="C387" s="103">
        <f t="shared" si="34"/>
        <v>44185</v>
      </c>
      <c r="E387" s="170"/>
      <c r="F387" s="58" t="str">
        <f>VLOOKUP(MOD(C387,7),'CALENDAR INFO'!$I$2:$J$8,2)</f>
        <v>SUN</v>
      </c>
      <c r="G387" s="213">
        <v>0.09</v>
      </c>
      <c r="H387" s="425">
        <v>0.09</v>
      </c>
      <c r="I387" s="457">
        <f t="shared" ref="I387:I450" si="35">H387-G387</f>
        <v>0</v>
      </c>
      <c r="M387" s="63">
        <f t="shared" si="33"/>
        <v>0</v>
      </c>
      <c r="N387" s="64">
        <f t="shared" si="31"/>
        <v>1</v>
      </c>
      <c r="P387" s="133"/>
    </row>
    <row r="388" spans="1:17">
      <c r="B388" s="41"/>
      <c r="C388" s="103">
        <f t="shared" si="34"/>
        <v>44186</v>
      </c>
      <c r="E388" s="170"/>
      <c r="F388" s="58" t="str">
        <f>VLOOKUP(MOD(C388,7),'CALENDAR INFO'!$I$2:$J$8,2)</f>
        <v>MON</v>
      </c>
      <c r="G388" s="213">
        <v>0.09</v>
      </c>
      <c r="H388" s="425">
        <v>0.09</v>
      </c>
      <c r="I388" s="457">
        <f t="shared" si="35"/>
        <v>0</v>
      </c>
      <c r="M388" s="63">
        <f t="shared" si="33"/>
        <v>1</v>
      </c>
      <c r="N388" s="64">
        <f t="shared" si="31"/>
        <v>1.0000024999999999</v>
      </c>
      <c r="P388" s="133"/>
    </row>
    <row r="389" spans="1:17">
      <c r="B389" s="41"/>
      <c r="C389" s="103">
        <f t="shared" si="34"/>
        <v>44187</v>
      </c>
      <c r="E389" s="170"/>
      <c r="F389" s="58" t="str">
        <f>VLOOKUP(MOD(C389,7),'CALENDAR INFO'!$I$2:$J$8,2)</f>
        <v>TUE</v>
      </c>
      <c r="G389" s="213">
        <v>0.09</v>
      </c>
      <c r="H389" s="425">
        <v>7.0000000000000007E-2</v>
      </c>
      <c r="I389" s="457">
        <f t="shared" si="35"/>
        <v>-1.999999999999999E-2</v>
      </c>
      <c r="M389" s="63">
        <f t="shared" si="33"/>
        <v>1</v>
      </c>
      <c r="N389" s="64">
        <f t="shared" si="31"/>
        <v>1.0000019444444443</v>
      </c>
      <c r="P389" s="133"/>
    </row>
    <row r="390" spans="1:17">
      <c r="B390" s="41"/>
      <c r="C390" s="103">
        <f t="shared" si="34"/>
        <v>44188</v>
      </c>
      <c r="E390" s="170"/>
      <c r="F390" s="58" t="str">
        <f>VLOOKUP(MOD(C390,7),'CALENDAR INFO'!$I$2:$J$8,2)</f>
        <v>WED</v>
      </c>
      <c r="G390" s="213">
        <v>0.09</v>
      </c>
      <c r="H390" s="425">
        <v>0.06</v>
      </c>
      <c r="I390" s="457">
        <f t="shared" si="35"/>
        <v>-0.03</v>
      </c>
      <c r="M390" s="63">
        <f t="shared" si="33"/>
        <v>1</v>
      </c>
      <c r="N390" s="64">
        <f t="shared" si="31"/>
        <v>1.0000016666666667</v>
      </c>
      <c r="P390" s="133"/>
    </row>
    <row r="391" spans="1:17">
      <c r="B391" s="41"/>
      <c r="C391" s="103">
        <f t="shared" si="34"/>
        <v>44189</v>
      </c>
      <c r="E391" s="170"/>
      <c r="F391" s="58" t="str">
        <f>VLOOKUP(MOD(C391,7),'CALENDAR INFO'!$I$2:$J$8,2)</f>
        <v>THU</v>
      </c>
      <c r="G391" s="213">
        <v>0.09</v>
      </c>
      <c r="H391" s="425">
        <v>0.08</v>
      </c>
      <c r="I391" s="457">
        <f t="shared" si="35"/>
        <v>-9.999999999999995E-3</v>
      </c>
      <c r="M391" s="81">
        <v>4</v>
      </c>
      <c r="N391" s="64">
        <f t="shared" si="31"/>
        <v>1.0000088888888889</v>
      </c>
      <c r="P391" s="133"/>
    </row>
    <row r="392" spans="1:17">
      <c r="B392" s="41"/>
      <c r="C392" s="103">
        <f t="shared" si="34"/>
        <v>44190</v>
      </c>
      <c r="D392" s="173" t="s">
        <v>52</v>
      </c>
      <c r="E392" s="170"/>
      <c r="F392" s="58" t="str">
        <f>VLOOKUP(MOD(C392,7),'CALENDAR INFO'!$I$2:$J$8,2)</f>
        <v>FRI</v>
      </c>
      <c r="G392" s="213">
        <v>0.09</v>
      </c>
      <c r="H392" s="425">
        <v>0.08</v>
      </c>
      <c r="I392" s="457">
        <f t="shared" si="35"/>
        <v>-9.999999999999995E-3</v>
      </c>
      <c r="M392" s="63">
        <v>0</v>
      </c>
      <c r="N392" s="64">
        <f t="shared" si="31"/>
        <v>1</v>
      </c>
      <c r="P392" s="133"/>
    </row>
    <row r="393" spans="1:17">
      <c r="B393" s="41"/>
      <c r="C393" s="103">
        <f t="shared" si="34"/>
        <v>44191</v>
      </c>
      <c r="E393" s="170"/>
      <c r="F393" s="58" t="str">
        <f>VLOOKUP(MOD(C393,7),'CALENDAR INFO'!$I$2:$J$8,2)</f>
        <v>SAT</v>
      </c>
      <c r="G393" s="213">
        <v>0.09</v>
      </c>
      <c r="H393" s="425">
        <v>0.08</v>
      </c>
      <c r="I393" s="457">
        <f t="shared" si="35"/>
        <v>-9.999999999999995E-3</v>
      </c>
      <c r="K393" s="178"/>
      <c r="M393" s="63">
        <f>IF(MOD(C393,7)&lt;2,0,IF(MOD(C393,7)=6,3,1))</f>
        <v>0</v>
      </c>
      <c r="N393" s="64">
        <f t="shared" si="31"/>
        <v>1</v>
      </c>
      <c r="P393" s="133"/>
    </row>
    <row r="394" spans="1:17">
      <c r="B394" s="41"/>
      <c r="C394" s="103">
        <f t="shared" si="34"/>
        <v>44192</v>
      </c>
      <c r="E394" s="170"/>
      <c r="F394" s="58" t="str">
        <f>VLOOKUP(MOD(C394,7),'CALENDAR INFO'!$I$2:$J$8,2)</f>
        <v>SUN</v>
      </c>
      <c r="G394" s="213">
        <v>0.09</v>
      </c>
      <c r="H394" s="425">
        <v>0.08</v>
      </c>
      <c r="I394" s="457">
        <f t="shared" si="35"/>
        <v>-9.999999999999995E-3</v>
      </c>
      <c r="M394" s="63">
        <f>IF(MOD(C394,7)&lt;2,0,IF(MOD(C394,7)=6,3,1))</f>
        <v>0</v>
      </c>
      <c r="N394" s="64">
        <f t="shared" si="31"/>
        <v>1</v>
      </c>
      <c r="O394" s="89" t="s">
        <v>93</v>
      </c>
      <c r="P394" s="134"/>
    </row>
    <row r="395" spans="1:17">
      <c r="B395" s="41"/>
      <c r="C395" s="103">
        <f t="shared" si="34"/>
        <v>44193</v>
      </c>
      <c r="E395" s="170"/>
      <c r="F395" s="58" t="str">
        <f>VLOOKUP(MOD(C395,7),'CALENDAR INFO'!$I$2:$J$8,2)</f>
        <v>MON</v>
      </c>
      <c r="G395" s="213">
        <v>0.09</v>
      </c>
      <c r="H395" s="425">
        <v>0.09</v>
      </c>
      <c r="I395" s="457">
        <f t="shared" si="35"/>
        <v>0</v>
      </c>
      <c r="K395" s="189"/>
      <c r="M395" s="63">
        <f>IF(MOD(C395,7)&lt;2,0,IF(MOD(C395,7)=6,3,1))</f>
        <v>1</v>
      </c>
      <c r="N395" s="64">
        <f t="shared" si="31"/>
        <v>1.0000024999999999</v>
      </c>
      <c r="O395" s="89" t="s">
        <v>26</v>
      </c>
      <c r="P395" s="135">
        <v>99.91</v>
      </c>
      <c r="Q395" s="17" t="s">
        <v>107</v>
      </c>
    </row>
    <row r="396" spans="1:17">
      <c r="B396" s="41"/>
      <c r="C396" s="103">
        <f t="shared" si="34"/>
        <v>44194</v>
      </c>
      <c r="E396" s="170"/>
      <c r="F396" s="58" t="str">
        <f>VLOOKUP(MOD(C396,7),'CALENDAR INFO'!$I$2:$J$8,2)</f>
        <v>TUE</v>
      </c>
      <c r="G396" s="213">
        <v>0.09</v>
      </c>
      <c r="H396" s="425">
        <v>0.1</v>
      </c>
      <c r="I396" s="457">
        <f t="shared" si="35"/>
        <v>1.0000000000000009E-2</v>
      </c>
      <c r="J396" s="433"/>
      <c r="K396" s="187"/>
      <c r="L396" s="195"/>
      <c r="M396" s="63">
        <f>IF(MOD(C396,7)&lt;2,0,IF(MOD(C396,7)=6,3,1))</f>
        <v>1</v>
      </c>
      <c r="N396" s="64">
        <f t="shared" si="31"/>
        <v>1.0000027777777778</v>
      </c>
      <c r="O396" s="89" t="s">
        <v>76</v>
      </c>
      <c r="P396" s="135">
        <v>99.917000000000002</v>
      </c>
      <c r="Q396" s="17" t="s">
        <v>107</v>
      </c>
    </row>
    <row r="397" spans="1:17">
      <c r="B397" s="41"/>
      <c r="C397" s="103">
        <f t="shared" si="34"/>
        <v>44195</v>
      </c>
      <c r="E397" s="170" t="s">
        <v>19</v>
      </c>
      <c r="F397" s="58" t="str">
        <f>VLOOKUP(MOD(C397,7),'CALENDAR INFO'!$I$2:$J$8,2)</f>
        <v>WED</v>
      </c>
      <c r="G397" s="213">
        <v>0.09</v>
      </c>
      <c r="H397" s="425">
        <v>0.09</v>
      </c>
      <c r="I397" s="457">
        <f t="shared" si="35"/>
        <v>0</v>
      </c>
      <c r="K397" s="178"/>
      <c r="M397" s="63">
        <f>IF(MOD(C397,7)&lt;2,0,IF(MOD(C397,7)=6,3,1))</f>
        <v>1</v>
      </c>
      <c r="N397" s="64">
        <f t="shared" si="31"/>
        <v>1.0000024999999999</v>
      </c>
    </row>
    <row r="398" spans="1:17" ht="15.75" thickBot="1">
      <c r="A398" s="72"/>
      <c r="B398" s="226"/>
      <c r="C398" s="104">
        <f t="shared" si="34"/>
        <v>44196</v>
      </c>
      <c r="D398" s="112"/>
      <c r="E398" s="92" t="s">
        <v>18</v>
      </c>
      <c r="F398" s="71" t="str">
        <f>VLOOKUP(MOD(C398,7),'CALENDAR INFO'!$I$2:$J$8,2)</f>
        <v>THU</v>
      </c>
      <c r="G398" s="216">
        <v>0.09</v>
      </c>
      <c r="H398" s="426">
        <v>7.0000000000000007E-2</v>
      </c>
      <c r="I398" s="458">
        <f t="shared" si="35"/>
        <v>-1.999999999999999E-2</v>
      </c>
      <c r="J398" s="434"/>
      <c r="K398" s="181"/>
      <c r="L398" s="196"/>
      <c r="M398" s="76">
        <f>IF(MOD(C398,7)&lt;2,0,IF(MOD(C398,7)=6,3,1))+3</f>
        <v>4</v>
      </c>
      <c r="N398" s="77">
        <f t="shared" si="31"/>
        <v>1.0000077777777778</v>
      </c>
    </row>
    <row r="399" spans="1:17">
      <c r="A399" s="106"/>
      <c r="B399" s="232"/>
      <c r="C399" s="109">
        <f t="shared" si="34"/>
        <v>44197</v>
      </c>
      <c r="D399" s="108" t="s">
        <v>115</v>
      </c>
      <c r="E399" s="107"/>
      <c r="F399" s="105" t="str">
        <f>VLOOKUP(MOD(C399,7),'CALENDAR INFO'!$I$2:$J$8,2)</f>
        <v>FRI</v>
      </c>
      <c r="G399" s="218">
        <v>0.09</v>
      </c>
      <c r="H399" s="430">
        <v>7.0000000000000007E-2</v>
      </c>
      <c r="I399" s="461">
        <f t="shared" si="35"/>
        <v>-1.999999999999999E-2</v>
      </c>
      <c r="J399" s="436" t="s">
        <v>118</v>
      </c>
      <c r="K399" s="15">
        <f>VLOOKUP(MONTH($C399),'CALENDAR INFO'!$I$12:$J$23,2)</f>
        <v>31</v>
      </c>
      <c r="L399" s="179">
        <f>K399</f>
        <v>31</v>
      </c>
      <c r="M399" s="110">
        <f>IF(MOD(C399,7)&lt;2,0,IF(MOD(C399,7)=6,3,1))-3</f>
        <v>0</v>
      </c>
      <c r="N399" s="111">
        <f t="shared" si="31"/>
        <v>1</v>
      </c>
    </row>
    <row r="400" spans="1:17">
      <c r="A400" s="80"/>
      <c r="B400" s="227"/>
      <c r="C400" s="103">
        <f t="shared" si="34"/>
        <v>44198</v>
      </c>
      <c r="E400" s="167"/>
      <c r="F400" s="58" t="str">
        <f>VLOOKUP(MOD(C400,7),'CALENDAR INFO'!$I$2:$J$8,2)</f>
        <v>SAT</v>
      </c>
      <c r="G400" s="214">
        <v>0.09</v>
      </c>
      <c r="H400" s="425">
        <v>7.0000000000000007E-2</v>
      </c>
      <c r="I400" s="457">
        <f t="shared" si="35"/>
        <v>-1.999999999999999E-2</v>
      </c>
      <c r="J400" s="152" t="s">
        <v>151</v>
      </c>
      <c r="K400" s="15">
        <f>ROW($C400)-1</f>
        <v>399</v>
      </c>
      <c r="L400" s="179">
        <f>K400</f>
        <v>399</v>
      </c>
      <c r="M400" s="63">
        <f t="shared" ref="M400:M412" si="36">IF(MOD(C400,7)&lt;2,0,IF(MOD(C400,7)=6,3,1))</f>
        <v>0</v>
      </c>
      <c r="N400" s="64">
        <f t="shared" si="31"/>
        <v>1</v>
      </c>
    </row>
    <row r="401" spans="1:14">
      <c r="A401" s="80"/>
      <c r="B401" s="227"/>
      <c r="C401" s="103">
        <f t="shared" si="34"/>
        <v>44199</v>
      </c>
      <c r="E401" s="167"/>
      <c r="F401" s="58" t="str">
        <f>VLOOKUP(MOD(C401,7),'CALENDAR INFO'!$I$2:$J$8,2)</f>
        <v>SUN</v>
      </c>
      <c r="G401" s="214">
        <v>0.09</v>
      </c>
      <c r="H401" s="425">
        <v>7.0000000000000007E-2</v>
      </c>
      <c r="I401" s="457">
        <f t="shared" si="35"/>
        <v>-1.999999999999999E-2</v>
      </c>
      <c r="J401" s="152" t="s">
        <v>152</v>
      </c>
      <c r="K401" s="15">
        <f>K399+K400-1</f>
        <v>429</v>
      </c>
      <c r="L401" s="200">
        <f>K401</f>
        <v>429</v>
      </c>
      <c r="M401" s="63">
        <f t="shared" si="36"/>
        <v>0</v>
      </c>
      <c r="N401" s="64">
        <f t="shared" si="31"/>
        <v>1</v>
      </c>
    </row>
    <row r="402" spans="1:14">
      <c r="B402" s="41"/>
      <c r="C402" s="103">
        <f t="shared" si="34"/>
        <v>44200</v>
      </c>
      <c r="E402" s="167"/>
      <c r="F402" s="58" t="str">
        <f>VLOOKUP(MOD(C402,7),'CALENDAR INFO'!$I$2:$J$8,2)</f>
        <v>MON</v>
      </c>
      <c r="G402" s="214">
        <v>0.09</v>
      </c>
      <c r="H402" s="425">
        <v>0.1</v>
      </c>
      <c r="I402" s="457">
        <f t="shared" si="35"/>
        <v>1.0000000000000009E-2</v>
      </c>
      <c r="J402" s="152"/>
      <c r="K402" s="182"/>
      <c r="L402" s="201"/>
      <c r="M402" s="63">
        <f t="shared" si="36"/>
        <v>1</v>
      </c>
      <c r="N402" s="64">
        <f t="shared" si="31"/>
        <v>1.0000027777777778</v>
      </c>
    </row>
    <row r="403" spans="1:14">
      <c r="B403" s="41"/>
      <c r="C403" s="103">
        <f t="shared" si="34"/>
        <v>44201</v>
      </c>
      <c r="E403" s="167"/>
      <c r="F403" s="58" t="str">
        <f>VLOOKUP(MOD(C403,7),'CALENDAR INFO'!$I$2:$J$8,2)</f>
        <v>TUE</v>
      </c>
      <c r="G403" s="214">
        <v>0.09</v>
      </c>
      <c r="H403" s="425">
        <v>0.11</v>
      </c>
      <c r="I403" s="457">
        <f t="shared" si="35"/>
        <v>2.0000000000000004E-2</v>
      </c>
      <c r="J403" s="152" t="s">
        <v>153</v>
      </c>
      <c r="K403" s="182" t="str">
        <f>_xlfn.CONCAT("A",TEXT(K400,0),":","A",TEXT(K401,0))</f>
        <v>A399:A429</v>
      </c>
      <c r="L403" s="201" t="str">
        <f>_xlfn.CONCAT("B",TEXT(L400,0),":","B",TEXT(L401,0))</f>
        <v>B399:B429</v>
      </c>
      <c r="M403" s="63">
        <f t="shared" si="36"/>
        <v>1</v>
      </c>
      <c r="N403" s="64">
        <f t="shared" ref="N403:N466" si="37">1+(M403/360)*(MAX(H403,B403)/100)</f>
        <v>1.0000030555555555</v>
      </c>
    </row>
    <row r="404" spans="1:14">
      <c r="B404" s="41"/>
      <c r="C404" s="103">
        <f t="shared" si="34"/>
        <v>44202</v>
      </c>
      <c r="E404" s="167"/>
      <c r="F404" s="58" t="str">
        <f>VLOOKUP(MOD(C404,7),'CALENDAR INFO'!$I$2:$J$8,2)</f>
        <v>WED</v>
      </c>
      <c r="G404" s="214">
        <v>0.09</v>
      </c>
      <c r="H404" s="425">
        <v>0.1</v>
      </c>
      <c r="I404" s="457">
        <f t="shared" si="35"/>
        <v>1.0000000000000009E-2</v>
      </c>
      <c r="J404" s="152" t="s">
        <v>154</v>
      </c>
      <c r="K404" s="182" t="str">
        <f>_xlfn.CONCAT("F",TEXT(K400,0),":","F",TEXT(K401,0))</f>
        <v>F399:F429</v>
      </c>
      <c r="L404" s="201" t="str">
        <f>_xlfn.CONCAT("G",TEXT(L400,0),":","G",TEXT(L401,0))</f>
        <v>G399:G429</v>
      </c>
      <c r="M404" s="63">
        <f t="shared" si="36"/>
        <v>1</v>
      </c>
      <c r="N404" s="64">
        <f t="shared" si="37"/>
        <v>1.0000027777777778</v>
      </c>
    </row>
    <row r="405" spans="1:14">
      <c r="B405" s="41"/>
      <c r="C405" s="103">
        <f t="shared" si="34"/>
        <v>44203</v>
      </c>
      <c r="E405" s="167"/>
      <c r="F405" s="58" t="str">
        <f>VLOOKUP(MOD(C405,7),'CALENDAR INFO'!$I$2:$J$8,2)</f>
        <v>THU</v>
      </c>
      <c r="G405" s="214">
        <v>0.09</v>
      </c>
      <c r="H405" s="425">
        <v>0.1</v>
      </c>
      <c r="I405" s="457">
        <f t="shared" si="35"/>
        <v>1.0000000000000009E-2</v>
      </c>
      <c r="J405" s="152"/>
      <c r="K405" s="152"/>
      <c r="L405" s="202"/>
      <c r="M405" s="63">
        <f t="shared" si="36"/>
        <v>1</v>
      </c>
      <c r="N405" s="64">
        <f t="shared" si="37"/>
        <v>1.0000027777777778</v>
      </c>
    </row>
    <row r="406" spans="1:14">
      <c r="B406" s="41"/>
      <c r="C406" s="103">
        <f t="shared" si="34"/>
        <v>44204</v>
      </c>
      <c r="E406" s="167"/>
      <c r="F406" s="58" t="str">
        <f>VLOOKUP(MOD(C406,7),'CALENDAR INFO'!$I$2:$J$8,2)</f>
        <v>FRI</v>
      </c>
      <c r="G406" s="214">
        <v>0.09</v>
      </c>
      <c r="H406" s="425">
        <v>0.09</v>
      </c>
      <c r="I406" s="457">
        <f t="shared" si="35"/>
        <v>0</v>
      </c>
      <c r="J406" s="152" t="s">
        <v>155</v>
      </c>
      <c r="K406" s="15">
        <f ca="1">SUM(INDIRECT(K403))</f>
        <v>0</v>
      </c>
      <c r="L406" s="93">
        <f ca="1">SUM(INDIRECT(L403))</f>
        <v>0</v>
      </c>
      <c r="M406" s="63">
        <f t="shared" si="36"/>
        <v>3</v>
      </c>
      <c r="N406" s="64">
        <f t="shared" si="37"/>
        <v>1.0000074999999999</v>
      </c>
    </row>
    <row r="407" spans="1:14">
      <c r="B407" s="41"/>
      <c r="C407" s="103">
        <f t="shared" si="34"/>
        <v>44205</v>
      </c>
      <c r="E407" s="167"/>
      <c r="F407" s="58" t="str">
        <f>VLOOKUP(MOD(C407,7),'CALENDAR INFO'!$I$2:$J$8,2)</f>
        <v>SAT</v>
      </c>
      <c r="G407" s="214">
        <v>0.09</v>
      </c>
      <c r="H407" s="425">
        <v>0.09</v>
      </c>
      <c r="I407" s="457">
        <f t="shared" si="35"/>
        <v>0</v>
      </c>
      <c r="J407" s="152" t="s">
        <v>156</v>
      </c>
      <c r="K407" s="207">
        <f ca="1">SUM(INDIRECT(K404))</f>
        <v>0</v>
      </c>
      <c r="L407" s="208">
        <f ca="1">SUM(INDIRECT(L404))</f>
        <v>2.64</v>
      </c>
      <c r="M407" s="63">
        <f t="shared" si="36"/>
        <v>0</v>
      </c>
      <c r="N407" s="64">
        <f t="shared" si="37"/>
        <v>1</v>
      </c>
    </row>
    <row r="408" spans="1:14">
      <c r="B408" s="41"/>
      <c r="C408" s="103">
        <f t="shared" si="34"/>
        <v>44206</v>
      </c>
      <c r="E408" s="167"/>
      <c r="F408" s="58" t="str">
        <f>VLOOKUP(MOD(C408,7),'CALENDAR INFO'!$I$2:$J$8,2)</f>
        <v>SUN</v>
      </c>
      <c r="G408" s="214">
        <v>0.09</v>
      </c>
      <c r="H408" s="425">
        <v>0.09</v>
      </c>
      <c r="I408" s="457">
        <f t="shared" si="35"/>
        <v>0</v>
      </c>
      <c r="J408" s="152" t="s">
        <v>157</v>
      </c>
      <c r="K408" s="178">
        <f ca="1">K406+K407</f>
        <v>0</v>
      </c>
      <c r="L408" s="192">
        <f ca="1">L406+L407</f>
        <v>2.64</v>
      </c>
      <c r="M408" s="63">
        <f t="shared" si="36"/>
        <v>0</v>
      </c>
      <c r="N408" s="64">
        <f t="shared" si="37"/>
        <v>1</v>
      </c>
    </row>
    <row r="409" spans="1:14">
      <c r="B409" s="41"/>
      <c r="C409" s="103">
        <f t="shared" si="34"/>
        <v>44207</v>
      </c>
      <c r="E409" s="167"/>
      <c r="F409" s="58" t="str">
        <f>VLOOKUP(MOD(C409,7),'CALENDAR INFO'!$I$2:$J$8,2)</f>
        <v>MON</v>
      </c>
      <c r="G409" s="214">
        <v>0.09</v>
      </c>
      <c r="H409" s="425">
        <v>0.09</v>
      </c>
      <c r="I409" s="457">
        <f t="shared" si="35"/>
        <v>0</v>
      </c>
      <c r="J409" s="152"/>
      <c r="K409" s="178"/>
      <c r="L409" s="192"/>
      <c r="M409" s="63">
        <f t="shared" si="36"/>
        <v>1</v>
      </c>
      <c r="N409" s="64">
        <f t="shared" si="37"/>
        <v>1.0000024999999999</v>
      </c>
    </row>
    <row r="410" spans="1:14">
      <c r="B410" s="41"/>
      <c r="C410" s="103">
        <f t="shared" si="34"/>
        <v>44208</v>
      </c>
      <c r="E410" s="167"/>
      <c r="F410" s="58" t="str">
        <f>VLOOKUP(MOD(C410,7),'CALENDAR INFO'!$I$2:$J$8,2)</f>
        <v>TUE</v>
      </c>
      <c r="G410" s="214">
        <v>0.09</v>
      </c>
      <c r="H410" s="425">
        <v>0.08</v>
      </c>
      <c r="I410" s="457">
        <f t="shared" si="35"/>
        <v>-9.999999999999995E-3</v>
      </c>
      <c r="J410" s="152" t="s">
        <v>158</v>
      </c>
      <c r="K410" s="178">
        <f ca="1">K408/K399</f>
        <v>0</v>
      </c>
      <c r="L410" s="192">
        <f ca="1">L408/L399</f>
        <v>8.5161290322580643E-2</v>
      </c>
      <c r="M410" s="63">
        <f t="shared" si="36"/>
        <v>1</v>
      </c>
      <c r="N410" s="64">
        <f t="shared" si="37"/>
        <v>1.0000022222222222</v>
      </c>
    </row>
    <row r="411" spans="1:14">
      <c r="B411" s="41"/>
      <c r="C411" s="103">
        <f t="shared" si="34"/>
        <v>44209</v>
      </c>
      <c r="E411" s="167" t="s">
        <v>19</v>
      </c>
      <c r="F411" s="58" t="str">
        <f>VLOOKUP(MOD(C411,7),'CALENDAR INFO'!$I$2:$J$8,2)</f>
        <v>WED</v>
      </c>
      <c r="G411" s="214">
        <v>0.09</v>
      </c>
      <c r="H411" s="425">
        <v>0.08</v>
      </c>
      <c r="I411" s="457">
        <f t="shared" si="35"/>
        <v>-9.999999999999995E-3</v>
      </c>
      <c r="J411" s="152" t="s">
        <v>159</v>
      </c>
      <c r="K411" s="180">
        <f ca="1">100-K410</f>
        <v>100</v>
      </c>
      <c r="L411" s="193">
        <f ca="1">100-L410</f>
        <v>99.914838709677426</v>
      </c>
      <c r="M411" s="63">
        <f t="shared" si="36"/>
        <v>1</v>
      </c>
      <c r="N411" s="64">
        <f t="shared" si="37"/>
        <v>1.0000022222222222</v>
      </c>
    </row>
    <row r="412" spans="1:14">
      <c r="B412" s="41"/>
      <c r="C412" s="103">
        <f t="shared" si="34"/>
        <v>44210</v>
      </c>
      <c r="E412" s="170" t="s">
        <v>18</v>
      </c>
      <c r="F412" s="58" t="str">
        <f>VLOOKUP(MOD(C412,7),'CALENDAR INFO'!$I$2:$J$8,2)</f>
        <v>THU</v>
      </c>
      <c r="G412" s="214">
        <v>0.09</v>
      </c>
      <c r="H412" s="425">
        <v>0.08</v>
      </c>
      <c r="I412" s="457">
        <f t="shared" si="35"/>
        <v>-9.999999999999995E-3</v>
      </c>
      <c r="J412" s="152"/>
      <c r="K412" s="178"/>
      <c r="L412" s="192"/>
      <c r="M412" s="63">
        <f t="shared" si="36"/>
        <v>1</v>
      </c>
      <c r="N412" s="64">
        <f t="shared" si="37"/>
        <v>1.0000022222222222</v>
      </c>
    </row>
    <row r="413" spans="1:14">
      <c r="B413" s="41"/>
      <c r="C413" s="103">
        <f t="shared" si="34"/>
        <v>44211</v>
      </c>
      <c r="E413" s="170"/>
      <c r="F413" s="58" t="str">
        <f>VLOOKUP(MOD(C413,7),'CALENDAR INFO'!$I$2:$J$8,2)</f>
        <v>FRI</v>
      </c>
      <c r="G413" s="214">
        <v>0.09</v>
      </c>
      <c r="H413" s="425">
        <v>0.08</v>
      </c>
      <c r="I413" s="457">
        <f t="shared" si="35"/>
        <v>-9.999999999999995E-3</v>
      </c>
      <c r="J413" s="152"/>
      <c r="K413" s="186"/>
      <c r="L413" s="194"/>
      <c r="M413" s="81">
        <v>4</v>
      </c>
      <c r="N413" s="64">
        <f t="shared" si="37"/>
        <v>1.0000088888888889</v>
      </c>
    </row>
    <row r="414" spans="1:14">
      <c r="B414" s="41"/>
      <c r="C414" s="103">
        <f t="shared" si="34"/>
        <v>44212</v>
      </c>
      <c r="E414" s="170"/>
      <c r="F414" s="58" t="str">
        <f>VLOOKUP(MOD(C414,7),'CALENDAR INFO'!$I$2:$J$8,2)</f>
        <v>SAT</v>
      </c>
      <c r="G414" s="214">
        <v>0.09</v>
      </c>
      <c r="H414" s="425">
        <v>0.08</v>
      </c>
      <c r="I414" s="457">
        <f t="shared" si="35"/>
        <v>-9.999999999999995E-3</v>
      </c>
      <c r="J414" s="152"/>
      <c r="K414" s="152"/>
      <c r="L414" s="202"/>
      <c r="M414" s="63">
        <f>IF(MOD(C414,7)&lt;2,0,IF(MOD(C414,7)=6,3,1))</f>
        <v>0</v>
      </c>
      <c r="N414" s="64">
        <f t="shared" si="37"/>
        <v>1</v>
      </c>
    </row>
    <row r="415" spans="1:14">
      <c r="B415" s="41"/>
      <c r="C415" s="103">
        <f t="shared" si="34"/>
        <v>44213</v>
      </c>
      <c r="E415" s="170"/>
      <c r="F415" s="58" t="str">
        <f>VLOOKUP(MOD(C415,7),'CALENDAR INFO'!$I$2:$J$8,2)</f>
        <v>SUN</v>
      </c>
      <c r="G415" s="214">
        <v>0.09</v>
      </c>
      <c r="H415" s="425">
        <v>0.08</v>
      </c>
      <c r="I415" s="457">
        <f t="shared" si="35"/>
        <v>-9.999999999999995E-3</v>
      </c>
      <c r="J415" s="152"/>
      <c r="K415" s="152"/>
      <c r="L415" s="202"/>
      <c r="M415" s="63">
        <f>IF(MOD(C415,7)&lt;2,0,IF(MOD(C415,7)=6,3,1))</f>
        <v>0</v>
      </c>
      <c r="N415" s="64">
        <f t="shared" si="37"/>
        <v>1</v>
      </c>
    </row>
    <row r="416" spans="1:14">
      <c r="B416" s="41"/>
      <c r="C416" s="103">
        <f t="shared" si="34"/>
        <v>44214</v>
      </c>
      <c r="D416" s="173" t="s">
        <v>103</v>
      </c>
      <c r="E416" s="170"/>
      <c r="F416" s="58" t="str">
        <f>VLOOKUP(MOD(C416,7),'CALENDAR INFO'!$I$2:$J$8,2)</f>
        <v>MON</v>
      </c>
      <c r="G416" s="214">
        <v>0.09</v>
      </c>
      <c r="H416" s="425">
        <v>0.08</v>
      </c>
      <c r="I416" s="457">
        <f t="shared" si="35"/>
        <v>-9.999999999999995E-3</v>
      </c>
      <c r="J416" s="152"/>
      <c r="K416" s="152"/>
      <c r="L416" s="202"/>
      <c r="M416" s="81">
        <v>0</v>
      </c>
      <c r="N416" s="64">
        <f t="shared" si="37"/>
        <v>1</v>
      </c>
    </row>
    <row r="417" spans="1:17">
      <c r="B417" s="41"/>
      <c r="C417" s="103">
        <f t="shared" si="34"/>
        <v>44215</v>
      </c>
      <c r="E417" s="170"/>
      <c r="F417" s="58" t="str">
        <f>VLOOKUP(MOD(C417,7),'CALENDAR INFO'!$I$2:$J$8,2)</f>
        <v>TUE</v>
      </c>
      <c r="G417" s="214">
        <v>0.09</v>
      </c>
      <c r="H417" s="425">
        <v>7.0000000000000007E-2</v>
      </c>
      <c r="I417" s="457">
        <f t="shared" si="35"/>
        <v>-1.999999999999999E-2</v>
      </c>
      <c r="J417" s="152"/>
      <c r="K417" s="152"/>
      <c r="L417" s="202"/>
      <c r="M417" s="63">
        <f t="shared" ref="M417:M440" si="38">IF(MOD(C417,7)&lt;2,0,IF(MOD(C417,7)=6,3,1))</f>
        <v>1</v>
      </c>
      <c r="N417" s="64">
        <f t="shared" si="37"/>
        <v>1.0000019444444443</v>
      </c>
    </row>
    <row r="418" spans="1:17">
      <c r="B418" s="41"/>
      <c r="C418" s="103">
        <f t="shared" si="34"/>
        <v>44216</v>
      </c>
      <c r="E418" s="170"/>
      <c r="F418" s="58" t="str">
        <f>VLOOKUP(MOD(C418,7),'CALENDAR INFO'!$I$2:$J$8,2)</f>
        <v>WED</v>
      </c>
      <c r="G418" s="214">
        <v>0.09</v>
      </c>
      <c r="H418" s="425">
        <v>0.06</v>
      </c>
      <c r="I418" s="457">
        <f t="shared" si="35"/>
        <v>-0.03</v>
      </c>
      <c r="J418" s="152"/>
      <c r="K418" s="152"/>
      <c r="L418" s="202"/>
      <c r="M418" s="63">
        <f t="shared" si="38"/>
        <v>1</v>
      </c>
      <c r="N418" s="64">
        <f t="shared" si="37"/>
        <v>1.0000016666666667</v>
      </c>
    </row>
    <row r="419" spans="1:17">
      <c r="B419" s="41"/>
      <c r="C419" s="103">
        <f t="shared" si="34"/>
        <v>44217</v>
      </c>
      <c r="E419" s="170"/>
      <c r="F419" s="58" t="str">
        <f>VLOOKUP(MOD(C419,7),'CALENDAR INFO'!$I$2:$J$8,2)</f>
        <v>THU</v>
      </c>
      <c r="G419" s="214">
        <v>0.08</v>
      </c>
      <c r="H419" s="425">
        <v>0.04</v>
      </c>
      <c r="I419" s="457">
        <f t="shared" si="35"/>
        <v>-0.04</v>
      </c>
      <c r="J419" s="152"/>
      <c r="K419" s="152"/>
      <c r="L419" s="202"/>
      <c r="M419" s="63">
        <f t="shared" si="38"/>
        <v>1</v>
      </c>
      <c r="N419" s="64">
        <f t="shared" si="37"/>
        <v>1.0000011111111111</v>
      </c>
    </row>
    <row r="420" spans="1:17">
      <c r="B420" s="41"/>
      <c r="C420" s="103">
        <f t="shared" si="34"/>
        <v>44218</v>
      </c>
      <c r="E420" s="170"/>
      <c r="F420" s="58" t="str">
        <f>VLOOKUP(MOD(C420,7),'CALENDAR INFO'!$I$2:$J$8,2)</f>
        <v>FRI</v>
      </c>
      <c r="G420" s="214">
        <v>0.08</v>
      </c>
      <c r="H420" s="425">
        <v>0.05</v>
      </c>
      <c r="I420" s="457">
        <f t="shared" si="35"/>
        <v>-0.03</v>
      </c>
      <c r="J420" s="152"/>
      <c r="K420" s="152"/>
      <c r="L420" s="202"/>
      <c r="M420" s="63">
        <f t="shared" si="38"/>
        <v>3</v>
      </c>
      <c r="N420" s="64">
        <f t="shared" si="37"/>
        <v>1.0000041666666666</v>
      </c>
    </row>
    <row r="421" spans="1:17">
      <c r="B421" s="41"/>
      <c r="C421" s="103">
        <f t="shared" si="34"/>
        <v>44219</v>
      </c>
      <c r="E421" s="170"/>
      <c r="F421" s="58" t="str">
        <f>VLOOKUP(MOD(C421,7),'CALENDAR INFO'!$I$2:$J$8,2)</f>
        <v>SAT</v>
      </c>
      <c r="G421" s="214">
        <v>0.08</v>
      </c>
      <c r="H421" s="425">
        <v>0.05</v>
      </c>
      <c r="I421" s="457">
        <f t="shared" si="35"/>
        <v>-0.03</v>
      </c>
      <c r="J421" s="152"/>
      <c r="K421" s="152"/>
      <c r="L421" s="202"/>
      <c r="M421" s="63">
        <f t="shared" si="38"/>
        <v>0</v>
      </c>
      <c r="N421" s="64">
        <f t="shared" si="37"/>
        <v>1</v>
      </c>
    </row>
    <row r="422" spans="1:17">
      <c r="B422" s="41"/>
      <c r="C422" s="103">
        <f t="shared" si="34"/>
        <v>44220</v>
      </c>
      <c r="E422" s="170"/>
      <c r="F422" s="58" t="str">
        <f>VLOOKUP(MOD(C422,7),'CALENDAR INFO'!$I$2:$J$8,2)</f>
        <v>SUN</v>
      </c>
      <c r="G422" s="214">
        <v>0.08</v>
      </c>
      <c r="H422" s="425">
        <v>0.05</v>
      </c>
      <c r="I422" s="457">
        <f t="shared" si="35"/>
        <v>-0.03</v>
      </c>
      <c r="J422" s="152"/>
      <c r="K422" s="152"/>
      <c r="L422" s="202"/>
      <c r="M422" s="63">
        <f t="shared" si="38"/>
        <v>0</v>
      </c>
      <c r="N422" s="64">
        <f t="shared" si="37"/>
        <v>1</v>
      </c>
    </row>
    <row r="423" spans="1:17">
      <c r="B423" s="41"/>
      <c r="C423" s="103">
        <f t="shared" si="34"/>
        <v>44221</v>
      </c>
      <c r="E423" s="170"/>
      <c r="F423" s="58" t="str">
        <f>VLOOKUP(MOD(C423,7),'CALENDAR INFO'!$I$2:$J$8,2)</f>
        <v>MON</v>
      </c>
      <c r="G423" s="214">
        <v>0.08</v>
      </c>
      <c r="H423" s="425">
        <v>0.06</v>
      </c>
      <c r="I423" s="457">
        <f t="shared" si="35"/>
        <v>-2.0000000000000004E-2</v>
      </c>
      <c r="J423" s="152"/>
      <c r="K423" s="152"/>
      <c r="L423" s="202"/>
      <c r="M423" s="63">
        <f t="shared" si="38"/>
        <v>1</v>
      </c>
      <c r="N423" s="64">
        <f t="shared" si="37"/>
        <v>1.0000016666666667</v>
      </c>
    </row>
    <row r="424" spans="1:17">
      <c r="B424" s="41"/>
      <c r="C424" s="103">
        <f t="shared" si="34"/>
        <v>44222</v>
      </c>
      <c r="D424" s="153" t="s">
        <v>20</v>
      </c>
      <c r="E424" s="170"/>
      <c r="F424" s="58" t="str">
        <f>VLOOKUP(MOD(C424,7),'CALENDAR INFO'!$I$2:$J$8,2)</f>
        <v>TUE</v>
      </c>
      <c r="G424" s="214">
        <v>0.08</v>
      </c>
      <c r="H424" s="425">
        <v>0.03</v>
      </c>
      <c r="I424" s="457">
        <f t="shared" si="35"/>
        <v>-0.05</v>
      </c>
      <c r="J424" s="152"/>
      <c r="K424" s="182"/>
      <c r="L424" s="201"/>
      <c r="M424" s="63">
        <f t="shared" si="38"/>
        <v>1</v>
      </c>
      <c r="N424" s="64">
        <f t="shared" si="37"/>
        <v>1.0000008333333332</v>
      </c>
    </row>
    <row r="425" spans="1:17">
      <c r="B425" s="41"/>
      <c r="C425" s="103">
        <f t="shared" si="34"/>
        <v>44223</v>
      </c>
      <c r="D425" s="153" t="s">
        <v>20</v>
      </c>
      <c r="E425" s="170" t="s">
        <v>19</v>
      </c>
      <c r="F425" s="58" t="str">
        <f>VLOOKUP(MOD(C425,7),'CALENDAR INFO'!$I$2:$J$8,2)</f>
        <v>WED</v>
      </c>
      <c r="G425" s="214">
        <v>0.08</v>
      </c>
      <c r="H425" s="425">
        <v>0.03</v>
      </c>
      <c r="I425" s="457">
        <f t="shared" si="35"/>
        <v>-0.05</v>
      </c>
      <c r="J425" s="152"/>
      <c r="K425" s="152"/>
      <c r="L425" s="202"/>
      <c r="M425" s="63">
        <f t="shared" si="38"/>
        <v>1</v>
      </c>
      <c r="N425" s="64">
        <f t="shared" si="37"/>
        <v>1.0000008333333332</v>
      </c>
      <c r="O425" s="89" t="s">
        <v>93</v>
      </c>
      <c r="P425" s="90"/>
    </row>
    <row r="426" spans="1:17">
      <c r="B426" s="41"/>
      <c r="C426" s="103">
        <f t="shared" si="34"/>
        <v>44224</v>
      </c>
      <c r="E426" s="167" t="s">
        <v>18</v>
      </c>
      <c r="F426" s="58" t="str">
        <f>VLOOKUP(MOD(C426,7),'CALENDAR INFO'!$I$2:$J$8,2)</f>
        <v>THU</v>
      </c>
      <c r="G426" s="214">
        <v>7.0000000000000007E-2</v>
      </c>
      <c r="H426" s="425">
        <v>0.04</v>
      </c>
      <c r="I426" s="457">
        <f t="shared" si="35"/>
        <v>-3.0000000000000006E-2</v>
      </c>
      <c r="J426" s="152"/>
      <c r="K426" s="182"/>
      <c r="L426" s="201"/>
      <c r="M426" s="63">
        <f t="shared" si="38"/>
        <v>1</v>
      </c>
      <c r="N426" s="64">
        <f t="shared" si="37"/>
        <v>1.0000011111111111</v>
      </c>
      <c r="O426" s="89" t="s">
        <v>26</v>
      </c>
      <c r="P426" s="135">
        <v>99.915000000000006</v>
      </c>
      <c r="Q426" s="17" t="s">
        <v>107</v>
      </c>
    </row>
    <row r="427" spans="1:17">
      <c r="B427" s="41"/>
      <c r="C427" s="103">
        <f t="shared" si="34"/>
        <v>44225</v>
      </c>
      <c r="E427" s="167"/>
      <c r="F427" s="58" t="str">
        <f>VLOOKUP(MOD(C427,7),'CALENDAR INFO'!$I$2:$J$8,2)</f>
        <v>FRI</v>
      </c>
      <c r="G427" s="214">
        <v>7.0000000000000007E-2</v>
      </c>
      <c r="H427" s="425">
        <v>0.06</v>
      </c>
      <c r="I427" s="457">
        <f t="shared" si="35"/>
        <v>-1.0000000000000009E-2</v>
      </c>
      <c r="J427" s="152"/>
      <c r="K427" s="190"/>
      <c r="L427" s="203"/>
      <c r="M427" s="63">
        <f t="shared" si="38"/>
        <v>3</v>
      </c>
      <c r="N427" s="64">
        <f t="shared" si="37"/>
        <v>1.000005</v>
      </c>
      <c r="O427" s="89" t="s">
        <v>76</v>
      </c>
      <c r="P427" s="135">
        <v>99.929000000000002</v>
      </c>
      <c r="Q427" s="17" t="s">
        <v>107</v>
      </c>
    </row>
    <row r="428" spans="1:17">
      <c r="B428" s="41"/>
      <c r="C428" s="103">
        <f t="shared" si="34"/>
        <v>44226</v>
      </c>
      <c r="E428" s="167"/>
      <c r="F428" s="58" t="str">
        <f>VLOOKUP(MOD(C428,7),'CALENDAR INFO'!$I$2:$J$8,2)</f>
        <v>SAT</v>
      </c>
      <c r="G428" s="214">
        <v>7.0000000000000007E-2</v>
      </c>
      <c r="H428" s="425">
        <v>0.06</v>
      </c>
      <c r="I428" s="457">
        <f t="shared" si="35"/>
        <v>-1.0000000000000009E-2</v>
      </c>
      <c r="J428" s="152"/>
      <c r="K428" s="182"/>
      <c r="L428" s="201"/>
      <c r="M428" s="63">
        <f t="shared" si="38"/>
        <v>0</v>
      </c>
      <c r="N428" s="64">
        <f t="shared" si="37"/>
        <v>1</v>
      </c>
    </row>
    <row r="429" spans="1:17" ht="15.75" thickBot="1">
      <c r="A429" s="98"/>
      <c r="B429" s="230"/>
      <c r="C429" s="104">
        <f t="shared" si="34"/>
        <v>44227</v>
      </c>
      <c r="D429" s="112"/>
      <c r="E429" s="92"/>
      <c r="F429" s="71" t="str">
        <f>VLOOKUP(MOD(C429,7),'CALENDAR INFO'!$I$2:$J$8,2)</f>
        <v>SUN</v>
      </c>
      <c r="G429" s="215">
        <v>7.0000000000000007E-2</v>
      </c>
      <c r="H429" s="426">
        <v>0.06</v>
      </c>
      <c r="I429" s="458">
        <f t="shared" si="35"/>
        <v>-1.0000000000000009E-2</v>
      </c>
      <c r="J429" s="437"/>
      <c r="K429" s="191"/>
      <c r="L429" s="204"/>
      <c r="M429" s="88">
        <f t="shared" si="38"/>
        <v>0</v>
      </c>
      <c r="N429" s="77">
        <f t="shared" si="37"/>
        <v>1</v>
      </c>
    </row>
    <row r="430" spans="1:17">
      <c r="B430" s="41"/>
      <c r="C430" s="103">
        <f t="shared" si="34"/>
        <v>44228</v>
      </c>
      <c r="E430" s="167"/>
      <c r="F430" s="58" t="str">
        <f>VLOOKUP(MOD(C430,7),'CALENDAR INFO'!$I$2:$J$8,2)</f>
        <v>MON</v>
      </c>
      <c r="G430" s="214">
        <v>0.08</v>
      </c>
      <c r="H430" s="425">
        <v>7.0000000000000007E-2</v>
      </c>
      <c r="I430" s="457">
        <f t="shared" si="35"/>
        <v>-9.999999999999995E-3</v>
      </c>
      <c r="J430" s="436" t="s">
        <v>118</v>
      </c>
      <c r="K430" s="15">
        <f>VLOOKUP(MONTH($C430),'CALENDAR INFO'!$I$12:$J$23,2)</f>
        <v>28</v>
      </c>
      <c r="L430" s="179">
        <f>K430</f>
        <v>28</v>
      </c>
      <c r="M430" s="63">
        <f t="shared" si="38"/>
        <v>1</v>
      </c>
      <c r="N430" s="64">
        <f t="shared" si="37"/>
        <v>1.0000019444444443</v>
      </c>
    </row>
    <row r="431" spans="1:17">
      <c r="B431" s="41"/>
      <c r="C431" s="103">
        <f t="shared" si="34"/>
        <v>44229</v>
      </c>
      <c r="E431" s="167"/>
      <c r="F431" s="58" t="str">
        <f>VLOOKUP(MOD(C431,7),'CALENDAR INFO'!$I$2:$J$8,2)</f>
        <v>TUE</v>
      </c>
      <c r="G431" s="214">
        <v>0.08</v>
      </c>
      <c r="H431" s="425">
        <v>7.0000000000000007E-2</v>
      </c>
      <c r="I431" s="457">
        <f t="shared" si="35"/>
        <v>-9.999999999999995E-3</v>
      </c>
      <c r="J431" s="152" t="s">
        <v>151</v>
      </c>
      <c r="K431" s="15">
        <f>ROW($C431)-1</f>
        <v>430</v>
      </c>
      <c r="L431" s="179">
        <f>K431</f>
        <v>430</v>
      </c>
      <c r="M431" s="63">
        <f t="shared" si="38"/>
        <v>1</v>
      </c>
      <c r="N431" s="64">
        <f t="shared" si="37"/>
        <v>1.0000019444444443</v>
      </c>
    </row>
    <row r="432" spans="1:17">
      <c r="B432" s="41"/>
      <c r="C432" s="103">
        <f t="shared" si="34"/>
        <v>44230</v>
      </c>
      <c r="E432" s="167"/>
      <c r="F432" s="58" t="str">
        <f>VLOOKUP(MOD(C432,7),'CALENDAR INFO'!$I$2:$J$8,2)</f>
        <v>WED</v>
      </c>
      <c r="G432" s="214">
        <v>0.08</v>
      </c>
      <c r="H432" s="425">
        <v>7.0000000000000007E-2</v>
      </c>
      <c r="I432" s="457">
        <f t="shared" si="35"/>
        <v>-9.999999999999995E-3</v>
      </c>
      <c r="J432" s="152" t="s">
        <v>152</v>
      </c>
      <c r="K432" s="15">
        <f>K430+K431-1</f>
        <v>457</v>
      </c>
      <c r="L432" s="200">
        <f>K432</f>
        <v>457</v>
      </c>
      <c r="M432" s="63">
        <f t="shared" si="38"/>
        <v>1</v>
      </c>
      <c r="N432" s="64">
        <f t="shared" si="37"/>
        <v>1.0000019444444443</v>
      </c>
    </row>
    <row r="433" spans="2:22">
      <c r="B433" s="41"/>
      <c r="C433" s="103">
        <f t="shared" si="34"/>
        <v>44231</v>
      </c>
      <c r="E433" s="167"/>
      <c r="F433" s="58" t="str">
        <f>VLOOKUP(MOD(C433,7),'CALENDAR INFO'!$I$2:$J$8,2)</f>
        <v>THU</v>
      </c>
      <c r="G433" s="214">
        <v>0.08</v>
      </c>
      <c r="H433" s="425">
        <v>0.05</v>
      </c>
      <c r="I433" s="457">
        <f t="shared" si="35"/>
        <v>-0.03</v>
      </c>
      <c r="J433" s="152"/>
      <c r="K433" s="182"/>
      <c r="L433" s="201"/>
      <c r="M433" s="63">
        <f t="shared" si="38"/>
        <v>1</v>
      </c>
      <c r="N433" s="64">
        <f t="shared" si="37"/>
        <v>1.0000013888888888</v>
      </c>
    </row>
    <row r="434" spans="2:22">
      <c r="B434" s="41"/>
      <c r="C434" s="103">
        <f t="shared" si="34"/>
        <v>44232</v>
      </c>
      <c r="E434" s="167"/>
      <c r="F434" s="58" t="str">
        <f>VLOOKUP(MOD(C434,7),'CALENDAR INFO'!$I$2:$J$8,2)</f>
        <v>FRI</v>
      </c>
      <c r="G434" s="214">
        <v>0.08</v>
      </c>
      <c r="H434" s="425">
        <v>0.02</v>
      </c>
      <c r="I434" s="457">
        <f t="shared" si="35"/>
        <v>-0.06</v>
      </c>
      <c r="J434" s="152" t="s">
        <v>153</v>
      </c>
      <c r="K434" s="182" t="str">
        <f>_xlfn.CONCAT("A",TEXT(K431,0),":","A",TEXT(K432,0))</f>
        <v>A430:A457</v>
      </c>
      <c r="L434" s="201" t="str">
        <f>_xlfn.CONCAT("B",TEXT(L431,0),":","B",TEXT(L432,0))</f>
        <v>B430:B457</v>
      </c>
      <c r="M434" s="63">
        <f t="shared" si="38"/>
        <v>3</v>
      </c>
      <c r="N434" s="64">
        <f t="shared" si="37"/>
        <v>1.0000016666666667</v>
      </c>
    </row>
    <row r="435" spans="2:22">
      <c r="B435" s="41"/>
      <c r="C435" s="103">
        <f t="shared" si="34"/>
        <v>44233</v>
      </c>
      <c r="E435" s="167"/>
      <c r="F435" s="58" t="str">
        <f>VLOOKUP(MOD(C435,7),'CALENDAR INFO'!$I$2:$J$8,2)</f>
        <v>SAT</v>
      </c>
      <c r="G435" s="214">
        <v>0.08</v>
      </c>
      <c r="H435" s="425">
        <v>0.02</v>
      </c>
      <c r="I435" s="457">
        <f t="shared" si="35"/>
        <v>-0.06</v>
      </c>
      <c r="J435" s="152" t="s">
        <v>154</v>
      </c>
      <c r="K435" s="182" t="str">
        <f>_xlfn.CONCAT("F",TEXT(K431,0),":","F",TEXT(K432,0))</f>
        <v>F430:F457</v>
      </c>
      <c r="L435" s="201" t="str">
        <f>_xlfn.CONCAT("G",TEXT(L431,0),":","G",TEXT(L432,0))</f>
        <v>G430:G457</v>
      </c>
      <c r="M435" s="63">
        <f t="shared" si="38"/>
        <v>0</v>
      </c>
      <c r="N435" s="64">
        <f t="shared" si="37"/>
        <v>1</v>
      </c>
    </row>
    <row r="436" spans="2:22">
      <c r="B436" s="41"/>
      <c r="C436" s="103">
        <f t="shared" si="34"/>
        <v>44234</v>
      </c>
      <c r="E436" s="167"/>
      <c r="F436" s="58" t="str">
        <f>VLOOKUP(MOD(C436,7),'CALENDAR INFO'!$I$2:$J$8,2)</f>
        <v>SUN</v>
      </c>
      <c r="G436" s="214">
        <v>0.08</v>
      </c>
      <c r="H436" s="425">
        <v>0.02</v>
      </c>
      <c r="I436" s="457">
        <f t="shared" si="35"/>
        <v>-0.06</v>
      </c>
      <c r="J436" s="152"/>
      <c r="K436" s="152"/>
      <c r="L436" s="202"/>
      <c r="M436" s="63">
        <f t="shared" si="38"/>
        <v>0</v>
      </c>
      <c r="N436" s="64">
        <f t="shared" si="37"/>
        <v>1</v>
      </c>
    </row>
    <row r="437" spans="2:22">
      <c r="B437" s="41"/>
      <c r="C437" s="103">
        <f t="shared" ref="C437:C500" si="39">C436+1</f>
        <v>44235</v>
      </c>
      <c r="E437" s="167"/>
      <c r="F437" s="58" t="str">
        <f>VLOOKUP(MOD(C437,7),'CALENDAR INFO'!$I$2:$J$8,2)</f>
        <v>MON</v>
      </c>
      <c r="G437" s="214">
        <v>7.0000000000000007E-2</v>
      </c>
      <c r="H437" s="425">
        <v>0.02</v>
      </c>
      <c r="I437" s="457">
        <f t="shared" si="35"/>
        <v>-0.05</v>
      </c>
      <c r="J437" s="152" t="s">
        <v>155</v>
      </c>
      <c r="K437" s="15">
        <f ca="1">SUM(INDIRECT(K434))</f>
        <v>0</v>
      </c>
      <c r="L437" s="179">
        <f ca="1">SUM(INDIRECT(L434))</f>
        <v>0</v>
      </c>
      <c r="M437" s="63">
        <f t="shared" si="38"/>
        <v>1</v>
      </c>
      <c r="N437" s="64">
        <f t="shared" si="37"/>
        <v>1.0000005555555556</v>
      </c>
    </row>
    <row r="438" spans="2:22">
      <c r="B438" s="41"/>
      <c r="C438" s="103">
        <f t="shared" si="39"/>
        <v>44236</v>
      </c>
      <c r="E438" s="167"/>
      <c r="F438" s="58" t="str">
        <f>VLOOKUP(MOD(C438,7),'CALENDAR INFO'!$I$2:$J$8,2)</f>
        <v>TUE</v>
      </c>
      <c r="G438" s="214">
        <v>0.08</v>
      </c>
      <c r="H438" s="425">
        <v>0.05</v>
      </c>
      <c r="I438" s="457">
        <f t="shared" si="35"/>
        <v>-0.03</v>
      </c>
      <c r="J438" s="152" t="s">
        <v>156</v>
      </c>
      <c r="K438" s="207">
        <f ca="1">SUM(INDIRECT(K435))</f>
        <v>0</v>
      </c>
      <c r="L438" s="208">
        <f ca="1">SUM(INDIRECT(L435))</f>
        <v>2.1200000000000006</v>
      </c>
      <c r="M438" s="63">
        <f t="shared" si="38"/>
        <v>1</v>
      </c>
      <c r="N438" s="64">
        <f t="shared" si="37"/>
        <v>1.0000013888888888</v>
      </c>
    </row>
    <row r="439" spans="2:22">
      <c r="B439" s="41"/>
      <c r="C439" s="103">
        <f t="shared" si="39"/>
        <v>44237</v>
      </c>
      <c r="E439" s="167" t="s">
        <v>19</v>
      </c>
      <c r="F439" s="58" t="str">
        <f>VLOOKUP(MOD(C439,7),'CALENDAR INFO'!$I$2:$J$8,2)</f>
        <v>WED</v>
      </c>
      <c r="G439" s="214">
        <v>0.08</v>
      </c>
      <c r="H439" s="425">
        <v>0.06</v>
      </c>
      <c r="I439" s="457">
        <f t="shared" si="35"/>
        <v>-2.0000000000000004E-2</v>
      </c>
      <c r="J439" s="152" t="s">
        <v>157</v>
      </c>
      <c r="K439" s="178">
        <f ca="1">K437+K438</f>
        <v>0</v>
      </c>
      <c r="L439" s="192">
        <f ca="1">L437+L438</f>
        <v>2.1200000000000006</v>
      </c>
      <c r="M439" s="63">
        <f t="shared" si="38"/>
        <v>1</v>
      </c>
      <c r="N439" s="64">
        <f t="shared" si="37"/>
        <v>1.0000016666666667</v>
      </c>
    </row>
    <row r="440" spans="2:22">
      <c r="B440" s="41"/>
      <c r="C440" s="103">
        <f t="shared" si="39"/>
        <v>44238</v>
      </c>
      <c r="E440" s="170" t="s">
        <v>18</v>
      </c>
      <c r="F440" s="58" t="str">
        <f>VLOOKUP(MOD(C440,7),'CALENDAR INFO'!$I$2:$J$8,2)</f>
        <v>THU</v>
      </c>
      <c r="G440" s="214">
        <v>0.08</v>
      </c>
      <c r="H440" s="425">
        <v>0.06</v>
      </c>
      <c r="I440" s="457">
        <f t="shared" si="35"/>
        <v>-2.0000000000000004E-2</v>
      </c>
      <c r="J440" s="152"/>
      <c r="K440" s="178"/>
      <c r="L440" s="192"/>
      <c r="M440" s="63">
        <f t="shared" si="38"/>
        <v>1</v>
      </c>
      <c r="N440" s="64">
        <f t="shared" si="37"/>
        <v>1.0000016666666667</v>
      </c>
    </row>
    <row r="441" spans="2:22">
      <c r="B441" s="41"/>
      <c r="C441" s="103">
        <f t="shared" si="39"/>
        <v>44239</v>
      </c>
      <c r="E441" s="170"/>
      <c r="F441" s="58" t="str">
        <f>VLOOKUP(MOD(C441,7),'CALENDAR INFO'!$I$2:$J$8,2)</f>
        <v>FRI</v>
      </c>
      <c r="G441" s="214">
        <v>0.08</v>
      </c>
      <c r="H441" s="425">
        <v>0.05</v>
      </c>
      <c r="I441" s="457">
        <f t="shared" si="35"/>
        <v>-0.03</v>
      </c>
      <c r="J441" s="152" t="s">
        <v>158</v>
      </c>
      <c r="K441" s="178">
        <f ca="1">K439/K430</f>
        <v>0</v>
      </c>
      <c r="L441" s="192">
        <f ca="1">L439/L430</f>
        <v>7.5714285714285734E-2</v>
      </c>
      <c r="M441" s="81">
        <v>4</v>
      </c>
      <c r="N441" s="64">
        <f t="shared" si="37"/>
        <v>1.0000055555555556</v>
      </c>
    </row>
    <row r="442" spans="2:22">
      <c r="B442" s="41"/>
      <c r="C442" s="103">
        <f t="shared" si="39"/>
        <v>44240</v>
      </c>
      <c r="E442" s="170"/>
      <c r="F442" s="58" t="str">
        <f>VLOOKUP(MOD(C442,7),'CALENDAR INFO'!$I$2:$J$8,2)</f>
        <v>SAT</v>
      </c>
      <c r="G442" s="214">
        <v>0.08</v>
      </c>
      <c r="H442" s="425">
        <v>0.05</v>
      </c>
      <c r="I442" s="457">
        <f t="shared" si="35"/>
        <v>-0.03</v>
      </c>
      <c r="J442" s="152" t="s">
        <v>159</v>
      </c>
      <c r="K442" s="180">
        <f ca="1">100-K441</f>
        <v>100</v>
      </c>
      <c r="L442" s="193">
        <f ca="1">100-L441</f>
        <v>99.924285714285716</v>
      </c>
      <c r="M442" s="63">
        <f>IF(MOD(C442,7)&lt;2,0,IF(MOD(C442,7)=6,3,1))</f>
        <v>0</v>
      </c>
      <c r="N442" s="64">
        <f t="shared" si="37"/>
        <v>1</v>
      </c>
    </row>
    <row r="443" spans="2:22">
      <c r="B443" s="41"/>
      <c r="C443" s="103">
        <f t="shared" si="39"/>
        <v>44241</v>
      </c>
      <c r="E443" s="170"/>
      <c r="F443" s="58" t="str">
        <f>VLOOKUP(MOD(C443,7),'CALENDAR INFO'!$I$2:$J$8,2)</f>
        <v>SUN</v>
      </c>
      <c r="G443" s="214">
        <v>0.08</v>
      </c>
      <c r="H443" s="425">
        <v>0.05</v>
      </c>
      <c r="I443" s="457">
        <f t="shared" si="35"/>
        <v>-0.03</v>
      </c>
      <c r="J443" s="152"/>
      <c r="K443" s="178"/>
      <c r="L443" s="192"/>
      <c r="M443" s="63">
        <f>IF(MOD(C443,7)&lt;2,0,IF(MOD(C443,7)=6,3,1))</f>
        <v>0</v>
      </c>
      <c r="N443" s="64">
        <f t="shared" si="37"/>
        <v>1</v>
      </c>
      <c r="V443" s="136"/>
    </row>
    <row r="444" spans="2:22">
      <c r="B444" s="41"/>
      <c r="C444" s="103">
        <f t="shared" si="39"/>
        <v>44242</v>
      </c>
      <c r="D444" s="173" t="s">
        <v>114</v>
      </c>
      <c r="E444" s="170"/>
      <c r="F444" s="58" t="str">
        <f>VLOOKUP(MOD(C444,7),'CALENDAR INFO'!$I$2:$J$8,2)</f>
        <v>MON</v>
      </c>
      <c r="G444" s="214">
        <v>0.08</v>
      </c>
      <c r="H444" s="425">
        <v>0.05</v>
      </c>
      <c r="I444" s="457">
        <f t="shared" si="35"/>
        <v>-0.03</v>
      </c>
      <c r="J444" s="152"/>
      <c r="K444" s="186"/>
      <c r="L444" s="194"/>
      <c r="M444" s="81">
        <v>0</v>
      </c>
      <c r="N444" s="64">
        <f t="shared" si="37"/>
        <v>1</v>
      </c>
      <c r="V444" s="136"/>
    </row>
    <row r="445" spans="2:22">
      <c r="B445" s="41"/>
      <c r="C445" s="103">
        <f t="shared" si="39"/>
        <v>44243</v>
      </c>
      <c r="E445" s="170"/>
      <c r="F445" s="58" t="str">
        <f>VLOOKUP(MOD(C445,7),'CALENDAR INFO'!$I$2:$J$8,2)</f>
        <v>TUE</v>
      </c>
      <c r="G445" s="214">
        <v>0.08</v>
      </c>
      <c r="H445" s="425">
        <v>0.06</v>
      </c>
      <c r="I445" s="457">
        <f t="shared" si="35"/>
        <v>-2.0000000000000004E-2</v>
      </c>
      <c r="J445" s="152"/>
      <c r="K445" s="152"/>
      <c r="L445" s="202"/>
      <c r="M445" s="63">
        <f t="shared" ref="M445:M488" si="40">IF(MOD(C445,7)&lt;2,0,IF(MOD(C445,7)=6,3,1))</f>
        <v>1</v>
      </c>
      <c r="N445" s="64">
        <f t="shared" si="37"/>
        <v>1.0000016666666667</v>
      </c>
      <c r="V445" s="136"/>
    </row>
    <row r="446" spans="2:22">
      <c r="B446" s="41"/>
      <c r="C446" s="103">
        <f t="shared" si="39"/>
        <v>44244</v>
      </c>
      <c r="E446" s="170"/>
      <c r="F446" s="58" t="str">
        <f>VLOOKUP(MOD(C446,7),'CALENDAR INFO'!$I$2:$J$8,2)</f>
        <v>WED</v>
      </c>
      <c r="G446" s="214">
        <v>0.08</v>
      </c>
      <c r="H446" s="425">
        <v>0.06</v>
      </c>
      <c r="I446" s="457">
        <f t="shared" si="35"/>
        <v>-2.0000000000000004E-2</v>
      </c>
      <c r="J446" s="152"/>
      <c r="K446" s="152"/>
      <c r="L446" s="202"/>
      <c r="M446" s="63">
        <f t="shared" si="40"/>
        <v>1</v>
      </c>
      <c r="N446" s="64">
        <f t="shared" si="37"/>
        <v>1.0000016666666667</v>
      </c>
      <c r="V446" s="136"/>
    </row>
    <row r="447" spans="2:22">
      <c r="B447" s="41"/>
      <c r="C447" s="103">
        <f t="shared" si="39"/>
        <v>44245</v>
      </c>
      <c r="E447" s="170"/>
      <c r="F447" s="58" t="str">
        <f>VLOOKUP(MOD(C447,7),'CALENDAR INFO'!$I$2:$J$8,2)</f>
        <v>THU</v>
      </c>
      <c r="G447" s="214">
        <v>7.0000000000000007E-2</v>
      </c>
      <c r="H447" s="425">
        <v>0.03</v>
      </c>
      <c r="I447" s="457">
        <f t="shared" si="35"/>
        <v>-4.0000000000000008E-2</v>
      </c>
      <c r="J447" s="152"/>
      <c r="K447" s="152"/>
      <c r="L447" s="202"/>
      <c r="M447" s="63">
        <f t="shared" si="40"/>
        <v>1</v>
      </c>
      <c r="N447" s="64">
        <f t="shared" si="37"/>
        <v>1.0000008333333332</v>
      </c>
      <c r="V447" s="136"/>
    </row>
    <row r="448" spans="2:22">
      <c r="B448" s="41"/>
      <c r="C448" s="103">
        <f t="shared" si="39"/>
        <v>44246</v>
      </c>
      <c r="E448" s="170"/>
      <c r="F448" s="58" t="str">
        <f>VLOOKUP(MOD(C448,7),'CALENDAR INFO'!$I$2:$J$8,2)</f>
        <v>FRI</v>
      </c>
      <c r="G448" s="214">
        <v>7.0000000000000007E-2</v>
      </c>
      <c r="H448" s="425">
        <v>0.02</v>
      </c>
      <c r="I448" s="457">
        <f t="shared" si="35"/>
        <v>-0.05</v>
      </c>
      <c r="J448" s="152"/>
      <c r="K448" s="152"/>
      <c r="L448" s="202"/>
      <c r="M448" s="63">
        <f t="shared" si="40"/>
        <v>3</v>
      </c>
      <c r="N448" s="64">
        <f t="shared" si="37"/>
        <v>1.0000016666666667</v>
      </c>
      <c r="V448" s="136"/>
    </row>
    <row r="449" spans="1:28">
      <c r="B449" s="41"/>
      <c r="C449" s="103">
        <f t="shared" si="39"/>
        <v>44247</v>
      </c>
      <c r="E449" s="170"/>
      <c r="F449" s="58" t="str">
        <f>VLOOKUP(MOD(C449,7),'CALENDAR INFO'!$I$2:$J$8,2)</f>
        <v>SAT</v>
      </c>
      <c r="G449" s="214">
        <v>7.0000000000000007E-2</v>
      </c>
      <c r="H449" s="425">
        <v>0.02</v>
      </c>
      <c r="I449" s="457">
        <f t="shared" si="35"/>
        <v>-0.05</v>
      </c>
      <c r="J449" s="152"/>
      <c r="K449" s="152"/>
      <c r="L449" s="202"/>
      <c r="M449" s="63">
        <f t="shared" si="40"/>
        <v>0</v>
      </c>
      <c r="N449" s="64">
        <f t="shared" si="37"/>
        <v>1</v>
      </c>
      <c r="V449" s="136"/>
    </row>
    <row r="450" spans="1:28">
      <c r="B450" s="41"/>
      <c r="C450" s="103">
        <f t="shared" si="39"/>
        <v>44248</v>
      </c>
      <c r="E450" s="170"/>
      <c r="F450" s="58" t="str">
        <f>VLOOKUP(MOD(C450,7),'CALENDAR INFO'!$I$2:$J$8,2)</f>
        <v>SUN</v>
      </c>
      <c r="G450" s="214">
        <v>7.0000000000000007E-2</v>
      </c>
      <c r="H450" s="425">
        <v>0.02</v>
      </c>
      <c r="I450" s="457">
        <f t="shared" si="35"/>
        <v>-0.05</v>
      </c>
      <c r="J450" s="152"/>
      <c r="K450" s="152"/>
      <c r="L450" s="202"/>
      <c r="M450" s="63">
        <f t="shared" si="40"/>
        <v>0</v>
      </c>
      <c r="N450" s="64">
        <f t="shared" si="37"/>
        <v>1</v>
      </c>
      <c r="V450" s="136"/>
    </row>
    <row r="451" spans="1:28">
      <c r="B451" s="41"/>
      <c r="C451" s="103">
        <f t="shared" si="39"/>
        <v>44249</v>
      </c>
      <c r="E451" s="170"/>
      <c r="F451" s="58" t="str">
        <f>VLOOKUP(MOD(C451,7),'CALENDAR INFO'!$I$2:$J$8,2)</f>
        <v>MON</v>
      </c>
      <c r="G451" s="214">
        <v>7.0000000000000007E-2</v>
      </c>
      <c r="H451" s="425">
        <v>0.03</v>
      </c>
      <c r="I451" s="457">
        <f t="shared" ref="I451:I514" si="41">H451-G451</f>
        <v>-4.0000000000000008E-2</v>
      </c>
      <c r="J451" s="152"/>
      <c r="K451" s="182"/>
      <c r="L451" s="202"/>
      <c r="M451" s="63">
        <f t="shared" si="40"/>
        <v>1</v>
      </c>
      <c r="N451" s="64">
        <f t="shared" si="37"/>
        <v>1.0000008333333332</v>
      </c>
      <c r="V451" s="136"/>
    </row>
    <row r="452" spans="1:28">
      <c r="B452" s="41"/>
      <c r="C452" s="103">
        <f t="shared" si="39"/>
        <v>44250</v>
      </c>
      <c r="E452" s="170"/>
      <c r="F452" s="58" t="str">
        <f>VLOOKUP(MOD(C452,7),'CALENDAR INFO'!$I$2:$J$8,2)</f>
        <v>TUE</v>
      </c>
      <c r="G452" s="214">
        <v>7.0000000000000007E-2</v>
      </c>
      <c r="H452" s="425">
        <v>0.01</v>
      </c>
      <c r="I452" s="457">
        <f t="shared" si="41"/>
        <v>-6.0000000000000005E-2</v>
      </c>
      <c r="J452" s="152"/>
      <c r="K452" s="182"/>
      <c r="L452" s="201"/>
      <c r="M452" s="63">
        <f t="shared" si="40"/>
        <v>1</v>
      </c>
      <c r="N452" s="64">
        <f t="shared" si="37"/>
        <v>1.0000002777777777</v>
      </c>
      <c r="V452" s="136"/>
    </row>
    <row r="453" spans="1:28">
      <c r="B453" s="41"/>
      <c r="C453" s="103">
        <f t="shared" si="39"/>
        <v>44251</v>
      </c>
      <c r="E453" s="170" t="s">
        <v>19</v>
      </c>
      <c r="F453" s="58" t="str">
        <f>VLOOKUP(MOD(C453,7),'CALENDAR INFO'!$I$2:$J$8,2)</f>
        <v>WED</v>
      </c>
      <c r="G453" s="214">
        <v>7.0000000000000007E-2</v>
      </c>
      <c r="H453" s="425">
        <v>0.02</v>
      </c>
      <c r="I453" s="457">
        <f t="shared" si="41"/>
        <v>-0.05</v>
      </c>
      <c r="J453" s="152"/>
      <c r="K453" s="152"/>
      <c r="L453" s="202"/>
      <c r="M453" s="63">
        <f t="shared" si="40"/>
        <v>1</v>
      </c>
      <c r="N453" s="64">
        <f t="shared" si="37"/>
        <v>1.0000005555555556</v>
      </c>
      <c r="O453" s="89" t="s">
        <v>93</v>
      </c>
      <c r="P453" s="90"/>
      <c r="V453" s="136"/>
    </row>
    <row r="454" spans="1:28">
      <c r="B454" s="41"/>
      <c r="C454" s="103">
        <f t="shared" si="39"/>
        <v>44252</v>
      </c>
      <c r="E454" s="167" t="s">
        <v>18</v>
      </c>
      <c r="F454" s="58" t="str">
        <f>VLOOKUP(MOD(C454,7),'CALENDAR INFO'!$I$2:$J$8,2)</f>
        <v>THU</v>
      </c>
      <c r="G454" s="214">
        <v>7.0000000000000007E-2</v>
      </c>
      <c r="H454" s="425">
        <v>0.03</v>
      </c>
      <c r="I454" s="457">
        <f t="shared" si="41"/>
        <v>-4.0000000000000008E-2</v>
      </c>
      <c r="J454" s="152"/>
      <c r="K454" s="190"/>
      <c r="L454" s="201"/>
      <c r="M454" s="63">
        <f t="shared" si="40"/>
        <v>1</v>
      </c>
      <c r="N454" s="64">
        <f t="shared" si="37"/>
        <v>1.0000008333333332</v>
      </c>
      <c r="O454" s="89" t="s">
        <v>26</v>
      </c>
      <c r="P454" s="135">
        <v>99.924000000000007</v>
      </c>
      <c r="Q454" s="17" t="s">
        <v>107</v>
      </c>
      <c r="V454" s="136"/>
    </row>
    <row r="455" spans="1:28">
      <c r="B455" s="41"/>
      <c r="C455" s="103">
        <f t="shared" si="39"/>
        <v>44253</v>
      </c>
      <c r="E455" s="167"/>
      <c r="F455" s="58" t="str">
        <f>VLOOKUP(MOD(C455,7),'CALENDAR INFO'!$I$2:$J$8,2)</f>
        <v>FRI</v>
      </c>
      <c r="G455" s="214">
        <v>7.0000000000000007E-2</v>
      </c>
      <c r="H455" s="425">
        <v>0.01</v>
      </c>
      <c r="I455" s="457">
        <f t="shared" si="41"/>
        <v>-6.0000000000000005E-2</v>
      </c>
      <c r="J455" s="152"/>
      <c r="K455" s="190"/>
      <c r="L455" s="203"/>
      <c r="M455" s="63">
        <f t="shared" si="40"/>
        <v>3</v>
      </c>
      <c r="N455" s="64">
        <f t="shared" si="37"/>
        <v>1.0000008333333332</v>
      </c>
      <c r="O455" s="89" t="s">
        <v>76</v>
      </c>
      <c r="P455" s="135">
        <v>99.962999999999994</v>
      </c>
      <c r="Q455" s="17" t="s">
        <v>107</v>
      </c>
      <c r="V455" s="136"/>
      <c r="AB455" s="137"/>
    </row>
    <row r="456" spans="1:28">
      <c r="B456" s="41"/>
      <c r="C456" s="103">
        <f t="shared" si="39"/>
        <v>44254</v>
      </c>
      <c r="E456" s="167"/>
      <c r="F456" s="58" t="str">
        <f>VLOOKUP(MOD(C456,7),'CALENDAR INFO'!$I$2:$J$8,2)</f>
        <v>SAT</v>
      </c>
      <c r="G456" s="214">
        <v>7.0000000000000007E-2</v>
      </c>
      <c r="H456" s="425">
        <v>0.01</v>
      </c>
      <c r="I456" s="457">
        <f t="shared" si="41"/>
        <v>-6.0000000000000005E-2</v>
      </c>
      <c r="J456" s="152"/>
      <c r="K456" s="182"/>
      <c r="L456" s="201"/>
      <c r="M456" s="63">
        <f t="shared" si="40"/>
        <v>0</v>
      </c>
      <c r="N456" s="64">
        <f t="shared" si="37"/>
        <v>1</v>
      </c>
    </row>
    <row r="457" spans="1:28" ht="15.75" thickBot="1">
      <c r="A457" s="98"/>
      <c r="B457" s="230"/>
      <c r="C457" s="104">
        <f t="shared" si="39"/>
        <v>44255</v>
      </c>
      <c r="D457" s="112"/>
      <c r="E457" s="92"/>
      <c r="F457" s="71" t="str">
        <f>VLOOKUP(MOD(C457,7),'CALENDAR INFO'!$I$2:$J$8,2)</f>
        <v>SUN</v>
      </c>
      <c r="G457" s="215">
        <v>7.0000000000000007E-2</v>
      </c>
      <c r="H457" s="426">
        <v>0.01</v>
      </c>
      <c r="I457" s="458">
        <f t="shared" si="41"/>
        <v>-6.0000000000000005E-2</v>
      </c>
      <c r="J457" s="437"/>
      <c r="K457" s="191"/>
      <c r="L457" s="204"/>
      <c r="M457" s="88">
        <f t="shared" si="40"/>
        <v>0</v>
      </c>
      <c r="N457" s="77">
        <f t="shared" si="37"/>
        <v>1</v>
      </c>
    </row>
    <row r="458" spans="1:28">
      <c r="B458" s="41"/>
      <c r="C458" s="103">
        <f t="shared" si="39"/>
        <v>44256</v>
      </c>
      <c r="E458" s="167"/>
      <c r="F458" s="58" t="str">
        <f>VLOOKUP(MOD(C458,7),'CALENDAR INFO'!$I$2:$J$8,2)</f>
        <v>MON</v>
      </c>
      <c r="G458" s="214">
        <v>7.0000000000000007E-2</v>
      </c>
      <c r="H458" s="425">
        <v>0.02</v>
      </c>
      <c r="I458" s="457">
        <f t="shared" si="41"/>
        <v>-0.05</v>
      </c>
      <c r="J458" s="436" t="s">
        <v>118</v>
      </c>
      <c r="K458" s="15">
        <f>VLOOKUP(MONTH($C458),'CALENDAR INFO'!$I$12:$J$23,2)</f>
        <v>31</v>
      </c>
      <c r="L458" s="179">
        <f>K458</f>
        <v>31</v>
      </c>
      <c r="M458" s="63">
        <f t="shared" si="40"/>
        <v>1</v>
      </c>
      <c r="N458" s="64">
        <f t="shared" si="37"/>
        <v>1.0000005555555556</v>
      </c>
    </row>
    <row r="459" spans="1:28">
      <c r="B459" s="41"/>
      <c r="C459" s="103">
        <f t="shared" si="39"/>
        <v>44257</v>
      </c>
      <c r="E459" s="167"/>
      <c r="F459" s="58" t="str">
        <f>VLOOKUP(MOD(C459,7),'CALENDAR INFO'!$I$2:$J$8,2)</f>
        <v>TUE</v>
      </c>
      <c r="G459" s="214">
        <v>7.0000000000000007E-2</v>
      </c>
      <c r="H459" s="425">
        <v>0.04</v>
      </c>
      <c r="I459" s="457">
        <f t="shared" si="41"/>
        <v>-3.0000000000000006E-2</v>
      </c>
      <c r="J459" s="152" t="s">
        <v>151</v>
      </c>
      <c r="K459" s="15">
        <f>ROW($C459)-1</f>
        <v>458</v>
      </c>
      <c r="L459" s="179">
        <f>K459</f>
        <v>458</v>
      </c>
      <c r="M459" s="63">
        <f t="shared" si="40"/>
        <v>1</v>
      </c>
      <c r="N459" s="64">
        <f t="shared" si="37"/>
        <v>1.0000011111111111</v>
      </c>
    </row>
    <row r="460" spans="1:28">
      <c r="B460" s="41"/>
      <c r="C460" s="103">
        <f t="shared" si="39"/>
        <v>44258</v>
      </c>
      <c r="E460" s="167"/>
      <c r="F460" s="58" t="str">
        <f>VLOOKUP(MOD(C460,7),'CALENDAR INFO'!$I$2:$J$8,2)</f>
        <v>WED</v>
      </c>
      <c r="G460" s="214">
        <v>7.0000000000000007E-2</v>
      </c>
      <c r="H460" s="425">
        <v>0.04</v>
      </c>
      <c r="I460" s="457">
        <f t="shared" si="41"/>
        <v>-3.0000000000000006E-2</v>
      </c>
      <c r="J460" s="152" t="s">
        <v>152</v>
      </c>
      <c r="K460" s="15">
        <f>K458+K459-1</f>
        <v>488</v>
      </c>
      <c r="L460" s="200">
        <f>K460</f>
        <v>488</v>
      </c>
      <c r="M460" s="63">
        <f t="shared" si="40"/>
        <v>1</v>
      </c>
      <c r="N460" s="64">
        <f t="shared" si="37"/>
        <v>1.0000011111111111</v>
      </c>
    </row>
    <row r="461" spans="1:28">
      <c r="B461" s="41"/>
      <c r="C461" s="103">
        <f t="shared" si="39"/>
        <v>44259</v>
      </c>
      <c r="E461" s="167"/>
      <c r="F461" s="58" t="str">
        <f>VLOOKUP(MOD(C461,7),'CALENDAR INFO'!$I$2:$J$8,2)</f>
        <v>THU</v>
      </c>
      <c r="G461" s="214">
        <v>7.0000000000000007E-2</v>
      </c>
      <c r="H461" s="425">
        <v>0.02</v>
      </c>
      <c r="I461" s="457">
        <f t="shared" si="41"/>
        <v>-0.05</v>
      </c>
      <c r="J461" s="152"/>
      <c r="K461" s="182"/>
      <c r="L461" s="201"/>
      <c r="M461" s="63">
        <f t="shared" si="40"/>
        <v>1</v>
      </c>
      <c r="N461" s="64">
        <f t="shared" si="37"/>
        <v>1.0000005555555556</v>
      </c>
    </row>
    <row r="462" spans="1:28">
      <c r="B462" s="41"/>
      <c r="C462" s="103">
        <f t="shared" si="39"/>
        <v>44260</v>
      </c>
      <c r="E462" s="167"/>
      <c r="F462" s="58" t="str">
        <f>VLOOKUP(MOD(C462,7),'CALENDAR INFO'!$I$2:$J$8,2)</f>
        <v>FRI</v>
      </c>
      <c r="G462" s="214">
        <v>7.0000000000000007E-2</v>
      </c>
      <c r="H462" s="425">
        <v>0.02</v>
      </c>
      <c r="I462" s="457">
        <f t="shared" si="41"/>
        <v>-0.05</v>
      </c>
      <c r="J462" s="152" t="s">
        <v>153</v>
      </c>
      <c r="K462" s="182" t="str">
        <f>_xlfn.CONCAT("A",TEXT(K459,0),":","A",TEXT(K460,0))</f>
        <v>A458:A488</v>
      </c>
      <c r="L462" s="201" t="str">
        <f>_xlfn.CONCAT("B",TEXT(L459,0),":","B",TEXT(L460,0))</f>
        <v>B458:B488</v>
      </c>
      <c r="M462" s="63">
        <f t="shared" si="40"/>
        <v>3</v>
      </c>
      <c r="N462" s="64">
        <f t="shared" si="37"/>
        <v>1.0000016666666667</v>
      </c>
    </row>
    <row r="463" spans="1:28">
      <c r="B463" s="41"/>
      <c r="C463" s="103">
        <f t="shared" si="39"/>
        <v>44261</v>
      </c>
      <c r="E463" s="167"/>
      <c r="F463" s="58" t="str">
        <f>VLOOKUP(MOD(C463,7),'CALENDAR INFO'!$I$2:$J$8,2)</f>
        <v>SAT</v>
      </c>
      <c r="G463" s="214">
        <v>7.0000000000000007E-2</v>
      </c>
      <c r="H463" s="425">
        <v>0.02</v>
      </c>
      <c r="I463" s="457">
        <f t="shared" si="41"/>
        <v>-0.05</v>
      </c>
      <c r="J463" s="152" t="s">
        <v>154</v>
      </c>
      <c r="K463" s="182" t="str">
        <f>_xlfn.CONCAT("F",TEXT(K459,0),":","F",TEXT(K460,0))</f>
        <v>F458:F488</v>
      </c>
      <c r="L463" s="201" t="str">
        <f>_xlfn.CONCAT("G",TEXT(L459,0),":","G",TEXT(L460,0))</f>
        <v>G458:G488</v>
      </c>
      <c r="M463" s="63">
        <f t="shared" si="40"/>
        <v>0</v>
      </c>
      <c r="N463" s="64">
        <f t="shared" si="37"/>
        <v>1</v>
      </c>
    </row>
    <row r="464" spans="1:28">
      <c r="B464" s="41"/>
      <c r="C464" s="103">
        <f t="shared" si="39"/>
        <v>44262</v>
      </c>
      <c r="E464" s="167"/>
      <c r="F464" s="58" t="str">
        <f>VLOOKUP(MOD(C464,7),'CALENDAR INFO'!$I$2:$J$8,2)</f>
        <v>SUN</v>
      </c>
      <c r="G464" s="214">
        <v>7.0000000000000007E-2</v>
      </c>
      <c r="H464" s="425">
        <v>0.02</v>
      </c>
      <c r="I464" s="457">
        <f t="shared" si="41"/>
        <v>-0.05</v>
      </c>
      <c r="J464" s="152"/>
      <c r="K464" s="152"/>
      <c r="L464" s="202"/>
      <c r="M464" s="63">
        <f t="shared" si="40"/>
        <v>0</v>
      </c>
      <c r="N464" s="64">
        <f t="shared" si="37"/>
        <v>1</v>
      </c>
    </row>
    <row r="465" spans="2:17">
      <c r="B465" s="41"/>
      <c r="C465" s="103">
        <f t="shared" si="39"/>
        <v>44263</v>
      </c>
      <c r="E465" s="167"/>
      <c r="F465" s="58" t="str">
        <f>VLOOKUP(MOD(C465,7),'CALENDAR INFO'!$I$2:$J$8,2)</f>
        <v>MON</v>
      </c>
      <c r="G465" s="214">
        <v>7.0000000000000007E-2</v>
      </c>
      <c r="H465" s="425">
        <v>0.02</v>
      </c>
      <c r="I465" s="457">
        <f t="shared" si="41"/>
        <v>-0.05</v>
      </c>
      <c r="J465" s="152" t="s">
        <v>155</v>
      </c>
      <c r="K465" s="15">
        <f ca="1">SUM(INDIRECT(K462))</f>
        <v>0</v>
      </c>
      <c r="L465" s="179">
        <f ca="1">SUM(INDIRECT(L462))</f>
        <v>0</v>
      </c>
      <c r="M465" s="63">
        <f t="shared" si="40"/>
        <v>1</v>
      </c>
      <c r="N465" s="64">
        <f t="shared" si="37"/>
        <v>1.0000005555555556</v>
      </c>
    </row>
    <row r="466" spans="2:17">
      <c r="B466" s="41"/>
      <c r="C466" s="103">
        <f t="shared" si="39"/>
        <v>44264</v>
      </c>
      <c r="E466" s="167"/>
      <c r="F466" s="58" t="str">
        <f>VLOOKUP(MOD(C466,7),'CALENDAR INFO'!$I$2:$J$8,2)</f>
        <v>TUE</v>
      </c>
      <c r="G466" s="214">
        <v>7.0000000000000007E-2</v>
      </c>
      <c r="H466" s="425">
        <v>0.02</v>
      </c>
      <c r="I466" s="457">
        <f t="shared" si="41"/>
        <v>-0.05</v>
      </c>
      <c r="J466" s="152" t="s">
        <v>156</v>
      </c>
      <c r="K466" s="207">
        <f ca="1">SUM(INDIRECT(K463))</f>
        <v>0</v>
      </c>
      <c r="L466" s="208">
        <f ca="1">SUM(INDIRECT(L463))</f>
        <v>2.160000000000001</v>
      </c>
      <c r="M466" s="63">
        <f t="shared" si="40"/>
        <v>1</v>
      </c>
      <c r="N466" s="64">
        <f t="shared" si="37"/>
        <v>1.0000005555555556</v>
      </c>
    </row>
    <row r="467" spans="2:17">
      <c r="B467" s="41"/>
      <c r="C467" s="103">
        <f t="shared" si="39"/>
        <v>44265</v>
      </c>
      <c r="E467" s="167" t="s">
        <v>19</v>
      </c>
      <c r="F467" s="58" t="str">
        <f>VLOOKUP(MOD(C467,7),'CALENDAR INFO'!$I$2:$J$8,2)</f>
        <v>WED</v>
      </c>
      <c r="G467" s="214">
        <v>7.0000000000000007E-2</v>
      </c>
      <c r="H467" s="425">
        <v>0.02</v>
      </c>
      <c r="I467" s="457">
        <f t="shared" si="41"/>
        <v>-0.05</v>
      </c>
      <c r="J467" s="152" t="s">
        <v>157</v>
      </c>
      <c r="K467" s="178">
        <f ca="1">K465+K466</f>
        <v>0</v>
      </c>
      <c r="L467" s="192">
        <f ca="1">L465+L466</f>
        <v>2.160000000000001</v>
      </c>
      <c r="M467" s="63">
        <f t="shared" si="40"/>
        <v>1</v>
      </c>
      <c r="N467" s="64">
        <f t="shared" ref="N467:N530" si="42">1+(M467/360)*(MAX(H467,B467)/100)</f>
        <v>1.0000005555555556</v>
      </c>
    </row>
    <row r="468" spans="2:17">
      <c r="B468" s="41"/>
      <c r="C468" s="103">
        <f t="shared" si="39"/>
        <v>44266</v>
      </c>
      <c r="E468" s="170" t="s">
        <v>18</v>
      </c>
      <c r="F468" s="58" t="str">
        <f>VLOOKUP(MOD(C468,7),'CALENDAR INFO'!$I$2:$J$8,2)</f>
        <v>THU</v>
      </c>
      <c r="G468" s="214">
        <v>7.0000000000000007E-2</v>
      </c>
      <c r="H468" s="425">
        <v>0.01</v>
      </c>
      <c r="I468" s="457">
        <f t="shared" si="41"/>
        <v>-6.0000000000000005E-2</v>
      </c>
      <c r="J468" s="152"/>
      <c r="K468" s="178"/>
      <c r="L468" s="192"/>
      <c r="M468" s="63">
        <f t="shared" si="40"/>
        <v>1</v>
      </c>
      <c r="N468" s="64">
        <f t="shared" si="42"/>
        <v>1.0000002777777777</v>
      </c>
    </row>
    <row r="469" spans="2:17">
      <c r="B469" s="41"/>
      <c r="C469" s="103">
        <f t="shared" si="39"/>
        <v>44267</v>
      </c>
      <c r="E469" s="170"/>
      <c r="F469" s="58" t="str">
        <f>VLOOKUP(MOD(C469,7),'CALENDAR INFO'!$I$2:$J$8,2)</f>
        <v>FRI</v>
      </c>
      <c r="G469" s="214">
        <v>7.0000000000000007E-2</v>
      </c>
      <c r="H469" s="425">
        <v>0.01</v>
      </c>
      <c r="I469" s="457">
        <f t="shared" si="41"/>
        <v>-6.0000000000000005E-2</v>
      </c>
      <c r="J469" s="152" t="s">
        <v>158</v>
      </c>
      <c r="K469" s="178">
        <f ca="1">K467/K458</f>
        <v>0</v>
      </c>
      <c r="L469" s="192">
        <f ca="1">L467/L458</f>
        <v>6.9677419354838746E-2</v>
      </c>
      <c r="M469" s="63">
        <f t="shared" si="40"/>
        <v>3</v>
      </c>
      <c r="N469" s="64">
        <f t="shared" si="42"/>
        <v>1.0000008333333332</v>
      </c>
    </row>
    <row r="470" spans="2:17">
      <c r="B470" s="41"/>
      <c r="C470" s="103">
        <f t="shared" si="39"/>
        <v>44268</v>
      </c>
      <c r="E470" s="170"/>
      <c r="F470" s="58" t="str">
        <f>VLOOKUP(MOD(C470,7),'CALENDAR INFO'!$I$2:$J$8,2)</f>
        <v>SAT</v>
      </c>
      <c r="G470" s="214">
        <v>7.0000000000000007E-2</v>
      </c>
      <c r="H470" s="425">
        <v>0.01</v>
      </c>
      <c r="I470" s="457">
        <f t="shared" si="41"/>
        <v>-6.0000000000000005E-2</v>
      </c>
      <c r="J470" s="152" t="s">
        <v>159</v>
      </c>
      <c r="K470" s="180">
        <f ca="1">100-K469</f>
        <v>100</v>
      </c>
      <c r="L470" s="193">
        <f ca="1">100-L469</f>
        <v>99.930322580645168</v>
      </c>
      <c r="M470" s="63">
        <f t="shared" si="40"/>
        <v>0</v>
      </c>
      <c r="N470" s="64">
        <f t="shared" si="42"/>
        <v>1</v>
      </c>
      <c r="O470" s="89" t="s">
        <v>93</v>
      </c>
      <c r="P470" s="90"/>
    </row>
    <row r="471" spans="2:17">
      <c r="B471" s="41"/>
      <c r="C471" s="103">
        <f t="shared" si="39"/>
        <v>44269</v>
      </c>
      <c r="E471" s="170"/>
      <c r="F471" s="58" t="str">
        <f>VLOOKUP(MOD(C471,7),'CALENDAR INFO'!$I$2:$J$8,2)</f>
        <v>SUN</v>
      </c>
      <c r="G471" s="214">
        <v>7.0000000000000007E-2</v>
      </c>
      <c r="H471" s="425">
        <v>0.01</v>
      </c>
      <c r="I471" s="457">
        <f t="shared" si="41"/>
        <v>-6.0000000000000005E-2</v>
      </c>
      <c r="J471" s="152"/>
      <c r="K471" s="178"/>
      <c r="L471" s="192"/>
      <c r="M471" s="63">
        <f t="shared" si="40"/>
        <v>0</v>
      </c>
      <c r="N471" s="64">
        <f t="shared" si="42"/>
        <v>1</v>
      </c>
      <c r="O471" s="89" t="s">
        <v>77</v>
      </c>
      <c r="P471" s="132">
        <v>99.946399999999997</v>
      </c>
      <c r="Q471" s="17" t="s">
        <v>107</v>
      </c>
    </row>
    <row r="472" spans="2:17">
      <c r="B472" s="41"/>
      <c r="C472" s="103">
        <f t="shared" si="39"/>
        <v>44270</v>
      </c>
      <c r="E472" s="170"/>
      <c r="F472" s="58" t="str">
        <f>VLOOKUP(MOD(C472,7),'CALENDAR INFO'!$I$2:$J$8,2)</f>
        <v>MON</v>
      </c>
      <c r="G472" s="214">
        <v>7.0000000000000007E-2</v>
      </c>
      <c r="H472" s="425">
        <v>0.01</v>
      </c>
      <c r="I472" s="457">
        <f t="shared" si="41"/>
        <v>-6.0000000000000005E-2</v>
      </c>
      <c r="J472" s="152"/>
      <c r="K472" s="186"/>
      <c r="L472" s="194"/>
      <c r="M472" s="63">
        <f t="shared" si="40"/>
        <v>1</v>
      </c>
      <c r="N472" s="64">
        <f t="shared" si="42"/>
        <v>1.0000002777777777</v>
      </c>
    </row>
    <row r="473" spans="2:17">
      <c r="B473" s="41"/>
      <c r="C473" s="103">
        <f t="shared" si="39"/>
        <v>44271</v>
      </c>
      <c r="D473" s="153" t="s">
        <v>20</v>
      </c>
      <c r="E473" s="170"/>
      <c r="F473" s="58" t="str">
        <f>VLOOKUP(MOD(C473,7),'CALENDAR INFO'!$I$2:$J$8,2)</f>
        <v>TUE</v>
      </c>
      <c r="G473" s="214">
        <v>7.0000000000000007E-2</v>
      </c>
      <c r="H473" s="425">
        <v>0.01</v>
      </c>
      <c r="I473" s="457">
        <f t="shared" si="41"/>
        <v>-6.0000000000000005E-2</v>
      </c>
      <c r="J473" s="152"/>
      <c r="K473" s="152"/>
      <c r="L473" s="202"/>
      <c r="M473" s="63">
        <f t="shared" si="40"/>
        <v>1</v>
      </c>
      <c r="N473" s="64">
        <f t="shared" si="42"/>
        <v>1.0000002777777777</v>
      </c>
    </row>
    <row r="474" spans="2:17">
      <c r="B474" s="41"/>
      <c r="C474" s="103">
        <f t="shared" si="39"/>
        <v>44272</v>
      </c>
      <c r="D474" s="153" t="s">
        <v>20</v>
      </c>
      <c r="E474" s="170"/>
      <c r="F474" s="58" t="str">
        <f>VLOOKUP(MOD(C474,7),'CALENDAR INFO'!$I$2:$J$8,2)</f>
        <v>WED</v>
      </c>
      <c r="G474" s="214">
        <v>7.0000000000000007E-2</v>
      </c>
      <c r="H474" s="425">
        <v>0.01</v>
      </c>
      <c r="I474" s="457">
        <f t="shared" si="41"/>
        <v>-6.0000000000000005E-2</v>
      </c>
      <c r="J474" s="152"/>
      <c r="K474" s="152"/>
      <c r="L474" s="202"/>
      <c r="M474" s="63">
        <f t="shared" si="40"/>
        <v>1</v>
      </c>
      <c r="N474" s="64">
        <f t="shared" si="42"/>
        <v>1.0000002777777777</v>
      </c>
    </row>
    <row r="475" spans="2:17">
      <c r="B475" s="41"/>
      <c r="C475" s="103">
        <f t="shared" si="39"/>
        <v>44273</v>
      </c>
      <c r="E475" s="170"/>
      <c r="F475" s="58" t="str">
        <f>VLOOKUP(MOD(C475,7),'CALENDAR INFO'!$I$2:$J$8,2)</f>
        <v>THU</v>
      </c>
      <c r="G475" s="214">
        <v>7.0000000000000007E-2</v>
      </c>
      <c r="H475" s="425">
        <v>0.01</v>
      </c>
      <c r="I475" s="457">
        <f t="shared" si="41"/>
        <v>-6.0000000000000005E-2</v>
      </c>
      <c r="J475" s="152"/>
      <c r="K475" s="152"/>
      <c r="L475" s="202"/>
      <c r="M475" s="63">
        <f t="shared" si="40"/>
        <v>1</v>
      </c>
      <c r="N475" s="64">
        <f t="shared" si="42"/>
        <v>1.0000002777777777</v>
      </c>
    </row>
    <row r="476" spans="2:17">
      <c r="B476" s="41"/>
      <c r="C476" s="103">
        <f t="shared" si="39"/>
        <v>44274</v>
      </c>
      <c r="E476" s="170"/>
      <c r="F476" s="58" t="str">
        <f>VLOOKUP(MOD(C476,7),'CALENDAR INFO'!$I$2:$J$8,2)</f>
        <v>FRI</v>
      </c>
      <c r="G476" s="214">
        <v>7.0000000000000007E-2</v>
      </c>
      <c r="H476" s="425">
        <v>0.01</v>
      </c>
      <c r="I476" s="457">
        <f t="shared" si="41"/>
        <v>-6.0000000000000005E-2</v>
      </c>
      <c r="J476" s="152"/>
      <c r="K476" s="152"/>
      <c r="L476" s="202"/>
      <c r="M476" s="63">
        <f t="shared" si="40"/>
        <v>3</v>
      </c>
      <c r="N476" s="64">
        <f t="shared" si="42"/>
        <v>1.0000008333333332</v>
      </c>
    </row>
    <row r="477" spans="2:17">
      <c r="B477" s="41"/>
      <c r="C477" s="103">
        <f t="shared" si="39"/>
        <v>44275</v>
      </c>
      <c r="E477" s="170"/>
      <c r="F477" s="58" t="str">
        <f>VLOOKUP(MOD(C477,7),'CALENDAR INFO'!$I$2:$J$8,2)</f>
        <v>SAT</v>
      </c>
      <c r="G477" s="214">
        <v>7.0000000000000007E-2</v>
      </c>
      <c r="H477" s="425">
        <v>0.01</v>
      </c>
      <c r="I477" s="457">
        <f t="shared" si="41"/>
        <v>-6.0000000000000005E-2</v>
      </c>
      <c r="J477" s="152"/>
      <c r="K477" s="152"/>
      <c r="L477" s="202"/>
      <c r="M477" s="63">
        <f t="shared" si="40"/>
        <v>0</v>
      </c>
      <c r="N477" s="64">
        <f t="shared" si="42"/>
        <v>1</v>
      </c>
    </row>
    <row r="478" spans="2:17">
      <c r="B478" s="41"/>
      <c r="C478" s="103">
        <f t="shared" si="39"/>
        <v>44276</v>
      </c>
      <c r="E478" s="170"/>
      <c r="F478" s="58" t="str">
        <f>VLOOKUP(MOD(C478,7),'CALENDAR INFO'!$I$2:$J$8,2)</f>
        <v>SUN</v>
      </c>
      <c r="G478" s="214">
        <v>7.0000000000000007E-2</v>
      </c>
      <c r="H478" s="425">
        <v>0.01</v>
      </c>
      <c r="I478" s="457">
        <f t="shared" si="41"/>
        <v>-6.0000000000000005E-2</v>
      </c>
      <c r="J478" s="152"/>
      <c r="K478" s="152"/>
      <c r="L478" s="202"/>
      <c r="M478" s="63">
        <f t="shared" si="40"/>
        <v>0</v>
      </c>
      <c r="N478" s="64">
        <f t="shared" si="42"/>
        <v>1</v>
      </c>
    </row>
    <row r="479" spans="2:17">
      <c r="B479" s="41"/>
      <c r="C479" s="103">
        <f t="shared" si="39"/>
        <v>44277</v>
      </c>
      <c r="E479" s="170"/>
      <c r="F479" s="58" t="str">
        <f>VLOOKUP(MOD(C479,7),'CALENDAR INFO'!$I$2:$J$8,2)</f>
        <v>MON</v>
      </c>
      <c r="G479" s="214">
        <v>7.0000000000000007E-2</v>
      </c>
      <c r="H479" s="425">
        <v>0.01</v>
      </c>
      <c r="I479" s="457">
        <f t="shared" si="41"/>
        <v>-6.0000000000000005E-2</v>
      </c>
      <c r="J479" s="152"/>
      <c r="K479" s="152"/>
      <c r="L479" s="202"/>
      <c r="M479" s="63">
        <f t="shared" si="40"/>
        <v>1</v>
      </c>
      <c r="N479" s="64">
        <f t="shared" si="42"/>
        <v>1.0000002777777777</v>
      </c>
    </row>
    <row r="480" spans="2:17">
      <c r="B480" s="41"/>
      <c r="C480" s="103">
        <f t="shared" si="39"/>
        <v>44278</v>
      </c>
      <c r="E480" s="170"/>
      <c r="F480" s="58" t="str">
        <f>VLOOKUP(MOD(C480,7),'CALENDAR INFO'!$I$2:$J$8,2)</f>
        <v>TUE</v>
      </c>
      <c r="G480" s="214">
        <v>7.0000000000000007E-2</v>
      </c>
      <c r="H480" s="425">
        <v>0.01</v>
      </c>
      <c r="I480" s="457">
        <f t="shared" si="41"/>
        <v>-6.0000000000000005E-2</v>
      </c>
      <c r="J480" s="152"/>
      <c r="K480" s="152"/>
      <c r="L480" s="202"/>
      <c r="M480" s="63">
        <f t="shared" si="40"/>
        <v>1</v>
      </c>
      <c r="N480" s="64">
        <f t="shared" si="42"/>
        <v>1.0000002777777777</v>
      </c>
    </row>
    <row r="481" spans="1:17">
      <c r="B481" s="41"/>
      <c r="C481" s="103">
        <f t="shared" si="39"/>
        <v>44279</v>
      </c>
      <c r="E481" s="170" t="s">
        <v>19</v>
      </c>
      <c r="F481" s="58" t="str">
        <f>VLOOKUP(MOD(C481,7),'CALENDAR INFO'!$I$2:$J$8,2)</f>
        <v>WED</v>
      </c>
      <c r="G481" s="214">
        <v>7.0000000000000007E-2</v>
      </c>
      <c r="H481" s="425">
        <v>0.01</v>
      </c>
      <c r="I481" s="457">
        <f t="shared" si="41"/>
        <v>-6.0000000000000005E-2</v>
      </c>
      <c r="J481" s="152"/>
      <c r="K481" s="152"/>
      <c r="L481" s="202"/>
      <c r="M481" s="63">
        <f t="shared" si="40"/>
        <v>1</v>
      </c>
      <c r="N481" s="64">
        <f t="shared" si="42"/>
        <v>1.0000002777777777</v>
      </c>
    </row>
    <row r="482" spans="1:17">
      <c r="B482" s="41"/>
      <c r="C482" s="103">
        <f t="shared" si="39"/>
        <v>44280</v>
      </c>
      <c r="E482" s="167" t="s">
        <v>18</v>
      </c>
      <c r="F482" s="58" t="str">
        <f>VLOOKUP(MOD(C482,7),'CALENDAR INFO'!$I$2:$J$8,2)</f>
        <v>THU</v>
      </c>
      <c r="G482" s="214">
        <v>7.0000000000000007E-2</v>
      </c>
      <c r="H482" s="425">
        <v>0.01</v>
      </c>
      <c r="I482" s="457">
        <f t="shared" si="41"/>
        <v>-6.0000000000000005E-2</v>
      </c>
      <c r="J482" s="152"/>
      <c r="K482" s="152"/>
      <c r="L482" s="202"/>
      <c r="M482" s="63">
        <f t="shared" si="40"/>
        <v>1</v>
      </c>
      <c r="N482" s="64">
        <f t="shared" si="42"/>
        <v>1.0000002777777777</v>
      </c>
    </row>
    <row r="483" spans="1:17">
      <c r="B483" s="41"/>
      <c r="C483" s="103">
        <f t="shared" si="39"/>
        <v>44281</v>
      </c>
      <c r="E483" s="167"/>
      <c r="F483" s="58" t="str">
        <f>VLOOKUP(MOD(C483,7),'CALENDAR INFO'!$I$2:$J$8,2)</f>
        <v>FRI</v>
      </c>
      <c r="G483" s="214">
        <v>7.0000000000000007E-2</v>
      </c>
      <c r="H483" s="425">
        <v>0.01</v>
      </c>
      <c r="I483" s="457">
        <f t="shared" si="41"/>
        <v>-6.0000000000000005E-2</v>
      </c>
      <c r="J483" s="152"/>
      <c r="K483" s="182"/>
      <c r="L483" s="201"/>
      <c r="M483" s="63">
        <f t="shared" si="40"/>
        <v>3</v>
      </c>
      <c r="N483" s="64">
        <f t="shared" si="42"/>
        <v>1.0000008333333332</v>
      </c>
    </row>
    <row r="484" spans="1:17">
      <c r="B484" s="41"/>
      <c r="C484" s="103">
        <f t="shared" si="39"/>
        <v>44282</v>
      </c>
      <c r="E484" s="167"/>
      <c r="F484" s="58" t="str">
        <f>VLOOKUP(MOD(C484,7),'CALENDAR INFO'!$I$2:$J$8,2)</f>
        <v>SAT</v>
      </c>
      <c r="G484" s="214">
        <v>7.0000000000000007E-2</v>
      </c>
      <c r="H484" s="425">
        <v>0.01</v>
      </c>
      <c r="I484" s="457">
        <f t="shared" si="41"/>
        <v>-6.0000000000000005E-2</v>
      </c>
      <c r="J484" s="152"/>
      <c r="K484" s="152"/>
      <c r="L484" s="202"/>
      <c r="M484" s="63">
        <f t="shared" si="40"/>
        <v>0</v>
      </c>
      <c r="N484" s="64">
        <f t="shared" si="42"/>
        <v>1</v>
      </c>
      <c r="O484" s="89" t="s">
        <v>93</v>
      </c>
      <c r="P484" s="90"/>
    </row>
    <row r="485" spans="1:17">
      <c r="B485" s="41"/>
      <c r="C485" s="103">
        <f t="shared" si="39"/>
        <v>44283</v>
      </c>
      <c r="E485" s="167"/>
      <c r="F485" s="58" t="str">
        <f>VLOOKUP(MOD(C485,7),'CALENDAR INFO'!$I$2:$J$8,2)</f>
        <v>SUN</v>
      </c>
      <c r="G485" s="214">
        <v>7.0000000000000007E-2</v>
      </c>
      <c r="H485" s="425">
        <v>0.01</v>
      </c>
      <c r="I485" s="457">
        <f t="shared" si="41"/>
        <v>-6.0000000000000005E-2</v>
      </c>
      <c r="J485" s="152"/>
      <c r="K485" s="182"/>
      <c r="L485" s="201"/>
      <c r="M485" s="63">
        <f t="shared" si="40"/>
        <v>0</v>
      </c>
      <c r="N485" s="64">
        <f t="shared" si="42"/>
        <v>1</v>
      </c>
      <c r="O485" s="89" t="s">
        <v>26</v>
      </c>
      <c r="P485" s="135">
        <v>99.93</v>
      </c>
      <c r="Q485" s="17" t="s">
        <v>107</v>
      </c>
    </row>
    <row r="486" spans="1:17">
      <c r="B486" s="41"/>
      <c r="C486" s="103">
        <f t="shared" si="39"/>
        <v>44284</v>
      </c>
      <c r="E486" s="167"/>
      <c r="F486" s="58" t="str">
        <f>VLOOKUP(MOD(C486,7),'CALENDAR INFO'!$I$2:$J$8,2)</f>
        <v>MON</v>
      </c>
      <c r="G486" s="214">
        <v>7.0000000000000007E-2</v>
      </c>
      <c r="H486" s="425">
        <v>0.01</v>
      </c>
      <c r="I486" s="457">
        <f t="shared" si="41"/>
        <v>-6.0000000000000005E-2</v>
      </c>
      <c r="J486" s="152"/>
      <c r="K486" s="190"/>
      <c r="L486" s="203"/>
      <c r="M486" s="63">
        <f t="shared" si="40"/>
        <v>1</v>
      </c>
      <c r="N486" s="64">
        <f t="shared" si="42"/>
        <v>1.0000002777777777</v>
      </c>
      <c r="O486" s="89" t="s">
        <v>76</v>
      </c>
      <c r="P486" s="135">
        <v>99.984999999999999</v>
      </c>
      <c r="Q486" s="17" t="s">
        <v>107</v>
      </c>
    </row>
    <row r="487" spans="1:17">
      <c r="B487" s="41"/>
      <c r="C487" s="103">
        <f t="shared" si="39"/>
        <v>44285</v>
      </c>
      <c r="E487" s="167"/>
      <c r="F487" s="58" t="str">
        <f>VLOOKUP(MOD(C487,7),'CALENDAR INFO'!$I$2:$J$8,2)</f>
        <v>TUE</v>
      </c>
      <c r="G487" s="214">
        <v>7.0000000000000007E-2</v>
      </c>
      <c r="H487" s="425">
        <v>0.01</v>
      </c>
      <c r="I487" s="457">
        <f t="shared" si="41"/>
        <v>-6.0000000000000005E-2</v>
      </c>
      <c r="J487" s="152"/>
      <c r="K487" s="182"/>
      <c r="L487" s="201"/>
      <c r="M487" s="63">
        <f t="shared" si="40"/>
        <v>1</v>
      </c>
      <c r="N487" s="64">
        <f t="shared" si="42"/>
        <v>1.0000002777777777</v>
      </c>
    </row>
    <row r="488" spans="1:17" ht="15.75" thickBot="1">
      <c r="A488" s="98"/>
      <c r="B488" s="230"/>
      <c r="C488" s="104">
        <f t="shared" si="39"/>
        <v>44286</v>
      </c>
      <c r="D488" s="112"/>
      <c r="E488" s="92"/>
      <c r="F488" s="71" t="str">
        <f>VLOOKUP(MOD(C488,7),'CALENDAR INFO'!$I$2:$J$8,2)</f>
        <v>WED</v>
      </c>
      <c r="G488" s="215">
        <v>0.06</v>
      </c>
      <c r="H488" s="426">
        <v>0.01</v>
      </c>
      <c r="I488" s="458">
        <f t="shared" si="41"/>
        <v>-4.9999999999999996E-2</v>
      </c>
      <c r="J488" s="437"/>
      <c r="K488" s="184"/>
      <c r="L488" s="205"/>
      <c r="M488" s="88">
        <f t="shared" si="40"/>
        <v>1</v>
      </c>
      <c r="N488" s="77">
        <f t="shared" si="42"/>
        <v>1.0000002777777777</v>
      </c>
    </row>
    <row r="489" spans="1:17">
      <c r="B489" s="41"/>
      <c r="C489" s="103">
        <f t="shared" si="39"/>
        <v>44287</v>
      </c>
      <c r="E489" s="167"/>
      <c r="F489" s="58" t="str">
        <f>VLOOKUP(MOD(C489,7),'CALENDAR INFO'!$I$2:$J$8,2)</f>
        <v>THU</v>
      </c>
      <c r="G489" s="214">
        <v>7.0000000000000007E-2</v>
      </c>
      <c r="H489" s="425">
        <v>0.01</v>
      </c>
      <c r="I489" s="457">
        <f t="shared" si="41"/>
        <v>-6.0000000000000005E-2</v>
      </c>
      <c r="J489" s="436" t="s">
        <v>118</v>
      </c>
      <c r="K489" s="15">
        <f>VLOOKUP(MONTH($C489),'CALENDAR INFO'!$I$12:$J$23,2)</f>
        <v>30</v>
      </c>
      <c r="L489" s="179">
        <f>K489</f>
        <v>30</v>
      </c>
      <c r="M489" s="117">
        <v>4</v>
      </c>
      <c r="N489" s="64">
        <f t="shared" si="42"/>
        <v>1.0000011111111111</v>
      </c>
    </row>
    <row r="490" spans="1:17">
      <c r="B490" s="41"/>
      <c r="C490" s="103">
        <f t="shared" si="39"/>
        <v>44288</v>
      </c>
      <c r="D490" s="173" t="s">
        <v>56</v>
      </c>
      <c r="E490" s="167"/>
      <c r="F490" s="58" t="str">
        <f>VLOOKUP(MOD(C490,7),'CALENDAR INFO'!$I$2:$J$8,2)</f>
        <v>FRI</v>
      </c>
      <c r="G490" s="214">
        <v>7.0000000000000007E-2</v>
      </c>
      <c r="H490" s="425">
        <v>0.01</v>
      </c>
      <c r="I490" s="457">
        <f t="shared" si="41"/>
        <v>-6.0000000000000005E-2</v>
      </c>
      <c r="J490" s="152" t="s">
        <v>151</v>
      </c>
      <c r="K490" s="15">
        <f>ROW($C490)-1</f>
        <v>489</v>
      </c>
      <c r="L490" s="179">
        <f>K490</f>
        <v>489</v>
      </c>
      <c r="M490" s="117">
        <v>0</v>
      </c>
      <c r="N490" s="64">
        <f t="shared" si="42"/>
        <v>1</v>
      </c>
    </row>
    <row r="491" spans="1:17">
      <c r="B491" s="41"/>
      <c r="C491" s="103">
        <f t="shared" si="39"/>
        <v>44289</v>
      </c>
      <c r="E491" s="167"/>
      <c r="F491" s="58" t="str">
        <f>VLOOKUP(MOD(C491,7),'CALENDAR INFO'!$I$2:$J$8,2)</f>
        <v>SAT</v>
      </c>
      <c r="G491" s="214">
        <v>7.0000000000000007E-2</v>
      </c>
      <c r="H491" s="425">
        <v>0.01</v>
      </c>
      <c r="I491" s="457">
        <f t="shared" si="41"/>
        <v>-6.0000000000000005E-2</v>
      </c>
      <c r="J491" s="152" t="s">
        <v>152</v>
      </c>
      <c r="K491" s="15">
        <f>K489+K490-1</f>
        <v>518</v>
      </c>
      <c r="L491" s="200">
        <f>K491</f>
        <v>518</v>
      </c>
      <c r="M491" s="113">
        <f t="shared" ref="M491:M522" si="43">IF(MOD(C491,7)&lt;2,0,IF(MOD(C491,7)=6,3,1))</f>
        <v>0</v>
      </c>
      <c r="N491" s="64">
        <f t="shared" si="42"/>
        <v>1</v>
      </c>
    </row>
    <row r="492" spans="1:17">
      <c r="B492" s="41"/>
      <c r="C492" s="103">
        <f t="shared" si="39"/>
        <v>44290</v>
      </c>
      <c r="E492" s="167"/>
      <c r="F492" s="58" t="str">
        <f>VLOOKUP(MOD(C492,7),'CALENDAR INFO'!$I$2:$J$8,2)</f>
        <v>SUN</v>
      </c>
      <c r="G492" s="214">
        <v>7.0000000000000007E-2</v>
      </c>
      <c r="H492" s="425">
        <v>0.01</v>
      </c>
      <c r="I492" s="457">
        <f t="shared" si="41"/>
        <v>-6.0000000000000005E-2</v>
      </c>
      <c r="J492" s="152"/>
      <c r="K492" s="182"/>
      <c r="L492" s="201"/>
      <c r="M492" s="113">
        <f t="shared" si="43"/>
        <v>0</v>
      </c>
      <c r="N492" s="64">
        <f t="shared" si="42"/>
        <v>1</v>
      </c>
    </row>
    <row r="493" spans="1:17">
      <c r="B493" s="41"/>
      <c r="C493" s="103">
        <f t="shared" si="39"/>
        <v>44291</v>
      </c>
      <c r="E493" s="167"/>
      <c r="F493" s="58" t="str">
        <f>VLOOKUP(MOD(C493,7),'CALENDAR INFO'!$I$2:$J$8,2)</f>
        <v>MON</v>
      </c>
      <c r="G493" s="214">
        <v>7.0000000000000007E-2</v>
      </c>
      <c r="H493" s="425">
        <v>0.01</v>
      </c>
      <c r="I493" s="457">
        <f t="shared" si="41"/>
        <v>-6.0000000000000005E-2</v>
      </c>
      <c r="J493" s="152" t="s">
        <v>153</v>
      </c>
      <c r="K493" s="182" t="str">
        <f>_xlfn.CONCAT("A",TEXT(K490,0),":","A",TEXT(K491,0))</f>
        <v>A489:A518</v>
      </c>
      <c r="L493" s="201" t="str">
        <f>_xlfn.CONCAT("B",TEXT(L490,0),":","B",TEXT(L491,0))</f>
        <v>B489:B518</v>
      </c>
      <c r="M493" s="113">
        <f t="shared" si="43"/>
        <v>1</v>
      </c>
      <c r="N493" s="64">
        <f t="shared" si="42"/>
        <v>1.0000002777777777</v>
      </c>
    </row>
    <row r="494" spans="1:17">
      <c r="B494" s="41"/>
      <c r="C494" s="103">
        <f t="shared" si="39"/>
        <v>44292</v>
      </c>
      <c r="E494" s="167"/>
      <c r="F494" s="58" t="str">
        <f>VLOOKUP(MOD(C494,7),'CALENDAR INFO'!$I$2:$J$8,2)</f>
        <v>TUE</v>
      </c>
      <c r="G494" s="214">
        <v>7.0000000000000007E-2</v>
      </c>
      <c r="H494" s="425">
        <v>0.01</v>
      </c>
      <c r="I494" s="457">
        <f t="shared" si="41"/>
        <v>-6.0000000000000005E-2</v>
      </c>
      <c r="J494" s="152" t="s">
        <v>154</v>
      </c>
      <c r="K494" s="182" t="str">
        <f>_xlfn.CONCAT("F",TEXT(K490,0),":","F",TEXT(K491,0))</f>
        <v>F489:F518</v>
      </c>
      <c r="L494" s="201" t="str">
        <f>_xlfn.CONCAT("G",TEXT(L490,0),":","G",TEXT(L491,0))</f>
        <v>G489:G518</v>
      </c>
      <c r="M494" s="113">
        <f t="shared" si="43"/>
        <v>1</v>
      </c>
      <c r="N494" s="64">
        <f t="shared" si="42"/>
        <v>1.0000002777777777</v>
      </c>
    </row>
    <row r="495" spans="1:17">
      <c r="B495" s="41"/>
      <c r="C495" s="103">
        <f t="shared" si="39"/>
        <v>44293</v>
      </c>
      <c r="E495" s="167" t="s">
        <v>19</v>
      </c>
      <c r="F495" s="58" t="str">
        <f>VLOOKUP(MOD(C495,7),'CALENDAR INFO'!$I$2:$J$8,2)</f>
        <v>WED</v>
      </c>
      <c r="G495" s="214">
        <v>7.0000000000000007E-2</v>
      </c>
      <c r="H495" s="425">
        <v>0.01</v>
      </c>
      <c r="I495" s="457">
        <f t="shared" si="41"/>
        <v>-6.0000000000000005E-2</v>
      </c>
      <c r="J495" s="152"/>
      <c r="K495" s="152"/>
      <c r="L495" s="202"/>
      <c r="M495" s="113">
        <f t="shared" si="43"/>
        <v>1</v>
      </c>
      <c r="N495" s="64">
        <f t="shared" si="42"/>
        <v>1.0000002777777777</v>
      </c>
    </row>
    <row r="496" spans="1:17">
      <c r="B496" s="41"/>
      <c r="C496" s="103">
        <f t="shared" si="39"/>
        <v>44294</v>
      </c>
      <c r="E496" s="170" t="s">
        <v>18</v>
      </c>
      <c r="F496" s="58" t="str">
        <f>VLOOKUP(MOD(C496,7),'CALENDAR INFO'!$I$2:$J$8,2)</f>
        <v>THU</v>
      </c>
      <c r="G496" s="214">
        <v>7.0000000000000007E-2</v>
      </c>
      <c r="H496" s="425">
        <v>0.01</v>
      </c>
      <c r="I496" s="457">
        <f t="shared" si="41"/>
        <v>-6.0000000000000005E-2</v>
      </c>
      <c r="J496" s="152" t="s">
        <v>155</v>
      </c>
      <c r="K496" s="15">
        <f ca="1">SUM(INDIRECT(K493))</f>
        <v>0</v>
      </c>
      <c r="L496" s="179">
        <f ca="1">SUM(INDIRECT(L493))</f>
        <v>0</v>
      </c>
      <c r="M496" s="113">
        <f t="shared" si="43"/>
        <v>1</v>
      </c>
      <c r="N496" s="64">
        <f t="shared" si="42"/>
        <v>1.0000002777777777</v>
      </c>
    </row>
    <row r="497" spans="2:14">
      <c r="B497" s="41"/>
      <c r="C497" s="103">
        <f t="shared" si="39"/>
        <v>44295</v>
      </c>
      <c r="E497" s="170"/>
      <c r="F497" s="58" t="str">
        <f>VLOOKUP(MOD(C497,7),'CALENDAR INFO'!$I$2:$J$8,2)</f>
        <v>FRI</v>
      </c>
      <c r="G497" s="214">
        <v>7.0000000000000007E-2</v>
      </c>
      <c r="H497" s="425">
        <v>0.01</v>
      </c>
      <c r="I497" s="457">
        <f t="shared" si="41"/>
        <v>-6.0000000000000005E-2</v>
      </c>
      <c r="J497" s="152" t="s">
        <v>156</v>
      </c>
      <c r="K497" s="207">
        <f ca="1">SUM(INDIRECT(K494))</f>
        <v>0</v>
      </c>
      <c r="L497" s="208">
        <f ca="1">SUM(INDIRECT(L494))</f>
        <v>2.0700000000000012</v>
      </c>
      <c r="M497" s="113">
        <f t="shared" si="43"/>
        <v>3</v>
      </c>
      <c r="N497" s="64">
        <f t="shared" si="42"/>
        <v>1.0000008333333332</v>
      </c>
    </row>
    <row r="498" spans="2:14">
      <c r="B498" s="41"/>
      <c r="C498" s="103">
        <f t="shared" si="39"/>
        <v>44296</v>
      </c>
      <c r="E498" s="170"/>
      <c r="F498" s="58" t="str">
        <f>VLOOKUP(MOD(C498,7),'CALENDAR INFO'!$I$2:$J$8,2)</f>
        <v>SAT</v>
      </c>
      <c r="G498" s="214">
        <v>7.0000000000000007E-2</v>
      </c>
      <c r="H498" s="425">
        <v>0.01</v>
      </c>
      <c r="I498" s="457">
        <f t="shared" si="41"/>
        <v>-6.0000000000000005E-2</v>
      </c>
      <c r="J498" s="152" t="s">
        <v>157</v>
      </c>
      <c r="K498" s="178">
        <f ca="1">K496+K497</f>
        <v>0</v>
      </c>
      <c r="L498" s="192">
        <f ca="1">L496+L497</f>
        <v>2.0700000000000012</v>
      </c>
      <c r="M498" s="113">
        <f t="shared" si="43"/>
        <v>0</v>
      </c>
      <c r="N498" s="64">
        <f t="shared" si="42"/>
        <v>1</v>
      </c>
    </row>
    <row r="499" spans="2:14">
      <c r="B499" s="41"/>
      <c r="C499" s="103">
        <f t="shared" si="39"/>
        <v>44297</v>
      </c>
      <c r="E499" s="170"/>
      <c r="F499" s="58" t="str">
        <f>VLOOKUP(MOD(C499,7),'CALENDAR INFO'!$I$2:$J$8,2)</f>
        <v>SUN</v>
      </c>
      <c r="G499" s="214">
        <v>7.0000000000000007E-2</v>
      </c>
      <c r="H499" s="425">
        <v>0.01</v>
      </c>
      <c r="I499" s="457">
        <f t="shared" si="41"/>
        <v>-6.0000000000000005E-2</v>
      </c>
      <c r="J499" s="152"/>
      <c r="K499" s="178"/>
      <c r="L499" s="192"/>
      <c r="M499" s="113">
        <f t="shared" si="43"/>
        <v>0</v>
      </c>
      <c r="N499" s="64">
        <f t="shared" si="42"/>
        <v>1</v>
      </c>
    </row>
    <row r="500" spans="2:14">
      <c r="B500" s="41"/>
      <c r="C500" s="103">
        <f t="shared" si="39"/>
        <v>44298</v>
      </c>
      <c r="E500" s="170"/>
      <c r="F500" s="58" t="str">
        <f>VLOOKUP(MOD(C500,7),'CALENDAR INFO'!$I$2:$J$8,2)</f>
        <v>MON</v>
      </c>
      <c r="G500" s="214">
        <v>7.0000000000000007E-2</v>
      </c>
      <c r="H500" s="425">
        <v>0.01</v>
      </c>
      <c r="I500" s="457">
        <f t="shared" si="41"/>
        <v>-6.0000000000000005E-2</v>
      </c>
      <c r="J500" s="152" t="s">
        <v>158</v>
      </c>
      <c r="K500" s="178">
        <f ca="1">K498/K489</f>
        <v>0</v>
      </c>
      <c r="L500" s="192">
        <f ca="1">L498/L489</f>
        <v>6.9000000000000034E-2</v>
      </c>
      <c r="M500" s="113">
        <f t="shared" si="43"/>
        <v>1</v>
      </c>
      <c r="N500" s="64">
        <f t="shared" si="42"/>
        <v>1.0000002777777777</v>
      </c>
    </row>
    <row r="501" spans="2:14">
      <c r="B501" s="41"/>
      <c r="C501" s="103">
        <f t="shared" ref="C501:C564" si="44">C500+1</f>
        <v>44299</v>
      </c>
      <c r="E501" s="170"/>
      <c r="F501" s="58" t="str">
        <f>VLOOKUP(MOD(C501,7),'CALENDAR INFO'!$I$2:$J$8,2)</f>
        <v>TUE</v>
      </c>
      <c r="G501" s="214">
        <v>7.0000000000000007E-2</v>
      </c>
      <c r="H501" s="425">
        <v>0.01</v>
      </c>
      <c r="I501" s="457">
        <f t="shared" si="41"/>
        <v>-6.0000000000000005E-2</v>
      </c>
      <c r="J501" s="152" t="s">
        <v>159</v>
      </c>
      <c r="K501" s="180">
        <f ca="1">100-K500</f>
        <v>100</v>
      </c>
      <c r="L501" s="193">
        <f ca="1">100-L500</f>
        <v>99.930999999999997</v>
      </c>
      <c r="M501" s="113">
        <f t="shared" si="43"/>
        <v>1</v>
      </c>
      <c r="N501" s="64">
        <f t="shared" si="42"/>
        <v>1.0000002777777777</v>
      </c>
    </row>
    <row r="502" spans="2:14">
      <c r="B502" s="41"/>
      <c r="C502" s="103">
        <f t="shared" si="44"/>
        <v>44300</v>
      </c>
      <c r="E502" s="170"/>
      <c r="F502" s="58" t="str">
        <f>VLOOKUP(MOD(C502,7),'CALENDAR INFO'!$I$2:$J$8,2)</f>
        <v>WED</v>
      </c>
      <c r="G502" s="214">
        <v>7.0000000000000007E-2</v>
      </c>
      <c r="H502" s="425">
        <v>0.01</v>
      </c>
      <c r="I502" s="457">
        <f t="shared" si="41"/>
        <v>-6.0000000000000005E-2</v>
      </c>
      <c r="J502" s="152"/>
      <c r="K502" s="178"/>
      <c r="L502" s="192"/>
      <c r="M502" s="113">
        <f t="shared" si="43"/>
        <v>1</v>
      </c>
      <c r="N502" s="64">
        <f t="shared" si="42"/>
        <v>1.0000002777777777</v>
      </c>
    </row>
    <row r="503" spans="2:14">
      <c r="B503" s="41"/>
      <c r="C503" s="103">
        <f t="shared" si="44"/>
        <v>44301</v>
      </c>
      <c r="E503" s="170"/>
      <c r="F503" s="58" t="str">
        <f>VLOOKUP(MOD(C503,7),'CALENDAR INFO'!$I$2:$J$8,2)</f>
        <v>THU</v>
      </c>
      <c r="G503" s="214">
        <v>7.0000000000000007E-2</v>
      </c>
      <c r="H503" s="425">
        <v>0.01</v>
      </c>
      <c r="I503" s="457">
        <f t="shared" si="41"/>
        <v>-6.0000000000000005E-2</v>
      </c>
      <c r="J503" s="152"/>
      <c r="K503" s="186"/>
      <c r="L503" s="194"/>
      <c r="M503" s="113">
        <f t="shared" si="43"/>
        <v>1</v>
      </c>
      <c r="N503" s="64">
        <f t="shared" si="42"/>
        <v>1.0000002777777777</v>
      </c>
    </row>
    <row r="504" spans="2:14">
      <c r="B504" s="41"/>
      <c r="C504" s="103">
        <f t="shared" si="44"/>
        <v>44302</v>
      </c>
      <c r="E504" s="170"/>
      <c r="F504" s="58" t="str">
        <f>VLOOKUP(MOD(C504,7),'CALENDAR INFO'!$I$2:$J$8,2)</f>
        <v>FRI</v>
      </c>
      <c r="G504" s="214">
        <v>7.0000000000000007E-2</v>
      </c>
      <c r="H504" s="425">
        <v>0.01</v>
      </c>
      <c r="I504" s="457">
        <f t="shared" si="41"/>
        <v>-6.0000000000000005E-2</v>
      </c>
      <c r="J504" s="152"/>
      <c r="K504" s="152"/>
      <c r="L504" s="202"/>
      <c r="M504" s="113">
        <f t="shared" si="43"/>
        <v>3</v>
      </c>
      <c r="N504" s="64">
        <f t="shared" si="42"/>
        <v>1.0000008333333332</v>
      </c>
    </row>
    <row r="505" spans="2:14">
      <c r="B505" s="41"/>
      <c r="C505" s="103">
        <f t="shared" si="44"/>
        <v>44303</v>
      </c>
      <c r="E505" s="170"/>
      <c r="F505" s="58" t="str">
        <f>VLOOKUP(MOD(C505,7),'CALENDAR INFO'!$I$2:$J$8,2)</f>
        <v>SAT</v>
      </c>
      <c r="G505" s="214">
        <v>7.0000000000000007E-2</v>
      </c>
      <c r="H505" s="425">
        <v>0.01</v>
      </c>
      <c r="I505" s="457">
        <f t="shared" si="41"/>
        <v>-6.0000000000000005E-2</v>
      </c>
      <c r="J505" s="152"/>
      <c r="K505" s="152"/>
      <c r="L505" s="202"/>
      <c r="M505" s="113">
        <f t="shared" si="43"/>
        <v>0</v>
      </c>
      <c r="N505" s="64">
        <f t="shared" si="42"/>
        <v>1</v>
      </c>
    </row>
    <row r="506" spans="2:14">
      <c r="B506" s="41"/>
      <c r="C506" s="103">
        <f t="shared" si="44"/>
        <v>44304</v>
      </c>
      <c r="E506" s="170"/>
      <c r="F506" s="58" t="str">
        <f>VLOOKUP(MOD(C506,7),'CALENDAR INFO'!$I$2:$J$8,2)</f>
        <v>SUN</v>
      </c>
      <c r="G506" s="214">
        <v>7.0000000000000007E-2</v>
      </c>
      <c r="H506" s="425">
        <v>0.01</v>
      </c>
      <c r="I506" s="457">
        <f t="shared" si="41"/>
        <v>-6.0000000000000005E-2</v>
      </c>
      <c r="J506" s="152"/>
      <c r="K506" s="152"/>
      <c r="L506" s="202"/>
      <c r="M506" s="113">
        <f t="shared" si="43"/>
        <v>0</v>
      </c>
      <c r="N506" s="64">
        <f t="shared" si="42"/>
        <v>1</v>
      </c>
    </row>
    <row r="507" spans="2:14">
      <c r="B507" s="41"/>
      <c r="C507" s="103">
        <f t="shared" si="44"/>
        <v>44305</v>
      </c>
      <c r="E507" s="170"/>
      <c r="F507" s="58" t="str">
        <f>VLOOKUP(MOD(C507,7),'CALENDAR INFO'!$I$2:$J$8,2)</f>
        <v>MON</v>
      </c>
      <c r="G507" s="214">
        <v>7.0000000000000007E-2</v>
      </c>
      <c r="H507" s="425">
        <v>0.01</v>
      </c>
      <c r="I507" s="457">
        <f t="shared" si="41"/>
        <v>-6.0000000000000005E-2</v>
      </c>
      <c r="J507" s="152"/>
      <c r="K507" s="152"/>
      <c r="L507" s="202"/>
      <c r="M507" s="113">
        <f t="shared" si="43"/>
        <v>1</v>
      </c>
      <c r="N507" s="64">
        <f t="shared" si="42"/>
        <v>1.0000002777777777</v>
      </c>
    </row>
    <row r="508" spans="2:14">
      <c r="B508" s="41"/>
      <c r="C508" s="103">
        <f t="shared" si="44"/>
        <v>44306</v>
      </c>
      <c r="E508" s="170"/>
      <c r="F508" s="58" t="str">
        <f>VLOOKUP(MOD(C508,7),'CALENDAR INFO'!$I$2:$J$8,2)</f>
        <v>TUE</v>
      </c>
      <c r="G508" s="214">
        <v>7.0000000000000007E-2</v>
      </c>
      <c r="H508" s="425">
        <v>0.01</v>
      </c>
      <c r="I508" s="457">
        <f t="shared" si="41"/>
        <v>-6.0000000000000005E-2</v>
      </c>
      <c r="J508" s="152"/>
      <c r="K508" s="152"/>
      <c r="L508" s="202"/>
      <c r="M508" s="113">
        <f t="shared" si="43"/>
        <v>1</v>
      </c>
      <c r="N508" s="64">
        <f t="shared" si="42"/>
        <v>1.0000002777777777</v>
      </c>
    </row>
    <row r="509" spans="2:14">
      <c r="B509" s="41"/>
      <c r="C509" s="103">
        <f t="shared" si="44"/>
        <v>44307</v>
      </c>
      <c r="E509" s="170" t="s">
        <v>19</v>
      </c>
      <c r="F509" s="58" t="str">
        <f>VLOOKUP(MOD(C509,7),'CALENDAR INFO'!$I$2:$J$8,2)</f>
        <v>WED</v>
      </c>
      <c r="G509" s="214">
        <v>7.0000000000000007E-2</v>
      </c>
      <c r="H509" s="425">
        <v>0.01</v>
      </c>
      <c r="I509" s="457">
        <f t="shared" si="41"/>
        <v>-6.0000000000000005E-2</v>
      </c>
      <c r="J509" s="152"/>
      <c r="K509" s="152"/>
      <c r="L509" s="202"/>
      <c r="M509" s="113">
        <f t="shared" si="43"/>
        <v>1</v>
      </c>
      <c r="N509" s="64">
        <f t="shared" si="42"/>
        <v>1.0000002777777777</v>
      </c>
    </row>
    <row r="510" spans="2:14">
      <c r="B510" s="41"/>
      <c r="C510" s="103">
        <f t="shared" si="44"/>
        <v>44308</v>
      </c>
      <c r="E510" s="167" t="s">
        <v>18</v>
      </c>
      <c r="F510" s="58" t="str">
        <f>VLOOKUP(MOD(C510,7),'CALENDAR INFO'!$I$2:$J$8,2)</f>
        <v>THU</v>
      </c>
      <c r="G510" s="214">
        <v>7.0000000000000007E-2</v>
      </c>
      <c r="H510" s="425">
        <v>0.01</v>
      </c>
      <c r="I510" s="457">
        <f t="shared" si="41"/>
        <v>-6.0000000000000005E-2</v>
      </c>
      <c r="J510" s="152"/>
      <c r="K510" s="152"/>
      <c r="L510" s="202"/>
      <c r="M510" s="113">
        <f t="shared" si="43"/>
        <v>1</v>
      </c>
      <c r="N510" s="64">
        <f t="shared" si="42"/>
        <v>1.0000002777777777</v>
      </c>
    </row>
    <row r="511" spans="2:14">
      <c r="B511" s="41"/>
      <c r="C511" s="103">
        <f t="shared" si="44"/>
        <v>44309</v>
      </c>
      <c r="E511" s="167"/>
      <c r="F511" s="58" t="str">
        <f>VLOOKUP(MOD(C511,7),'CALENDAR INFO'!$I$2:$J$8,2)</f>
        <v>FRI</v>
      </c>
      <c r="G511" s="214">
        <v>7.0000000000000007E-2</v>
      </c>
      <c r="H511" s="425">
        <v>0.01</v>
      </c>
      <c r="I511" s="457">
        <f t="shared" si="41"/>
        <v>-6.0000000000000005E-2</v>
      </c>
      <c r="J511" s="152"/>
      <c r="K511" s="152"/>
      <c r="L511" s="202"/>
      <c r="M511" s="113">
        <f t="shared" si="43"/>
        <v>3</v>
      </c>
      <c r="N511" s="64">
        <f t="shared" si="42"/>
        <v>1.0000008333333332</v>
      </c>
    </row>
    <row r="512" spans="2:14">
      <c r="B512" s="41"/>
      <c r="C512" s="103">
        <f t="shared" si="44"/>
        <v>44310</v>
      </c>
      <c r="E512" s="167"/>
      <c r="F512" s="58" t="str">
        <f>VLOOKUP(MOD(C512,7),'CALENDAR INFO'!$I$2:$J$8,2)</f>
        <v>SAT</v>
      </c>
      <c r="G512" s="214">
        <v>7.0000000000000007E-2</v>
      </c>
      <c r="H512" s="425">
        <v>0.01</v>
      </c>
      <c r="I512" s="457">
        <f t="shared" si="41"/>
        <v>-6.0000000000000005E-2</v>
      </c>
      <c r="J512" s="152"/>
      <c r="K512" s="152"/>
      <c r="L512" s="202"/>
      <c r="M512" s="113">
        <f t="shared" si="43"/>
        <v>0</v>
      </c>
      <c r="N512" s="64">
        <f t="shared" si="42"/>
        <v>1</v>
      </c>
    </row>
    <row r="513" spans="1:17">
      <c r="B513" s="41"/>
      <c r="C513" s="103">
        <f t="shared" si="44"/>
        <v>44311</v>
      </c>
      <c r="E513" s="167"/>
      <c r="F513" s="58" t="str">
        <f>VLOOKUP(MOD(C513,7),'CALENDAR INFO'!$I$2:$J$8,2)</f>
        <v>SUN</v>
      </c>
      <c r="G513" s="214">
        <v>7.0000000000000007E-2</v>
      </c>
      <c r="H513" s="425">
        <v>0.01</v>
      </c>
      <c r="I513" s="457">
        <f t="shared" si="41"/>
        <v>-6.0000000000000005E-2</v>
      </c>
      <c r="J513" s="152"/>
      <c r="K513" s="182"/>
      <c r="L513" s="201"/>
      <c r="M513" s="113">
        <f t="shared" si="43"/>
        <v>0</v>
      </c>
      <c r="N513" s="64">
        <f t="shared" si="42"/>
        <v>1</v>
      </c>
    </row>
    <row r="514" spans="1:17">
      <c r="B514" s="41"/>
      <c r="C514" s="103">
        <f t="shared" si="44"/>
        <v>44312</v>
      </c>
      <c r="E514" s="167"/>
      <c r="F514" s="58" t="str">
        <f>VLOOKUP(MOD(C514,7),'CALENDAR INFO'!$I$2:$J$8,2)</f>
        <v>MON</v>
      </c>
      <c r="G514" s="214">
        <v>7.0000000000000007E-2</v>
      </c>
      <c r="H514" s="425">
        <v>0.01</v>
      </c>
      <c r="I514" s="457">
        <f t="shared" si="41"/>
        <v>-6.0000000000000005E-2</v>
      </c>
      <c r="J514" s="152"/>
      <c r="K514" s="152"/>
      <c r="L514" s="202"/>
      <c r="M514" s="113">
        <f t="shared" si="43"/>
        <v>1</v>
      </c>
      <c r="N514" s="64">
        <f t="shared" si="42"/>
        <v>1.0000002777777777</v>
      </c>
      <c r="O514" s="89" t="s">
        <v>93</v>
      </c>
      <c r="P514" s="90"/>
    </row>
    <row r="515" spans="1:17">
      <c r="B515" s="41"/>
      <c r="C515" s="103">
        <f t="shared" si="44"/>
        <v>44313</v>
      </c>
      <c r="D515" s="153" t="s">
        <v>20</v>
      </c>
      <c r="E515" s="167"/>
      <c r="F515" s="58" t="str">
        <f>VLOOKUP(MOD(C515,7),'CALENDAR INFO'!$I$2:$J$8,2)</f>
        <v>TUE</v>
      </c>
      <c r="G515" s="214">
        <v>7.0000000000000007E-2</v>
      </c>
      <c r="H515" s="425">
        <v>0.01</v>
      </c>
      <c r="I515" s="457">
        <f t="shared" ref="I515:I578" si="45">H515-G515</f>
        <v>-6.0000000000000005E-2</v>
      </c>
      <c r="J515" s="152"/>
      <c r="K515" s="182"/>
      <c r="L515" s="201"/>
      <c r="M515" s="113">
        <f t="shared" si="43"/>
        <v>1</v>
      </c>
      <c r="N515" s="64">
        <f t="shared" si="42"/>
        <v>1.0000002777777777</v>
      </c>
      <c r="O515" s="89" t="s">
        <v>26</v>
      </c>
      <c r="P515" s="135">
        <v>99.930999999999997</v>
      </c>
      <c r="Q515" s="17" t="s">
        <v>107</v>
      </c>
    </row>
    <row r="516" spans="1:17">
      <c r="B516" s="41"/>
      <c r="C516" s="103">
        <f t="shared" si="44"/>
        <v>44314</v>
      </c>
      <c r="D516" s="153" t="s">
        <v>20</v>
      </c>
      <c r="E516" s="167"/>
      <c r="F516" s="58" t="str">
        <f>VLOOKUP(MOD(C516,7),'CALENDAR INFO'!$I$2:$J$8,2)</f>
        <v>WED</v>
      </c>
      <c r="G516" s="214">
        <v>7.0000000000000007E-2</v>
      </c>
      <c r="H516" s="425">
        <v>0.01</v>
      </c>
      <c r="I516" s="457">
        <f t="shared" si="45"/>
        <v>-6.0000000000000005E-2</v>
      </c>
      <c r="J516" s="152"/>
      <c r="K516" s="190"/>
      <c r="L516" s="203"/>
      <c r="M516" s="113">
        <f t="shared" si="43"/>
        <v>1</v>
      </c>
      <c r="N516" s="64">
        <f t="shared" si="42"/>
        <v>1.0000002777777777</v>
      </c>
      <c r="O516" s="89" t="s">
        <v>76</v>
      </c>
      <c r="P516" s="135">
        <v>99.99</v>
      </c>
      <c r="Q516" s="17" t="s">
        <v>107</v>
      </c>
    </row>
    <row r="517" spans="1:17">
      <c r="B517" s="41"/>
      <c r="C517" s="103">
        <f t="shared" si="44"/>
        <v>44315</v>
      </c>
      <c r="E517" s="167"/>
      <c r="F517" s="58" t="str">
        <f>VLOOKUP(MOD(C517,7),'CALENDAR INFO'!$I$2:$J$8,2)</f>
        <v>THU</v>
      </c>
      <c r="G517" s="214">
        <v>0.06</v>
      </c>
      <c r="H517" s="425">
        <v>0.01</v>
      </c>
      <c r="I517" s="457">
        <f t="shared" si="45"/>
        <v>-4.9999999999999996E-2</v>
      </c>
      <c r="J517" s="152"/>
      <c r="K517" s="182"/>
      <c r="L517" s="201"/>
      <c r="M517" s="113">
        <f t="shared" si="43"/>
        <v>1</v>
      </c>
      <c r="N517" s="64">
        <f t="shared" si="42"/>
        <v>1.0000002777777777</v>
      </c>
    </row>
    <row r="518" spans="1:17" ht="15.75" thickBot="1">
      <c r="A518" s="98"/>
      <c r="B518" s="230"/>
      <c r="C518" s="104">
        <f t="shared" si="44"/>
        <v>44316</v>
      </c>
      <c r="D518" s="112"/>
      <c r="E518" s="92"/>
      <c r="F518" s="71" t="str">
        <f>VLOOKUP(MOD(C518,7),'CALENDAR INFO'!$I$2:$J$8,2)</f>
        <v>FRI</v>
      </c>
      <c r="G518" s="215">
        <v>0.05</v>
      </c>
      <c r="H518" s="426">
        <v>0.01</v>
      </c>
      <c r="I518" s="458">
        <f t="shared" si="45"/>
        <v>-0.04</v>
      </c>
      <c r="J518" s="437"/>
      <c r="K518" s="184"/>
      <c r="L518" s="205"/>
      <c r="M518" s="114">
        <f t="shared" si="43"/>
        <v>3</v>
      </c>
      <c r="N518" s="77">
        <f t="shared" si="42"/>
        <v>1.0000008333333332</v>
      </c>
    </row>
    <row r="519" spans="1:17">
      <c r="A519" s="100"/>
      <c r="B519" s="231"/>
      <c r="C519" s="109">
        <f t="shared" si="44"/>
        <v>44317</v>
      </c>
      <c r="D519" s="108"/>
      <c r="E519" s="107"/>
      <c r="F519" s="105" t="str">
        <f>VLOOKUP(MOD(C519,7),'CALENDAR INFO'!$I$2:$J$8,2)</f>
        <v>SAT</v>
      </c>
      <c r="G519" s="218">
        <v>0.05</v>
      </c>
      <c r="H519" s="430">
        <v>0.01</v>
      </c>
      <c r="I519" s="461">
        <f t="shared" si="45"/>
        <v>-0.04</v>
      </c>
      <c r="J519" s="436" t="s">
        <v>118</v>
      </c>
      <c r="K519" s="15">
        <f>VLOOKUP(MONTH($C519),'CALENDAR INFO'!$I$12:$J$23,2)</f>
        <v>31</v>
      </c>
      <c r="L519" s="179">
        <f>K519</f>
        <v>31</v>
      </c>
      <c r="M519" s="116">
        <f t="shared" si="43"/>
        <v>0</v>
      </c>
      <c r="N519" s="111">
        <f t="shared" si="42"/>
        <v>1</v>
      </c>
    </row>
    <row r="520" spans="1:17">
      <c r="B520" s="41"/>
      <c r="C520" s="103">
        <f t="shared" si="44"/>
        <v>44318</v>
      </c>
      <c r="E520" s="167"/>
      <c r="F520" s="58" t="str">
        <f>VLOOKUP(MOD(C520,7),'CALENDAR INFO'!$I$2:$J$8,2)</f>
        <v>SUN</v>
      </c>
      <c r="G520" s="214">
        <v>0.05</v>
      </c>
      <c r="H520" s="425">
        <v>0.01</v>
      </c>
      <c r="I520" s="457">
        <f t="shared" si="45"/>
        <v>-0.04</v>
      </c>
      <c r="J520" s="152" t="s">
        <v>151</v>
      </c>
      <c r="K520" s="15">
        <f>ROW($C520)-1</f>
        <v>519</v>
      </c>
      <c r="L520" s="179">
        <f>K520</f>
        <v>519</v>
      </c>
      <c r="M520" s="113">
        <f t="shared" si="43"/>
        <v>0</v>
      </c>
      <c r="N520" s="64">
        <f t="shared" si="42"/>
        <v>1</v>
      </c>
    </row>
    <row r="521" spans="1:17">
      <c r="B521" s="41"/>
      <c r="C521" s="103">
        <f t="shared" si="44"/>
        <v>44319</v>
      </c>
      <c r="E521" s="167"/>
      <c r="F521" s="58" t="str">
        <f>VLOOKUP(MOD(C521,7),'CALENDAR INFO'!$I$2:$J$8,2)</f>
        <v>MON</v>
      </c>
      <c r="G521" s="214">
        <v>0.06</v>
      </c>
      <c r="H521" s="425">
        <v>0.01</v>
      </c>
      <c r="I521" s="457">
        <f t="shared" si="45"/>
        <v>-4.9999999999999996E-2</v>
      </c>
      <c r="J521" s="152" t="s">
        <v>152</v>
      </c>
      <c r="K521" s="15">
        <f>K519+K520-1</f>
        <v>549</v>
      </c>
      <c r="L521" s="200">
        <f>K521</f>
        <v>549</v>
      </c>
      <c r="M521" s="113">
        <f t="shared" si="43"/>
        <v>1</v>
      </c>
      <c r="N521" s="64">
        <f t="shared" si="42"/>
        <v>1.0000002777777777</v>
      </c>
    </row>
    <row r="522" spans="1:17">
      <c r="B522" s="41"/>
      <c r="C522" s="103">
        <f t="shared" si="44"/>
        <v>44320</v>
      </c>
      <c r="E522" s="167"/>
      <c r="F522" s="58" t="str">
        <f>VLOOKUP(MOD(C522,7),'CALENDAR INFO'!$I$2:$J$8,2)</f>
        <v>TUE</v>
      </c>
      <c r="G522" s="214">
        <v>0.06</v>
      </c>
      <c r="H522" s="425">
        <v>0.01</v>
      </c>
      <c r="I522" s="457">
        <f t="shared" si="45"/>
        <v>-4.9999999999999996E-2</v>
      </c>
      <c r="J522" s="152"/>
      <c r="K522" s="182"/>
      <c r="L522" s="201"/>
      <c r="M522" s="113">
        <f t="shared" si="43"/>
        <v>1</v>
      </c>
      <c r="N522" s="64">
        <f t="shared" si="42"/>
        <v>1.0000002777777777</v>
      </c>
    </row>
    <row r="523" spans="1:17">
      <c r="B523" s="41"/>
      <c r="C523" s="103">
        <f t="shared" si="44"/>
        <v>44321</v>
      </c>
      <c r="E523" s="167" t="s">
        <v>19</v>
      </c>
      <c r="F523" s="58" t="str">
        <f>VLOOKUP(MOD(C523,7),'CALENDAR INFO'!$I$2:$J$8,2)</f>
        <v>WED</v>
      </c>
      <c r="G523" s="214">
        <v>0.06</v>
      </c>
      <c r="H523" s="425">
        <v>0.01</v>
      </c>
      <c r="I523" s="457">
        <f t="shared" si="45"/>
        <v>-4.9999999999999996E-2</v>
      </c>
      <c r="J523" s="152" t="s">
        <v>153</v>
      </c>
      <c r="K523" s="182" t="str">
        <f>_xlfn.CONCAT("A",TEXT(K520,0),":","A",TEXT(K521,0))</f>
        <v>A519:A549</v>
      </c>
      <c r="L523" s="201" t="str">
        <f>_xlfn.CONCAT("B",TEXT(L520,0),":","B",TEXT(L521,0))</f>
        <v>B519:B549</v>
      </c>
      <c r="M523" s="113">
        <f t="shared" ref="M523:M545" si="46">IF(MOD(C523,7)&lt;2,0,IF(MOD(C523,7)=6,3,1))</f>
        <v>1</v>
      </c>
      <c r="N523" s="64">
        <f t="shared" si="42"/>
        <v>1.0000002777777777</v>
      </c>
    </row>
    <row r="524" spans="1:17">
      <c r="B524" s="41"/>
      <c r="C524" s="103">
        <f t="shared" si="44"/>
        <v>44322</v>
      </c>
      <c r="E524" s="170" t="s">
        <v>18</v>
      </c>
      <c r="F524" s="58" t="str">
        <f>VLOOKUP(MOD(C524,7),'CALENDAR INFO'!$I$2:$J$8,2)</f>
        <v>THU</v>
      </c>
      <c r="G524" s="214">
        <v>0.06</v>
      </c>
      <c r="H524" s="425">
        <v>0.01</v>
      </c>
      <c r="I524" s="457">
        <f t="shared" si="45"/>
        <v>-4.9999999999999996E-2</v>
      </c>
      <c r="J524" s="152" t="s">
        <v>154</v>
      </c>
      <c r="K524" s="182" t="str">
        <f>_xlfn.CONCAT("F",TEXT(K520,0),":","F",TEXT(K521,0))</f>
        <v>F519:F549</v>
      </c>
      <c r="L524" s="201" t="str">
        <f>_xlfn.CONCAT("G",TEXT(L520,0),":","G",TEXT(L521,0))</f>
        <v>G519:G549</v>
      </c>
      <c r="M524" s="113">
        <f t="shared" si="46"/>
        <v>1</v>
      </c>
      <c r="N524" s="64">
        <f t="shared" si="42"/>
        <v>1.0000002777777777</v>
      </c>
    </row>
    <row r="525" spans="1:17">
      <c r="B525" s="41"/>
      <c r="C525" s="103">
        <f t="shared" si="44"/>
        <v>44323</v>
      </c>
      <c r="E525" s="170"/>
      <c r="F525" s="58" t="str">
        <f>VLOOKUP(MOD(C525,7),'CALENDAR INFO'!$I$2:$J$8,2)</f>
        <v>FRI</v>
      </c>
      <c r="G525" s="214">
        <v>0.06</v>
      </c>
      <c r="H525" s="425">
        <v>0.01</v>
      </c>
      <c r="I525" s="457">
        <f t="shared" si="45"/>
        <v>-4.9999999999999996E-2</v>
      </c>
      <c r="J525" s="152"/>
      <c r="K525" s="152"/>
      <c r="L525" s="202"/>
      <c r="M525" s="113">
        <f t="shared" si="46"/>
        <v>3</v>
      </c>
      <c r="N525" s="64">
        <f t="shared" si="42"/>
        <v>1.0000008333333332</v>
      </c>
    </row>
    <row r="526" spans="1:17">
      <c r="B526" s="41"/>
      <c r="C526" s="103">
        <f t="shared" si="44"/>
        <v>44324</v>
      </c>
      <c r="E526" s="170"/>
      <c r="F526" s="58" t="str">
        <f>VLOOKUP(MOD(C526,7),'CALENDAR INFO'!$I$2:$J$8,2)</f>
        <v>SAT</v>
      </c>
      <c r="G526" s="214">
        <v>0.06</v>
      </c>
      <c r="H526" s="425">
        <v>0.01</v>
      </c>
      <c r="I526" s="457">
        <f t="shared" si="45"/>
        <v>-4.9999999999999996E-2</v>
      </c>
      <c r="J526" s="152" t="s">
        <v>155</v>
      </c>
      <c r="K526" s="185">
        <f ca="1">SUM(INDIRECT(K523))</f>
        <v>0</v>
      </c>
      <c r="L526" s="179">
        <f ca="1">SUM(INDIRECT(L523))</f>
        <v>0</v>
      </c>
      <c r="M526" s="113">
        <f t="shared" si="46"/>
        <v>0</v>
      </c>
      <c r="N526" s="64">
        <f t="shared" si="42"/>
        <v>1</v>
      </c>
    </row>
    <row r="527" spans="1:17">
      <c r="B527" s="41"/>
      <c r="C527" s="103">
        <f t="shared" si="44"/>
        <v>44325</v>
      </c>
      <c r="E527" s="170"/>
      <c r="F527" s="58" t="str">
        <f>VLOOKUP(MOD(C527,7),'CALENDAR INFO'!$I$2:$J$8,2)</f>
        <v>SUN</v>
      </c>
      <c r="G527" s="214">
        <v>0.06</v>
      </c>
      <c r="H527" s="425">
        <v>0.01</v>
      </c>
      <c r="I527" s="457">
        <f t="shared" si="45"/>
        <v>-4.9999999999999996E-2</v>
      </c>
      <c r="J527" s="152" t="s">
        <v>156</v>
      </c>
      <c r="K527" s="207">
        <f ca="1">SUM(INDIRECT(K524))</f>
        <v>0</v>
      </c>
      <c r="L527" s="208">
        <f ca="1">SUM(INDIRECT(L524))</f>
        <v>1.8000000000000012</v>
      </c>
      <c r="M527" s="113">
        <f t="shared" si="46"/>
        <v>0</v>
      </c>
      <c r="N527" s="64">
        <f t="shared" si="42"/>
        <v>1</v>
      </c>
    </row>
    <row r="528" spans="1:17">
      <c r="B528" s="41"/>
      <c r="C528" s="103">
        <f t="shared" si="44"/>
        <v>44326</v>
      </c>
      <c r="E528" s="170"/>
      <c r="F528" s="58" t="str">
        <f>VLOOKUP(MOD(C528,7),'CALENDAR INFO'!$I$2:$J$8,2)</f>
        <v>MON</v>
      </c>
      <c r="G528" s="214">
        <v>0.06</v>
      </c>
      <c r="H528" s="425">
        <v>0.01</v>
      </c>
      <c r="I528" s="457">
        <f t="shared" si="45"/>
        <v>-4.9999999999999996E-2</v>
      </c>
      <c r="J528" s="152" t="s">
        <v>157</v>
      </c>
      <c r="K528" s="178">
        <f ca="1">K526+K527</f>
        <v>0</v>
      </c>
      <c r="L528" s="192">
        <f ca="1">L526+L527</f>
        <v>1.8000000000000012</v>
      </c>
      <c r="M528" s="113">
        <f t="shared" si="46"/>
        <v>1</v>
      </c>
      <c r="N528" s="64">
        <f t="shared" si="42"/>
        <v>1.0000002777777777</v>
      </c>
    </row>
    <row r="529" spans="2:14">
      <c r="B529" s="41"/>
      <c r="C529" s="103">
        <f t="shared" si="44"/>
        <v>44327</v>
      </c>
      <c r="E529" s="170"/>
      <c r="F529" s="58" t="str">
        <f>VLOOKUP(MOD(C529,7),'CALENDAR INFO'!$I$2:$J$8,2)</f>
        <v>TUE</v>
      </c>
      <c r="G529" s="214">
        <v>0.06</v>
      </c>
      <c r="H529" s="425">
        <v>0.01</v>
      </c>
      <c r="I529" s="457">
        <f t="shared" si="45"/>
        <v>-4.9999999999999996E-2</v>
      </c>
      <c r="J529" s="152"/>
      <c r="K529" s="178"/>
      <c r="L529" s="192"/>
      <c r="M529" s="113">
        <f t="shared" si="46"/>
        <v>1</v>
      </c>
      <c r="N529" s="64">
        <f t="shared" si="42"/>
        <v>1.0000002777777777</v>
      </c>
    </row>
    <row r="530" spans="2:14">
      <c r="B530" s="41"/>
      <c r="C530" s="103">
        <f t="shared" si="44"/>
        <v>44328</v>
      </c>
      <c r="E530" s="170"/>
      <c r="F530" s="58" t="str">
        <f>VLOOKUP(MOD(C530,7),'CALENDAR INFO'!$I$2:$J$8,2)</f>
        <v>WED</v>
      </c>
      <c r="G530" s="214">
        <v>0.06</v>
      </c>
      <c r="H530" s="425">
        <v>0.01</v>
      </c>
      <c r="I530" s="457">
        <f t="shared" si="45"/>
        <v>-4.9999999999999996E-2</v>
      </c>
      <c r="J530" s="152" t="s">
        <v>158</v>
      </c>
      <c r="K530" s="178">
        <f ca="1">K528/K519</f>
        <v>0</v>
      </c>
      <c r="L530" s="192">
        <f ca="1">L528/L519</f>
        <v>5.8064516129032295E-2</v>
      </c>
      <c r="M530" s="113">
        <f t="shared" si="46"/>
        <v>1</v>
      </c>
      <c r="N530" s="64">
        <f t="shared" si="42"/>
        <v>1.0000002777777777</v>
      </c>
    </row>
    <row r="531" spans="2:14">
      <c r="B531" s="41"/>
      <c r="C531" s="103">
        <f t="shared" si="44"/>
        <v>44329</v>
      </c>
      <c r="E531" s="170"/>
      <c r="F531" s="58" t="str">
        <f>VLOOKUP(MOD(C531,7),'CALENDAR INFO'!$I$2:$J$8,2)</f>
        <v>THU</v>
      </c>
      <c r="G531" s="214">
        <v>0.06</v>
      </c>
      <c r="H531" s="425">
        <v>0.01</v>
      </c>
      <c r="I531" s="457">
        <f t="shared" si="45"/>
        <v>-4.9999999999999996E-2</v>
      </c>
      <c r="J531" s="152" t="s">
        <v>159</v>
      </c>
      <c r="K531" s="180">
        <f ca="1">100-K530</f>
        <v>100</v>
      </c>
      <c r="L531" s="193">
        <f ca="1">100-L530</f>
        <v>99.941935483870964</v>
      </c>
      <c r="M531" s="113">
        <f t="shared" si="46"/>
        <v>1</v>
      </c>
      <c r="N531" s="64">
        <f t="shared" ref="N531:N594" si="47">1+(M531/360)*(MAX(H531,B531)/100)</f>
        <v>1.0000002777777777</v>
      </c>
    </row>
    <row r="532" spans="2:14">
      <c r="B532" s="41"/>
      <c r="C532" s="103">
        <f t="shared" si="44"/>
        <v>44330</v>
      </c>
      <c r="E532" s="170"/>
      <c r="F532" s="58" t="str">
        <f>VLOOKUP(MOD(C532,7),'CALENDAR INFO'!$I$2:$J$8,2)</f>
        <v>FRI</v>
      </c>
      <c r="G532" s="214">
        <v>0.06</v>
      </c>
      <c r="H532" s="425">
        <v>0.01</v>
      </c>
      <c r="I532" s="457">
        <f t="shared" si="45"/>
        <v>-4.9999999999999996E-2</v>
      </c>
      <c r="J532" s="152"/>
      <c r="K532" s="178"/>
      <c r="L532" s="192"/>
      <c r="M532" s="113">
        <f t="shared" si="46"/>
        <v>3</v>
      </c>
      <c r="N532" s="64">
        <f t="shared" si="47"/>
        <v>1.0000008333333332</v>
      </c>
    </row>
    <row r="533" spans="2:14">
      <c r="B533" s="41"/>
      <c r="C533" s="103">
        <f t="shared" si="44"/>
        <v>44331</v>
      </c>
      <c r="E533" s="170"/>
      <c r="F533" s="58" t="str">
        <f>VLOOKUP(MOD(C533,7),'CALENDAR INFO'!$I$2:$J$8,2)</f>
        <v>SAT</v>
      </c>
      <c r="G533" s="214">
        <v>0.06</v>
      </c>
      <c r="H533" s="425">
        <v>0.01</v>
      </c>
      <c r="I533" s="457">
        <f t="shared" si="45"/>
        <v>-4.9999999999999996E-2</v>
      </c>
      <c r="J533" s="152"/>
      <c r="K533" s="186"/>
      <c r="L533" s="194"/>
      <c r="M533" s="113">
        <f t="shared" si="46"/>
        <v>0</v>
      </c>
      <c r="N533" s="64">
        <f t="shared" si="47"/>
        <v>1</v>
      </c>
    </row>
    <row r="534" spans="2:14">
      <c r="B534" s="41"/>
      <c r="C534" s="103">
        <f t="shared" si="44"/>
        <v>44332</v>
      </c>
      <c r="E534" s="170"/>
      <c r="F534" s="58" t="str">
        <f>VLOOKUP(MOD(C534,7),'CALENDAR INFO'!$I$2:$J$8,2)</f>
        <v>SUN</v>
      </c>
      <c r="G534" s="214">
        <v>0.06</v>
      </c>
      <c r="H534" s="425">
        <v>0.01</v>
      </c>
      <c r="I534" s="457">
        <f t="shared" si="45"/>
        <v>-4.9999999999999996E-2</v>
      </c>
      <c r="J534" s="152"/>
      <c r="K534" s="152"/>
      <c r="L534" s="202"/>
      <c r="M534" s="113">
        <f t="shared" si="46"/>
        <v>0</v>
      </c>
      <c r="N534" s="64">
        <f t="shared" si="47"/>
        <v>1</v>
      </c>
    </row>
    <row r="535" spans="2:14">
      <c r="B535" s="41"/>
      <c r="C535" s="103">
        <f t="shared" si="44"/>
        <v>44333</v>
      </c>
      <c r="E535" s="170"/>
      <c r="F535" s="58" t="str">
        <f>VLOOKUP(MOD(C535,7),'CALENDAR INFO'!$I$2:$J$8,2)</f>
        <v>MON</v>
      </c>
      <c r="G535" s="214">
        <v>0.06</v>
      </c>
      <c r="H535" s="425">
        <v>0.01</v>
      </c>
      <c r="I535" s="457">
        <f t="shared" si="45"/>
        <v>-4.9999999999999996E-2</v>
      </c>
      <c r="J535" s="152"/>
      <c r="K535" s="152"/>
      <c r="L535" s="202"/>
      <c r="M535" s="113">
        <f t="shared" si="46"/>
        <v>1</v>
      </c>
      <c r="N535" s="64">
        <f t="shared" si="47"/>
        <v>1.0000002777777777</v>
      </c>
    </row>
    <row r="536" spans="2:14">
      <c r="B536" s="41"/>
      <c r="C536" s="103">
        <f t="shared" si="44"/>
        <v>44334</v>
      </c>
      <c r="E536" s="170"/>
      <c r="F536" s="58" t="str">
        <f>VLOOKUP(MOD(C536,7),'CALENDAR INFO'!$I$2:$J$8,2)</f>
        <v>TUE</v>
      </c>
      <c r="G536" s="214">
        <v>0.06</v>
      </c>
      <c r="H536" s="425">
        <v>0.01</v>
      </c>
      <c r="I536" s="457">
        <f t="shared" si="45"/>
        <v>-4.9999999999999996E-2</v>
      </c>
      <c r="J536" s="152"/>
      <c r="K536" s="152"/>
      <c r="L536" s="202"/>
      <c r="M536" s="113">
        <f t="shared" si="46"/>
        <v>1</v>
      </c>
      <c r="N536" s="64">
        <f t="shared" si="47"/>
        <v>1.0000002777777777</v>
      </c>
    </row>
    <row r="537" spans="2:14">
      <c r="B537" s="41"/>
      <c r="C537" s="103">
        <f t="shared" si="44"/>
        <v>44335</v>
      </c>
      <c r="E537" s="170" t="s">
        <v>19</v>
      </c>
      <c r="F537" s="58" t="str">
        <f>VLOOKUP(MOD(C537,7),'CALENDAR INFO'!$I$2:$J$8,2)</f>
        <v>WED</v>
      </c>
      <c r="G537" s="214">
        <v>0.06</v>
      </c>
      <c r="H537" s="425">
        <v>0.01</v>
      </c>
      <c r="I537" s="457">
        <f t="shared" si="45"/>
        <v>-4.9999999999999996E-2</v>
      </c>
      <c r="J537" s="152"/>
      <c r="K537" s="152"/>
      <c r="L537" s="202"/>
      <c r="M537" s="113">
        <f t="shared" si="46"/>
        <v>1</v>
      </c>
      <c r="N537" s="64">
        <f t="shared" si="47"/>
        <v>1.0000002777777777</v>
      </c>
    </row>
    <row r="538" spans="2:14">
      <c r="B538" s="41"/>
      <c r="C538" s="103">
        <f t="shared" si="44"/>
        <v>44336</v>
      </c>
      <c r="E538" s="167" t="s">
        <v>18</v>
      </c>
      <c r="F538" s="58" t="str">
        <f>VLOOKUP(MOD(C538,7),'CALENDAR INFO'!$I$2:$J$8,2)</f>
        <v>THU</v>
      </c>
      <c r="G538" s="214">
        <v>0.06</v>
      </c>
      <c r="H538" s="425">
        <v>0.01</v>
      </c>
      <c r="I538" s="457">
        <f t="shared" si="45"/>
        <v>-4.9999999999999996E-2</v>
      </c>
      <c r="J538" s="152"/>
      <c r="K538" s="152"/>
      <c r="L538" s="202"/>
      <c r="M538" s="113">
        <f t="shared" si="46"/>
        <v>1</v>
      </c>
      <c r="N538" s="64">
        <f t="shared" si="47"/>
        <v>1.0000002777777777</v>
      </c>
    </row>
    <row r="539" spans="2:14">
      <c r="B539" s="41"/>
      <c r="C539" s="103">
        <f t="shared" si="44"/>
        <v>44337</v>
      </c>
      <c r="E539" s="167"/>
      <c r="F539" s="58" t="str">
        <f>VLOOKUP(MOD(C539,7),'CALENDAR INFO'!$I$2:$J$8,2)</f>
        <v>FRI</v>
      </c>
      <c r="G539" s="214">
        <v>0.06</v>
      </c>
      <c r="H539" s="425">
        <v>0.01</v>
      </c>
      <c r="I539" s="457">
        <f t="shared" si="45"/>
        <v>-4.9999999999999996E-2</v>
      </c>
      <c r="J539" s="152"/>
      <c r="K539" s="152"/>
      <c r="L539" s="202"/>
      <c r="M539" s="113">
        <f t="shared" si="46"/>
        <v>3</v>
      </c>
      <c r="N539" s="64">
        <f t="shared" si="47"/>
        <v>1.0000008333333332</v>
      </c>
    </row>
    <row r="540" spans="2:14">
      <c r="B540" s="41"/>
      <c r="C540" s="103">
        <f t="shared" si="44"/>
        <v>44338</v>
      </c>
      <c r="E540" s="167"/>
      <c r="F540" s="58" t="str">
        <f>VLOOKUP(MOD(C540,7),'CALENDAR INFO'!$I$2:$J$8,2)</f>
        <v>SAT</v>
      </c>
      <c r="G540" s="214">
        <v>0.06</v>
      </c>
      <c r="H540" s="425">
        <v>0.01</v>
      </c>
      <c r="I540" s="457">
        <f t="shared" si="45"/>
        <v>-4.9999999999999996E-2</v>
      </c>
      <c r="J540" s="152"/>
      <c r="K540" s="152"/>
      <c r="L540" s="202"/>
      <c r="M540" s="113">
        <f t="shared" si="46"/>
        <v>0</v>
      </c>
      <c r="N540" s="64">
        <f t="shared" si="47"/>
        <v>1</v>
      </c>
    </row>
    <row r="541" spans="2:14">
      <c r="B541" s="41"/>
      <c r="C541" s="103">
        <f t="shared" si="44"/>
        <v>44339</v>
      </c>
      <c r="E541" s="167"/>
      <c r="F541" s="58" t="str">
        <f>VLOOKUP(MOD(C541,7),'CALENDAR INFO'!$I$2:$J$8,2)</f>
        <v>SUN</v>
      </c>
      <c r="G541" s="214">
        <v>0.06</v>
      </c>
      <c r="H541" s="425">
        <v>0.01</v>
      </c>
      <c r="I541" s="457">
        <f t="shared" si="45"/>
        <v>-4.9999999999999996E-2</v>
      </c>
      <c r="J541" s="152"/>
      <c r="K541" s="152"/>
      <c r="L541" s="202"/>
      <c r="M541" s="113">
        <f t="shared" si="46"/>
        <v>0</v>
      </c>
      <c r="N541" s="64">
        <f t="shared" si="47"/>
        <v>1</v>
      </c>
    </row>
    <row r="542" spans="2:14">
      <c r="B542" s="41"/>
      <c r="C542" s="103">
        <f t="shared" si="44"/>
        <v>44340</v>
      </c>
      <c r="E542" s="167"/>
      <c r="F542" s="58" t="str">
        <f>VLOOKUP(MOD(C542,7),'CALENDAR INFO'!$I$2:$J$8,2)</f>
        <v>MON</v>
      </c>
      <c r="G542" s="214">
        <v>0.06</v>
      </c>
      <c r="H542" s="425">
        <v>0.01</v>
      </c>
      <c r="I542" s="457">
        <f t="shared" si="45"/>
        <v>-4.9999999999999996E-2</v>
      </c>
      <c r="J542" s="152"/>
      <c r="K542" s="152"/>
      <c r="L542" s="202"/>
      <c r="M542" s="113">
        <f t="shared" si="46"/>
        <v>1</v>
      </c>
      <c r="N542" s="64">
        <f t="shared" si="47"/>
        <v>1.0000002777777777</v>
      </c>
    </row>
    <row r="543" spans="2:14">
      <c r="B543" s="41"/>
      <c r="C543" s="103">
        <f t="shared" si="44"/>
        <v>44341</v>
      </c>
      <c r="E543" s="167"/>
      <c r="F543" s="58" t="str">
        <f>VLOOKUP(MOD(C543,7),'CALENDAR INFO'!$I$2:$J$8,2)</f>
        <v>TUE</v>
      </c>
      <c r="G543" s="214">
        <v>0.06</v>
      </c>
      <c r="H543" s="425">
        <v>0.01</v>
      </c>
      <c r="I543" s="457">
        <f t="shared" si="45"/>
        <v>-4.9999999999999996E-2</v>
      </c>
      <c r="J543" s="152"/>
      <c r="K543" s="152"/>
      <c r="L543" s="202"/>
      <c r="M543" s="113">
        <f t="shared" si="46"/>
        <v>1</v>
      </c>
      <c r="N543" s="64">
        <f t="shared" si="47"/>
        <v>1.0000002777777777</v>
      </c>
    </row>
    <row r="544" spans="2:14">
      <c r="B544" s="41"/>
      <c r="C544" s="103">
        <f t="shared" si="44"/>
        <v>44342</v>
      </c>
      <c r="E544" s="167"/>
      <c r="F544" s="58" t="str">
        <f>VLOOKUP(MOD(C544,7),'CALENDAR INFO'!$I$2:$J$8,2)</f>
        <v>WED</v>
      </c>
      <c r="G544" s="214">
        <v>0.06</v>
      </c>
      <c r="H544" s="425">
        <v>0.01</v>
      </c>
      <c r="I544" s="457">
        <f t="shared" si="45"/>
        <v>-4.9999999999999996E-2</v>
      </c>
      <c r="J544" s="152"/>
      <c r="K544" s="182"/>
      <c r="L544" s="201"/>
      <c r="M544" s="113">
        <f t="shared" si="46"/>
        <v>1</v>
      </c>
      <c r="N544" s="64">
        <f t="shared" si="47"/>
        <v>1.0000002777777777</v>
      </c>
    </row>
    <row r="545" spans="1:16">
      <c r="B545" s="41"/>
      <c r="C545" s="103">
        <f t="shared" si="44"/>
        <v>44343</v>
      </c>
      <c r="E545" s="167"/>
      <c r="F545" s="58" t="str">
        <f>VLOOKUP(MOD(C545,7),'CALENDAR INFO'!$I$2:$J$8,2)</f>
        <v>THU</v>
      </c>
      <c r="G545" s="214">
        <v>0.06</v>
      </c>
      <c r="H545" s="425">
        <v>0.01</v>
      </c>
      <c r="I545" s="457">
        <f t="shared" si="45"/>
        <v>-4.9999999999999996E-2</v>
      </c>
      <c r="J545" s="152"/>
      <c r="K545" s="152"/>
      <c r="L545" s="202"/>
      <c r="M545" s="113">
        <f t="shared" si="46"/>
        <v>1</v>
      </c>
      <c r="N545" s="64">
        <f t="shared" si="47"/>
        <v>1.0000002777777777</v>
      </c>
      <c r="O545" s="89" t="s">
        <v>93</v>
      </c>
      <c r="P545" s="90"/>
    </row>
    <row r="546" spans="1:16">
      <c r="B546" s="41"/>
      <c r="C546" s="103">
        <f t="shared" si="44"/>
        <v>44344</v>
      </c>
      <c r="E546" s="167"/>
      <c r="F546" s="58" t="str">
        <f>VLOOKUP(MOD(C546,7),'CALENDAR INFO'!$I$2:$J$8,2)</f>
        <v>FRI</v>
      </c>
      <c r="G546" s="214">
        <v>0.05</v>
      </c>
      <c r="H546" s="425">
        <v>0.01</v>
      </c>
      <c r="I546" s="457">
        <f t="shared" si="45"/>
        <v>-0.04</v>
      </c>
      <c r="J546" s="152"/>
      <c r="K546" s="182"/>
      <c r="L546" s="201"/>
      <c r="M546" s="117">
        <v>4</v>
      </c>
      <c r="N546" s="64">
        <f t="shared" si="47"/>
        <v>1.0000011111111111</v>
      </c>
      <c r="O546" s="89" t="s">
        <v>26</v>
      </c>
      <c r="P546" s="135"/>
    </row>
    <row r="547" spans="1:16">
      <c r="B547" s="41"/>
      <c r="C547" s="103">
        <f t="shared" si="44"/>
        <v>44345</v>
      </c>
      <c r="E547" s="167"/>
      <c r="F547" s="58" t="str">
        <f>VLOOKUP(MOD(C547,7),'CALENDAR INFO'!$I$2:$J$8,2)</f>
        <v>SAT</v>
      </c>
      <c r="G547" s="214">
        <v>0.05</v>
      </c>
      <c r="H547" s="425">
        <v>0.01</v>
      </c>
      <c r="I547" s="457">
        <f t="shared" si="45"/>
        <v>-0.04</v>
      </c>
      <c r="J547" s="152"/>
      <c r="K547" s="190"/>
      <c r="L547" s="203"/>
      <c r="M547" s="113">
        <f>IF(MOD(C547,7)&lt;2,0,IF(MOD(C547,7)=6,3,1))</f>
        <v>0</v>
      </c>
      <c r="N547" s="64">
        <f t="shared" si="47"/>
        <v>1</v>
      </c>
      <c r="O547" s="89" t="s">
        <v>76</v>
      </c>
      <c r="P547" s="135"/>
    </row>
    <row r="548" spans="1:16">
      <c r="B548" s="41"/>
      <c r="C548" s="103">
        <f t="shared" si="44"/>
        <v>44346</v>
      </c>
      <c r="E548" s="167"/>
      <c r="F548" s="58" t="str">
        <f>VLOOKUP(MOD(C548,7),'CALENDAR INFO'!$I$2:$J$8,2)</f>
        <v>SUN</v>
      </c>
      <c r="G548" s="214">
        <v>0.05</v>
      </c>
      <c r="H548" s="425">
        <v>0.01</v>
      </c>
      <c r="I548" s="457">
        <f t="shared" si="45"/>
        <v>-0.04</v>
      </c>
      <c r="J548" s="152"/>
      <c r="K548" s="182"/>
      <c r="L548" s="201"/>
      <c r="M548" s="113">
        <f>IF(MOD(C548,7)&lt;2,0,IF(MOD(C548,7)=6,3,1))</f>
        <v>0</v>
      </c>
      <c r="N548" s="64">
        <f t="shared" si="47"/>
        <v>1</v>
      </c>
    </row>
    <row r="549" spans="1:16" ht="15.75" thickBot="1">
      <c r="A549" s="98"/>
      <c r="B549" s="230"/>
      <c r="C549" s="104">
        <f t="shared" si="44"/>
        <v>44347</v>
      </c>
      <c r="D549" s="112" t="s">
        <v>113</v>
      </c>
      <c r="E549" s="92"/>
      <c r="F549" s="71" t="str">
        <f>VLOOKUP(MOD(C549,7),'CALENDAR INFO'!$I$2:$J$8,2)</f>
        <v>MON</v>
      </c>
      <c r="G549" s="215">
        <v>0.05</v>
      </c>
      <c r="H549" s="426">
        <v>0.01</v>
      </c>
      <c r="I549" s="458">
        <f t="shared" si="45"/>
        <v>-0.04</v>
      </c>
      <c r="J549" s="437"/>
      <c r="K549" s="184"/>
      <c r="L549" s="205"/>
      <c r="M549" s="281">
        <v>0</v>
      </c>
      <c r="N549" s="77">
        <f t="shared" si="47"/>
        <v>1</v>
      </c>
    </row>
    <row r="550" spans="1:16">
      <c r="A550" s="100"/>
      <c r="B550" s="231"/>
      <c r="C550" s="109">
        <f t="shared" si="44"/>
        <v>44348</v>
      </c>
      <c r="D550" s="108"/>
      <c r="E550" s="107"/>
      <c r="F550" s="105" t="str">
        <f>VLOOKUP(MOD(C550,7),'CALENDAR INFO'!$I$2:$J$8,2)</f>
        <v>TUE</v>
      </c>
      <c r="G550" s="218">
        <v>0.06</v>
      </c>
      <c r="H550" s="430">
        <v>0.01</v>
      </c>
      <c r="I550" s="461">
        <f t="shared" si="45"/>
        <v>-4.9999999999999996E-2</v>
      </c>
      <c r="J550" s="436" t="s">
        <v>118</v>
      </c>
      <c r="K550" s="15">
        <f>VLOOKUP(MONTH($C550),'CALENDAR INFO'!$I$12:$J$23,2)</f>
        <v>30</v>
      </c>
      <c r="L550" s="179">
        <f>K550</f>
        <v>30</v>
      </c>
      <c r="M550" s="116">
        <f t="shared" ref="M550:M580" si="48">IF(MOD(C550,7)&lt;2,0,IF(MOD(C550,7)=6,3,1))</f>
        <v>1</v>
      </c>
      <c r="N550" s="111">
        <f t="shared" si="47"/>
        <v>1.0000002777777777</v>
      </c>
    </row>
    <row r="551" spans="1:16">
      <c r="B551" s="41"/>
      <c r="C551" s="103">
        <f t="shared" si="44"/>
        <v>44349</v>
      </c>
      <c r="E551" s="167" t="s">
        <v>19</v>
      </c>
      <c r="F551" s="58" t="str">
        <f>VLOOKUP(MOD(C551,7),'CALENDAR INFO'!$I$2:$J$8,2)</f>
        <v>WED</v>
      </c>
      <c r="G551" s="214">
        <v>0.06</v>
      </c>
      <c r="H551" s="425">
        <v>0.01</v>
      </c>
      <c r="I551" s="457">
        <f t="shared" si="45"/>
        <v>-4.9999999999999996E-2</v>
      </c>
      <c r="J551" s="152" t="s">
        <v>151</v>
      </c>
      <c r="K551" s="15">
        <f>ROW($C551)-1</f>
        <v>550</v>
      </c>
      <c r="L551" s="179">
        <f>K551</f>
        <v>550</v>
      </c>
      <c r="M551" s="113">
        <f t="shared" si="48"/>
        <v>1</v>
      </c>
      <c r="N551" s="64">
        <f t="shared" si="47"/>
        <v>1.0000002777777777</v>
      </c>
    </row>
    <row r="552" spans="1:16">
      <c r="B552" s="41"/>
      <c r="C552" s="103">
        <f t="shared" si="44"/>
        <v>44350</v>
      </c>
      <c r="E552" s="170" t="s">
        <v>18</v>
      </c>
      <c r="F552" s="58" t="str">
        <f>VLOOKUP(MOD(C552,7),'CALENDAR INFO'!$I$2:$J$8,2)</f>
        <v>THU</v>
      </c>
      <c r="G552" s="214">
        <v>0.06</v>
      </c>
      <c r="H552" s="425">
        <v>0.01</v>
      </c>
      <c r="I552" s="457">
        <f t="shared" si="45"/>
        <v>-4.9999999999999996E-2</v>
      </c>
      <c r="J552" s="152" t="s">
        <v>152</v>
      </c>
      <c r="K552" s="15">
        <f>K550+K551-1</f>
        <v>579</v>
      </c>
      <c r="L552" s="200">
        <f>K552</f>
        <v>579</v>
      </c>
      <c r="M552" s="113">
        <f t="shared" si="48"/>
        <v>1</v>
      </c>
      <c r="N552" s="64">
        <f t="shared" si="47"/>
        <v>1.0000002777777777</v>
      </c>
    </row>
    <row r="553" spans="1:16">
      <c r="B553" s="41"/>
      <c r="C553" s="103">
        <f t="shared" si="44"/>
        <v>44351</v>
      </c>
      <c r="E553" s="170"/>
      <c r="F553" s="58" t="str">
        <f>VLOOKUP(MOD(C553,7),'CALENDAR INFO'!$I$2:$J$8,2)</f>
        <v>FRI</v>
      </c>
      <c r="G553" s="214">
        <v>0.06</v>
      </c>
      <c r="H553" s="425">
        <v>0.01</v>
      </c>
      <c r="I553" s="457">
        <f t="shared" si="45"/>
        <v>-4.9999999999999996E-2</v>
      </c>
      <c r="J553" s="152"/>
      <c r="K553" s="182"/>
      <c r="L553" s="201"/>
      <c r="M553" s="113">
        <f t="shared" si="48"/>
        <v>3</v>
      </c>
      <c r="N553" s="64">
        <f t="shared" si="47"/>
        <v>1.0000008333333332</v>
      </c>
    </row>
    <row r="554" spans="1:16">
      <c r="B554" s="41"/>
      <c r="C554" s="103">
        <f t="shared" si="44"/>
        <v>44352</v>
      </c>
      <c r="E554" s="170"/>
      <c r="F554" s="58" t="str">
        <f>VLOOKUP(MOD(C554,7),'CALENDAR INFO'!$I$2:$J$8,2)</f>
        <v>SAT</v>
      </c>
      <c r="G554" s="214">
        <v>0.06</v>
      </c>
      <c r="H554" s="425">
        <v>0.01</v>
      </c>
      <c r="I554" s="457">
        <f t="shared" si="45"/>
        <v>-4.9999999999999996E-2</v>
      </c>
      <c r="J554" s="152" t="s">
        <v>153</v>
      </c>
      <c r="K554" s="182" t="str">
        <f>_xlfn.CONCAT("A",TEXT(K551,0),":","A",TEXT(K552,0))</f>
        <v>A550:A579</v>
      </c>
      <c r="L554" s="201" t="str">
        <f>_xlfn.CONCAT("B",TEXT(L551,0),":","B",TEXT(L552,0))</f>
        <v>B550:B579</v>
      </c>
      <c r="M554" s="113">
        <f t="shared" si="48"/>
        <v>0</v>
      </c>
      <c r="N554" s="64">
        <f t="shared" si="47"/>
        <v>1</v>
      </c>
    </row>
    <row r="555" spans="1:16">
      <c r="B555" s="41"/>
      <c r="C555" s="103">
        <f t="shared" si="44"/>
        <v>44353</v>
      </c>
      <c r="E555" s="170"/>
      <c r="F555" s="58" t="str">
        <f>VLOOKUP(MOD(C555,7),'CALENDAR INFO'!$I$2:$J$8,2)</f>
        <v>SUN</v>
      </c>
      <c r="G555" s="214">
        <v>0.06</v>
      </c>
      <c r="H555" s="425">
        <v>0.01</v>
      </c>
      <c r="I555" s="457">
        <f t="shared" si="45"/>
        <v>-4.9999999999999996E-2</v>
      </c>
      <c r="J555" s="152" t="s">
        <v>154</v>
      </c>
      <c r="K555" s="182" t="str">
        <f>_xlfn.CONCAT("F",TEXT(K551,0),":","F",TEXT(K552,0))</f>
        <v>F550:F579</v>
      </c>
      <c r="L555" s="201" t="str">
        <f>_xlfn.CONCAT("G",TEXT(L551,0),":","G",TEXT(L552,0))</f>
        <v>G550:G579</v>
      </c>
      <c r="M555" s="113">
        <f t="shared" si="48"/>
        <v>0</v>
      </c>
      <c r="N555" s="64">
        <f t="shared" si="47"/>
        <v>1</v>
      </c>
    </row>
    <row r="556" spans="1:16">
      <c r="B556" s="41"/>
      <c r="C556" s="103">
        <f t="shared" si="44"/>
        <v>44354</v>
      </c>
      <c r="E556" s="170"/>
      <c r="F556" s="58" t="str">
        <f>VLOOKUP(MOD(C556,7),'CALENDAR INFO'!$I$2:$J$8,2)</f>
        <v>MON</v>
      </c>
      <c r="G556" s="214">
        <v>0.06</v>
      </c>
      <c r="H556" s="425">
        <v>0.01</v>
      </c>
      <c r="I556" s="457">
        <f t="shared" si="45"/>
        <v>-4.9999999999999996E-2</v>
      </c>
      <c r="J556" s="152"/>
      <c r="K556" s="152"/>
      <c r="L556" s="202"/>
      <c r="M556" s="113">
        <f t="shared" si="48"/>
        <v>1</v>
      </c>
      <c r="N556" s="64">
        <f t="shared" si="47"/>
        <v>1.0000002777777777</v>
      </c>
    </row>
    <row r="557" spans="1:16">
      <c r="B557" s="41"/>
      <c r="C557" s="103">
        <f t="shared" si="44"/>
        <v>44355</v>
      </c>
      <c r="E557" s="170"/>
      <c r="F557" s="58" t="str">
        <f>VLOOKUP(MOD(C557,7),'CALENDAR INFO'!$I$2:$J$8,2)</f>
        <v>TUE</v>
      </c>
      <c r="G557" s="214">
        <v>0.06</v>
      </c>
      <c r="H557" s="425">
        <v>0.01</v>
      </c>
      <c r="I557" s="457">
        <f t="shared" si="45"/>
        <v>-4.9999999999999996E-2</v>
      </c>
      <c r="J557" s="152" t="s">
        <v>155</v>
      </c>
      <c r="K557" s="185">
        <f ca="1">SUM(INDIRECT(K554))</f>
        <v>0</v>
      </c>
      <c r="L557" s="179">
        <f ca="1">SUM(INDIRECT(L554))</f>
        <v>0</v>
      </c>
      <c r="M557" s="113">
        <f t="shared" si="48"/>
        <v>1</v>
      </c>
      <c r="N557" s="64">
        <f t="shared" si="47"/>
        <v>1.0000002777777777</v>
      </c>
    </row>
    <row r="558" spans="1:16">
      <c r="B558" s="41"/>
      <c r="C558" s="103">
        <f t="shared" si="44"/>
        <v>44356</v>
      </c>
      <c r="E558" s="170"/>
      <c r="F558" s="58" t="str">
        <f>VLOOKUP(MOD(C558,7),'CALENDAR INFO'!$I$2:$J$8,2)</f>
        <v>WED</v>
      </c>
      <c r="G558" s="214">
        <v>0.06</v>
      </c>
      <c r="H558" s="425">
        <v>0.01</v>
      </c>
      <c r="I558" s="457">
        <f t="shared" si="45"/>
        <v>-4.9999999999999996E-2</v>
      </c>
      <c r="J558" s="152" t="s">
        <v>156</v>
      </c>
      <c r="K558" s="207">
        <f ca="1">SUM(INDIRECT(K555))</f>
        <v>0</v>
      </c>
      <c r="L558" s="208">
        <f ca="1">SUM(INDIRECT(L555))</f>
        <v>2.3400000000000016</v>
      </c>
      <c r="M558" s="113">
        <f t="shared" si="48"/>
        <v>1</v>
      </c>
      <c r="N558" s="64">
        <f t="shared" si="47"/>
        <v>1.0000002777777777</v>
      </c>
    </row>
    <row r="559" spans="1:16">
      <c r="B559" s="41"/>
      <c r="C559" s="103">
        <f t="shared" si="44"/>
        <v>44357</v>
      </c>
      <c r="E559" s="170"/>
      <c r="F559" s="58" t="str">
        <f>VLOOKUP(MOD(C559,7),'CALENDAR INFO'!$I$2:$J$8,2)</f>
        <v>THU</v>
      </c>
      <c r="G559" s="214">
        <v>0.06</v>
      </c>
      <c r="H559" s="425">
        <v>0.01</v>
      </c>
      <c r="I559" s="457">
        <f t="shared" si="45"/>
        <v>-4.9999999999999996E-2</v>
      </c>
      <c r="J559" s="152" t="s">
        <v>157</v>
      </c>
      <c r="K559" s="178">
        <f ca="1">K557+K558</f>
        <v>0</v>
      </c>
      <c r="L559" s="192">
        <f ca="1">L557+L558</f>
        <v>2.3400000000000016</v>
      </c>
      <c r="M559" s="113">
        <f t="shared" si="48"/>
        <v>1</v>
      </c>
      <c r="N559" s="64">
        <f t="shared" si="47"/>
        <v>1.0000002777777777</v>
      </c>
    </row>
    <row r="560" spans="1:16">
      <c r="B560" s="41"/>
      <c r="C560" s="103">
        <f t="shared" si="44"/>
        <v>44358</v>
      </c>
      <c r="E560" s="170"/>
      <c r="F560" s="58" t="str">
        <f>VLOOKUP(MOD(C560,7),'CALENDAR INFO'!$I$2:$J$8,2)</f>
        <v>FRI</v>
      </c>
      <c r="G560" s="214">
        <v>0.06</v>
      </c>
      <c r="H560" s="425">
        <v>0.01</v>
      </c>
      <c r="I560" s="457">
        <f t="shared" si="45"/>
        <v>-4.9999999999999996E-2</v>
      </c>
      <c r="J560" s="152"/>
      <c r="K560" s="178"/>
      <c r="L560" s="192"/>
      <c r="M560" s="113">
        <f t="shared" si="48"/>
        <v>3</v>
      </c>
      <c r="N560" s="64">
        <f t="shared" si="47"/>
        <v>1.0000008333333332</v>
      </c>
    </row>
    <row r="561" spans="2:16">
      <c r="B561" s="41"/>
      <c r="C561" s="103">
        <f t="shared" si="44"/>
        <v>44359</v>
      </c>
      <c r="E561" s="170"/>
      <c r="F561" s="58" t="str">
        <f>VLOOKUP(MOD(C561,7),'CALENDAR INFO'!$I$2:$J$8,2)</f>
        <v>SAT</v>
      </c>
      <c r="G561" s="214">
        <v>0.06</v>
      </c>
      <c r="H561" s="425">
        <v>0.01</v>
      </c>
      <c r="I561" s="457">
        <f t="shared" si="45"/>
        <v>-4.9999999999999996E-2</v>
      </c>
      <c r="J561" s="152" t="s">
        <v>158</v>
      </c>
      <c r="K561" s="178">
        <f ca="1">K559/K550</f>
        <v>0</v>
      </c>
      <c r="L561" s="192">
        <f ca="1">L559/L550</f>
        <v>7.8000000000000055E-2</v>
      </c>
      <c r="M561" s="113">
        <f t="shared" si="48"/>
        <v>0</v>
      </c>
      <c r="N561" s="64">
        <f t="shared" si="47"/>
        <v>1</v>
      </c>
      <c r="O561" s="89" t="s">
        <v>93</v>
      </c>
      <c r="P561" s="90"/>
    </row>
    <row r="562" spans="2:16">
      <c r="B562" s="41"/>
      <c r="C562" s="103">
        <f t="shared" si="44"/>
        <v>44360</v>
      </c>
      <c r="E562" s="170"/>
      <c r="F562" s="58" t="str">
        <f>VLOOKUP(MOD(C562,7),'CALENDAR INFO'!$I$2:$J$8,2)</f>
        <v>SUN</v>
      </c>
      <c r="G562" s="214">
        <v>0.06</v>
      </c>
      <c r="H562" s="425">
        <v>0.01</v>
      </c>
      <c r="I562" s="457">
        <f t="shared" si="45"/>
        <v>-4.9999999999999996E-2</v>
      </c>
      <c r="J562" s="152" t="s">
        <v>159</v>
      </c>
      <c r="K562" s="180">
        <f ca="1">100-K561</f>
        <v>100</v>
      </c>
      <c r="L562" s="193">
        <f ca="1">100-L561</f>
        <v>99.921999999999997</v>
      </c>
      <c r="M562" s="113">
        <f t="shared" si="48"/>
        <v>0</v>
      </c>
      <c r="N562" s="64">
        <f t="shared" si="47"/>
        <v>1</v>
      </c>
      <c r="O562" s="89" t="s">
        <v>77</v>
      </c>
      <c r="P562" s="135"/>
    </row>
    <row r="563" spans="2:16">
      <c r="B563" s="41"/>
      <c r="C563" s="103">
        <f t="shared" si="44"/>
        <v>44361</v>
      </c>
      <c r="E563" s="170"/>
      <c r="F563" s="58" t="str">
        <f>VLOOKUP(MOD(C563,7),'CALENDAR INFO'!$I$2:$J$8,2)</f>
        <v>MON</v>
      </c>
      <c r="G563" s="214">
        <v>0.06</v>
      </c>
      <c r="H563" s="425">
        <v>0.01</v>
      </c>
      <c r="I563" s="457">
        <f t="shared" si="45"/>
        <v>-4.9999999999999996E-2</v>
      </c>
      <c r="J563" s="152"/>
      <c r="K563" s="178"/>
      <c r="L563" s="192"/>
      <c r="M563" s="113">
        <f t="shared" si="48"/>
        <v>1</v>
      </c>
      <c r="N563" s="64">
        <f t="shared" si="47"/>
        <v>1.0000002777777777</v>
      </c>
      <c r="O563" s="39"/>
      <c r="P563" s="133"/>
    </row>
    <row r="564" spans="2:16">
      <c r="B564" s="41"/>
      <c r="C564" s="103">
        <f t="shared" si="44"/>
        <v>44362</v>
      </c>
      <c r="D564" s="153" t="s">
        <v>20</v>
      </c>
      <c r="E564" s="170"/>
      <c r="F564" s="58" t="str">
        <f>VLOOKUP(MOD(C564,7),'CALENDAR INFO'!$I$2:$J$8,2)</f>
        <v>TUE</v>
      </c>
      <c r="G564" s="214">
        <v>0.06</v>
      </c>
      <c r="H564" s="425">
        <v>0.01</v>
      </c>
      <c r="I564" s="457">
        <f t="shared" si="45"/>
        <v>-4.9999999999999996E-2</v>
      </c>
      <c r="J564" s="152"/>
      <c r="K564" s="186"/>
      <c r="L564" s="194"/>
      <c r="M564" s="113">
        <f t="shared" si="48"/>
        <v>1</v>
      </c>
      <c r="N564" s="64">
        <f t="shared" si="47"/>
        <v>1.0000002777777777</v>
      </c>
    </row>
    <row r="565" spans="2:16">
      <c r="B565" s="41"/>
      <c r="C565" s="103">
        <f t="shared" ref="C565:C628" si="49">C564+1</f>
        <v>44363</v>
      </c>
      <c r="D565" s="153" t="s">
        <v>20</v>
      </c>
      <c r="E565" s="170" t="s">
        <v>19</v>
      </c>
      <c r="F565" s="58" t="str">
        <f>VLOOKUP(MOD(C565,7),'CALENDAR INFO'!$I$2:$J$8,2)</f>
        <v>WED</v>
      </c>
      <c r="G565" s="219">
        <v>0.06</v>
      </c>
      <c r="H565" s="431">
        <v>0.01</v>
      </c>
      <c r="I565" s="457">
        <f t="shared" si="45"/>
        <v>-4.9999999999999996E-2</v>
      </c>
      <c r="J565" s="152"/>
      <c r="K565" s="152"/>
      <c r="L565" s="202"/>
      <c r="M565" s="113">
        <f t="shared" si="48"/>
        <v>1</v>
      </c>
      <c r="N565" s="64">
        <f t="shared" si="47"/>
        <v>1.0000002777777777</v>
      </c>
    </row>
    <row r="566" spans="2:16">
      <c r="B566" s="41"/>
      <c r="C566" s="103">
        <f t="shared" si="49"/>
        <v>44364</v>
      </c>
      <c r="E566" s="167" t="s">
        <v>18</v>
      </c>
      <c r="F566" s="58" t="str">
        <f>VLOOKUP(MOD(C566,7),'CALENDAR INFO'!$I$2:$J$8,2)</f>
        <v>THU</v>
      </c>
      <c r="G566" s="219">
        <v>0.1</v>
      </c>
      <c r="H566" s="431">
        <v>0.05</v>
      </c>
      <c r="I566" s="457">
        <f t="shared" si="45"/>
        <v>-0.05</v>
      </c>
      <c r="J566" s="152"/>
      <c r="K566" s="152"/>
      <c r="L566" s="202"/>
      <c r="M566" s="113">
        <f t="shared" si="48"/>
        <v>1</v>
      </c>
      <c r="N566" s="64">
        <f t="shared" si="47"/>
        <v>1.0000013888888888</v>
      </c>
    </row>
    <row r="567" spans="2:16">
      <c r="B567" s="41"/>
      <c r="C567" s="103">
        <f t="shared" si="49"/>
        <v>44365</v>
      </c>
      <c r="D567" s="244"/>
      <c r="E567" s="171" t="s">
        <v>119</v>
      </c>
      <c r="F567" s="58" t="str">
        <f>VLOOKUP(MOD(C567,7),'CALENDAR INFO'!$I$2:$J$8,2)</f>
        <v>FRI</v>
      </c>
      <c r="G567" s="214">
        <v>0.1</v>
      </c>
      <c r="H567" s="425">
        <v>0.05</v>
      </c>
      <c r="I567" s="457">
        <f t="shared" si="45"/>
        <v>-0.05</v>
      </c>
      <c r="J567" s="152"/>
      <c r="K567" s="152"/>
      <c r="L567" s="202"/>
      <c r="M567" s="113">
        <f t="shared" si="48"/>
        <v>3</v>
      </c>
      <c r="N567" s="64">
        <f t="shared" si="47"/>
        <v>1.0000041666666666</v>
      </c>
    </row>
    <row r="568" spans="2:16">
      <c r="B568" s="41"/>
      <c r="C568" s="103">
        <f t="shared" si="49"/>
        <v>44366</v>
      </c>
      <c r="E568" s="167"/>
      <c r="F568" s="58" t="str">
        <f>VLOOKUP(MOD(C568,7),'CALENDAR INFO'!$I$2:$J$8,2)</f>
        <v>SAT</v>
      </c>
      <c r="G568" s="214">
        <v>0.1</v>
      </c>
      <c r="H568" s="425">
        <v>0.05</v>
      </c>
      <c r="I568" s="457">
        <f t="shared" si="45"/>
        <v>-0.05</v>
      </c>
      <c r="J568" s="152"/>
      <c r="K568" s="152"/>
      <c r="L568" s="202"/>
      <c r="M568" s="113">
        <f t="shared" si="48"/>
        <v>0</v>
      </c>
      <c r="N568" s="64">
        <f t="shared" si="47"/>
        <v>1</v>
      </c>
    </row>
    <row r="569" spans="2:16">
      <c r="B569" s="41"/>
      <c r="C569" s="103">
        <f t="shared" si="49"/>
        <v>44367</v>
      </c>
      <c r="E569" s="167"/>
      <c r="F569" s="58" t="str">
        <f>VLOOKUP(MOD(C569,7),'CALENDAR INFO'!$I$2:$J$8,2)</f>
        <v>SUN</v>
      </c>
      <c r="G569" s="214">
        <v>0.1</v>
      </c>
      <c r="H569" s="425">
        <v>0.05</v>
      </c>
      <c r="I569" s="457">
        <f t="shared" si="45"/>
        <v>-0.05</v>
      </c>
      <c r="J569" s="152"/>
      <c r="K569" s="152"/>
      <c r="L569" s="202"/>
      <c r="M569" s="113">
        <f t="shared" si="48"/>
        <v>0</v>
      </c>
      <c r="N569" s="64">
        <f t="shared" si="47"/>
        <v>1</v>
      </c>
    </row>
    <row r="570" spans="2:16">
      <c r="B570" s="41"/>
      <c r="C570" s="103">
        <f t="shared" si="49"/>
        <v>44368</v>
      </c>
      <c r="E570" s="167"/>
      <c r="F570" s="58" t="str">
        <f>VLOOKUP(MOD(C570,7),'CALENDAR INFO'!$I$2:$J$8,2)</f>
        <v>MON</v>
      </c>
      <c r="G570" s="214">
        <v>0.1</v>
      </c>
      <c r="H570" s="425">
        <v>0.05</v>
      </c>
      <c r="I570" s="457">
        <f t="shared" si="45"/>
        <v>-0.05</v>
      </c>
      <c r="J570" s="152"/>
      <c r="K570" s="152"/>
      <c r="L570" s="202"/>
      <c r="M570" s="113">
        <f t="shared" si="48"/>
        <v>1</v>
      </c>
      <c r="N570" s="64">
        <f t="shared" si="47"/>
        <v>1.0000013888888888</v>
      </c>
    </row>
    <row r="571" spans="2:16">
      <c r="B571" s="41"/>
      <c r="C571" s="103">
        <f t="shared" si="49"/>
        <v>44369</v>
      </c>
      <c r="E571" s="167"/>
      <c r="F571" s="58" t="str">
        <f>VLOOKUP(MOD(C571,7),'CALENDAR INFO'!$I$2:$J$8,2)</f>
        <v>TUE</v>
      </c>
      <c r="G571" s="214">
        <v>0.1</v>
      </c>
      <c r="H571" s="425">
        <v>0.05</v>
      </c>
      <c r="I571" s="457">
        <f t="shared" si="45"/>
        <v>-0.05</v>
      </c>
      <c r="J571" s="152"/>
      <c r="K571" s="152"/>
      <c r="L571" s="202"/>
      <c r="M571" s="113">
        <f t="shared" si="48"/>
        <v>1</v>
      </c>
      <c r="N571" s="64">
        <f t="shared" si="47"/>
        <v>1.0000013888888888</v>
      </c>
    </row>
    <row r="572" spans="2:16">
      <c r="B572" s="41"/>
      <c r="C572" s="103">
        <f t="shared" si="49"/>
        <v>44370</v>
      </c>
      <c r="E572" s="167"/>
      <c r="F572" s="58" t="str">
        <f>VLOOKUP(MOD(C572,7),'CALENDAR INFO'!$I$2:$J$8,2)</f>
        <v>WED</v>
      </c>
      <c r="G572" s="214">
        <v>0.1</v>
      </c>
      <c r="H572" s="425">
        <v>0.05</v>
      </c>
      <c r="I572" s="457">
        <f t="shared" si="45"/>
        <v>-0.05</v>
      </c>
      <c r="J572" s="152"/>
      <c r="K572" s="152"/>
      <c r="L572" s="202"/>
      <c r="M572" s="113">
        <f t="shared" si="48"/>
        <v>1</v>
      </c>
      <c r="N572" s="64">
        <f t="shared" si="47"/>
        <v>1.0000013888888888</v>
      </c>
    </row>
    <row r="573" spans="2:16">
      <c r="B573" s="41"/>
      <c r="C573" s="103">
        <f t="shared" si="49"/>
        <v>44371</v>
      </c>
      <c r="E573" s="167"/>
      <c r="F573" s="58" t="str">
        <f>VLOOKUP(MOD(C573,7),'CALENDAR INFO'!$I$2:$J$8,2)</f>
        <v>THU</v>
      </c>
      <c r="G573" s="214">
        <v>0.1</v>
      </c>
      <c r="H573" s="425">
        <v>0.05</v>
      </c>
      <c r="I573" s="457">
        <f t="shared" si="45"/>
        <v>-0.05</v>
      </c>
      <c r="J573" s="152"/>
      <c r="K573" s="152"/>
      <c r="L573" s="202"/>
      <c r="M573" s="113">
        <f t="shared" si="48"/>
        <v>1</v>
      </c>
      <c r="N573" s="64">
        <f t="shared" si="47"/>
        <v>1.0000013888888888</v>
      </c>
    </row>
    <row r="574" spans="2:16">
      <c r="B574" s="41"/>
      <c r="C574" s="103">
        <f t="shared" si="49"/>
        <v>44372</v>
      </c>
      <c r="E574" s="167"/>
      <c r="F574" s="58" t="str">
        <f>VLOOKUP(MOD(C574,7),'CALENDAR INFO'!$I$2:$J$8,2)</f>
        <v>FRI</v>
      </c>
      <c r="G574" s="214">
        <v>0.1</v>
      </c>
      <c r="H574" s="425">
        <v>0.05</v>
      </c>
      <c r="I574" s="457">
        <f t="shared" si="45"/>
        <v>-0.05</v>
      </c>
      <c r="J574" s="152"/>
      <c r="K574" s="182"/>
      <c r="L574" s="201"/>
      <c r="M574" s="113">
        <f t="shared" si="48"/>
        <v>3</v>
      </c>
      <c r="N574" s="64">
        <f t="shared" si="47"/>
        <v>1.0000041666666666</v>
      </c>
    </row>
    <row r="575" spans="2:16">
      <c r="B575" s="41"/>
      <c r="C575" s="103">
        <f t="shared" si="49"/>
        <v>44373</v>
      </c>
      <c r="E575" s="167"/>
      <c r="F575" s="58" t="str">
        <f>VLOOKUP(MOD(C575,7),'CALENDAR INFO'!$I$2:$J$8,2)</f>
        <v>SAT</v>
      </c>
      <c r="G575" s="214">
        <v>0.1</v>
      </c>
      <c r="H575" s="425">
        <v>0.05</v>
      </c>
      <c r="I575" s="457">
        <f t="shared" si="45"/>
        <v>-0.05</v>
      </c>
      <c r="J575" s="152"/>
      <c r="K575" s="152"/>
      <c r="L575" s="202"/>
      <c r="M575" s="113">
        <f t="shared" si="48"/>
        <v>0</v>
      </c>
      <c r="N575" s="64">
        <f t="shared" si="47"/>
        <v>1</v>
      </c>
      <c r="O575" s="89" t="s">
        <v>93</v>
      </c>
      <c r="P575" s="90"/>
    </row>
    <row r="576" spans="2:16">
      <c r="B576" s="41"/>
      <c r="C576" s="103">
        <f t="shared" si="49"/>
        <v>44374</v>
      </c>
      <c r="E576" s="167"/>
      <c r="F576" s="58" t="str">
        <f>VLOOKUP(MOD(C576,7),'CALENDAR INFO'!$I$2:$J$8,2)</f>
        <v>SUN</v>
      </c>
      <c r="G576" s="214">
        <v>0.1</v>
      </c>
      <c r="H576" s="425">
        <v>0.05</v>
      </c>
      <c r="I576" s="457">
        <f t="shared" si="45"/>
        <v>-0.05</v>
      </c>
      <c r="J576" s="152"/>
      <c r="K576" s="182"/>
      <c r="L576" s="201"/>
      <c r="M576" s="113">
        <f t="shared" si="48"/>
        <v>0</v>
      </c>
      <c r="N576" s="64">
        <f t="shared" si="47"/>
        <v>1</v>
      </c>
      <c r="O576" s="89" t="s">
        <v>26</v>
      </c>
      <c r="P576" s="135"/>
    </row>
    <row r="577" spans="1:16">
      <c r="B577" s="41"/>
      <c r="C577" s="103">
        <f t="shared" si="49"/>
        <v>44375</v>
      </c>
      <c r="E577" s="167"/>
      <c r="F577" s="58" t="str">
        <f>VLOOKUP(MOD(C577,7),'CALENDAR INFO'!$I$2:$J$8,2)</f>
        <v>MON</v>
      </c>
      <c r="G577" s="214">
        <v>0.1</v>
      </c>
      <c r="H577" s="425">
        <v>0.05</v>
      </c>
      <c r="I577" s="457">
        <f t="shared" si="45"/>
        <v>-0.05</v>
      </c>
      <c r="J577" s="152"/>
      <c r="K577" s="190"/>
      <c r="L577" s="203"/>
      <c r="M577" s="113">
        <f t="shared" si="48"/>
        <v>1</v>
      </c>
      <c r="N577" s="64">
        <f t="shared" si="47"/>
        <v>1.0000013888888888</v>
      </c>
      <c r="O577" s="89" t="s">
        <v>76</v>
      </c>
      <c r="P577" s="135"/>
    </row>
    <row r="578" spans="1:16">
      <c r="B578" s="41"/>
      <c r="C578" s="103">
        <f t="shared" si="49"/>
        <v>44376</v>
      </c>
      <c r="E578" s="167"/>
      <c r="F578" s="58" t="str">
        <f>VLOOKUP(MOD(C578,7),'CALENDAR INFO'!$I$2:$J$8,2)</f>
        <v>TUE</v>
      </c>
      <c r="G578" s="214">
        <v>0.1</v>
      </c>
      <c r="H578" s="425">
        <v>0.05</v>
      </c>
      <c r="I578" s="457">
        <f t="shared" si="45"/>
        <v>-0.05</v>
      </c>
      <c r="J578" s="152"/>
      <c r="K578" s="182"/>
      <c r="L578" s="201"/>
      <c r="M578" s="113">
        <f t="shared" si="48"/>
        <v>1</v>
      </c>
      <c r="N578" s="64">
        <f t="shared" si="47"/>
        <v>1.0000013888888888</v>
      </c>
    </row>
    <row r="579" spans="1:16" ht="15.75" thickBot="1">
      <c r="A579" s="98"/>
      <c r="B579" s="230"/>
      <c r="C579" s="104">
        <f t="shared" si="49"/>
        <v>44377</v>
      </c>
      <c r="D579" s="112"/>
      <c r="E579" s="92" t="s">
        <v>19</v>
      </c>
      <c r="F579" s="71" t="str">
        <f>VLOOKUP(MOD(C579,7),'CALENDAR INFO'!$I$2:$J$8,2)</f>
        <v>WED</v>
      </c>
      <c r="G579" s="215">
        <v>0.08</v>
      </c>
      <c r="H579" s="426">
        <v>0.05</v>
      </c>
      <c r="I579" s="458">
        <f t="shared" ref="I579:I642" si="50">H579-G579</f>
        <v>-0.03</v>
      </c>
      <c r="J579" s="437"/>
      <c r="K579" s="184"/>
      <c r="L579" s="205"/>
      <c r="M579" s="114">
        <f t="shared" si="48"/>
        <v>1</v>
      </c>
      <c r="N579" s="77">
        <f t="shared" si="47"/>
        <v>1.0000013888888888</v>
      </c>
    </row>
    <row r="580" spans="1:16">
      <c r="A580" s="100"/>
      <c r="B580" s="231"/>
      <c r="C580" s="109">
        <f t="shared" si="49"/>
        <v>44378</v>
      </c>
      <c r="D580" s="108"/>
      <c r="E580" s="115" t="s">
        <v>18</v>
      </c>
      <c r="F580" s="105" t="str">
        <f>VLOOKUP(MOD(C580,7),'CALENDAR INFO'!$I$2:$J$8,2)</f>
        <v>THU</v>
      </c>
      <c r="G580" s="218">
        <v>0.1</v>
      </c>
      <c r="H580" s="430">
        <v>0.05</v>
      </c>
      <c r="I580" s="461">
        <f t="shared" si="50"/>
        <v>-0.05</v>
      </c>
      <c r="J580" s="436" t="s">
        <v>118</v>
      </c>
      <c r="K580" s="15">
        <f>VLOOKUP(MONTH($C580),'CALENDAR INFO'!$I$12:$J$23,2)</f>
        <v>31</v>
      </c>
      <c r="L580" s="179">
        <f>K580</f>
        <v>31</v>
      </c>
      <c r="M580" s="116">
        <f t="shared" si="48"/>
        <v>1</v>
      </c>
      <c r="N580" s="111">
        <f t="shared" si="47"/>
        <v>1.0000013888888888</v>
      </c>
    </row>
    <row r="581" spans="1:16">
      <c r="B581" s="41"/>
      <c r="C581" s="103">
        <f t="shared" si="49"/>
        <v>44379</v>
      </c>
      <c r="E581" s="170"/>
      <c r="F581" s="58" t="str">
        <f>VLOOKUP(MOD(C581,7),'CALENDAR INFO'!$I$2:$J$8,2)</f>
        <v>FRI</v>
      </c>
      <c r="G581" s="214">
        <v>0.1</v>
      </c>
      <c r="H581" s="425">
        <v>0.05</v>
      </c>
      <c r="I581" s="457">
        <f t="shared" si="50"/>
        <v>-0.05</v>
      </c>
      <c r="J581" s="152" t="s">
        <v>151</v>
      </c>
      <c r="K581" s="15">
        <f>ROW($C581)-1</f>
        <v>580</v>
      </c>
      <c r="L581" s="179">
        <f>K581</f>
        <v>580</v>
      </c>
      <c r="M581" s="117">
        <v>4</v>
      </c>
      <c r="N581" s="64">
        <f t="shared" si="47"/>
        <v>1.0000055555555556</v>
      </c>
    </row>
    <row r="582" spans="1:16">
      <c r="B582" s="41"/>
      <c r="C582" s="103">
        <f t="shared" si="49"/>
        <v>44380</v>
      </c>
      <c r="E582" s="170"/>
      <c r="F582" s="58" t="str">
        <f>VLOOKUP(MOD(C582,7),'CALENDAR INFO'!$I$2:$J$8,2)</f>
        <v>SAT</v>
      </c>
      <c r="G582" s="214">
        <v>0.1</v>
      </c>
      <c r="H582" s="425">
        <v>0.05</v>
      </c>
      <c r="I582" s="457">
        <f t="shared" si="50"/>
        <v>-0.05</v>
      </c>
      <c r="J582" s="152" t="s">
        <v>152</v>
      </c>
      <c r="K582" s="15">
        <f>K580+K581-1</f>
        <v>610</v>
      </c>
      <c r="L582" s="200">
        <f>K582</f>
        <v>610</v>
      </c>
      <c r="M582" s="113">
        <f>IF(MOD(C582,7)&lt;2,0,IF(MOD(C582,7)=6,3,1))</f>
        <v>0</v>
      </c>
      <c r="N582" s="64">
        <f t="shared" si="47"/>
        <v>1</v>
      </c>
    </row>
    <row r="583" spans="1:16">
      <c r="B583" s="41"/>
      <c r="C583" s="103">
        <f t="shared" si="49"/>
        <v>44381</v>
      </c>
      <c r="E583" s="170"/>
      <c r="F583" s="58" t="str">
        <f>VLOOKUP(MOD(C583,7),'CALENDAR INFO'!$I$2:$J$8,2)</f>
        <v>SUN</v>
      </c>
      <c r="G583" s="214">
        <v>0.1</v>
      </c>
      <c r="H583" s="425">
        <v>0.05</v>
      </c>
      <c r="I583" s="457">
        <f t="shared" si="50"/>
        <v>-0.05</v>
      </c>
      <c r="J583" s="152"/>
      <c r="K583" s="182"/>
      <c r="L583" s="201"/>
      <c r="M583" s="113">
        <f>IF(MOD(C583,7)&lt;2,0,IF(MOD(C583,7)=6,3,1))</f>
        <v>0</v>
      </c>
      <c r="N583" s="64">
        <f t="shared" si="47"/>
        <v>1</v>
      </c>
    </row>
    <row r="584" spans="1:16">
      <c r="B584" s="41"/>
      <c r="C584" s="103">
        <f t="shared" si="49"/>
        <v>44382</v>
      </c>
      <c r="D584" s="175" t="s">
        <v>49</v>
      </c>
      <c r="E584" s="170"/>
      <c r="F584" s="58" t="str">
        <f>VLOOKUP(MOD(C584,7),'CALENDAR INFO'!$I$2:$J$8,2)</f>
        <v>MON</v>
      </c>
      <c r="G584" s="214">
        <v>0.1</v>
      </c>
      <c r="H584" s="425">
        <v>0.05</v>
      </c>
      <c r="I584" s="457">
        <f t="shared" si="50"/>
        <v>-0.05</v>
      </c>
      <c r="J584" s="152" t="s">
        <v>153</v>
      </c>
      <c r="K584" s="182" t="str">
        <f>_xlfn.CONCAT("A",TEXT(K581,0),":","A",TEXT(K582,0))</f>
        <v>A580:A610</v>
      </c>
      <c r="L584" s="201" t="str">
        <f>_xlfn.CONCAT("B",TEXT(L581,0),":","B",TEXT(L582,0))</f>
        <v>B580:B610</v>
      </c>
      <c r="M584" s="117">
        <v>0</v>
      </c>
      <c r="N584" s="64">
        <f t="shared" si="47"/>
        <v>1</v>
      </c>
    </row>
    <row r="585" spans="1:16">
      <c r="B585" s="41"/>
      <c r="C585" s="103">
        <f t="shared" si="49"/>
        <v>44383</v>
      </c>
      <c r="E585" s="170"/>
      <c r="F585" s="58" t="str">
        <f>VLOOKUP(MOD(C585,7),'CALENDAR INFO'!$I$2:$J$8,2)</f>
        <v>TUE</v>
      </c>
      <c r="G585" s="214">
        <v>0.1</v>
      </c>
      <c r="H585" s="425">
        <v>0.05</v>
      </c>
      <c r="I585" s="457">
        <f t="shared" si="50"/>
        <v>-0.05</v>
      </c>
      <c r="J585" s="152" t="s">
        <v>154</v>
      </c>
      <c r="K585" s="182" t="str">
        <f>_xlfn.CONCAT("F",TEXT(K581,0),":","F",TEXT(K582,0))</f>
        <v>F580:F610</v>
      </c>
      <c r="L585" s="201" t="str">
        <f>_xlfn.CONCAT("G",TEXT(L581,0),":","G",TEXT(L582,0))</f>
        <v>G580:G610</v>
      </c>
      <c r="M585" s="113">
        <f t="shared" ref="M585:M616" si="51">IF(MOD(C585,7)&lt;2,0,IF(MOD(C585,7)=6,3,1))</f>
        <v>1</v>
      </c>
      <c r="N585" s="64">
        <f t="shared" si="47"/>
        <v>1.0000013888888888</v>
      </c>
    </row>
    <row r="586" spans="1:16">
      <c r="B586" s="41"/>
      <c r="C586" s="103">
        <f t="shared" si="49"/>
        <v>44384</v>
      </c>
      <c r="E586" s="170"/>
      <c r="F586" s="58" t="str">
        <f>VLOOKUP(MOD(C586,7),'CALENDAR INFO'!$I$2:$J$8,2)</f>
        <v>WED</v>
      </c>
      <c r="G586" s="214">
        <v>0.1</v>
      </c>
      <c r="H586" s="425">
        <v>0.05</v>
      </c>
      <c r="I586" s="457">
        <f t="shared" si="50"/>
        <v>-0.05</v>
      </c>
      <c r="J586" s="152"/>
      <c r="K586" s="152"/>
      <c r="L586" s="202"/>
      <c r="M586" s="113">
        <f t="shared" si="51"/>
        <v>1</v>
      </c>
      <c r="N586" s="64">
        <f t="shared" si="47"/>
        <v>1.0000013888888888</v>
      </c>
    </row>
    <row r="587" spans="1:16">
      <c r="B587" s="41"/>
      <c r="C587" s="103">
        <f t="shared" si="49"/>
        <v>44385</v>
      </c>
      <c r="E587" s="170"/>
      <c r="F587" s="58" t="str">
        <f>VLOOKUP(MOD(C587,7),'CALENDAR INFO'!$I$2:$J$8,2)</f>
        <v>THU</v>
      </c>
      <c r="G587" s="214">
        <v>0.1</v>
      </c>
      <c r="H587" s="425">
        <v>0.05</v>
      </c>
      <c r="I587" s="457">
        <f t="shared" si="50"/>
        <v>-0.05</v>
      </c>
      <c r="J587" s="152" t="s">
        <v>155</v>
      </c>
      <c r="K587" s="185">
        <f ca="1">SUM(INDIRECT(K584))</f>
        <v>0</v>
      </c>
      <c r="L587" s="179">
        <f ca="1">SUM(INDIRECT(L584))</f>
        <v>0</v>
      </c>
      <c r="M587" s="113">
        <f t="shared" si="51"/>
        <v>1</v>
      </c>
      <c r="N587" s="64">
        <f t="shared" si="47"/>
        <v>1.0000013888888888</v>
      </c>
    </row>
    <row r="588" spans="1:16">
      <c r="B588" s="41"/>
      <c r="C588" s="103">
        <f t="shared" si="49"/>
        <v>44386</v>
      </c>
      <c r="E588" s="170"/>
      <c r="F588" s="58" t="str">
        <f>VLOOKUP(MOD(C588,7),'CALENDAR INFO'!$I$2:$J$8,2)</f>
        <v>FRI</v>
      </c>
      <c r="G588" s="214">
        <v>0.1</v>
      </c>
      <c r="H588" s="425">
        <v>0.05</v>
      </c>
      <c r="I588" s="457">
        <f t="shared" si="50"/>
        <v>-0.05</v>
      </c>
      <c r="J588" s="152" t="s">
        <v>156</v>
      </c>
      <c r="K588" s="207">
        <f ca="1">SUM(INDIRECT(K585))</f>
        <v>0</v>
      </c>
      <c r="L588" s="208">
        <f ca="1">SUM(INDIRECT(L585))</f>
        <v>3.0400000000000009</v>
      </c>
      <c r="M588" s="113">
        <f t="shared" si="51"/>
        <v>3</v>
      </c>
      <c r="N588" s="64">
        <f t="shared" si="47"/>
        <v>1.0000041666666666</v>
      </c>
    </row>
    <row r="589" spans="1:16">
      <c r="B589" s="41"/>
      <c r="C589" s="103">
        <f t="shared" si="49"/>
        <v>44387</v>
      </c>
      <c r="E589" s="170"/>
      <c r="F589" s="58" t="str">
        <f>VLOOKUP(MOD(C589,7),'CALENDAR INFO'!$I$2:$J$8,2)</f>
        <v>SAT</v>
      </c>
      <c r="G589" s="214">
        <v>0.1</v>
      </c>
      <c r="H589" s="425">
        <v>0.05</v>
      </c>
      <c r="I589" s="457">
        <f t="shared" si="50"/>
        <v>-0.05</v>
      </c>
      <c r="J589" s="152" t="s">
        <v>157</v>
      </c>
      <c r="K589" s="178">
        <f ca="1">K587+K588</f>
        <v>0</v>
      </c>
      <c r="L589" s="192">
        <f ca="1">L587+L588</f>
        <v>3.0400000000000009</v>
      </c>
      <c r="M589" s="113">
        <f t="shared" si="51"/>
        <v>0</v>
      </c>
      <c r="N589" s="64">
        <f t="shared" si="47"/>
        <v>1</v>
      </c>
    </row>
    <row r="590" spans="1:16">
      <c r="B590" s="41"/>
      <c r="C590" s="103">
        <f t="shared" si="49"/>
        <v>44388</v>
      </c>
      <c r="E590" s="170"/>
      <c r="F590" s="58" t="str">
        <f>VLOOKUP(MOD(C590,7),'CALENDAR INFO'!$I$2:$J$8,2)</f>
        <v>SUN</v>
      </c>
      <c r="G590" s="214">
        <v>0.1</v>
      </c>
      <c r="H590" s="425">
        <v>0.05</v>
      </c>
      <c r="I590" s="457">
        <f t="shared" si="50"/>
        <v>-0.05</v>
      </c>
      <c r="J590" s="152"/>
      <c r="K590" s="178"/>
      <c r="L590" s="192"/>
      <c r="M590" s="113">
        <f t="shared" si="51"/>
        <v>0</v>
      </c>
      <c r="N590" s="64">
        <f t="shared" si="47"/>
        <v>1</v>
      </c>
    </row>
    <row r="591" spans="1:16">
      <c r="B591" s="41"/>
      <c r="C591" s="103">
        <f t="shared" si="49"/>
        <v>44389</v>
      </c>
      <c r="E591" s="170"/>
      <c r="F591" s="58" t="str">
        <f>VLOOKUP(MOD(C591,7),'CALENDAR INFO'!$I$2:$J$8,2)</f>
        <v>MON</v>
      </c>
      <c r="G591" s="214">
        <v>0.1</v>
      </c>
      <c r="H591" s="425">
        <v>0.05</v>
      </c>
      <c r="I591" s="457">
        <f t="shared" si="50"/>
        <v>-0.05</v>
      </c>
      <c r="J591" s="152" t="s">
        <v>158</v>
      </c>
      <c r="K591" s="178">
        <f ca="1">K589/K580</f>
        <v>0</v>
      </c>
      <c r="L591" s="192">
        <f ca="1">L589/L580</f>
        <v>9.8064516129032289E-2</v>
      </c>
      <c r="M591" s="113">
        <f t="shared" si="51"/>
        <v>1</v>
      </c>
      <c r="N591" s="64">
        <f t="shared" si="47"/>
        <v>1.0000013888888888</v>
      </c>
    </row>
    <row r="592" spans="1:16">
      <c r="B592" s="41"/>
      <c r="C592" s="103">
        <f t="shared" si="49"/>
        <v>44390</v>
      </c>
      <c r="E592" s="170"/>
      <c r="F592" s="58" t="str">
        <f>VLOOKUP(MOD(C592,7),'CALENDAR INFO'!$I$2:$J$8,2)</f>
        <v>TUE</v>
      </c>
      <c r="G592" s="214">
        <v>0.1</v>
      </c>
      <c r="H592" s="425">
        <v>0.05</v>
      </c>
      <c r="I592" s="457">
        <f t="shared" si="50"/>
        <v>-0.05</v>
      </c>
      <c r="J592" s="152" t="s">
        <v>159</v>
      </c>
      <c r="K592" s="180">
        <f ca="1">100-K591</f>
        <v>100</v>
      </c>
      <c r="L592" s="193">
        <f ca="1">100-L591</f>
        <v>99.901935483870972</v>
      </c>
      <c r="M592" s="113">
        <f t="shared" si="51"/>
        <v>1</v>
      </c>
      <c r="N592" s="64">
        <f t="shared" si="47"/>
        <v>1.0000013888888888</v>
      </c>
    </row>
    <row r="593" spans="2:16">
      <c r="B593" s="41"/>
      <c r="C593" s="103">
        <f t="shared" si="49"/>
        <v>44391</v>
      </c>
      <c r="E593" s="170" t="s">
        <v>19</v>
      </c>
      <c r="F593" s="58" t="str">
        <f>VLOOKUP(MOD(C593,7),'CALENDAR INFO'!$I$2:$J$8,2)</f>
        <v>WED</v>
      </c>
      <c r="G593" s="214">
        <v>0.1</v>
      </c>
      <c r="H593" s="425">
        <v>0.05</v>
      </c>
      <c r="I593" s="457">
        <f t="shared" si="50"/>
        <v>-0.05</v>
      </c>
      <c r="J593" s="152"/>
      <c r="K593" s="178"/>
      <c r="L593" s="192"/>
      <c r="M593" s="113">
        <f t="shared" si="51"/>
        <v>1</v>
      </c>
      <c r="N593" s="64">
        <f t="shared" si="47"/>
        <v>1.0000013888888888</v>
      </c>
    </row>
    <row r="594" spans="2:16">
      <c r="B594" s="41"/>
      <c r="C594" s="103">
        <f t="shared" si="49"/>
        <v>44392</v>
      </c>
      <c r="E594" s="167" t="s">
        <v>18</v>
      </c>
      <c r="F594" s="58" t="str">
        <f>VLOOKUP(MOD(C594,7),'CALENDAR INFO'!$I$2:$J$8,2)</f>
        <v>THU</v>
      </c>
      <c r="G594" s="214">
        <v>0.1</v>
      </c>
      <c r="H594" s="425">
        <v>0.05</v>
      </c>
      <c r="I594" s="457">
        <f t="shared" si="50"/>
        <v>-0.05</v>
      </c>
      <c r="J594" s="152"/>
      <c r="K594" s="186"/>
      <c r="L594" s="194"/>
      <c r="M594" s="113">
        <f t="shared" si="51"/>
        <v>1</v>
      </c>
      <c r="N594" s="64">
        <f t="shared" si="47"/>
        <v>1.0000013888888888</v>
      </c>
    </row>
    <row r="595" spans="2:16">
      <c r="B595" s="41"/>
      <c r="C595" s="103">
        <f t="shared" si="49"/>
        <v>44393</v>
      </c>
      <c r="E595" s="167"/>
      <c r="F595" s="58" t="str">
        <f>VLOOKUP(MOD(C595,7),'CALENDAR INFO'!$I$2:$J$8,2)</f>
        <v>FRI</v>
      </c>
      <c r="G595" s="214">
        <v>0.1</v>
      </c>
      <c r="H595" s="425">
        <v>0.05</v>
      </c>
      <c r="I595" s="457">
        <f t="shared" si="50"/>
        <v>-0.05</v>
      </c>
      <c r="J595" s="152"/>
      <c r="K595" s="152"/>
      <c r="L595" s="202"/>
      <c r="M595" s="113">
        <f t="shared" si="51"/>
        <v>3</v>
      </c>
      <c r="N595" s="64">
        <f t="shared" ref="N595:N658" si="52">1+(M595/360)*(MAX(H595,B595)/100)</f>
        <v>1.0000041666666666</v>
      </c>
    </row>
    <row r="596" spans="2:16">
      <c r="B596" s="41"/>
      <c r="C596" s="103">
        <f t="shared" si="49"/>
        <v>44394</v>
      </c>
      <c r="E596" s="167"/>
      <c r="F596" s="58" t="str">
        <f>VLOOKUP(MOD(C596,7),'CALENDAR INFO'!$I$2:$J$8,2)</f>
        <v>SAT</v>
      </c>
      <c r="G596" s="214">
        <v>0.1</v>
      </c>
      <c r="H596" s="425">
        <v>0.05</v>
      </c>
      <c r="I596" s="457">
        <f t="shared" si="50"/>
        <v>-0.05</v>
      </c>
      <c r="J596" s="152"/>
      <c r="K596" s="152"/>
      <c r="L596" s="202"/>
      <c r="M596" s="113">
        <f t="shared" si="51"/>
        <v>0</v>
      </c>
      <c r="N596" s="64">
        <f t="shared" si="52"/>
        <v>1</v>
      </c>
    </row>
    <row r="597" spans="2:16">
      <c r="B597" s="41"/>
      <c r="C597" s="103">
        <f t="shared" si="49"/>
        <v>44395</v>
      </c>
      <c r="E597" s="167"/>
      <c r="F597" s="58" t="str">
        <f>VLOOKUP(MOD(C597,7),'CALENDAR INFO'!$I$2:$J$8,2)</f>
        <v>SUN</v>
      </c>
      <c r="G597" s="214">
        <v>0.1</v>
      </c>
      <c r="H597" s="425">
        <v>0.05</v>
      </c>
      <c r="I597" s="457">
        <f t="shared" si="50"/>
        <v>-0.05</v>
      </c>
      <c r="J597" s="152"/>
      <c r="K597" s="152"/>
      <c r="L597" s="202"/>
      <c r="M597" s="113">
        <f t="shared" si="51"/>
        <v>0</v>
      </c>
      <c r="N597" s="64">
        <f t="shared" si="52"/>
        <v>1</v>
      </c>
    </row>
    <row r="598" spans="2:16">
      <c r="B598" s="41"/>
      <c r="C598" s="103">
        <f t="shared" si="49"/>
        <v>44396</v>
      </c>
      <c r="E598" s="167"/>
      <c r="F598" s="58" t="str">
        <f>VLOOKUP(MOD(C598,7),'CALENDAR INFO'!$I$2:$J$8,2)</f>
        <v>MON</v>
      </c>
      <c r="G598" s="214">
        <v>0.1</v>
      </c>
      <c r="H598" s="425">
        <v>0.05</v>
      </c>
      <c r="I598" s="457">
        <f t="shared" si="50"/>
        <v>-0.05</v>
      </c>
      <c r="J598" s="152"/>
      <c r="K598" s="152"/>
      <c r="L598" s="202"/>
      <c r="M598" s="113">
        <f t="shared" si="51"/>
        <v>1</v>
      </c>
      <c r="N598" s="64">
        <f t="shared" si="52"/>
        <v>1.0000013888888888</v>
      </c>
    </row>
    <row r="599" spans="2:16">
      <c r="B599" s="41"/>
      <c r="C599" s="103">
        <f t="shared" si="49"/>
        <v>44397</v>
      </c>
      <c r="E599" s="167"/>
      <c r="F599" s="58" t="str">
        <f>VLOOKUP(MOD(C599,7),'CALENDAR INFO'!$I$2:$J$8,2)</f>
        <v>TUE</v>
      </c>
      <c r="G599" s="214">
        <v>0.1</v>
      </c>
      <c r="H599" s="425">
        <v>0.05</v>
      </c>
      <c r="I599" s="457">
        <f t="shared" si="50"/>
        <v>-0.05</v>
      </c>
      <c r="J599" s="152"/>
      <c r="K599" s="152"/>
      <c r="L599" s="202"/>
      <c r="M599" s="113">
        <f t="shared" si="51"/>
        <v>1</v>
      </c>
      <c r="N599" s="64">
        <f t="shared" si="52"/>
        <v>1.0000013888888888</v>
      </c>
    </row>
    <row r="600" spans="2:16">
      <c r="B600" s="41"/>
      <c r="C600" s="103">
        <f t="shared" si="49"/>
        <v>44398</v>
      </c>
      <c r="E600" s="167"/>
      <c r="F600" s="58" t="str">
        <f>VLOOKUP(MOD(C600,7),'CALENDAR INFO'!$I$2:$J$8,2)</f>
        <v>WED</v>
      </c>
      <c r="G600" s="214">
        <v>0.1</v>
      </c>
      <c r="H600" s="425">
        <v>0.05</v>
      </c>
      <c r="I600" s="457">
        <f t="shared" si="50"/>
        <v>-0.05</v>
      </c>
      <c r="J600" s="152"/>
      <c r="K600" s="152"/>
      <c r="L600" s="202"/>
      <c r="M600" s="113">
        <f t="shared" si="51"/>
        <v>1</v>
      </c>
      <c r="N600" s="64">
        <f t="shared" si="52"/>
        <v>1.0000013888888888</v>
      </c>
    </row>
    <row r="601" spans="2:16">
      <c r="B601" s="41"/>
      <c r="C601" s="103">
        <f t="shared" si="49"/>
        <v>44399</v>
      </c>
      <c r="E601" s="167"/>
      <c r="F601" s="58" t="str">
        <f>VLOOKUP(MOD(C601,7),'CALENDAR INFO'!$I$2:$J$8,2)</f>
        <v>THU</v>
      </c>
      <c r="G601" s="214">
        <v>0.1</v>
      </c>
      <c r="H601" s="425">
        <v>0.05</v>
      </c>
      <c r="I601" s="457">
        <f t="shared" si="50"/>
        <v>-0.05</v>
      </c>
      <c r="J601" s="152"/>
      <c r="K601" s="152"/>
      <c r="L601" s="202"/>
      <c r="M601" s="113">
        <f t="shared" si="51"/>
        <v>1</v>
      </c>
      <c r="N601" s="64">
        <f t="shared" si="52"/>
        <v>1.0000013888888888</v>
      </c>
    </row>
    <row r="602" spans="2:16">
      <c r="B602" s="41"/>
      <c r="C602" s="103">
        <f t="shared" si="49"/>
        <v>44400</v>
      </c>
      <c r="E602" s="167"/>
      <c r="F602" s="58" t="str">
        <f>VLOOKUP(MOD(C602,7),'CALENDAR INFO'!$I$2:$J$8,2)</f>
        <v>FRI</v>
      </c>
      <c r="G602" s="214">
        <v>0.1</v>
      </c>
      <c r="H602" s="425">
        <v>0.05</v>
      </c>
      <c r="I602" s="457">
        <f t="shared" si="50"/>
        <v>-0.05</v>
      </c>
      <c r="J602" s="152"/>
      <c r="K602" s="152"/>
      <c r="L602" s="202"/>
      <c r="M602" s="113">
        <f t="shared" si="51"/>
        <v>3</v>
      </c>
      <c r="N602" s="64">
        <f t="shared" si="52"/>
        <v>1.0000041666666666</v>
      </c>
    </row>
    <row r="603" spans="2:16">
      <c r="B603" s="41"/>
      <c r="C603" s="103">
        <f t="shared" si="49"/>
        <v>44401</v>
      </c>
      <c r="E603" s="167"/>
      <c r="F603" s="58" t="str">
        <f>VLOOKUP(MOD(C603,7),'CALENDAR INFO'!$I$2:$J$8,2)</f>
        <v>SAT</v>
      </c>
      <c r="G603" s="214">
        <v>0.1</v>
      </c>
      <c r="H603" s="425">
        <v>0.05</v>
      </c>
      <c r="I603" s="457">
        <f t="shared" si="50"/>
        <v>-0.05</v>
      </c>
      <c r="J603" s="152"/>
      <c r="K603" s="152"/>
      <c r="L603" s="202"/>
      <c r="M603" s="113">
        <f t="shared" si="51"/>
        <v>0</v>
      </c>
      <c r="N603" s="64">
        <f t="shared" si="52"/>
        <v>1</v>
      </c>
    </row>
    <row r="604" spans="2:16">
      <c r="B604" s="41"/>
      <c r="C604" s="103">
        <f t="shared" si="49"/>
        <v>44402</v>
      </c>
      <c r="E604" s="167"/>
      <c r="F604" s="58" t="str">
        <f>VLOOKUP(MOD(C604,7),'CALENDAR INFO'!$I$2:$J$8,2)</f>
        <v>SUN</v>
      </c>
      <c r="G604" s="214">
        <v>0.1</v>
      </c>
      <c r="H604" s="425">
        <v>0.05</v>
      </c>
      <c r="I604" s="457">
        <f t="shared" si="50"/>
        <v>-0.05</v>
      </c>
      <c r="J604" s="152"/>
      <c r="K604" s="152"/>
      <c r="L604" s="202"/>
      <c r="M604" s="113">
        <f t="shared" si="51"/>
        <v>0</v>
      </c>
      <c r="N604" s="64">
        <f t="shared" si="52"/>
        <v>1</v>
      </c>
    </row>
    <row r="605" spans="2:16">
      <c r="B605" s="41"/>
      <c r="C605" s="103">
        <f t="shared" si="49"/>
        <v>44403</v>
      </c>
      <c r="E605" s="167"/>
      <c r="F605" s="58" t="str">
        <f>VLOOKUP(MOD(C605,7),'CALENDAR INFO'!$I$2:$J$8,2)</f>
        <v>MON</v>
      </c>
      <c r="G605" s="214">
        <v>0.1</v>
      </c>
      <c r="H605" s="425">
        <v>0.05</v>
      </c>
      <c r="I605" s="457">
        <f t="shared" si="50"/>
        <v>-0.05</v>
      </c>
      <c r="J605" s="152"/>
      <c r="K605" s="182"/>
      <c r="L605" s="201"/>
      <c r="M605" s="113">
        <f t="shared" si="51"/>
        <v>1</v>
      </c>
      <c r="N605" s="64">
        <f t="shared" si="52"/>
        <v>1.0000013888888888</v>
      </c>
    </row>
    <row r="606" spans="2:16">
      <c r="B606" s="41"/>
      <c r="C606" s="103">
        <f t="shared" si="49"/>
        <v>44404</v>
      </c>
      <c r="D606" s="153" t="s">
        <v>20</v>
      </c>
      <c r="E606" s="167"/>
      <c r="F606" s="58" t="str">
        <f>VLOOKUP(MOD(C606,7),'CALENDAR INFO'!$I$2:$J$8,2)</f>
        <v>TUE</v>
      </c>
      <c r="G606" s="214">
        <v>0.1</v>
      </c>
      <c r="H606" s="425">
        <v>0.05</v>
      </c>
      <c r="I606" s="457">
        <f t="shared" si="50"/>
        <v>-0.05</v>
      </c>
      <c r="J606" s="152"/>
      <c r="K606" s="152"/>
      <c r="L606" s="202"/>
      <c r="M606" s="113">
        <f t="shared" si="51"/>
        <v>1</v>
      </c>
      <c r="N606" s="64">
        <f t="shared" si="52"/>
        <v>1.0000013888888888</v>
      </c>
      <c r="O606" s="89" t="s">
        <v>93</v>
      </c>
      <c r="P606" s="90"/>
    </row>
    <row r="607" spans="2:16">
      <c r="B607" s="41"/>
      <c r="C607" s="103">
        <f t="shared" si="49"/>
        <v>44405</v>
      </c>
      <c r="D607" s="153" t="s">
        <v>20</v>
      </c>
      <c r="E607" s="167" t="s">
        <v>19</v>
      </c>
      <c r="F607" s="58" t="str">
        <f>VLOOKUP(MOD(C607,7),'CALENDAR INFO'!$I$2:$J$8,2)</f>
        <v>WED</v>
      </c>
      <c r="G607" s="214">
        <v>0.1</v>
      </c>
      <c r="H607" s="425">
        <v>0.05</v>
      </c>
      <c r="I607" s="457">
        <f t="shared" si="50"/>
        <v>-0.05</v>
      </c>
      <c r="J607" s="152"/>
      <c r="K607" s="182"/>
      <c r="L607" s="201"/>
      <c r="M607" s="113">
        <f t="shared" si="51"/>
        <v>1</v>
      </c>
      <c r="N607" s="64">
        <f t="shared" si="52"/>
        <v>1.0000013888888888</v>
      </c>
      <c r="O607" s="89" t="s">
        <v>26</v>
      </c>
      <c r="P607" s="135"/>
    </row>
    <row r="608" spans="2:16">
      <c r="B608" s="41"/>
      <c r="C608" s="103">
        <f t="shared" si="49"/>
        <v>44406</v>
      </c>
      <c r="E608" s="170" t="s">
        <v>18</v>
      </c>
      <c r="F608" s="58" t="str">
        <f>VLOOKUP(MOD(C608,7),'CALENDAR INFO'!$I$2:$J$8,2)</f>
        <v>THU</v>
      </c>
      <c r="G608" s="214">
        <v>0.1</v>
      </c>
      <c r="H608" s="425">
        <v>0.05</v>
      </c>
      <c r="I608" s="457">
        <f t="shared" si="50"/>
        <v>-0.05</v>
      </c>
      <c r="J608" s="152"/>
      <c r="K608" s="190"/>
      <c r="L608" s="203"/>
      <c r="M608" s="113">
        <f t="shared" si="51"/>
        <v>1</v>
      </c>
      <c r="N608" s="64">
        <f t="shared" si="52"/>
        <v>1.0000013888888888</v>
      </c>
      <c r="O608" s="89" t="s">
        <v>76</v>
      </c>
      <c r="P608" s="135"/>
    </row>
    <row r="609" spans="1:16">
      <c r="B609" s="41"/>
      <c r="C609" s="103">
        <f t="shared" si="49"/>
        <v>44407</v>
      </c>
      <c r="E609" s="170"/>
      <c r="F609" s="58" t="str">
        <f>VLOOKUP(MOD(C609,7),'CALENDAR INFO'!$I$2:$J$8,2)</f>
        <v>FRI</v>
      </c>
      <c r="G609" s="214">
        <v>7.0000000000000007E-2</v>
      </c>
      <c r="H609" s="425">
        <v>0.05</v>
      </c>
      <c r="I609" s="457">
        <f t="shared" si="50"/>
        <v>-2.0000000000000004E-2</v>
      </c>
      <c r="J609" s="152"/>
      <c r="K609" s="182"/>
      <c r="L609" s="201"/>
      <c r="M609" s="113">
        <f t="shared" si="51"/>
        <v>3</v>
      </c>
      <c r="N609" s="64">
        <f t="shared" si="52"/>
        <v>1.0000041666666666</v>
      </c>
    </row>
    <row r="610" spans="1:16" ht="15.75" thickBot="1">
      <c r="A610" s="98"/>
      <c r="B610" s="230"/>
      <c r="C610" s="104">
        <f t="shared" si="49"/>
        <v>44408</v>
      </c>
      <c r="D610" s="112"/>
      <c r="E610" s="101"/>
      <c r="F610" s="71" t="str">
        <f>VLOOKUP(MOD(C610,7),'CALENDAR INFO'!$I$2:$J$8,2)</f>
        <v>SAT</v>
      </c>
      <c r="G610" s="215">
        <v>7.0000000000000007E-2</v>
      </c>
      <c r="H610" s="426">
        <v>0.05</v>
      </c>
      <c r="I610" s="458">
        <f t="shared" si="50"/>
        <v>-2.0000000000000004E-2</v>
      </c>
      <c r="J610" s="437"/>
      <c r="K610" s="184"/>
      <c r="L610" s="205"/>
      <c r="M610" s="114">
        <f t="shared" si="51"/>
        <v>0</v>
      </c>
      <c r="N610" s="77">
        <f t="shared" si="52"/>
        <v>1</v>
      </c>
    </row>
    <row r="611" spans="1:16">
      <c r="A611" s="100"/>
      <c r="B611" s="231"/>
      <c r="C611" s="109">
        <f t="shared" si="49"/>
        <v>44409</v>
      </c>
      <c r="D611" s="108"/>
      <c r="E611" s="115"/>
      <c r="F611" s="105" t="str">
        <f>VLOOKUP(MOD(C611,7),'CALENDAR INFO'!$I$2:$J$8,2)</f>
        <v>SUN</v>
      </c>
      <c r="G611" s="218">
        <v>7.0000000000000007E-2</v>
      </c>
      <c r="H611" s="430">
        <v>0.05</v>
      </c>
      <c r="I611" s="461">
        <f t="shared" si="50"/>
        <v>-2.0000000000000004E-2</v>
      </c>
      <c r="J611" s="436" t="s">
        <v>118</v>
      </c>
      <c r="K611" s="15">
        <f>VLOOKUP(MONTH($C611),'CALENDAR INFO'!$I$12:$J$23,2)</f>
        <v>31</v>
      </c>
      <c r="L611" s="179">
        <f>K611</f>
        <v>31</v>
      </c>
      <c r="M611" s="116">
        <f t="shared" si="51"/>
        <v>0</v>
      </c>
      <c r="N611" s="111">
        <f t="shared" si="52"/>
        <v>1</v>
      </c>
    </row>
    <row r="612" spans="1:16">
      <c r="B612" s="41"/>
      <c r="C612" s="103">
        <f t="shared" si="49"/>
        <v>44410</v>
      </c>
      <c r="E612" s="170"/>
      <c r="F612" s="58" t="str">
        <f>VLOOKUP(MOD(C612,7),'CALENDAR INFO'!$I$2:$J$8,2)</f>
        <v>MON</v>
      </c>
      <c r="G612" s="214">
        <v>0.1</v>
      </c>
      <c r="H612" s="425">
        <v>0.05</v>
      </c>
      <c r="I612" s="457">
        <f t="shared" si="50"/>
        <v>-0.05</v>
      </c>
      <c r="J612" s="152" t="s">
        <v>151</v>
      </c>
      <c r="K612" s="15">
        <f>ROW($C612)-1</f>
        <v>611</v>
      </c>
      <c r="L612" s="179">
        <f>K612</f>
        <v>611</v>
      </c>
      <c r="M612" s="113">
        <f t="shared" si="51"/>
        <v>1</v>
      </c>
      <c r="N612" s="64">
        <f t="shared" si="52"/>
        <v>1.0000013888888888</v>
      </c>
    </row>
    <row r="613" spans="1:16">
      <c r="B613" s="41"/>
      <c r="C613" s="103">
        <f t="shared" si="49"/>
        <v>44411</v>
      </c>
      <c r="E613" s="170"/>
      <c r="F613" s="58" t="str">
        <f>VLOOKUP(MOD(C613,7),'CALENDAR INFO'!$I$2:$J$8,2)</f>
        <v>TUE</v>
      </c>
      <c r="G613" s="214">
        <v>0.1</v>
      </c>
      <c r="H613" s="425">
        <v>0.05</v>
      </c>
      <c r="I613" s="457">
        <f t="shared" si="50"/>
        <v>-0.05</v>
      </c>
      <c r="J613" s="152" t="s">
        <v>152</v>
      </c>
      <c r="K613" s="15">
        <f>K611+K612-1</f>
        <v>641</v>
      </c>
      <c r="L613" s="200">
        <f>K613</f>
        <v>641</v>
      </c>
      <c r="M613" s="113">
        <f t="shared" si="51"/>
        <v>1</v>
      </c>
      <c r="N613" s="64">
        <f t="shared" si="52"/>
        <v>1.0000013888888888</v>
      </c>
    </row>
    <row r="614" spans="1:16">
      <c r="B614" s="41"/>
      <c r="C614" s="103">
        <f t="shared" si="49"/>
        <v>44412</v>
      </c>
      <c r="E614" s="170"/>
      <c r="F614" s="58" t="str">
        <f>VLOOKUP(MOD(C614,7),'CALENDAR INFO'!$I$2:$J$8,2)</f>
        <v>WED</v>
      </c>
      <c r="G614" s="214">
        <v>0.1</v>
      </c>
      <c r="H614" s="425">
        <v>0.05</v>
      </c>
      <c r="I614" s="457">
        <f t="shared" si="50"/>
        <v>-0.05</v>
      </c>
      <c r="J614" s="152"/>
      <c r="K614" s="182"/>
      <c r="L614" s="201"/>
      <c r="M614" s="113">
        <f t="shared" si="51"/>
        <v>1</v>
      </c>
      <c r="N614" s="64">
        <f t="shared" si="52"/>
        <v>1.0000013888888888</v>
      </c>
    </row>
    <row r="615" spans="1:16">
      <c r="B615" s="41"/>
      <c r="C615" s="103">
        <f t="shared" si="49"/>
        <v>44413</v>
      </c>
      <c r="E615" s="170"/>
      <c r="F615" s="58" t="str">
        <f>VLOOKUP(MOD(C615,7),'CALENDAR INFO'!$I$2:$J$8,2)</f>
        <v>THU</v>
      </c>
      <c r="G615" s="214">
        <v>0.1</v>
      </c>
      <c r="H615" s="425">
        <v>0.05</v>
      </c>
      <c r="I615" s="457">
        <f t="shared" si="50"/>
        <v>-0.05</v>
      </c>
      <c r="J615" s="152" t="s">
        <v>153</v>
      </c>
      <c r="K615" s="182" t="str">
        <f>_xlfn.CONCAT("A",TEXT(K612,0),":","A",TEXT(K613,0))</f>
        <v>A611:A641</v>
      </c>
      <c r="L615" s="201" t="str">
        <f>_xlfn.CONCAT("B",TEXT(L612,0),":","B",TEXT(L613,0))</f>
        <v>B611:B641</v>
      </c>
      <c r="M615" s="113">
        <f t="shared" si="51"/>
        <v>1</v>
      </c>
      <c r="N615" s="64">
        <f t="shared" si="52"/>
        <v>1.0000013888888888</v>
      </c>
    </row>
    <row r="616" spans="1:16">
      <c r="B616" s="41"/>
      <c r="C616" s="103">
        <f t="shared" si="49"/>
        <v>44414</v>
      </c>
      <c r="E616" s="170"/>
      <c r="F616" s="58" t="str">
        <f>VLOOKUP(MOD(C616,7),'CALENDAR INFO'!$I$2:$J$8,2)</f>
        <v>FRI</v>
      </c>
      <c r="G616" s="214">
        <v>0.1</v>
      </c>
      <c r="H616" s="425">
        <v>0.05</v>
      </c>
      <c r="I616" s="457">
        <f t="shared" si="50"/>
        <v>-0.05</v>
      </c>
      <c r="J616" s="152" t="s">
        <v>154</v>
      </c>
      <c r="K616" s="182" t="str">
        <f>_xlfn.CONCAT("F",TEXT(K612,0),":","F",TEXT(K613,0))</f>
        <v>F611:F641</v>
      </c>
      <c r="L616" s="201" t="str">
        <f>_xlfn.CONCAT("G",TEXT(L612,0),":","G",TEXT(L613,0))</f>
        <v>G611:G641</v>
      </c>
      <c r="M616" s="113">
        <f t="shared" si="51"/>
        <v>3</v>
      </c>
      <c r="N616" s="64">
        <f t="shared" si="52"/>
        <v>1.0000041666666666</v>
      </c>
      <c r="P616" s="118"/>
    </row>
    <row r="617" spans="1:16">
      <c r="B617" s="41"/>
      <c r="C617" s="103">
        <f t="shared" si="49"/>
        <v>44415</v>
      </c>
      <c r="E617" s="170"/>
      <c r="F617" s="58" t="str">
        <f>VLOOKUP(MOD(C617,7),'CALENDAR INFO'!$I$2:$J$8,2)</f>
        <v>SAT</v>
      </c>
      <c r="G617" s="214">
        <v>0.1</v>
      </c>
      <c r="H617" s="425">
        <v>0.05</v>
      </c>
      <c r="I617" s="457">
        <f t="shared" si="50"/>
        <v>-0.05</v>
      </c>
      <c r="J617" s="152"/>
      <c r="K617" s="152"/>
      <c r="L617" s="202"/>
      <c r="M617" s="113">
        <f t="shared" ref="M617:M643" si="53">IF(MOD(C617,7)&lt;2,0,IF(MOD(C617,7)=6,3,1))</f>
        <v>0</v>
      </c>
      <c r="N617" s="64">
        <f t="shared" si="52"/>
        <v>1</v>
      </c>
      <c r="P617" s="118"/>
    </row>
    <row r="618" spans="1:16">
      <c r="B618" s="41"/>
      <c r="C618" s="103">
        <f t="shared" si="49"/>
        <v>44416</v>
      </c>
      <c r="E618" s="170"/>
      <c r="F618" s="58" t="str">
        <f>VLOOKUP(MOD(C618,7),'CALENDAR INFO'!$I$2:$J$8,2)</f>
        <v>SUN</v>
      </c>
      <c r="G618" s="214">
        <v>0.1</v>
      </c>
      <c r="H618" s="425">
        <v>0.05</v>
      </c>
      <c r="I618" s="457">
        <f t="shared" si="50"/>
        <v>-0.05</v>
      </c>
      <c r="J618" s="152" t="s">
        <v>155</v>
      </c>
      <c r="K618" s="185">
        <f ca="1">SUM(INDIRECT(K615))</f>
        <v>0</v>
      </c>
      <c r="L618" s="179">
        <f ca="1">SUM(INDIRECT(L615))</f>
        <v>0</v>
      </c>
      <c r="M618" s="113">
        <f t="shared" si="53"/>
        <v>0</v>
      </c>
      <c r="N618" s="64">
        <f t="shared" si="52"/>
        <v>1</v>
      </c>
    </row>
    <row r="619" spans="1:16">
      <c r="B619" s="41"/>
      <c r="C619" s="103">
        <f t="shared" si="49"/>
        <v>44417</v>
      </c>
      <c r="E619" s="170"/>
      <c r="F619" s="58" t="str">
        <f>VLOOKUP(MOD(C619,7),'CALENDAR INFO'!$I$2:$J$8,2)</f>
        <v>MON</v>
      </c>
      <c r="G619" s="214">
        <v>0.1</v>
      </c>
      <c r="H619" s="425">
        <v>0.05</v>
      </c>
      <c r="I619" s="457">
        <f t="shared" si="50"/>
        <v>-0.05</v>
      </c>
      <c r="J619" s="152" t="s">
        <v>156</v>
      </c>
      <c r="K619" s="207">
        <f ca="1">SUM(INDIRECT(K616))</f>
        <v>0</v>
      </c>
      <c r="L619" s="208">
        <f ca="1">SUM(INDIRECT(L616))</f>
        <v>2.8600000000000003</v>
      </c>
      <c r="M619" s="113">
        <f t="shared" si="53"/>
        <v>1</v>
      </c>
      <c r="N619" s="64">
        <f t="shared" si="52"/>
        <v>1.0000013888888888</v>
      </c>
    </row>
    <row r="620" spans="1:16">
      <c r="B620" s="41"/>
      <c r="C620" s="103">
        <f t="shared" si="49"/>
        <v>44418</v>
      </c>
      <c r="E620" s="170"/>
      <c r="F620" s="58" t="str">
        <f>VLOOKUP(MOD(C620,7),'CALENDAR INFO'!$I$2:$J$8,2)</f>
        <v>TUE</v>
      </c>
      <c r="G620" s="214">
        <v>0.1</v>
      </c>
      <c r="H620" s="425">
        <v>0.05</v>
      </c>
      <c r="I620" s="457">
        <f t="shared" si="50"/>
        <v>-0.05</v>
      </c>
      <c r="J620" s="152" t="s">
        <v>157</v>
      </c>
      <c r="K620" s="178">
        <f ca="1">K618+K619</f>
        <v>0</v>
      </c>
      <c r="L620" s="192">
        <f ca="1">L618+L619</f>
        <v>2.8600000000000003</v>
      </c>
      <c r="M620" s="113">
        <f t="shared" si="53"/>
        <v>1</v>
      </c>
      <c r="N620" s="64">
        <f t="shared" si="52"/>
        <v>1.0000013888888888</v>
      </c>
    </row>
    <row r="621" spans="1:16">
      <c r="B621" s="41"/>
      <c r="C621" s="103">
        <f t="shared" si="49"/>
        <v>44419</v>
      </c>
      <c r="E621" s="170" t="s">
        <v>19</v>
      </c>
      <c r="F621" s="58" t="str">
        <f>VLOOKUP(MOD(C621,7),'CALENDAR INFO'!$I$2:$J$8,2)</f>
        <v>WED</v>
      </c>
      <c r="G621" s="214">
        <v>0.1</v>
      </c>
      <c r="H621" s="425">
        <v>0.05</v>
      </c>
      <c r="I621" s="457">
        <f t="shared" si="50"/>
        <v>-0.05</v>
      </c>
      <c r="J621" s="152"/>
      <c r="K621" s="178"/>
      <c r="L621" s="192"/>
      <c r="M621" s="113">
        <f t="shared" si="53"/>
        <v>1</v>
      </c>
      <c r="N621" s="64">
        <f t="shared" si="52"/>
        <v>1.0000013888888888</v>
      </c>
    </row>
    <row r="622" spans="1:16">
      <c r="B622" s="41"/>
      <c r="C622" s="103">
        <f t="shared" si="49"/>
        <v>44420</v>
      </c>
      <c r="E622" s="167" t="s">
        <v>18</v>
      </c>
      <c r="F622" s="58" t="str">
        <f>VLOOKUP(MOD(C622,7),'CALENDAR INFO'!$I$2:$J$8,2)</f>
        <v>THU</v>
      </c>
      <c r="G622" s="214">
        <v>0.1</v>
      </c>
      <c r="H622" s="425">
        <v>0.05</v>
      </c>
      <c r="I622" s="457">
        <f t="shared" si="50"/>
        <v>-0.05</v>
      </c>
      <c r="J622" s="152" t="s">
        <v>158</v>
      </c>
      <c r="K622" s="178">
        <f ca="1">K620/K611</f>
        <v>0</v>
      </c>
      <c r="L622" s="192">
        <f ca="1">L620/L611</f>
        <v>9.2258064516129043E-2</v>
      </c>
      <c r="M622" s="113">
        <f t="shared" si="53"/>
        <v>1</v>
      </c>
      <c r="N622" s="64">
        <f t="shared" si="52"/>
        <v>1.0000013888888888</v>
      </c>
    </row>
    <row r="623" spans="1:16">
      <c r="B623" s="41"/>
      <c r="C623" s="103">
        <f t="shared" si="49"/>
        <v>44421</v>
      </c>
      <c r="E623" s="167"/>
      <c r="F623" s="58" t="str">
        <f>VLOOKUP(MOD(C623,7),'CALENDAR INFO'!$I$2:$J$8,2)</f>
        <v>FRI</v>
      </c>
      <c r="G623" s="214">
        <v>0.1</v>
      </c>
      <c r="H623" s="425">
        <v>0.05</v>
      </c>
      <c r="I623" s="457">
        <f t="shared" si="50"/>
        <v>-0.05</v>
      </c>
      <c r="J623" s="152" t="s">
        <v>159</v>
      </c>
      <c r="K623" s="180">
        <f ca="1">100-K622</f>
        <v>100</v>
      </c>
      <c r="L623" s="193">
        <f ca="1">100-L622</f>
        <v>99.90774193548387</v>
      </c>
      <c r="M623" s="113">
        <f t="shared" si="53"/>
        <v>3</v>
      </c>
      <c r="N623" s="64">
        <f t="shared" si="52"/>
        <v>1.0000041666666666</v>
      </c>
    </row>
    <row r="624" spans="1:16">
      <c r="B624" s="41"/>
      <c r="C624" s="103">
        <f t="shared" si="49"/>
        <v>44422</v>
      </c>
      <c r="E624" s="167"/>
      <c r="F624" s="58" t="str">
        <f>VLOOKUP(MOD(C624,7),'CALENDAR INFO'!$I$2:$J$8,2)</f>
        <v>SAT</v>
      </c>
      <c r="G624" s="214">
        <v>0.1</v>
      </c>
      <c r="H624" s="425">
        <v>0.05</v>
      </c>
      <c r="I624" s="457">
        <f t="shared" si="50"/>
        <v>-0.05</v>
      </c>
      <c r="J624" s="152"/>
      <c r="K624" s="178"/>
      <c r="L624" s="192"/>
      <c r="M624" s="113">
        <f t="shared" si="53"/>
        <v>0</v>
      </c>
      <c r="N624" s="64">
        <f t="shared" si="52"/>
        <v>1</v>
      </c>
    </row>
    <row r="625" spans="2:16">
      <c r="B625" s="41"/>
      <c r="C625" s="103">
        <f t="shared" si="49"/>
        <v>44423</v>
      </c>
      <c r="E625" s="167"/>
      <c r="F625" s="58" t="str">
        <f>VLOOKUP(MOD(C625,7),'CALENDAR INFO'!$I$2:$J$8,2)</f>
        <v>SUN</v>
      </c>
      <c r="G625" s="214">
        <v>0.1</v>
      </c>
      <c r="H625" s="425">
        <v>0.05</v>
      </c>
      <c r="I625" s="457">
        <f t="shared" si="50"/>
        <v>-0.05</v>
      </c>
      <c r="J625" s="152"/>
      <c r="K625" s="186"/>
      <c r="L625" s="194"/>
      <c r="M625" s="113">
        <f t="shared" si="53"/>
        <v>0</v>
      </c>
      <c r="N625" s="64">
        <f t="shared" si="52"/>
        <v>1</v>
      </c>
    </row>
    <row r="626" spans="2:16">
      <c r="B626" s="41"/>
      <c r="C626" s="103">
        <f t="shared" si="49"/>
        <v>44424</v>
      </c>
      <c r="E626" s="167"/>
      <c r="F626" s="58" t="str">
        <f>VLOOKUP(MOD(C626,7),'CALENDAR INFO'!$I$2:$J$8,2)</f>
        <v>MON</v>
      </c>
      <c r="G626" s="214">
        <v>0.1</v>
      </c>
      <c r="H626" s="425">
        <v>0.05</v>
      </c>
      <c r="I626" s="457">
        <f t="shared" si="50"/>
        <v>-0.05</v>
      </c>
      <c r="J626" s="152"/>
      <c r="K626" s="152"/>
      <c r="L626" s="202"/>
      <c r="M626" s="113">
        <f t="shared" si="53"/>
        <v>1</v>
      </c>
      <c r="N626" s="64">
        <f t="shared" si="52"/>
        <v>1.0000013888888888</v>
      </c>
    </row>
    <row r="627" spans="2:16">
      <c r="B627" s="41"/>
      <c r="C627" s="103">
        <f t="shared" si="49"/>
        <v>44425</v>
      </c>
      <c r="E627" s="167"/>
      <c r="F627" s="58" t="str">
        <f>VLOOKUP(MOD(C627,7),'CALENDAR INFO'!$I$2:$J$8,2)</f>
        <v>TUE</v>
      </c>
      <c r="G627" s="214">
        <v>0.1</v>
      </c>
      <c r="H627" s="425">
        <v>0.05</v>
      </c>
      <c r="I627" s="457">
        <f t="shared" si="50"/>
        <v>-0.05</v>
      </c>
      <c r="J627" s="152"/>
      <c r="K627" s="152"/>
      <c r="L627" s="202"/>
      <c r="M627" s="113">
        <f t="shared" si="53"/>
        <v>1</v>
      </c>
      <c r="N627" s="64">
        <f t="shared" si="52"/>
        <v>1.0000013888888888</v>
      </c>
    </row>
    <row r="628" spans="2:16">
      <c r="B628" s="41"/>
      <c r="C628" s="103">
        <f t="shared" si="49"/>
        <v>44426</v>
      </c>
      <c r="E628" s="167"/>
      <c r="F628" s="58" t="str">
        <f>VLOOKUP(MOD(C628,7),'CALENDAR INFO'!$I$2:$J$8,2)</f>
        <v>WED</v>
      </c>
      <c r="G628" s="214">
        <v>0.09</v>
      </c>
      <c r="H628" s="425">
        <v>0.05</v>
      </c>
      <c r="I628" s="457">
        <f t="shared" si="50"/>
        <v>-3.9999999999999994E-2</v>
      </c>
      <c r="J628" s="152"/>
      <c r="K628" s="152"/>
      <c r="L628" s="202"/>
      <c r="M628" s="113">
        <f t="shared" si="53"/>
        <v>1</v>
      </c>
      <c r="N628" s="64">
        <f t="shared" si="52"/>
        <v>1.0000013888888888</v>
      </c>
    </row>
    <row r="629" spans="2:16">
      <c r="B629" s="41"/>
      <c r="C629" s="103">
        <f t="shared" ref="C629:C692" si="54">C628+1</f>
        <v>44427</v>
      </c>
      <c r="E629" s="167"/>
      <c r="F629" s="58" t="str">
        <f>VLOOKUP(MOD(C629,7),'CALENDAR INFO'!$I$2:$J$8,2)</f>
        <v>THU</v>
      </c>
      <c r="G629" s="214">
        <v>0.09</v>
      </c>
      <c r="H629" s="425">
        <v>0.05</v>
      </c>
      <c r="I629" s="457">
        <f t="shared" si="50"/>
        <v>-3.9999999999999994E-2</v>
      </c>
      <c r="J629" s="152"/>
      <c r="K629" s="152"/>
      <c r="L629" s="202"/>
      <c r="M629" s="113">
        <f t="shared" si="53"/>
        <v>1</v>
      </c>
      <c r="N629" s="64">
        <f t="shared" si="52"/>
        <v>1.0000013888888888</v>
      </c>
    </row>
    <row r="630" spans="2:16">
      <c r="B630" s="41"/>
      <c r="C630" s="103">
        <f t="shared" si="54"/>
        <v>44428</v>
      </c>
      <c r="E630" s="167"/>
      <c r="F630" s="58" t="str">
        <f>VLOOKUP(MOD(C630,7),'CALENDAR INFO'!$I$2:$J$8,2)</f>
        <v>FRI</v>
      </c>
      <c r="G630" s="214">
        <v>0.09</v>
      </c>
      <c r="H630" s="425">
        <v>0.05</v>
      </c>
      <c r="I630" s="457">
        <f t="shared" si="50"/>
        <v>-3.9999999999999994E-2</v>
      </c>
      <c r="J630" s="152"/>
      <c r="K630" s="152"/>
      <c r="L630" s="202"/>
      <c r="M630" s="113">
        <f t="shared" si="53"/>
        <v>3</v>
      </c>
      <c r="N630" s="64">
        <f t="shared" si="52"/>
        <v>1.0000041666666666</v>
      </c>
    </row>
    <row r="631" spans="2:16">
      <c r="B631" s="41"/>
      <c r="C631" s="103">
        <f t="shared" si="54"/>
        <v>44429</v>
      </c>
      <c r="E631" s="167"/>
      <c r="F631" s="58" t="str">
        <f>VLOOKUP(MOD(C631,7),'CALENDAR INFO'!$I$2:$J$8,2)</f>
        <v>SAT</v>
      </c>
      <c r="G631" s="214">
        <v>0.09</v>
      </c>
      <c r="H631" s="425">
        <v>0.05</v>
      </c>
      <c r="I631" s="457">
        <f t="shared" si="50"/>
        <v>-3.9999999999999994E-2</v>
      </c>
      <c r="J631" s="152"/>
      <c r="K631" s="152"/>
      <c r="L631" s="202"/>
      <c r="M631" s="113">
        <f t="shared" si="53"/>
        <v>0</v>
      </c>
      <c r="N631" s="64">
        <f t="shared" si="52"/>
        <v>1</v>
      </c>
    </row>
    <row r="632" spans="2:16">
      <c r="B632" s="41"/>
      <c r="C632" s="103">
        <f t="shared" si="54"/>
        <v>44430</v>
      </c>
      <c r="E632" s="167"/>
      <c r="F632" s="58" t="str">
        <f>VLOOKUP(MOD(C632,7),'CALENDAR INFO'!$I$2:$J$8,2)</f>
        <v>SUN</v>
      </c>
      <c r="G632" s="214">
        <v>0.09</v>
      </c>
      <c r="H632" s="425">
        <v>0.05</v>
      </c>
      <c r="I632" s="457">
        <f t="shared" si="50"/>
        <v>-3.9999999999999994E-2</v>
      </c>
      <c r="J632" s="152"/>
      <c r="K632" s="152"/>
      <c r="L632" s="202"/>
      <c r="M632" s="113">
        <f t="shared" si="53"/>
        <v>0</v>
      </c>
      <c r="N632" s="64">
        <f t="shared" si="52"/>
        <v>1</v>
      </c>
    </row>
    <row r="633" spans="2:16">
      <c r="B633" s="41"/>
      <c r="C633" s="103">
        <f t="shared" si="54"/>
        <v>44431</v>
      </c>
      <c r="E633" s="167"/>
      <c r="F633" s="58" t="str">
        <f>VLOOKUP(MOD(C633,7),'CALENDAR INFO'!$I$2:$J$8,2)</f>
        <v>MON</v>
      </c>
      <c r="G633" s="214">
        <v>0.09</v>
      </c>
      <c r="H633" s="425">
        <v>0.05</v>
      </c>
      <c r="I633" s="457">
        <f t="shared" si="50"/>
        <v>-3.9999999999999994E-2</v>
      </c>
      <c r="J633" s="152"/>
      <c r="K633" s="152"/>
      <c r="L633" s="202"/>
      <c r="M633" s="113">
        <f t="shared" si="53"/>
        <v>1</v>
      </c>
      <c r="N633" s="64">
        <f t="shared" si="52"/>
        <v>1.0000013888888888</v>
      </c>
    </row>
    <row r="634" spans="2:16">
      <c r="B634" s="41"/>
      <c r="C634" s="103">
        <f t="shared" si="54"/>
        <v>44432</v>
      </c>
      <c r="E634" s="167"/>
      <c r="F634" s="58" t="str">
        <f>VLOOKUP(MOD(C634,7),'CALENDAR INFO'!$I$2:$J$8,2)</f>
        <v>TUE</v>
      </c>
      <c r="G634" s="214">
        <v>0.09</v>
      </c>
      <c r="H634" s="425">
        <v>0.05</v>
      </c>
      <c r="I634" s="457">
        <f t="shared" si="50"/>
        <v>-3.9999999999999994E-2</v>
      </c>
      <c r="J634" s="152"/>
      <c r="K634" s="152"/>
      <c r="L634" s="202"/>
      <c r="M634" s="113">
        <f t="shared" si="53"/>
        <v>1</v>
      </c>
      <c r="N634" s="64">
        <f t="shared" si="52"/>
        <v>1.0000013888888888</v>
      </c>
    </row>
    <row r="635" spans="2:16">
      <c r="B635" s="41"/>
      <c r="C635" s="103">
        <f t="shared" si="54"/>
        <v>44433</v>
      </c>
      <c r="E635" s="167" t="s">
        <v>19</v>
      </c>
      <c r="F635" s="58" t="str">
        <f>VLOOKUP(MOD(C635,7),'CALENDAR INFO'!$I$2:$J$8,2)</f>
        <v>WED</v>
      </c>
      <c r="G635" s="214">
        <v>0.09</v>
      </c>
      <c r="H635" s="425">
        <v>0.05</v>
      </c>
      <c r="I635" s="457">
        <f t="shared" si="50"/>
        <v>-3.9999999999999994E-2</v>
      </c>
      <c r="J635" s="152"/>
      <c r="K635" s="152"/>
      <c r="L635" s="202"/>
      <c r="M635" s="113">
        <f t="shared" si="53"/>
        <v>1</v>
      </c>
      <c r="N635" s="64">
        <f t="shared" si="52"/>
        <v>1.0000013888888888</v>
      </c>
    </row>
    <row r="636" spans="2:16">
      <c r="B636" s="41"/>
      <c r="C636" s="103">
        <f t="shared" si="54"/>
        <v>44434</v>
      </c>
      <c r="E636" s="170" t="s">
        <v>18</v>
      </c>
      <c r="F636" s="58" t="str">
        <f>VLOOKUP(MOD(C636,7),'CALENDAR INFO'!$I$2:$J$8,2)</f>
        <v>THU</v>
      </c>
      <c r="G636" s="214">
        <v>0.09</v>
      </c>
      <c r="H636" s="425">
        <v>0.05</v>
      </c>
      <c r="I636" s="457">
        <f t="shared" si="50"/>
        <v>-3.9999999999999994E-2</v>
      </c>
      <c r="J636" s="152"/>
      <c r="K636" s="182"/>
      <c r="L636" s="201"/>
      <c r="M636" s="113">
        <f t="shared" si="53"/>
        <v>1</v>
      </c>
      <c r="N636" s="64">
        <f t="shared" si="52"/>
        <v>1.0000013888888888</v>
      </c>
    </row>
    <row r="637" spans="2:16">
      <c r="B637" s="41"/>
      <c r="C637" s="103">
        <f t="shared" si="54"/>
        <v>44435</v>
      </c>
      <c r="E637" s="170"/>
      <c r="F637" s="58" t="str">
        <f>VLOOKUP(MOD(C637,7),'CALENDAR INFO'!$I$2:$J$8,2)</f>
        <v>FRI</v>
      </c>
      <c r="G637" s="214">
        <v>0.08</v>
      </c>
      <c r="H637" s="425">
        <v>0.05</v>
      </c>
      <c r="I637" s="457">
        <f t="shared" si="50"/>
        <v>-0.03</v>
      </c>
      <c r="J637" s="152"/>
      <c r="K637" s="152"/>
      <c r="L637" s="202"/>
      <c r="M637" s="113">
        <f t="shared" si="53"/>
        <v>3</v>
      </c>
      <c r="N637" s="64">
        <f t="shared" si="52"/>
        <v>1.0000041666666666</v>
      </c>
      <c r="O637" s="89" t="s">
        <v>93</v>
      </c>
      <c r="P637" s="90"/>
    </row>
    <row r="638" spans="2:16">
      <c r="B638" s="41"/>
      <c r="C638" s="103">
        <f t="shared" si="54"/>
        <v>44436</v>
      </c>
      <c r="E638" s="170"/>
      <c r="F638" s="58" t="str">
        <f>VLOOKUP(MOD(C638,7),'CALENDAR INFO'!$I$2:$J$8,2)</f>
        <v>SAT</v>
      </c>
      <c r="G638" s="214">
        <v>0.08</v>
      </c>
      <c r="H638" s="425">
        <v>0.05</v>
      </c>
      <c r="I638" s="457">
        <f t="shared" si="50"/>
        <v>-0.03</v>
      </c>
      <c r="J638" s="152"/>
      <c r="K638" s="182"/>
      <c r="L638" s="201"/>
      <c r="M638" s="113">
        <f t="shared" si="53"/>
        <v>0</v>
      </c>
      <c r="N638" s="64">
        <f t="shared" si="52"/>
        <v>1</v>
      </c>
      <c r="O638" s="89" t="s">
        <v>26</v>
      </c>
      <c r="P638" s="135"/>
    </row>
    <row r="639" spans="2:16">
      <c r="B639" s="41"/>
      <c r="C639" s="103">
        <f t="shared" si="54"/>
        <v>44437</v>
      </c>
      <c r="E639" s="170"/>
      <c r="F639" s="58" t="str">
        <f>VLOOKUP(MOD(C639,7),'CALENDAR INFO'!$I$2:$J$8,2)</f>
        <v>SUN</v>
      </c>
      <c r="G639" s="214">
        <v>0.08</v>
      </c>
      <c r="H639" s="425">
        <v>0.05</v>
      </c>
      <c r="I639" s="457">
        <f t="shared" si="50"/>
        <v>-0.03</v>
      </c>
      <c r="J639" s="152"/>
      <c r="K639" s="190"/>
      <c r="L639" s="203"/>
      <c r="M639" s="113">
        <f t="shared" si="53"/>
        <v>0</v>
      </c>
      <c r="N639" s="64">
        <f t="shared" si="52"/>
        <v>1</v>
      </c>
      <c r="O639" s="89" t="s">
        <v>76</v>
      </c>
      <c r="P639" s="135"/>
    </row>
    <row r="640" spans="2:16">
      <c r="B640" s="41"/>
      <c r="C640" s="103">
        <f t="shared" si="54"/>
        <v>44438</v>
      </c>
      <c r="E640" s="170"/>
      <c r="F640" s="58" t="str">
        <f>VLOOKUP(MOD(C640,7),'CALENDAR INFO'!$I$2:$J$8,2)</f>
        <v>MON</v>
      </c>
      <c r="G640" s="214">
        <v>0.08</v>
      </c>
      <c r="H640" s="425">
        <v>0.05</v>
      </c>
      <c r="I640" s="457">
        <f t="shared" si="50"/>
        <v>-0.03</v>
      </c>
      <c r="J640" s="152"/>
      <c r="K640" s="182"/>
      <c r="L640" s="201"/>
      <c r="M640" s="113">
        <f t="shared" si="53"/>
        <v>1</v>
      </c>
      <c r="N640" s="64">
        <f t="shared" si="52"/>
        <v>1.0000013888888888</v>
      </c>
    </row>
    <row r="641" spans="1:16" ht="15.75" thickBot="1">
      <c r="A641" s="98"/>
      <c r="B641" s="230"/>
      <c r="C641" s="104">
        <f t="shared" si="54"/>
        <v>44439</v>
      </c>
      <c r="D641" s="112"/>
      <c r="E641" s="101"/>
      <c r="F641" s="71" t="str">
        <f>VLOOKUP(MOD(C641,7),'CALENDAR INFO'!$I$2:$J$8,2)</f>
        <v>TUE</v>
      </c>
      <c r="G641" s="215">
        <v>0.06</v>
      </c>
      <c r="H641" s="426">
        <v>0.05</v>
      </c>
      <c r="I641" s="458">
        <f t="shared" si="50"/>
        <v>-9.999999999999995E-3</v>
      </c>
      <c r="J641" s="437"/>
      <c r="K641" s="184"/>
      <c r="L641" s="205"/>
      <c r="M641" s="114">
        <f t="shared" si="53"/>
        <v>1</v>
      </c>
      <c r="N641" s="77">
        <f t="shared" si="52"/>
        <v>1.0000013888888888</v>
      </c>
    </row>
    <row r="642" spans="1:16">
      <c r="A642" s="100"/>
      <c r="B642" s="231"/>
      <c r="C642" s="109">
        <f t="shared" si="54"/>
        <v>44440</v>
      </c>
      <c r="D642" s="108"/>
      <c r="E642" s="115"/>
      <c r="F642" s="105" t="str">
        <f>VLOOKUP(MOD(C642,7),'CALENDAR INFO'!$I$2:$J$8,2)</f>
        <v>WED</v>
      </c>
      <c r="G642" s="218">
        <v>0.08</v>
      </c>
      <c r="H642" s="430">
        <v>0.05</v>
      </c>
      <c r="I642" s="461">
        <f t="shared" si="50"/>
        <v>-0.03</v>
      </c>
      <c r="J642" s="436" t="s">
        <v>118</v>
      </c>
      <c r="K642" s="15">
        <f>VLOOKUP(MONTH($C642),'CALENDAR INFO'!$I$12:$J$23,2)</f>
        <v>30</v>
      </c>
      <c r="L642" s="179">
        <f>K642</f>
        <v>30</v>
      </c>
      <c r="M642" s="116">
        <f t="shared" si="53"/>
        <v>1</v>
      </c>
      <c r="N642" s="111">
        <f t="shared" si="52"/>
        <v>1.0000013888888888</v>
      </c>
    </row>
    <row r="643" spans="1:16">
      <c r="B643" s="41"/>
      <c r="C643" s="103">
        <f t="shared" si="54"/>
        <v>44441</v>
      </c>
      <c r="E643" s="170"/>
      <c r="F643" s="58" t="str">
        <f>VLOOKUP(MOD(C643,7),'CALENDAR INFO'!$I$2:$J$8,2)</f>
        <v>THU</v>
      </c>
      <c r="G643" s="214">
        <v>0.08</v>
      </c>
      <c r="H643" s="425">
        <v>0.05</v>
      </c>
      <c r="I643" s="457">
        <f t="shared" ref="I643:I706" si="55">H643-G643</f>
        <v>-0.03</v>
      </c>
      <c r="J643" s="152" t="s">
        <v>151</v>
      </c>
      <c r="K643" s="15">
        <f>ROW($C643)-1</f>
        <v>642</v>
      </c>
      <c r="L643" s="179">
        <f>K643</f>
        <v>642</v>
      </c>
      <c r="M643" s="113">
        <f t="shared" si="53"/>
        <v>1</v>
      </c>
      <c r="N643" s="64">
        <f t="shared" si="52"/>
        <v>1.0000013888888888</v>
      </c>
    </row>
    <row r="644" spans="1:16">
      <c r="B644" s="41"/>
      <c r="C644" s="103">
        <f t="shared" si="54"/>
        <v>44442</v>
      </c>
      <c r="E644" s="170"/>
      <c r="F644" s="58" t="str">
        <f>VLOOKUP(MOD(C644,7),'CALENDAR INFO'!$I$2:$J$8,2)</f>
        <v>FRI</v>
      </c>
      <c r="G644" s="214">
        <v>0.08</v>
      </c>
      <c r="H644" s="425">
        <v>0.05</v>
      </c>
      <c r="I644" s="457">
        <f t="shared" si="55"/>
        <v>-0.03</v>
      </c>
      <c r="J644" s="152" t="s">
        <v>152</v>
      </c>
      <c r="K644" s="15">
        <f>K642+K643-1</f>
        <v>671</v>
      </c>
      <c r="L644" s="200">
        <f>K644</f>
        <v>671</v>
      </c>
      <c r="M644" s="117">
        <v>4</v>
      </c>
      <c r="N644" s="64">
        <f t="shared" si="52"/>
        <v>1.0000055555555556</v>
      </c>
    </row>
    <row r="645" spans="1:16">
      <c r="B645" s="41"/>
      <c r="C645" s="103">
        <f t="shared" si="54"/>
        <v>44443</v>
      </c>
      <c r="E645" s="170"/>
      <c r="F645" s="58" t="str">
        <f>VLOOKUP(MOD(C645,7),'CALENDAR INFO'!$I$2:$J$8,2)</f>
        <v>SAT</v>
      </c>
      <c r="G645" s="214">
        <v>0.08</v>
      </c>
      <c r="H645" s="425">
        <v>0.05</v>
      </c>
      <c r="I645" s="457">
        <f t="shared" si="55"/>
        <v>-0.03</v>
      </c>
      <c r="J645" s="152"/>
      <c r="K645" s="182"/>
      <c r="L645" s="201"/>
      <c r="M645" s="113">
        <f>IF(MOD(C645,7)&lt;2,0,IF(MOD(C645,7)=6,3,1))</f>
        <v>0</v>
      </c>
      <c r="N645" s="64">
        <f t="shared" si="52"/>
        <v>1</v>
      </c>
    </row>
    <row r="646" spans="1:16">
      <c r="B646" s="41"/>
      <c r="C646" s="103">
        <f t="shared" si="54"/>
        <v>44444</v>
      </c>
      <c r="E646" s="170"/>
      <c r="F646" s="58" t="str">
        <f>VLOOKUP(MOD(C646,7),'CALENDAR INFO'!$I$2:$J$8,2)</f>
        <v>SUN</v>
      </c>
      <c r="G646" s="214">
        <v>0.08</v>
      </c>
      <c r="H646" s="425">
        <v>0.05</v>
      </c>
      <c r="I646" s="457">
        <f t="shared" si="55"/>
        <v>-0.03</v>
      </c>
      <c r="J646" s="152" t="s">
        <v>153</v>
      </c>
      <c r="K646" s="182" t="str">
        <f>_xlfn.CONCAT("A",TEXT(K643,0),":","A",TEXT(K644,0))</f>
        <v>A642:A671</v>
      </c>
      <c r="L646" s="201" t="str">
        <f>_xlfn.CONCAT("B",TEXT(L643,0),":","B",TEXT(L644,0))</f>
        <v>B642:B671</v>
      </c>
      <c r="M646" s="113">
        <f>IF(MOD(C646,7)&lt;2,0,IF(MOD(C646,7)=6,3,1))</f>
        <v>0</v>
      </c>
      <c r="N646" s="64">
        <f t="shared" si="52"/>
        <v>1</v>
      </c>
    </row>
    <row r="647" spans="1:16">
      <c r="B647" s="41"/>
      <c r="C647" s="103">
        <f t="shared" si="54"/>
        <v>44445</v>
      </c>
      <c r="D647" s="175" t="s">
        <v>112</v>
      </c>
      <c r="E647" s="170"/>
      <c r="F647" s="58" t="str">
        <f>VLOOKUP(MOD(C647,7),'CALENDAR INFO'!$I$2:$J$8,2)</f>
        <v>MON</v>
      </c>
      <c r="G647" s="214">
        <v>0.08</v>
      </c>
      <c r="H647" s="425">
        <v>0.05</v>
      </c>
      <c r="I647" s="457">
        <f t="shared" si="55"/>
        <v>-0.03</v>
      </c>
      <c r="J647" s="152" t="s">
        <v>154</v>
      </c>
      <c r="K647" s="182" t="str">
        <f>_xlfn.CONCAT("F",TEXT(K643,0),":","F",TEXT(K644,0))</f>
        <v>F642:F671</v>
      </c>
      <c r="L647" s="201" t="str">
        <f>_xlfn.CONCAT("G",TEXT(L643,0),":","G",TEXT(L644,0))</f>
        <v>G642:G671</v>
      </c>
      <c r="M647" s="117">
        <v>0</v>
      </c>
      <c r="N647" s="64">
        <f t="shared" si="52"/>
        <v>1</v>
      </c>
    </row>
    <row r="648" spans="1:16">
      <c r="B648" s="41"/>
      <c r="C648" s="103">
        <f t="shared" si="54"/>
        <v>44446</v>
      </c>
      <c r="E648" s="170"/>
      <c r="F648" s="58" t="str">
        <f>VLOOKUP(MOD(C648,7),'CALENDAR INFO'!$I$2:$J$8,2)</f>
        <v>TUE</v>
      </c>
      <c r="G648" s="214">
        <v>0.08</v>
      </c>
      <c r="H648" s="425">
        <v>0.05</v>
      </c>
      <c r="I648" s="457">
        <f t="shared" si="55"/>
        <v>-0.03</v>
      </c>
      <c r="J648" s="152"/>
      <c r="K648" s="152"/>
      <c r="L648" s="202"/>
      <c r="M648" s="113">
        <f t="shared" ref="M648:M678" si="56">IF(MOD(C648,7)&lt;2,0,IF(MOD(C648,7)=6,3,1))</f>
        <v>1</v>
      </c>
      <c r="N648" s="64">
        <f t="shared" si="52"/>
        <v>1.0000013888888888</v>
      </c>
    </row>
    <row r="649" spans="1:16">
      <c r="B649" s="41"/>
      <c r="C649" s="103">
        <f t="shared" si="54"/>
        <v>44447</v>
      </c>
      <c r="E649" s="170" t="s">
        <v>19</v>
      </c>
      <c r="F649" s="58" t="str">
        <f>VLOOKUP(MOD(C649,7),'CALENDAR INFO'!$I$2:$J$8,2)</f>
        <v>WED</v>
      </c>
      <c r="G649" s="214">
        <v>0.08</v>
      </c>
      <c r="H649" s="425">
        <v>0.05</v>
      </c>
      <c r="I649" s="457">
        <f t="shared" si="55"/>
        <v>-0.03</v>
      </c>
      <c r="J649" s="152" t="s">
        <v>155</v>
      </c>
      <c r="K649" s="185">
        <f ca="1">SUM(INDIRECT(K646))</f>
        <v>0</v>
      </c>
      <c r="L649" s="179">
        <f ca="1">SUM(INDIRECT(L646))</f>
        <v>0</v>
      </c>
      <c r="M649" s="113">
        <f t="shared" si="56"/>
        <v>1</v>
      </c>
      <c r="N649" s="64">
        <f t="shared" si="52"/>
        <v>1.0000013888888888</v>
      </c>
    </row>
    <row r="650" spans="1:16">
      <c r="B650" s="41"/>
      <c r="C650" s="103">
        <f t="shared" si="54"/>
        <v>44448</v>
      </c>
      <c r="E650" s="167" t="s">
        <v>18</v>
      </c>
      <c r="F650" s="58" t="str">
        <f>VLOOKUP(MOD(C650,7),'CALENDAR INFO'!$I$2:$J$8,2)</f>
        <v>THU</v>
      </c>
      <c r="G650" s="214">
        <v>0.08</v>
      </c>
      <c r="H650" s="425">
        <v>0.05</v>
      </c>
      <c r="I650" s="457">
        <f t="shared" si="55"/>
        <v>-0.03</v>
      </c>
      <c r="J650" s="152" t="s">
        <v>156</v>
      </c>
      <c r="K650" s="207">
        <f ca="1">SUM(INDIRECT(K647))</f>
        <v>0</v>
      </c>
      <c r="L650" s="208">
        <f ca="1">SUM(INDIRECT(L647))</f>
        <v>2.3800000000000008</v>
      </c>
      <c r="M650" s="113">
        <f t="shared" si="56"/>
        <v>1</v>
      </c>
      <c r="N650" s="64">
        <f t="shared" si="52"/>
        <v>1.0000013888888888</v>
      </c>
    </row>
    <row r="651" spans="1:16">
      <c r="B651" s="41"/>
      <c r="C651" s="103">
        <f t="shared" si="54"/>
        <v>44449</v>
      </c>
      <c r="E651" s="167"/>
      <c r="F651" s="58" t="str">
        <f>VLOOKUP(MOD(C651,7),'CALENDAR INFO'!$I$2:$J$8,2)</f>
        <v>FRI</v>
      </c>
      <c r="G651" s="214">
        <v>0.08</v>
      </c>
      <c r="H651" s="425">
        <v>0.05</v>
      </c>
      <c r="I651" s="457">
        <f t="shared" si="55"/>
        <v>-0.03</v>
      </c>
      <c r="J651" s="152" t="s">
        <v>157</v>
      </c>
      <c r="K651" s="178">
        <f ca="1">K649+K650</f>
        <v>0</v>
      </c>
      <c r="L651" s="192">
        <f ca="1">L649+L650</f>
        <v>2.3800000000000008</v>
      </c>
      <c r="M651" s="113">
        <f t="shared" si="56"/>
        <v>3</v>
      </c>
      <c r="N651" s="64">
        <f t="shared" si="52"/>
        <v>1.0000041666666666</v>
      </c>
    </row>
    <row r="652" spans="1:16">
      <c r="B652" s="41"/>
      <c r="C652" s="103">
        <f t="shared" si="54"/>
        <v>44450</v>
      </c>
      <c r="E652" s="167"/>
      <c r="F652" s="58" t="str">
        <f>VLOOKUP(MOD(C652,7),'CALENDAR INFO'!$I$2:$J$8,2)</f>
        <v>SAT</v>
      </c>
      <c r="G652" s="214">
        <v>0.08</v>
      </c>
      <c r="H652" s="425">
        <v>0.05</v>
      </c>
      <c r="I652" s="457">
        <f t="shared" si="55"/>
        <v>-0.03</v>
      </c>
      <c r="J652" s="152"/>
      <c r="K652" s="178"/>
      <c r="L652" s="192"/>
      <c r="M652" s="113">
        <f t="shared" si="56"/>
        <v>0</v>
      </c>
      <c r="N652" s="64">
        <f t="shared" si="52"/>
        <v>1</v>
      </c>
      <c r="O652" s="89" t="s">
        <v>93</v>
      </c>
      <c r="P652" s="90"/>
    </row>
    <row r="653" spans="1:16">
      <c r="B653" s="41"/>
      <c r="C653" s="103">
        <f t="shared" si="54"/>
        <v>44451</v>
      </c>
      <c r="E653" s="167"/>
      <c r="F653" s="58" t="str">
        <f>VLOOKUP(MOD(C653,7),'CALENDAR INFO'!$I$2:$J$8,2)</f>
        <v>SUN</v>
      </c>
      <c r="G653" s="214">
        <v>0.08</v>
      </c>
      <c r="H653" s="425">
        <v>0.05</v>
      </c>
      <c r="I653" s="457">
        <f t="shared" si="55"/>
        <v>-0.03</v>
      </c>
      <c r="J653" s="152" t="s">
        <v>158</v>
      </c>
      <c r="K653" s="178">
        <f ca="1">K651/K642</f>
        <v>0</v>
      </c>
      <c r="L653" s="192">
        <f ca="1">L651/L642</f>
        <v>7.9333333333333353E-2</v>
      </c>
      <c r="M653" s="113">
        <f t="shared" si="56"/>
        <v>0</v>
      </c>
      <c r="N653" s="64">
        <f t="shared" si="52"/>
        <v>1</v>
      </c>
      <c r="O653" s="89" t="s">
        <v>77</v>
      </c>
      <c r="P653" s="135"/>
    </row>
    <row r="654" spans="1:16">
      <c r="B654" s="41"/>
      <c r="C654" s="103">
        <f t="shared" si="54"/>
        <v>44452</v>
      </c>
      <c r="E654" s="167"/>
      <c r="F654" s="58" t="str">
        <f>VLOOKUP(MOD(C654,7),'CALENDAR INFO'!$I$2:$J$8,2)</f>
        <v>MON</v>
      </c>
      <c r="G654" s="214">
        <v>0.08</v>
      </c>
      <c r="H654" s="425">
        <v>0.05</v>
      </c>
      <c r="I654" s="457">
        <f t="shared" si="55"/>
        <v>-0.03</v>
      </c>
      <c r="J654" s="152" t="s">
        <v>159</v>
      </c>
      <c r="K654" s="180">
        <f ca="1">100-K653</f>
        <v>100</v>
      </c>
      <c r="L654" s="193">
        <f ca="1">100-L653</f>
        <v>99.920666666666662</v>
      </c>
      <c r="M654" s="113">
        <f t="shared" si="56"/>
        <v>1</v>
      </c>
      <c r="N654" s="64">
        <f t="shared" si="52"/>
        <v>1.0000013888888888</v>
      </c>
    </row>
    <row r="655" spans="1:16">
      <c r="B655" s="41"/>
      <c r="C655" s="103">
        <f t="shared" si="54"/>
        <v>44453</v>
      </c>
      <c r="E655" s="167"/>
      <c r="F655" s="58" t="str">
        <f>VLOOKUP(MOD(C655,7),'CALENDAR INFO'!$I$2:$J$8,2)</f>
        <v>TUE</v>
      </c>
      <c r="G655" s="214">
        <v>0.08</v>
      </c>
      <c r="H655" s="425">
        <v>0.05</v>
      </c>
      <c r="I655" s="457">
        <f t="shared" si="55"/>
        <v>-0.03</v>
      </c>
      <c r="J655" s="152"/>
      <c r="K655" s="178"/>
      <c r="L655" s="192"/>
      <c r="M655" s="113">
        <f t="shared" si="56"/>
        <v>1</v>
      </c>
      <c r="N655" s="64">
        <f t="shared" si="52"/>
        <v>1.0000013888888888</v>
      </c>
    </row>
    <row r="656" spans="1:16">
      <c r="B656" s="41"/>
      <c r="C656" s="103">
        <f t="shared" si="54"/>
        <v>44454</v>
      </c>
      <c r="E656" s="167"/>
      <c r="F656" s="58" t="str">
        <f>VLOOKUP(MOD(C656,7),'CALENDAR INFO'!$I$2:$J$8,2)</f>
        <v>WED</v>
      </c>
      <c r="G656" s="214">
        <v>0.08</v>
      </c>
      <c r="H656" s="425">
        <v>0.05</v>
      </c>
      <c r="I656" s="457">
        <f t="shared" si="55"/>
        <v>-0.03</v>
      </c>
      <c r="J656" s="152"/>
      <c r="K656" s="186"/>
      <c r="L656" s="194"/>
      <c r="M656" s="113">
        <f t="shared" si="56"/>
        <v>1</v>
      </c>
      <c r="N656" s="64">
        <f t="shared" si="52"/>
        <v>1.0000013888888888</v>
      </c>
    </row>
    <row r="657" spans="1:16">
      <c r="B657" s="41"/>
      <c r="C657" s="103">
        <f t="shared" si="54"/>
        <v>44455</v>
      </c>
      <c r="E657" s="167"/>
      <c r="F657" s="58" t="str">
        <f>VLOOKUP(MOD(C657,7),'CALENDAR INFO'!$I$2:$J$8,2)</f>
        <v>THU</v>
      </c>
      <c r="G657" s="214">
        <v>0.08</v>
      </c>
      <c r="H657" s="425">
        <v>0.05</v>
      </c>
      <c r="I657" s="457">
        <f t="shared" si="55"/>
        <v>-0.03</v>
      </c>
      <c r="J657" s="152"/>
      <c r="K657" s="152"/>
      <c r="L657" s="202"/>
      <c r="M657" s="113">
        <f t="shared" si="56"/>
        <v>1</v>
      </c>
      <c r="N657" s="64">
        <f t="shared" si="52"/>
        <v>1.0000013888888888</v>
      </c>
    </row>
    <row r="658" spans="1:16">
      <c r="B658" s="41"/>
      <c r="C658" s="103">
        <f t="shared" si="54"/>
        <v>44456</v>
      </c>
      <c r="E658" s="167"/>
      <c r="F658" s="58" t="str">
        <f>VLOOKUP(MOD(C658,7),'CALENDAR INFO'!$I$2:$J$8,2)</f>
        <v>FRI</v>
      </c>
      <c r="G658" s="214">
        <v>0.08</v>
      </c>
      <c r="H658" s="425">
        <v>0.05</v>
      </c>
      <c r="I658" s="457">
        <f t="shared" si="55"/>
        <v>-0.03</v>
      </c>
      <c r="J658" s="152"/>
      <c r="K658" s="152"/>
      <c r="L658" s="202"/>
      <c r="M658" s="113">
        <f t="shared" si="56"/>
        <v>3</v>
      </c>
      <c r="N658" s="64">
        <f t="shared" si="52"/>
        <v>1.0000041666666666</v>
      </c>
    </row>
    <row r="659" spans="1:16">
      <c r="B659" s="41"/>
      <c r="C659" s="103">
        <f t="shared" si="54"/>
        <v>44457</v>
      </c>
      <c r="E659" s="167"/>
      <c r="F659" s="58" t="str">
        <f>VLOOKUP(MOD(C659,7),'CALENDAR INFO'!$I$2:$J$8,2)</f>
        <v>SAT</v>
      </c>
      <c r="G659" s="214">
        <v>0.08</v>
      </c>
      <c r="H659" s="425">
        <v>0.05</v>
      </c>
      <c r="I659" s="457">
        <f t="shared" si="55"/>
        <v>-0.03</v>
      </c>
      <c r="J659" s="152"/>
      <c r="K659" s="152"/>
      <c r="L659" s="202"/>
      <c r="M659" s="113">
        <f t="shared" si="56"/>
        <v>0</v>
      </c>
      <c r="N659" s="64">
        <f t="shared" ref="N659:N722" si="57">1+(M659/360)*(MAX(H659,B659)/100)</f>
        <v>1</v>
      </c>
    </row>
    <row r="660" spans="1:16">
      <c r="B660" s="41"/>
      <c r="C660" s="103">
        <f t="shared" si="54"/>
        <v>44458</v>
      </c>
      <c r="E660" s="167"/>
      <c r="F660" s="58" t="str">
        <f>VLOOKUP(MOD(C660,7),'CALENDAR INFO'!$I$2:$J$8,2)</f>
        <v>SUN</v>
      </c>
      <c r="G660" s="214">
        <v>0.08</v>
      </c>
      <c r="H660" s="425">
        <v>0.05</v>
      </c>
      <c r="I660" s="457">
        <f t="shared" si="55"/>
        <v>-0.03</v>
      </c>
      <c r="J660" s="152"/>
      <c r="K660" s="152"/>
      <c r="L660" s="202"/>
      <c r="M660" s="113">
        <f t="shared" si="56"/>
        <v>0</v>
      </c>
      <c r="N660" s="64">
        <f t="shared" si="57"/>
        <v>1</v>
      </c>
    </row>
    <row r="661" spans="1:16">
      <c r="B661" s="41"/>
      <c r="C661" s="103">
        <f t="shared" si="54"/>
        <v>44459</v>
      </c>
      <c r="E661" s="167"/>
      <c r="F661" s="58" t="str">
        <f>VLOOKUP(MOD(C661,7),'CALENDAR INFO'!$I$2:$J$8,2)</f>
        <v>MON</v>
      </c>
      <c r="G661" s="214">
        <v>0.08</v>
      </c>
      <c r="H661" s="425">
        <v>0.05</v>
      </c>
      <c r="I661" s="457">
        <f t="shared" si="55"/>
        <v>-0.03</v>
      </c>
      <c r="J661" s="152"/>
      <c r="K661" s="152"/>
      <c r="L661" s="202"/>
      <c r="M661" s="113">
        <f t="shared" si="56"/>
        <v>1</v>
      </c>
      <c r="N661" s="64">
        <f t="shared" si="57"/>
        <v>1.0000013888888888</v>
      </c>
    </row>
    <row r="662" spans="1:16">
      <c r="B662" s="41"/>
      <c r="C662" s="103">
        <f t="shared" si="54"/>
        <v>44460</v>
      </c>
      <c r="D662" s="153" t="s">
        <v>20</v>
      </c>
      <c r="E662" s="167"/>
      <c r="F662" s="58" t="str">
        <f>VLOOKUP(MOD(C662,7),'CALENDAR INFO'!$I$2:$J$8,2)</f>
        <v>TUE</v>
      </c>
      <c r="G662" s="214">
        <v>0.08</v>
      </c>
      <c r="H662" s="425">
        <v>0.05</v>
      </c>
      <c r="I662" s="457">
        <f t="shared" si="55"/>
        <v>-0.03</v>
      </c>
      <c r="J662" s="152"/>
      <c r="K662" s="152"/>
      <c r="L662" s="202"/>
      <c r="M662" s="113">
        <f t="shared" si="56"/>
        <v>1</v>
      </c>
      <c r="N662" s="64">
        <f t="shared" si="57"/>
        <v>1.0000013888888888</v>
      </c>
    </row>
    <row r="663" spans="1:16">
      <c r="B663" s="41"/>
      <c r="C663" s="103">
        <f t="shared" si="54"/>
        <v>44461</v>
      </c>
      <c r="D663" s="153" t="s">
        <v>20</v>
      </c>
      <c r="E663" s="167" t="s">
        <v>19</v>
      </c>
      <c r="F663" s="58" t="str">
        <f>VLOOKUP(MOD(C663,7),'CALENDAR INFO'!$I$2:$J$8,2)</f>
        <v>WED</v>
      </c>
      <c r="G663" s="214">
        <v>0.08</v>
      </c>
      <c r="H663" s="425">
        <v>0.05</v>
      </c>
      <c r="I663" s="457">
        <f t="shared" si="55"/>
        <v>-0.03</v>
      </c>
      <c r="J663" s="152"/>
      <c r="K663" s="152"/>
      <c r="L663" s="202"/>
      <c r="M663" s="113">
        <f t="shared" si="56"/>
        <v>1</v>
      </c>
      <c r="N663" s="64">
        <f t="shared" si="57"/>
        <v>1.0000013888888888</v>
      </c>
    </row>
    <row r="664" spans="1:16">
      <c r="B664" s="41"/>
      <c r="C664" s="103">
        <f t="shared" si="54"/>
        <v>44462</v>
      </c>
      <c r="E664" s="170" t="s">
        <v>18</v>
      </c>
      <c r="F664" s="58" t="str">
        <f>VLOOKUP(MOD(C664,7),'CALENDAR INFO'!$I$2:$J$8,2)</f>
        <v>THU</v>
      </c>
      <c r="G664" s="214">
        <v>0.08</v>
      </c>
      <c r="H664" s="425">
        <v>0.05</v>
      </c>
      <c r="I664" s="457">
        <f t="shared" si="55"/>
        <v>-0.03</v>
      </c>
      <c r="J664" s="152"/>
      <c r="K664" s="152"/>
      <c r="L664" s="202"/>
      <c r="M664" s="113">
        <f t="shared" si="56"/>
        <v>1</v>
      </c>
      <c r="N664" s="64">
        <f t="shared" si="57"/>
        <v>1.0000013888888888</v>
      </c>
    </row>
    <row r="665" spans="1:16">
      <c r="B665" s="41"/>
      <c r="C665" s="103">
        <f t="shared" si="54"/>
        <v>44463</v>
      </c>
      <c r="E665" s="170"/>
      <c r="F665" s="58" t="str">
        <f>VLOOKUP(MOD(C665,7),'CALENDAR INFO'!$I$2:$J$8,2)</f>
        <v>FRI</v>
      </c>
      <c r="G665" s="214">
        <v>0.08</v>
      </c>
      <c r="H665" s="425">
        <v>0.05</v>
      </c>
      <c r="I665" s="457">
        <f t="shared" si="55"/>
        <v>-0.03</v>
      </c>
      <c r="J665" s="152"/>
      <c r="K665" s="152"/>
      <c r="L665" s="202"/>
      <c r="M665" s="113">
        <f t="shared" si="56"/>
        <v>3</v>
      </c>
      <c r="N665" s="64">
        <f t="shared" si="57"/>
        <v>1.0000041666666666</v>
      </c>
    </row>
    <row r="666" spans="1:16">
      <c r="B666" s="41"/>
      <c r="C666" s="103">
        <f t="shared" si="54"/>
        <v>44464</v>
      </c>
      <c r="E666" s="170"/>
      <c r="F666" s="58" t="str">
        <f>VLOOKUP(MOD(C666,7),'CALENDAR INFO'!$I$2:$J$8,2)</f>
        <v>SAT</v>
      </c>
      <c r="G666" s="214">
        <v>0.08</v>
      </c>
      <c r="H666" s="425">
        <v>0.05</v>
      </c>
      <c r="I666" s="457">
        <f t="shared" si="55"/>
        <v>-0.03</v>
      </c>
      <c r="J666" s="152"/>
      <c r="K666" s="182"/>
      <c r="L666" s="201"/>
      <c r="M666" s="113">
        <f t="shared" si="56"/>
        <v>0</v>
      </c>
      <c r="N666" s="64">
        <f t="shared" si="57"/>
        <v>1</v>
      </c>
    </row>
    <row r="667" spans="1:16">
      <c r="B667" s="41"/>
      <c r="C667" s="103">
        <f t="shared" si="54"/>
        <v>44465</v>
      </c>
      <c r="E667" s="170"/>
      <c r="F667" s="58" t="str">
        <f>VLOOKUP(MOD(C667,7),'CALENDAR INFO'!$I$2:$J$8,2)</f>
        <v>SUN</v>
      </c>
      <c r="G667" s="214">
        <v>0.08</v>
      </c>
      <c r="H667" s="425">
        <v>0.05</v>
      </c>
      <c r="I667" s="457">
        <f t="shared" si="55"/>
        <v>-0.03</v>
      </c>
      <c r="J667" s="152"/>
      <c r="K667" s="152"/>
      <c r="L667" s="202"/>
      <c r="M667" s="113">
        <f t="shared" si="56"/>
        <v>0</v>
      </c>
      <c r="N667" s="64">
        <f t="shared" si="57"/>
        <v>1</v>
      </c>
      <c r="O667" s="89" t="s">
        <v>93</v>
      </c>
      <c r="P667" s="90"/>
    </row>
    <row r="668" spans="1:16">
      <c r="B668" s="41"/>
      <c r="C668" s="103">
        <f t="shared" si="54"/>
        <v>44466</v>
      </c>
      <c r="E668" s="170"/>
      <c r="F668" s="58" t="str">
        <f>VLOOKUP(MOD(C668,7),'CALENDAR INFO'!$I$2:$J$8,2)</f>
        <v>MON</v>
      </c>
      <c r="G668" s="214">
        <v>0.08</v>
      </c>
      <c r="H668" s="425">
        <v>0.05</v>
      </c>
      <c r="I668" s="457">
        <f t="shared" si="55"/>
        <v>-0.03</v>
      </c>
      <c r="J668" s="152"/>
      <c r="K668" s="182"/>
      <c r="L668" s="201"/>
      <c r="M668" s="113">
        <f t="shared" si="56"/>
        <v>1</v>
      </c>
      <c r="N668" s="64">
        <f t="shared" si="57"/>
        <v>1.0000013888888888</v>
      </c>
      <c r="O668" s="89" t="s">
        <v>26</v>
      </c>
      <c r="P668" s="135"/>
    </row>
    <row r="669" spans="1:16">
      <c r="B669" s="41"/>
      <c r="C669" s="103">
        <f t="shared" si="54"/>
        <v>44467</v>
      </c>
      <c r="E669" s="170"/>
      <c r="F669" s="58" t="str">
        <f>VLOOKUP(MOD(C669,7),'CALENDAR INFO'!$I$2:$J$8,2)</f>
        <v>TUE</v>
      </c>
      <c r="G669" s="214">
        <v>0.08</v>
      </c>
      <c r="H669" s="425">
        <v>0.05</v>
      </c>
      <c r="I669" s="457">
        <f t="shared" si="55"/>
        <v>-0.03</v>
      </c>
      <c r="J669" s="152"/>
      <c r="K669" s="190"/>
      <c r="L669" s="203"/>
      <c r="M669" s="113">
        <f t="shared" si="56"/>
        <v>1</v>
      </c>
      <c r="N669" s="64">
        <f t="shared" si="57"/>
        <v>1.0000013888888888</v>
      </c>
      <c r="O669" s="89" t="s">
        <v>76</v>
      </c>
      <c r="P669" s="135"/>
    </row>
    <row r="670" spans="1:16">
      <c r="B670" s="41"/>
      <c r="C670" s="103">
        <f t="shared" si="54"/>
        <v>44468</v>
      </c>
      <c r="E670" s="170"/>
      <c r="F670" s="58" t="str">
        <f>VLOOKUP(MOD(C670,7),'CALENDAR INFO'!$I$2:$J$8,2)</f>
        <v>WED</v>
      </c>
      <c r="G670" s="214">
        <v>0.08</v>
      </c>
      <c r="H670" s="425">
        <v>0.05</v>
      </c>
      <c r="I670" s="457">
        <f t="shared" si="55"/>
        <v>-0.03</v>
      </c>
      <c r="J670" s="152"/>
      <c r="K670" s="182"/>
      <c r="L670" s="201"/>
      <c r="M670" s="113">
        <f t="shared" si="56"/>
        <v>1</v>
      </c>
      <c r="N670" s="64">
        <f t="shared" si="57"/>
        <v>1.0000013888888888</v>
      </c>
    </row>
    <row r="671" spans="1:16" ht="15.75" thickBot="1">
      <c r="A671" s="98"/>
      <c r="B671" s="230"/>
      <c r="C671" s="104">
        <f t="shared" si="54"/>
        <v>44469</v>
      </c>
      <c r="D671" s="112"/>
      <c r="E671" s="101"/>
      <c r="F671" s="71" t="str">
        <f>VLOOKUP(MOD(C671,7),'CALENDAR INFO'!$I$2:$J$8,2)</f>
        <v>THU</v>
      </c>
      <c r="G671" s="215">
        <v>0.06</v>
      </c>
      <c r="H671" s="426">
        <v>0.05</v>
      </c>
      <c r="I671" s="458">
        <f t="shared" si="55"/>
        <v>-9.999999999999995E-3</v>
      </c>
      <c r="J671" s="437"/>
      <c r="K671" s="184"/>
      <c r="L671" s="205"/>
      <c r="M671" s="114">
        <f t="shared" si="56"/>
        <v>1</v>
      </c>
      <c r="N671" s="77">
        <f t="shared" si="57"/>
        <v>1.0000013888888888</v>
      </c>
    </row>
    <row r="672" spans="1:16">
      <c r="A672" s="100"/>
      <c r="B672" s="231"/>
      <c r="C672" s="109">
        <f t="shared" si="54"/>
        <v>44470</v>
      </c>
      <c r="D672" s="108"/>
      <c r="E672" s="115"/>
      <c r="F672" s="105" t="str">
        <f>VLOOKUP(MOD(C672,7),'CALENDAR INFO'!$I$2:$J$8,2)</f>
        <v>FRI</v>
      </c>
      <c r="G672" s="218">
        <v>0.08</v>
      </c>
      <c r="H672" s="430">
        <v>0.05</v>
      </c>
      <c r="I672" s="461">
        <f t="shared" si="55"/>
        <v>-0.03</v>
      </c>
      <c r="J672" s="436" t="s">
        <v>118</v>
      </c>
      <c r="K672" s="15">
        <f>VLOOKUP(MONTH($C672),'CALENDAR INFO'!$I$12:$J$23,2)</f>
        <v>31</v>
      </c>
      <c r="L672" s="179">
        <f>K672</f>
        <v>31</v>
      </c>
      <c r="M672" s="116">
        <f t="shared" si="56"/>
        <v>3</v>
      </c>
      <c r="N672" s="111">
        <f t="shared" si="57"/>
        <v>1.0000041666666666</v>
      </c>
    </row>
    <row r="673" spans="2:14">
      <c r="B673" s="41"/>
      <c r="C673" s="103">
        <f t="shared" si="54"/>
        <v>44471</v>
      </c>
      <c r="E673" s="170"/>
      <c r="F673" s="58" t="str">
        <f>VLOOKUP(MOD(C673,7),'CALENDAR INFO'!$I$2:$J$8,2)</f>
        <v>SAT</v>
      </c>
      <c r="G673" s="214">
        <v>0.08</v>
      </c>
      <c r="H673" s="425">
        <v>0.05</v>
      </c>
      <c r="I673" s="457">
        <f t="shared" si="55"/>
        <v>-0.03</v>
      </c>
      <c r="J673" s="152" t="s">
        <v>151</v>
      </c>
      <c r="K673" s="15">
        <f>ROW($C673)-1</f>
        <v>672</v>
      </c>
      <c r="L673" s="179">
        <f>K673</f>
        <v>672</v>
      </c>
      <c r="M673" s="113">
        <f t="shared" si="56"/>
        <v>0</v>
      </c>
      <c r="N673" s="64">
        <f t="shared" si="57"/>
        <v>1</v>
      </c>
    </row>
    <row r="674" spans="2:14">
      <c r="B674" s="41"/>
      <c r="C674" s="103">
        <f t="shared" si="54"/>
        <v>44472</v>
      </c>
      <c r="E674" s="170"/>
      <c r="F674" s="58" t="str">
        <f>VLOOKUP(MOD(C674,7),'CALENDAR INFO'!$I$2:$J$8,2)</f>
        <v>SUN</v>
      </c>
      <c r="G674" s="214">
        <v>0.08</v>
      </c>
      <c r="H674" s="425">
        <v>0.05</v>
      </c>
      <c r="I674" s="457">
        <f t="shared" si="55"/>
        <v>-0.03</v>
      </c>
      <c r="J674" s="152" t="s">
        <v>152</v>
      </c>
      <c r="K674" s="15">
        <f>K672+K673-1</f>
        <v>702</v>
      </c>
      <c r="L674" s="200">
        <f>K674</f>
        <v>702</v>
      </c>
      <c r="M674" s="113">
        <f t="shared" si="56"/>
        <v>0</v>
      </c>
      <c r="N674" s="64">
        <f t="shared" si="57"/>
        <v>1</v>
      </c>
    </row>
    <row r="675" spans="2:14">
      <c r="B675" s="41"/>
      <c r="C675" s="103">
        <f t="shared" si="54"/>
        <v>44473</v>
      </c>
      <c r="E675" s="170"/>
      <c r="F675" s="58" t="str">
        <f>VLOOKUP(MOD(C675,7),'CALENDAR INFO'!$I$2:$J$8,2)</f>
        <v>MON</v>
      </c>
      <c r="G675" s="214">
        <v>0.08</v>
      </c>
      <c r="H675" s="425">
        <v>0.05</v>
      </c>
      <c r="I675" s="457">
        <f t="shared" si="55"/>
        <v>-0.03</v>
      </c>
      <c r="J675" s="152"/>
      <c r="K675" s="182"/>
      <c r="L675" s="201"/>
      <c r="M675" s="113">
        <f t="shared" si="56"/>
        <v>1</v>
      </c>
      <c r="N675" s="64">
        <f t="shared" si="57"/>
        <v>1.0000013888888888</v>
      </c>
    </row>
    <row r="676" spans="2:14">
      <c r="B676" s="41"/>
      <c r="C676" s="103">
        <f t="shared" si="54"/>
        <v>44474</v>
      </c>
      <c r="E676" s="170"/>
      <c r="F676" s="58" t="str">
        <f>VLOOKUP(MOD(C676,7),'CALENDAR INFO'!$I$2:$J$8,2)</f>
        <v>TUE</v>
      </c>
      <c r="G676" s="214">
        <v>0.08</v>
      </c>
      <c r="H676" s="425">
        <v>0.05</v>
      </c>
      <c r="I676" s="457">
        <f t="shared" si="55"/>
        <v>-0.03</v>
      </c>
      <c r="J676" s="152" t="s">
        <v>153</v>
      </c>
      <c r="K676" s="182" t="str">
        <f>_xlfn.CONCAT("A",TEXT(K673,0),":","A",TEXT(K674,0))</f>
        <v>A672:A702</v>
      </c>
      <c r="L676" s="201" t="str">
        <f>_xlfn.CONCAT("B",TEXT(L673,0),":","B",TEXT(L674,0))</f>
        <v>B672:B702</v>
      </c>
      <c r="M676" s="113">
        <f t="shared" si="56"/>
        <v>1</v>
      </c>
      <c r="N676" s="64">
        <f t="shared" si="57"/>
        <v>1.0000013888888888</v>
      </c>
    </row>
    <row r="677" spans="2:14">
      <c r="B677" s="41"/>
      <c r="C677" s="103">
        <f t="shared" si="54"/>
        <v>44475</v>
      </c>
      <c r="E677" s="170" t="s">
        <v>19</v>
      </c>
      <c r="F677" s="58" t="str">
        <f>VLOOKUP(MOD(C677,7),'CALENDAR INFO'!$I$2:$J$8,2)</f>
        <v>WED</v>
      </c>
      <c r="G677" s="214">
        <v>0.08</v>
      </c>
      <c r="H677" s="425">
        <v>0.05</v>
      </c>
      <c r="I677" s="457">
        <f t="shared" si="55"/>
        <v>-0.03</v>
      </c>
      <c r="J677" s="152" t="s">
        <v>154</v>
      </c>
      <c r="K677" s="182" t="str">
        <f>_xlfn.CONCAT("F",TEXT(K673,0),":","F",TEXT(K674,0))</f>
        <v>F672:F702</v>
      </c>
      <c r="L677" s="201" t="str">
        <f>_xlfn.CONCAT("G",TEXT(L673,0),":","G",TEXT(L674,0))</f>
        <v>G672:G702</v>
      </c>
      <c r="M677" s="113">
        <f t="shared" si="56"/>
        <v>1</v>
      </c>
      <c r="N677" s="64">
        <f t="shared" si="57"/>
        <v>1.0000013888888888</v>
      </c>
    </row>
    <row r="678" spans="2:14">
      <c r="B678" s="41"/>
      <c r="C678" s="103">
        <f t="shared" si="54"/>
        <v>44476</v>
      </c>
      <c r="E678" s="167" t="s">
        <v>18</v>
      </c>
      <c r="F678" s="58" t="str">
        <f>VLOOKUP(MOD(C678,7),'CALENDAR INFO'!$I$2:$J$8,2)</f>
        <v>THU</v>
      </c>
      <c r="G678" s="214">
        <v>0.08</v>
      </c>
      <c r="H678" s="425">
        <v>0.05</v>
      </c>
      <c r="I678" s="457">
        <f t="shared" si="55"/>
        <v>-0.03</v>
      </c>
      <c r="J678" s="152"/>
      <c r="K678" s="152"/>
      <c r="L678" s="202"/>
      <c r="M678" s="113">
        <f t="shared" si="56"/>
        <v>1</v>
      </c>
      <c r="N678" s="64">
        <f t="shared" si="57"/>
        <v>1.0000013888888888</v>
      </c>
    </row>
    <row r="679" spans="2:14">
      <c r="B679" s="41"/>
      <c r="C679" s="103">
        <f t="shared" si="54"/>
        <v>44477</v>
      </c>
      <c r="E679" s="167"/>
      <c r="F679" s="58" t="str">
        <f>VLOOKUP(MOD(C679,7),'CALENDAR INFO'!$I$2:$J$8,2)</f>
        <v>FRI</v>
      </c>
      <c r="G679" s="214">
        <v>0.08</v>
      </c>
      <c r="H679" s="425">
        <v>0.05</v>
      </c>
      <c r="I679" s="457">
        <f t="shared" si="55"/>
        <v>-0.03</v>
      </c>
      <c r="J679" s="152" t="s">
        <v>155</v>
      </c>
      <c r="K679" s="185">
        <f ca="1">SUM(INDIRECT(K676))</f>
        <v>0</v>
      </c>
      <c r="L679" s="179">
        <f ca="1">SUM(INDIRECT(L676))</f>
        <v>0</v>
      </c>
      <c r="M679" s="117">
        <v>4</v>
      </c>
      <c r="N679" s="64">
        <f t="shared" si="57"/>
        <v>1.0000055555555556</v>
      </c>
    </row>
    <row r="680" spans="2:14">
      <c r="B680" s="41"/>
      <c r="C680" s="103">
        <f t="shared" si="54"/>
        <v>44478</v>
      </c>
      <c r="E680" s="167"/>
      <c r="F680" s="58" t="str">
        <f>VLOOKUP(MOD(C680,7),'CALENDAR INFO'!$I$2:$J$8,2)</f>
        <v>SAT</v>
      </c>
      <c r="G680" s="214">
        <v>0.08</v>
      </c>
      <c r="H680" s="425">
        <v>0.05</v>
      </c>
      <c r="I680" s="457">
        <f t="shared" si="55"/>
        <v>-0.03</v>
      </c>
      <c r="J680" s="152" t="s">
        <v>156</v>
      </c>
      <c r="K680" s="207">
        <f ca="1">SUM(INDIRECT(K677))</f>
        <v>0</v>
      </c>
      <c r="L680" s="208">
        <f ca="1">SUM(INDIRECT(L677))</f>
        <v>2.4500000000000002</v>
      </c>
      <c r="M680" s="113">
        <f>IF(MOD(C680,7)&lt;2,0,IF(MOD(C680,7)=6,3,1))</f>
        <v>0</v>
      </c>
      <c r="N680" s="64">
        <f t="shared" si="57"/>
        <v>1</v>
      </c>
    </row>
    <row r="681" spans="2:14">
      <c r="B681" s="41"/>
      <c r="C681" s="103">
        <f t="shared" si="54"/>
        <v>44479</v>
      </c>
      <c r="E681" s="167"/>
      <c r="F681" s="58" t="str">
        <f>VLOOKUP(MOD(C681,7),'CALENDAR INFO'!$I$2:$J$8,2)</f>
        <v>SUN</v>
      </c>
      <c r="G681" s="214">
        <v>0.08</v>
      </c>
      <c r="H681" s="425">
        <v>0.05</v>
      </c>
      <c r="I681" s="457">
        <f t="shared" si="55"/>
        <v>-0.03</v>
      </c>
      <c r="J681" s="152" t="s">
        <v>157</v>
      </c>
      <c r="K681" s="178">
        <f ca="1">K679+K680</f>
        <v>0</v>
      </c>
      <c r="L681" s="192">
        <f ca="1">L679+L680</f>
        <v>2.4500000000000002</v>
      </c>
      <c r="M681" s="113">
        <f>IF(MOD(C681,7)&lt;2,0,IF(MOD(C681,7)=6,3,1))</f>
        <v>0</v>
      </c>
      <c r="N681" s="64">
        <f t="shared" si="57"/>
        <v>1</v>
      </c>
    </row>
    <row r="682" spans="2:14">
      <c r="B682" s="41"/>
      <c r="C682" s="103">
        <f t="shared" si="54"/>
        <v>44480</v>
      </c>
      <c r="D682" s="173" t="s">
        <v>108</v>
      </c>
      <c r="E682" s="167"/>
      <c r="F682" s="58" t="str">
        <f>VLOOKUP(MOD(C682,7),'CALENDAR INFO'!$I$2:$J$8,2)</f>
        <v>MON</v>
      </c>
      <c r="G682" s="214">
        <v>0.08</v>
      </c>
      <c r="H682" s="425">
        <v>0.05</v>
      </c>
      <c r="I682" s="457">
        <f t="shared" si="55"/>
        <v>-0.03</v>
      </c>
      <c r="J682" s="152"/>
      <c r="K682" s="178"/>
      <c r="L682" s="192"/>
      <c r="M682" s="117">
        <v>0</v>
      </c>
      <c r="N682" s="64">
        <f t="shared" si="57"/>
        <v>1</v>
      </c>
    </row>
    <row r="683" spans="2:14">
      <c r="B683" s="41"/>
      <c r="C683" s="103">
        <f t="shared" si="54"/>
        <v>44481</v>
      </c>
      <c r="E683" s="167"/>
      <c r="F683" s="58" t="str">
        <f>VLOOKUP(MOD(C683,7),'CALENDAR INFO'!$I$2:$J$8,2)</f>
        <v>TUE</v>
      </c>
      <c r="G683" s="214">
        <v>0.08</v>
      </c>
      <c r="H683" s="425">
        <v>0.05</v>
      </c>
      <c r="I683" s="457">
        <f t="shared" si="55"/>
        <v>-0.03</v>
      </c>
      <c r="J683" s="152" t="s">
        <v>158</v>
      </c>
      <c r="K683" s="178">
        <f ca="1">K681/K672</f>
        <v>0</v>
      </c>
      <c r="L683" s="192">
        <f ca="1">L681/L672</f>
        <v>7.9032258064516137E-2</v>
      </c>
      <c r="M683" s="113">
        <f t="shared" ref="M683:M711" si="58">IF(MOD(C683,7)&lt;2,0,IF(MOD(C683,7)=6,3,1))</f>
        <v>1</v>
      </c>
      <c r="N683" s="64">
        <f t="shared" si="57"/>
        <v>1.0000013888888888</v>
      </c>
    </row>
    <row r="684" spans="2:14">
      <c r="B684" s="41"/>
      <c r="C684" s="103">
        <f t="shared" si="54"/>
        <v>44482</v>
      </c>
      <c r="E684" s="167"/>
      <c r="F684" s="58" t="str">
        <f>VLOOKUP(MOD(C684,7),'CALENDAR INFO'!$I$2:$J$8,2)</f>
        <v>WED</v>
      </c>
      <c r="G684" s="214">
        <v>0.08</v>
      </c>
      <c r="H684" s="425">
        <v>0.05</v>
      </c>
      <c r="I684" s="457">
        <f t="shared" si="55"/>
        <v>-0.03</v>
      </c>
      <c r="J684" s="152" t="s">
        <v>159</v>
      </c>
      <c r="K684" s="180">
        <f ca="1">100-K683</f>
        <v>100</v>
      </c>
      <c r="L684" s="193">
        <f ca="1">100-L683</f>
        <v>99.920967741935485</v>
      </c>
      <c r="M684" s="113">
        <f t="shared" si="58"/>
        <v>1</v>
      </c>
      <c r="N684" s="64">
        <f t="shared" si="57"/>
        <v>1.0000013888888888</v>
      </c>
    </row>
    <row r="685" spans="2:14">
      <c r="B685" s="41"/>
      <c r="C685" s="103">
        <f t="shared" si="54"/>
        <v>44483</v>
      </c>
      <c r="E685" s="167"/>
      <c r="F685" s="58" t="str">
        <f>VLOOKUP(MOD(C685,7),'CALENDAR INFO'!$I$2:$J$8,2)</f>
        <v>THU</v>
      </c>
      <c r="G685" s="214">
        <v>0.08</v>
      </c>
      <c r="H685" s="425">
        <v>0.05</v>
      </c>
      <c r="I685" s="457">
        <f t="shared" si="55"/>
        <v>-0.03</v>
      </c>
      <c r="J685" s="152"/>
      <c r="K685" s="178"/>
      <c r="L685" s="192"/>
      <c r="M685" s="113">
        <f t="shared" si="58"/>
        <v>1</v>
      </c>
      <c r="N685" s="64">
        <f t="shared" si="57"/>
        <v>1.0000013888888888</v>
      </c>
    </row>
    <row r="686" spans="2:14">
      <c r="B686" s="41"/>
      <c r="C686" s="103">
        <f t="shared" si="54"/>
        <v>44484</v>
      </c>
      <c r="E686" s="167"/>
      <c r="F686" s="58" t="str">
        <f>VLOOKUP(MOD(C686,7),'CALENDAR INFO'!$I$2:$J$8,2)</f>
        <v>FRI</v>
      </c>
      <c r="G686" s="214">
        <v>0.08</v>
      </c>
      <c r="H686" s="425">
        <v>0.05</v>
      </c>
      <c r="I686" s="457">
        <f t="shared" si="55"/>
        <v>-0.03</v>
      </c>
      <c r="J686" s="152"/>
      <c r="K686" s="186"/>
      <c r="L686" s="194"/>
      <c r="M686" s="113">
        <f t="shared" si="58"/>
        <v>3</v>
      </c>
      <c r="N686" s="64">
        <f t="shared" si="57"/>
        <v>1.0000041666666666</v>
      </c>
    </row>
    <row r="687" spans="2:14">
      <c r="B687" s="41"/>
      <c r="C687" s="103">
        <f t="shared" si="54"/>
        <v>44485</v>
      </c>
      <c r="E687" s="167"/>
      <c r="F687" s="58" t="str">
        <f>VLOOKUP(MOD(C687,7),'CALENDAR INFO'!$I$2:$J$8,2)</f>
        <v>SAT</v>
      </c>
      <c r="G687" s="214">
        <v>0.08</v>
      </c>
      <c r="H687" s="425">
        <v>0.05</v>
      </c>
      <c r="I687" s="457">
        <f t="shared" si="55"/>
        <v>-0.03</v>
      </c>
      <c r="J687" s="152"/>
      <c r="K687" s="152"/>
      <c r="L687" s="202"/>
      <c r="M687" s="113">
        <f t="shared" si="58"/>
        <v>0</v>
      </c>
      <c r="N687" s="64">
        <f t="shared" si="57"/>
        <v>1</v>
      </c>
    </row>
    <row r="688" spans="2:14">
      <c r="B688" s="41"/>
      <c r="C688" s="103">
        <f t="shared" si="54"/>
        <v>44486</v>
      </c>
      <c r="E688" s="167"/>
      <c r="F688" s="58" t="str">
        <f>VLOOKUP(MOD(C688,7),'CALENDAR INFO'!$I$2:$J$8,2)</f>
        <v>SUN</v>
      </c>
      <c r="G688" s="214">
        <v>0.08</v>
      </c>
      <c r="H688" s="425">
        <v>0.05</v>
      </c>
      <c r="I688" s="457">
        <f t="shared" si="55"/>
        <v>-0.03</v>
      </c>
      <c r="J688" s="152"/>
      <c r="K688" s="152"/>
      <c r="L688" s="202"/>
      <c r="M688" s="113">
        <f t="shared" si="58"/>
        <v>0</v>
      </c>
      <c r="N688" s="64">
        <f t="shared" si="57"/>
        <v>1</v>
      </c>
    </row>
    <row r="689" spans="1:16">
      <c r="B689" s="41"/>
      <c r="C689" s="103">
        <f t="shared" si="54"/>
        <v>44487</v>
      </c>
      <c r="E689" s="167"/>
      <c r="F689" s="58" t="str">
        <f>VLOOKUP(MOD(C689,7),'CALENDAR INFO'!$I$2:$J$8,2)</f>
        <v>MON</v>
      </c>
      <c r="G689" s="214">
        <v>0.08</v>
      </c>
      <c r="H689" s="425">
        <v>0.05</v>
      </c>
      <c r="I689" s="457">
        <f t="shared" si="55"/>
        <v>-0.03</v>
      </c>
      <c r="J689" s="152"/>
      <c r="K689" s="152"/>
      <c r="L689" s="202"/>
      <c r="M689" s="113">
        <f t="shared" si="58"/>
        <v>1</v>
      </c>
      <c r="N689" s="64">
        <f t="shared" si="57"/>
        <v>1.0000013888888888</v>
      </c>
    </row>
    <row r="690" spans="1:16">
      <c r="B690" s="41"/>
      <c r="C690" s="103">
        <f t="shared" si="54"/>
        <v>44488</v>
      </c>
      <c r="E690" s="167"/>
      <c r="F690" s="58" t="str">
        <f>VLOOKUP(MOD(C690,7),'CALENDAR INFO'!$I$2:$J$8,2)</f>
        <v>TUE</v>
      </c>
      <c r="G690" s="214">
        <v>0.08</v>
      </c>
      <c r="H690" s="425">
        <v>0.03</v>
      </c>
      <c r="I690" s="457">
        <f t="shared" si="55"/>
        <v>-0.05</v>
      </c>
      <c r="J690" s="152"/>
      <c r="K690" s="152"/>
      <c r="L690" s="202"/>
      <c r="M690" s="113">
        <f t="shared" si="58"/>
        <v>1</v>
      </c>
      <c r="N690" s="64">
        <f t="shared" si="57"/>
        <v>1.0000008333333332</v>
      </c>
    </row>
    <row r="691" spans="1:16">
      <c r="B691" s="41"/>
      <c r="C691" s="103">
        <f t="shared" si="54"/>
        <v>44489</v>
      </c>
      <c r="E691" s="167" t="s">
        <v>19</v>
      </c>
      <c r="F691" s="58" t="str">
        <f>VLOOKUP(MOD(C691,7),'CALENDAR INFO'!$I$2:$J$8,2)</f>
        <v>WED</v>
      </c>
      <c r="G691" s="214">
        <v>0.08</v>
      </c>
      <c r="H691" s="425">
        <v>0.03</v>
      </c>
      <c r="I691" s="457">
        <f t="shared" si="55"/>
        <v>-0.05</v>
      </c>
      <c r="J691" s="152"/>
      <c r="K691" s="152"/>
      <c r="L691" s="202"/>
      <c r="M691" s="113">
        <f t="shared" si="58"/>
        <v>1</v>
      </c>
      <c r="N691" s="64">
        <f t="shared" si="57"/>
        <v>1.0000008333333332</v>
      </c>
    </row>
    <row r="692" spans="1:16">
      <c r="B692" s="41"/>
      <c r="C692" s="103">
        <f t="shared" si="54"/>
        <v>44490</v>
      </c>
      <c r="E692" s="170" t="s">
        <v>18</v>
      </c>
      <c r="F692" s="58" t="str">
        <f>VLOOKUP(MOD(C692,7),'CALENDAR INFO'!$I$2:$J$8,2)</f>
        <v>THU</v>
      </c>
      <c r="G692" s="214">
        <v>0.08</v>
      </c>
      <c r="H692" s="425">
        <v>0.03</v>
      </c>
      <c r="I692" s="457">
        <f t="shared" si="55"/>
        <v>-0.05</v>
      </c>
      <c r="J692" s="152"/>
      <c r="K692" s="152"/>
      <c r="L692" s="202"/>
      <c r="M692" s="113">
        <f t="shared" si="58"/>
        <v>1</v>
      </c>
      <c r="N692" s="64">
        <f t="shared" si="57"/>
        <v>1.0000008333333332</v>
      </c>
    </row>
    <row r="693" spans="1:16">
      <c r="B693" s="41"/>
      <c r="C693" s="103">
        <f t="shared" ref="C693:C756" si="59">C692+1</f>
        <v>44491</v>
      </c>
      <c r="E693" s="170"/>
      <c r="F693" s="58" t="str">
        <f>VLOOKUP(MOD(C693,7),'CALENDAR INFO'!$I$2:$J$8,2)</f>
        <v>FRI</v>
      </c>
      <c r="G693" s="214">
        <v>0.08</v>
      </c>
      <c r="H693" s="425">
        <v>0.05</v>
      </c>
      <c r="I693" s="457">
        <f t="shared" si="55"/>
        <v>-0.03</v>
      </c>
      <c r="J693" s="152"/>
      <c r="K693" s="152"/>
      <c r="L693" s="202"/>
      <c r="M693" s="113">
        <f t="shared" si="58"/>
        <v>3</v>
      </c>
      <c r="N693" s="64">
        <f t="shared" si="57"/>
        <v>1.0000041666666666</v>
      </c>
    </row>
    <row r="694" spans="1:16">
      <c r="B694" s="41"/>
      <c r="C694" s="103">
        <f t="shared" si="59"/>
        <v>44492</v>
      </c>
      <c r="E694" s="170"/>
      <c r="F694" s="58" t="str">
        <f>VLOOKUP(MOD(C694,7),'CALENDAR INFO'!$I$2:$J$8,2)</f>
        <v>SAT</v>
      </c>
      <c r="G694" s="214">
        <v>0.08</v>
      </c>
      <c r="H694" s="425">
        <v>0.05</v>
      </c>
      <c r="I694" s="457">
        <f t="shared" si="55"/>
        <v>-0.03</v>
      </c>
      <c r="J694" s="152"/>
      <c r="K694" s="152"/>
      <c r="L694" s="202"/>
      <c r="M694" s="113">
        <f t="shared" si="58"/>
        <v>0</v>
      </c>
      <c r="N694" s="64">
        <f t="shared" si="57"/>
        <v>1</v>
      </c>
    </row>
    <row r="695" spans="1:16">
      <c r="B695" s="41"/>
      <c r="C695" s="103">
        <f t="shared" si="59"/>
        <v>44493</v>
      </c>
      <c r="E695" s="170"/>
      <c r="F695" s="58" t="str">
        <f>VLOOKUP(MOD(C695,7),'CALENDAR INFO'!$I$2:$J$8,2)</f>
        <v>SUN</v>
      </c>
      <c r="G695" s="214">
        <v>0.08</v>
      </c>
      <c r="H695" s="425">
        <v>0.05</v>
      </c>
      <c r="I695" s="457">
        <f t="shared" si="55"/>
        <v>-0.03</v>
      </c>
      <c r="J695" s="152"/>
      <c r="K695" s="152"/>
      <c r="L695" s="202"/>
      <c r="M695" s="113">
        <f t="shared" si="58"/>
        <v>0</v>
      </c>
      <c r="N695" s="64">
        <f t="shared" si="57"/>
        <v>1</v>
      </c>
    </row>
    <row r="696" spans="1:16">
      <c r="B696" s="41"/>
      <c r="C696" s="103">
        <f t="shared" si="59"/>
        <v>44494</v>
      </c>
      <c r="E696" s="170"/>
      <c r="F696" s="58" t="str">
        <f>VLOOKUP(MOD(C696,7),'CALENDAR INFO'!$I$2:$J$8,2)</f>
        <v>MON</v>
      </c>
      <c r="G696" s="214">
        <v>0.08</v>
      </c>
      <c r="H696" s="425">
        <v>0.04</v>
      </c>
      <c r="I696" s="457">
        <f t="shared" si="55"/>
        <v>-0.04</v>
      </c>
      <c r="J696" s="152"/>
      <c r="K696" s="152"/>
      <c r="L696" s="202"/>
      <c r="M696" s="113">
        <f t="shared" si="58"/>
        <v>1</v>
      </c>
      <c r="N696" s="64">
        <f t="shared" si="57"/>
        <v>1.0000011111111111</v>
      </c>
    </row>
    <row r="697" spans="1:16">
      <c r="B697" s="41"/>
      <c r="C697" s="103">
        <f t="shared" si="59"/>
        <v>44495</v>
      </c>
      <c r="E697" s="170"/>
      <c r="F697" s="58" t="str">
        <f>VLOOKUP(MOD(C697,7),'CALENDAR INFO'!$I$2:$J$8,2)</f>
        <v>TUE</v>
      </c>
      <c r="G697" s="214">
        <v>0.08</v>
      </c>
      <c r="H697" s="425">
        <v>0.05</v>
      </c>
      <c r="I697" s="457">
        <f t="shared" si="55"/>
        <v>-0.03</v>
      </c>
      <c r="J697" s="152"/>
      <c r="K697" s="182"/>
      <c r="L697" s="201"/>
      <c r="M697" s="113">
        <f t="shared" si="58"/>
        <v>1</v>
      </c>
      <c r="N697" s="64">
        <f t="shared" si="57"/>
        <v>1.0000013888888888</v>
      </c>
    </row>
    <row r="698" spans="1:16">
      <c r="B698" s="41"/>
      <c r="C698" s="103">
        <f t="shared" si="59"/>
        <v>44496</v>
      </c>
      <c r="E698" s="170"/>
      <c r="F698" s="58" t="str">
        <f>VLOOKUP(MOD(C698,7),'CALENDAR INFO'!$I$2:$J$8,2)</f>
        <v>WED</v>
      </c>
      <c r="G698" s="214">
        <v>0.08</v>
      </c>
      <c r="H698" s="425">
        <v>0.05</v>
      </c>
      <c r="I698" s="457">
        <f t="shared" si="55"/>
        <v>-0.03</v>
      </c>
      <c r="J698" s="152"/>
      <c r="K698" s="152"/>
      <c r="L698" s="202"/>
      <c r="M698" s="113">
        <f t="shared" si="58"/>
        <v>1</v>
      </c>
      <c r="N698" s="64">
        <f t="shared" si="57"/>
        <v>1.0000013888888888</v>
      </c>
      <c r="O698" s="89" t="s">
        <v>93</v>
      </c>
      <c r="P698" s="90"/>
    </row>
    <row r="699" spans="1:16">
      <c r="B699" s="41"/>
      <c r="C699" s="103">
        <f t="shared" si="59"/>
        <v>44497</v>
      </c>
      <c r="E699" s="170"/>
      <c r="F699" s="58" t="str">
        <f>VLOOKUP(MOD(C699,7),'CALENDAR INFO'!$I$2:$J$8,2)</f>
        <v>THU</v>
      </c>
      <c r="G699" s="214">
        <v>0.08</v>
      </c>
      <c r="H699" s="425">
        <v>0.05</v>
      </c>
      <c r="I699" s="457">
        <f t="shared" si="55"/>
        <v>-0.03</v>
      </c>
      <c r="J699" s="152"/>
      <c r="K699" s="182"/>
      <c r="L699" s="201"/>
      <c r="M699" s="113">
        <f t="shared" si="58"/>
        <v>1</v>
      </c>
      <c r="N699" s="64">
        <f t="shared" si="57"/>
        <v>1.0000013888888888</v>
      </c>
      <c r="O699" s="89" t="s">
        <v>26</v>
      </c>
      <c r="P699" s="135"/>
    </row>
    <row r="700" spans="1:16">
      <c r="B700" s="41"/>
      <c r="C700" s="103">
        <f t="shared" si="59"/>
        <v>44498</v>
      </c>
      <c r="E700" s="170"/>
      <c r="F700" s="58" t="str">
        <f>VLOOKUP(MOD(C700,7),'CALENDAR INFO'!$I$2:$J$8,2)</f>
        <v>FRI</v>
      </c>
      <c r="G700" s="214">
        <v>7.0000000000000007E-2</v>
      </c>
      <c r="H700" s="425">
        <v>0.05</v>
      </c>
      <c r="I700" s="457">
        <f t="shared" si="55"/>
        <v>-2.0000000000000004E-2</v>
      </c>
      <c r="J700" s="152"/>
      <c r="K700" s="190"/>
      <c r="L700" s="203"/>
      <c r="M700" s="113">
        <f t="shared" si="58"/>
        <v>3</v>
      </c>
      <c r="N700" s="64">
        <f t="shared" si="57"/>
        <v>1.0000041666666666</v>
      </c>
      <c r="O700" s="89" t="s">
        <v>76</v>
      </c>
      <c r="P700" s="135"/>
    </row>
    <row r="701" spans="1:16">
      <c r="B701" s="41"/>
      <c r="C701" s="103">
        <f t="shared" si="59"/>
        <v>44499</v>
      </c>
      <c r="E701" s="170"/>
      <c r="F701" s="58" t="str">
        <f>VLOOKUP(MOD(C701,7),'CALENDAR INFO'!$I$2:$J$8,2)</f>
        <v>SAT</v>
      </c>
      <c r="G701" s="214">
        <v>7.0000000000000007E-2</v>
      </c>
      <c r="H701" s="425">
        <v>0.05</v>
      </c>
      <c r="I701" s="457">
        <f t="shared" si="55"/>
        <v>-2.0000000000000004E-2</v>
      </c>
      <c r="J701" s="152"/>
      <c r="K701" s="182"/>
      <c r="L701" s="201"/>
      <c r="M701" s="113">
        <f t="shared" si="58"/>
        <v>0</v>
      </c>
      <c r="N701" s="64">
        <f t="shared" si="57"/>
        <v>1</v>
      </c>
    </row>
    <row r="702" spans="1:16" ht="15.75" thickBot="1">
      <c r="A702" s="98"/>
      <c r="B702" s="230"/>
      <c r="C702" s="104">
        <f t="shared" si="59"/>
        <v>44500</v>
      </c>
      <c r="D702" s="112"/>
      <c r="E702" s="101"/>
      <c r="F702" s="71" t="str">
        <f>VLOOKUP(MOD(C702,7),'CALENDAR INFO'!$I$2:$J$8,2)</f>
        <v>SUN</v>
      </c>
      <c r="G702" s="215">
        <v>7.0000000000000007E-2</v>
      </c>
      <c r="H702" s="426">
        <v>0.05</v>
      </c>
      <c r="I702" s="458">
        <f t="shared" si="55"/>
        <v>-2.0000000000000004E-2</v>
      </c>
      <c r="J702" s="437"/>
      <c r="K702" s="184"/>
      <c r="L702" s="205"/>
      <c r="M702" s="114">
        <f t="shared" si="58"/>
        <v>0</v>
      </c>
      <c r="N702" s="77">
        <f t="shared" si="57"/>
        <v>1</v>
      </c>
    </row>
    <row r="703" spans="1:16">
      <c r="A703" s="100"/>
      <c r="B703" s="231"/>
      <c r="C703" s="109">
        <f t="shared" si="59"/>
        <v>44501</v>
      </c>
      <c r="D703" s="108"/>
      <c r="E703" s="115"/>
      <c r="F703" s="105" t="str">
        <f>VLOOKUP(MOD(C703,7),'CALENDAR INFO'!$I$2:$J$8,2)</f>
        <v>MON</v>
      </c>
      <c r="G703" s="218">
        <v>0.08</v>
      </c>
      <c r="H703" s="430">
        <v>0.05</v>
      </c>
      <c r="I703" s="461">
        <f t="shared" si="55"/>
        <v>-0.03</v>
      </c>
      <c r="J703" s="436" t="s">
        <v>118</v>
      </c>
      <c r="K703" s="15">
        <f>VLOOKUP(MONTH($C703),'CALENDAR INFO'!$I$12:$J$23,2)</f>
        <v>30</v>
      </c>
      <c r="L703" s="179">
        <f>K703</f>
        <v>30</v>
      </c>
      <c r="M703" s="116">
        <f t="shared" si="58"/>
        <v>1</v>
      </c>
      <c r="N703" s="111">
        <f t="shared" si="57"/>
        <v>1.0000013888888888</v>
      </c>
    </row>
    <row r="704" spans="1:16">
      <c r="B704" s="41"/>
      <c r="C704" s="103">
        <f t="shared" si="59"/>
        <v>44502</v>
      </c>
      <c r="D704" s="153" t="s">
        <v>20</v>
      </c>
      <c r="E704" s="170"/>
      <c r="F704" s="58" t="str">
        <f>VLOOKUP(MOD(C704,7),'CALENDAR INFO'!$I$2:$J$8,2)</f>
        <v>TUE</v>
      </c>
      <c r="G704" s="214">
        <v>0.08</v>
      </c>
      <c r="H704" s="425">
        <v>0.05</v>
      </c>
      <c r="I704" s="457">
        <f t="shared" si="55"/>
        <v>-0.03</v>
      </c>
      <c r="J704" s="152" t="s">
        <v>151</v>
      </c>
      <c r="K704" s="15">
        <f>ROW($C704)-1</f>
        <v>703</v>
      </c>
      <c r="L704" s="179">
        <f>K704</f>
        <v>703</v>
      </c>
      <c r="M704" s="113">
        <f t="shared" si="58"/>
        <v>1</v>
      </c>
      <c r="N704" s="64">
        <f t="shared" si="57"/>
        <v>1.0000013888888888</v>
      </c>
    </row>
    <row r="705" spans="2:14">
      <c r="B705" s="41"/>
      <c r="C705" s="103">
        <f t="shared" si="59"/>
        <v>44503</v>
      </c>
      <c r="D705" s="153" t="s">
        <v>20</v>
      </c>
      <c r="E705" s="170" t="s">
        <v>19</v>
      </c>
      <c r="F705" s="58" t="str">
        <f>VLOOKUP(MOD(C705,7),'CALENDAR INFO'!$I$2:$J$8,2)</f>
        <v>WED</v>
      </c>
      <c r="G705" s="214">
        <v>0.08</v>
      </c>
      <c r="H705" s="425">
        <v>0.05</v>
      </c>
      <c r="I705" s="457">
        <f t="shared" si="55"/>
        <v>-0.03</v>
      </c>
      <c r="J705" s="152" t="s">
        <v>152</v>
      </c>
      <c r="K705" s="15">
        <f>K703+K704-1</f>
        <v>732</v>
      </c>
      <c r="L705" s="200">
        <f>K705</f>
        <v>732</v>
      </c>
      <c r="M705" s="113">
        <f t="shared" si="58"/>
        <v>1</v>
      </c>
      <c r="N705" s="64">
        <f t="shared" si="57"/>
        <v>1.0000013888888888</v>
      </c>
    </row>
    <row r="706" spans="2:14">
      <c r="B706" s="41"/>
      <c r="C706" s="103">
        <f t="shared" si="59"/>
        <v>44504</v>
      </c>
      <c r="E706" s="167" t="s">
        <v>18</v>
      </c>
      <c r="F706" s="58" t="str">
        <f>VLOOKUP(MOD(C706,7),'CALENDAR INFO'!$I$2:$J$8,2)</f>
        <v>THU</v>
      </c>
      <c r="G706" s="214">
        <v>0.08</v>
      </c>
      <c r="H706" s="425">
        <v>0.05</v>
      </c>
      <c r="I706" s="457">
        <f t="shared" si="55"/>
        <v>-0.03</v>
      </c>
      <c r="J706" s="152"/>
      <c r="K706" s="182"/>
      <c r="L706" s="201"/>
      <c r="M706" s="113">
        <f t="shared" si="58"/>
        <v>1</v>
      </c>
      <c r="N706" s="64">
        <f t="shared" si="57"/>
        <v>1.0000013888888888</v>
      </c>
    </row>
    <row r="707" spans="2:14">
      <c r="B707" s="41"/>
      <c r="C707" s="103">
        <f t="shared" si="59"/>
        <v>44505</v>
      </c>
      <c r="E707" s="167"/>
      <c r="F707" s="58" t="str">
        <f>VLOOKUP(MOD(C707,7),'CALENDAR INFO'!$I$2:$J$8,2)</f>
        <v>FRI</v>
      </c>
      <c r="G707" s="214">
        <v>0.08</v>
      </c>
      <c r="H707" s="425">
        <v>0.05</v>
      </c>
      <c r="I707" s="457">
        <f t="shared" ref="I707:I770" si="60">H707-G707</f>
        <v>-0.03</v>
      </c>
      <c r="J707" s="152" t="s">
        <v>153</v>
      </c>
      <c r="K707" s="182" t="str">
        <f>_xlfn.CONCAT("A",TEXT(K704,0),":","A",TEXT(K705,0))</f>
        <v>A703:A732</v>
      </c>
      <c r="L707" s="201" t="str">
        <f>_xlfn.CONCAT("B",TEXT(L704,0),":","B",TEXT(L705,0))</f>
        <v>B703:B732</v>
      </c>
      <c r="M707" s="113">
        <f t="shared" si="58"/>
        <v>3</v>
      </c>
      <c r="N707" s="64">
        <f t="shared" si="57"/>
        <v>1.0000041666666666</v>
      </c>
    </row>
    <row r="708" spans="2:14">
      <c r="B708" s="41"/>
      <c r="C708" s="103">
        <f t="shared" si="59"/>
        <v>44506</v>
      </c>
      <c r="E708" s="167"/>
      <c r="F708" s="58" t="str">
        <f>VLOOKUP(MOD(C708,7),'CALENDAR INFO'!$I$2:$J$8,2)</f>
        <v>SAT</v>
      </c>
      <c r="G708" s="214">
        <v>0.08</v>
      </c>
      <c r="H708" s="425">
        <v>0.05</v>
      </c>
      <c r="I708" s="457">
        <f t="shared" si="60"/>
        <v>-0.03</v>
      </c>
      <c r="J708" s="152" t="s">
        <v>154</v>
      </c>
      <c r="K708" s="182" t="str">
        <f>_xlfn.CONCAT("F",TEXT(K704,0),":","F",TEXT(K705,0))</f>
        <v>F703:F732</v>
      </c>
      <c r="L708" s="201" t="str">
        <f>_xlfn.CONCAT("G",TEXT(L704,0),":","G",TEXT(L705,0))</f>
        <v>G703:G732</v>
      </c>
      <c r="M708" s="113">
        <f t="shared" si="58"/>
        <v>0</v>
      </c>
      <c r="N708" s="64">
        <f t="shared" si="57"/>
        <v>1</v>
      </c>
    </row>
    <row r="709" spans="2:14">
      <c r="B709" s="41"/>
      <c r="C709" s="103">
        <f t="shared" si="59"/>
        <v>44507</v>
      </c>
      <c r="E709" s="167"/>
      <c r="F709" s="58" t="str">
        <f>VLOOKUP(MOD(C709,7),'CALENDAR INFO'!$I$2:$J$8,2)</f>
        <v>SUN</v>
      </c>
      <c r="G709" s="214">
        <v>0.08</v>
      </c>
      <c r="H709" s="425">
        <v>0.05</v>
      </c>
      <c r="I709" s="457">
        <f t="shared" si="60"/>
        <v>-0.03</v>
      </c>
      <c r="J709" s="152"/>
      <c r="K709" s="152"/>
      <c r="L709" s="202"/>
      <c r="M709" s="113">
        <f t="shared" si="58"/>
        <v>0</v>
      </c>
      <c r="N709" s="64">
        <f t="shared" si="57"/>
        <v>1</v>
      </c>
    </row>
    <row r="710" spans="2:14">
      <c r="B710" s="41"/>
      <c r="C710" s="103">
        <f t="shared" si="59"/>
        <v>44508</v>
      </c>
      <c r="E710" s="167"/>
      <c r="F710" s="58" t="str">
        <f>VLOOKUP(MOD(C710,7),'CALENDAR INFO'!$I$2:$J$8,2)</f>
        <v>MON</v>
      </c>
      <c r="G710" s="214">
        <v>0.08</v>
      </c>
      <c r="H710" s="425">
        <v>0.05</v>
      </c>
      <c r="I710" s="457">
        <f t="shared" si="60"/>
        <v>-0.03</v>
      </c>
      <c r="J710" s="152" t="s">
        <v>155</v>
      </c>
      <c r="K710" s="185">
        <f ca="1">SUM(INDIRECT(K707))</f>
        <v>0</v>
      </c>
      <c r="L710" s="179">
        <f ca="1">SUM(INDIRECT(L707))</f>
        <v>0</v>
      </c>
      <c r="M710" s="113">
        <f t="shared" si="58"/>
        <v>1</v>
      </c>
      <c r="N710" s="64">
        <f t="shared" si="57"/>
        <v>1.0000013888888888</v>
      </c>
    </row>
    <row r="711" spans="2:14">
      <c r="B711" s="41"/>
      <c r="C711" s="103">
        <f t="shared" si="59"/>
        <v>44509</v>
      </c>
      <c r="E711" s="167"/>
      <c r="F711" s="58" t="str">
        <f>VLOOKUP(MOD(C711,7),'CALENDAR INFO'!$I$2:$J$8,2)</f>
        <v>TUE</v>
      </c>
      <c r="G711" s="214">
        <v>0.08</v>
      </c>
      <c r="H711" s="425">
        <v>0.05</v>
      </c>
      <c r="I711" s="457">
        <f t="shared" si="60"/>
        <v>-0.03</v>
      </c>
      <c r="J711" s="152" t="s">
        <v>156</v>
      </c>
      <c r="K711" s="207">
        <f ca="1">SUM(INDIRECT(K708))</f>
        <v>0</v>
      </c>
      <c r="L711" s="208">
        <f ca="1">SUM(INDIRECT(L708))</f>
        <v>2.3900000000000006</v>
      </c>
      <c r="M711" s="113">
        <f t="shared" si="58"/>
        <v>1</v>
      </c>
      <c r="N711" s="64">
        <f t="shared" si="57"/>
        <v>1.0000013888888888</v>
      </c>
    </row>
    <row r="712" spans="2:14">
      <c r="B712" s="41"/>
      <c r="C712" s="103">
        <f t="shared" si="59"/>
        <v>44510</v>
      </c>
      <c r="E712" s="167"/>
      <c r="F712" s="58" t="str">
        <f>VLOOKUP(MOD(C712,7),'CALENDAR INFO'!$I$2:$J$8,2)</f>
        <v>WED</v>
      </c>
      <c r="G712" s="214">
        <v>0.08</v>
      </c>
      <c r="H712" s="425">
        <v>0.05</v>
      </c>
      <c r="I712" s="457">
        <f t="shared" si="60"/>
        <v>-0.03</v>
      </c>
      <c r="J712" s="152" t="s">
        <v>157</v>
      </c>
      <c r="K712" s="178">
        <f ca="1">K710+K711</f>
        <v>0</v>
      </c>
      <c r="L712" s="192">
        <f ca="1">L710+L711</f>
        <v>2.3900000000000006</v>
      </c>
      <c r="M712" s="117">
        <v>2</v>
      </c>
      <c r="N712" s="64">
        <f t="shared" si="57"/>
        <v>1.0000027777777778</v>
      </c>
    </row>
    <row r="713" spans="2:14">
      <c r="B713" s="41"/>
      <c r="C713" s="103">
        <f t="shared" si="59"/>
        <v>44511</v>
      </c>
      <c r="D713" s="173" t="s">
        <v>109</v>
      </c>
      <c r="E713" s="167"/>
      <c r="F713" s="58" t="str">
        <f>VLOOKUP(MOD(C713,7),'CALENDAR INFO'!$I$2:$J$8,2)</f>
        <v>THU</v>
      </c>
      <c r="G713" s="214">
        <v>0.08</v>
      </c>
      <c r="H713" s="425">
        <v>0.05</v>
      </c>
      <c r="I713" s="457">
        <f t="shared" si="60"/>
        <v>-0.03</v>
      </c>
      <c r="J713" s="152"/>
      <c r="K713" s="178"/>
      <c r="L713" s="192"/>
      <c r="M713" s="117">
        <v>0</v>
      </c>
      <c r="N713" s="64">
        <f t="shared" si="57"/>
        <v>1</v>
      </c>
    </row>
    <row r="714" spans="2:14">
      <c r="B714" s="41"/>
      <c r="C714" s="103">
        <f t="shared" si="59"/>
        <v>44512</v>
      </c>
      <c r="E714" s="167"/>
      <c r="F714" s="58" t="str">
        <f>VLOOKUP(MOD(C714,7),'CALENDAR INFO'!$I$2:$J$8,2)</f>
        <v>FRI</v>
      </c>
      <c r="G714" s="214">
        <v>0.08</v>
      </c>
      <c r="H714" s="425">
        <v>0.05</v>
      </c>
      <c r="I714" s="457">
        <f t="shared" si="60"/>
        <v>-0.03</v>
      </c>
      <c r="J714" s="152" t="s">
        <v>158</v>
      </c>
      <c r="K714" s="178">
        <f ca="1">K712/K703</f>
        <v>0</v>
      </c>
      <c r="L714" s="192">
        <f ca="1">L712/L703</f>
        <v>7.9666666666666691E-2</v>
      </c>
      <c r="M714" s="113">
        <f t="shared" ref="M714:M725" si="61">IF(MOD(C714,7)&lt;2,0,IF(MOD(C714,7)=6,3,1))</f>
        <v>3</v>
      </c>
      <c r="N714" s="64">
        <f t="shared" si="57"/>
        <v>1.0000041666666666</v>
      </c>
    </row>
    <row r="715" spans="2:14">
      <c r="B715" s="41"/>
      <c r="C715" s="103">
        <f t="shared" si="59"/>
        <v>44513</v>
      </c>
      <c r="E715" s="167"/>
      <c r="F715" s="58" t="str">
        <f>VLOOKUP(MOD(C715,7),'CALENDAR INFO'!$I$2:$J$8,2)</f>
        <v>SAT</v>
      </c>
      <c r="G715" s="214">
        <v>0.08</v>
      </c>
      <c r="H715" s="425">
        <v>0.05</v>
      </c>
      <c r="I715" s="457">
        <f t="shared" si="60"/>
        <v>-0.03</v>
      </c>
      <c r="J715" s="152" t="s">
        <v>159</v>
      </c>
      <c r="K715" s="180">
        <f ca="1">100-K714</f>
        <v>100</v>
      </c>
      <c r="L715" s="193">
        <f ca="1">100-L714</f>
        <v>99.920333333333332</v>
      </c>
      <c r="M715" s="113">
        <f t="shared" si="61"/>
        <v>0</v>
      </c>
      <c r="N715" s="64">
        <f t="shared" si="57"/>
        <v>1</v>
      </c>
    </row>
    <row r="716" spans="2:14">
      <c r="B716" s="41"/>
      <c r="C716" s="103">
        <f t="shared" si="59"/>
        <v>44514</v>
      </c>
      <c r="E716" s="167"/>
      <c r="F716" s="58" t="str">
        <f>VLOOKUP(MOD(C716,7),'CALENDAR INFO'!$I$2:$J$8,2)</f>
        <v>SUN</v>
      </c>
      <c r="G716" s="214">
        <v>0.08</v>
      </c>
      <c r="H716" s="425">
        <v>0.05</v>
      </c>
      <c r="I716" s="457">
        <f t="shared" si="60"/>
        <v>-0.03</v>
      </c>
      <c r="J716" s="152"/>
      <c r="K716" s="178"/>
      <c r="L716" s="192"/>
      <c r="M716" s="113">
        <f t="shared" si="61"/>
        <v>0</v>
      </c>
      <c r="N716" s="64">
        <f t="shared" si="57"/>
        <v>1</v>
      </c>
    </row>
    <row r="717" spans="2:14">
      <c r="B717" s="41"/>
      <c r="C717" s="103">
        <f t="shared" si="59"/>
        <v>44515</v>
      </c>
      <c r="E717" s="167"/>
      <c r="F717" s="58" t="str">
        <f>VLOOKUP(MOD(C717,7),'CALENDAR INFO'!$I$2:$J$8,2)</f>
        <v>MON</v>
      </c>
      <c r="G717" s="214">
        <v>0.08</v>
      </c>
      <c r="H717" s="425">
        <v>0.05</v>
      </c>
      <c r="I717" s="457">
        <f t="shared" si="60"/>
        <v>-0.03</v>
      </c>
      <c r="J717" s="152"/>
      <c r="K717" s="186"/>
      <c r="L717" s="194"/>
      <c r="M717" s="113">
        <f t="shared" si="61"/>
        <v>1</v>
      </c>
      <c r="N717" s="64">
        <f t="shared" si="57"/>
        <v>1.0000013888888888</v>
      </c>
    </row>
    <row r="718" spans="2:14">
      <c r="B718" s="41"/>
      <c r="C718" s="103">
        <f t="shared" si="59"/>
        <v>44516</v>
      </c>
      <c r="E718" s="167"/>
      <c r="F718" s="58" t="str">
        <f>VLOOKUP(MOD(C718,7),'CALENDAR INFO'!$I$2:$J$8,2)</f>
        <v>TUE</v>
      </c>
      <c r="G718" s="214">
        <v>0.08</v>
      </c>
      <c r="H718" s="425">
        <v>0.05</v>
      </c>
      <c r="I718" s="457">
        <f t="shared" si="60"/>
        <v>-0.03</v>
      </c>
      <c r="J718" s="152"/>
      <c r="K718" s="152"/>
      <c r="L718" s="202"/>
      <c r="M718" s="113">
        <f t="shared" si="61"/>
        <v>1</v>
      </c>
      <c r="N718" s="64">
        <f t="shared" si="57"/>
        <v>1.0000013888888888</v>
      </c>
    </row>
    <row r="719" spans="2:14">
      <c r="B719" s="41"/>
      <c r="C719" s="103">
        <f t="shared" si="59"/>
        <v>44517</v>
      </c>
      <c r="E719" s="167" t="s">
        <v>19</v>
      </c>
      <c r="F719" s="58" t="str">
        <f>VLOOKUP(MOD(C719,7),'CALENDAR INFO'!$I$2:$J$8,2)</f>
        <v>WED</v>
      </c>
      <c r="G719" s="214">
        <v>0.08</v>
      </c>
      <c r="H719" s="425">
        <v>0.05</v>
      </c>
      <c r="I719" s="457">
        <f t="shared" si="60"/>
        <v>-0.03</v>
      </c>
      <c r="J719" s="152"/>
      <c r="K719" s="152"/>
      <c r="L719" s="202"/>
      <c r="M719" s="113">
        <f t="shared" si="61"/>
        <v>1</v>
      </c>
      <c r="N719" s="64">
        <f t="shared" si="57"/>
        <v>1.0000013888888888</v>
      </c>
    </row>
    <row r="720" spans="2:14">
      <c r="B720" s="41"/>
      <c r="C720" s="103">
        <f t="shared" si="59"/>
        <v>44518</v>
      </c>
      <c r="E720" s="170" t="s">
        <v>18</v>
      </c>
      <c r="F720" s="58" t="str">
        <f>VLOOKUP(MOD(C720,7),'CALENDAR INFO'!$I$2:$J$8,2)</f>
        <v>THU</v>
      </c>
      <c r="G720" s="214">
        <v>0.08</v>
      </c>
      <c r="H720" s="425">
        <v>0.05</v>
      </c>
      <c r="I720" s="457">
        <f t="shared" si="60"/>
        <v>-0.03</v>
      </c>
      <c r="J720" s="152"/>
      <c r="K720" s="152"/>
      <c r="L720" s="202"/>
      <c r="M720" s="113">
        <f t="shared" si="61"/>
        <v>1</v>
      </c>
      <c r="N720" s="64">
        <f t="shared" si="57"/>
        <v>1.0000013888888888</v>
      </c>
    </row>
    <row r="721" spans="1:16">
      <c r="B721" s="41"/>
      <c r="C721" s="103">
        <f t="shared" si="59"/>
        <v>44519</v>
      </c>
      <c r="E721" s="170"/>
      <c r="F721" s="58" t="str">
        <f>VLOOKUP(MOD(C721,7),'CALENDAR INFO'!$I$2:$J$8,2)</f>
        <v>FRI</v>
      </c>
      <c r="G721" s="214">
        <v>0.08</v>
      </c>
      <c r="H721" s="425">
        <v>0.05</v>
      </c>
      <c r="I721" s="457">
        <f t="shared" si="60"/>
        <v>-0.03</v>
      </c>
      <c r="J721" s="152"/>
      <c r="K721" s="152"/>
      <c r="L721" s="202"/>
      <c r="M721" s="113">
        <f t="shared" si="61"/>
        <v>3</v>
      </c>
      <c r="N721" s="64">
        <f t="shared" si="57"/>
        <v>1.0000041666666666</v>
      </c>
    </row>
    <row r="722" spans="1:16">
      <c r="B722" s="41"/>
      <c r="C722" s="103">
        <f t="shared" si="59"/>
        <v>44520</v>
      </c>
      <c r="E722" s="170"/>
      <c r="F722" s="58" t="str">
        <f>VLOOKUP(MOD(C722,7),'CALENDAR INFO'!$I$2:$J$8,2)</f>
        <v>SAT</v>
      </c>
      <c r="G722" s="214">
        <v>0.08</v>
      </c>
      <c r="H722" s="425">
        <v>0.05</v>
      </c>
      <c r="I722" s="457">
        <f t="shared" si="60"/>
        <v>-0.03</v>
      </c>
      <c r="J722" s="152"/>
      <c r="K722" s="152"/>
      <c r="L722" s="202"/>
      <c r="M722" s="113">
        <f t="shared" si="61"/>
        <v>0</v>
      </c>
      <c r="N722" s="64">
        <f t="shared" si="57"/>
        <v>1</v>
      </c>
    </row>
    <row r="723" spans="1:16">
      <c r="B723" s="41"/>
      <c r="C723" s="103">
        <f t="shared" si="59"/>
        <v>44521</v>
      </c>
      <c r="E723" s="170"/>
      <c r="F723" s="58" t="str">
        <f>VLOOKUP(MOD(C723,7),'CALENDAR INFO'!$I$2:$J$8,2)</f>
        <v>SUN</v>
      </c>
      <c r="G723" s="214">
        <v>0.08</v>
      </c>
      <c r="H723" s="425">
        <v>0.05</v>
      </c>
      <c r="I723" s="457">
        <f t="shared" si="60"/>
        <v>-0.03</v>
      </c>
      <c r="J723" s="152"/>
      <c r="K723" s="152"/>
      <c r="L723" s="202"/>
      <c r="M723" s="113">
        <f t="shared" si="61"/>
        <v>0</v>
      </c>
      <c r="N723" s="64">
        <f t="shared" ref="N723:N786" si="62">1+(M723/360)*(MAX(H723,B723)/100)</f>
        <v>1</v>
      </c>
    </row>
    <row r="724" spans="1:16">
      <c r="B724" s="41"/>
      <c r="C724" s="103">
        <f t="shared" si="59"/>
        <v>44522</v>
      </c>
      <c r="E724" s="170"/>
      <c r="F724" s="58" t="str">
        <f>VLOOKUP(MOD(C724,7),'CALENDAR INFO'!$I$2:$J$8,2)</f>
        <v>MON</v>
      </c>
      <c r="G724" s="214">
        <v>0.08</v>
      </c>
      <c r="H724" s="425">
        <v>0.05</v>
      </c>
      <c r="I724" s="457">
        <f t="shared" si="60"/>
        <v>-0.03</v>
      </c>
      <c r="J724" s="152"/>
      <c r="K724" s="152"/>
      <c r="L724" s="202"/>
      <c r="M724" s="113">
        <f t="shared" si="61"/>
        <v>1</v>
      </c>
      <c r="N724" s="64">
        <f t="shared" si="62"/>
        <v>1.0000013888888888</v>
      </c>
    </row>
    <row r="725" spans="1:16">
      <c r="B725" s="41"/>
      <c r="C725" s="103">
        <f t="shared" si="59"/>
        <v>44523</v>
      </c>
      <c r="E725" s="170"/>
      <c r="F725" s="58" t="str">
        <f>VLOOKUP(MOD(C725,7),'CALENDAR INFO'!$I$2:$J$8,2)</f>
        <v>TUE</v>
      </c>
      <c r="G725" s="214">
        <v>0.08</v>
      </c>
      <c r="H725" s="425">
        <v>0.05</v>
      </c>
      <c r="I725" s="457">
        <f t="shared" si="60"/>
        <v>-0.03</v>
      </c>
      <c r="J725" s="152"/>
      <c r="K725" s="152"/>
      <c r="L725" s="202"/>
      <c r="M725" s="113">
        <f t="shared" si="61"/>
        <v>1</v>
      </c>
      <c r="N725" s="64">
        <f t="shared" si="62"/>
        <v>1.0000013888888888</v>
      </c>
    </row>
    <row r="726" spans="1:16">
      <c r="B726" s="41"/>
      <c r="C726" s="103">
        <f t="shared" si="59"/>
        <v>44524</v>
      </c>
      <c r="E726" s="170"/>
      <c r="F726" s="58" t="str">
        <f>VLOOKUP(MOD(C726,7),'CALENDAR INFO'!$I$2:$J$8,2)</f>
        <v>WED</v>
      </c>
      <c r="G726" s="214">
        <v>0.08</v>
      </c>
      <c r="H726" s="425">
        <v>0.05</v>
      </c>
      <c r="I726" s="457">
        <f t="shared" si="60"/>
        <v>-0.03</v>
      </c>
      <c r="J726" s="152"/>
      <c r="K726" s="152"/>
      <c r="L726" s="202"/>
      <c r="M726" s="117">
        <v>2</v>
      </c>
      <c r="N726" s="64">
        <f t="shared" si="62"/>
        <v>1.0000027777777778</v>
      </c>
    </row>
    <row r="727" spans="1:16">
      <c r="B727" s="41"/>
      <c r="C727" s="103">
        <f t="shared" si="59"/>
        <v>44525</v>
      </c>
      <c r="D727" s="173" t="s">
        <v>110</v>
      </c>
      <c r="E727" s="170"/>
      <c r="F727" s="58" t="str">
        <f>VLOOKUP(MOD(C727,7),'CALENDAR INFO'!$I$2:$J$8,2)</f>
        <v>THU</v>
      </c>
      <c r="G727" s="214">
        <v>0.08</v>
      </c>
      <c r="H727" s="425">
        <v>0.05</v>
      </c>
      <c r="I727" s="457">
        <f t="shared" si="60"/>
        <v>-0.03</v>
      </c>
      <c r="J727" s="152"/>
      <c r="K727" s="182"/>
      <c r="L727" s="201"/>
      <c r="M727" s="117">
        <v>0</v>
      </c>
      <c r="N727" s="64">
        <f t="shared" si="62"/>
        <v>1</v>
      </c>
    </row>
    <row r="728" spans="1:16">
      <c r="B728" s="41"/>
      <c r="C728" s="103">
        <f t="shared" si="59"/>
        <v>44526</v>
      </c>
      <c r="E728" s="170"/>
      <c r="F728" s="58" t="str">
        <f>VLOOKUP(MOD(C728,7),'CALENDAR INFO'!$I$2:$J$8,2)</f>
        <v>FRI</v>
      </c>
      <c r="G728" s="214">
        <v>0.08</v>
      </c>
      <c r="H728" s="425">
        <v>0.05</v>
      </c>
      <c r="I728" s="457">
        <f t="shared" si="60"/>
        <v>-0.03</v>
      </c>
      <c r="J728" s="152"/>
      <c r="K728" s="152"/>
      <c r="L728" s="202"/>
      <c r="M728" s="113">
        <f t="shared" ref="M728:M754" si="63">IF(MOD(C728,7)&lt;2,0,IF(MOD(C728,7)=6,3,1))</f>
        <v>3</v>
      </c>
      <c r="N728" s="64">
        <f t="shared" si="62"/>
        <v>1.0000041666666666</v>
      </c>
      <c r="O728" s="89" t="s">
        <v>93</v>
      </c>
      <c r="P728" s="90"/>
    </row>
    <row r="729" spans="1:16">
      <c r="B729" s="41"/>
      <c r="C729" s="103">
        <f t="shared" si="59"/>
        <v>44527</v>
      </c>
      <c r="E729" s="170"/>
      <c r="F729" s="58" t="str">
        <f>VLOOKUP(MOD(C729,7),'CALENDAR INFO'!$I$2:$J$8,2)</f>
        <v>SAT</v>
      </c>
      <c r="G729" s="214">
        <v>0.08</v>
      </c>
      <c r="H729" s="425">
        <v>0.05</v>
      </c>
      <c r="I729" s="457">
        <f t="shared" si="60"/>
        <v>-0.03</v>
      </c>
      <c r="J729" s="152"/>
      <c r="K729" s="182"/>
      <c r="L729" s="201"/>
      <c r="M729" s="113">
        <f t="shared" si="63"/>
        <v>0</v>
      </c>
      <c r="N729" s="64">
        <f t="shared" si="62"/>
        <v>1</v>
      </c>
      <c r="O729" s="89" t="s">
        <v>26</v>
      </c>
      <c r="P729" s="135"/>
    </row>
    <row r="730" spans="1:16">
      <c r="B730" s="41"/>
      <c r="C730" s="103">
        <f t="shared" si="59"/>
        <v>44528</v>
      </c>
      <c r="E730" s="170"/>
      <c r="F730" s="58" t="str">
        <f>VLOOKUP(MOD(C730,7),'CALENDAR INFO'!$I$2:$J$8,2)</f>
        <v>SUN</v>
      </c>
      <c r="G730" s="214">
        <v>0.08</v>
      </c>
      <c r="H730" s="425">
        <v>0.05</v>
      </c>
      <c r="I730" s="457">
        <f t="shared" si="60"/>
        <v>-0.03</v>
      </c>
      <c r="J730" s="152"/>
      <c r="K730" s="190"/>
      <c r="L730" s="203"/>
      <c r="M730" s="113">
        <f t="shared" si="63"/>
        <v>0</v>
      </c>
      <c r="N730" s="64">
        <f t="shared" si="62"/>
        <v>1</v>
      </c>
      <c r="O730" s="89" t="s">
        <v>76</v>
      </c>
      <c r="P730" s="135"/>
    </row>
    <row r="731" spans="1:16">
      <c r="B731" s="41"/>
      <c r="C731" s="103">
        <f t="shared" si="59"/>
        <v>44529</v>
      </c>
      <c r="E731" s="170"/>
      <c r="F731" s="58" t="str">
        <f>VLOOKUP(MOD(C731,7),'CALENDAR INFO'!$I$2:$J$8,2)</f>
        <v>MON</v>
      </c>
      <c r="G731" s="214">
        <v>0.08</v>
      </c>
      <c r="H731" s="425">
        <v>0.05</v>
      </c>
      <c r="I731" s="457">
        <f t="shared" si="60"/>
        <v>-0.03</v>
      </c>
      <c r="J731" s="152"/>
      <c r="K731" s="182"/>
      <c r="L731" s="201"/>
      <c r="M731" s="113">
        <f t="shared" si="63"/>
        <v>1</v>
      </c>
      <c r="N731" s="64">
        <f t="shared" si="62"/>
        <v>1.0000013888888888</v>
      </c>
    </row>
    <row r="732" spans="1:16" ht="15.75" thickBot="1">
      <c r="A732" s="98"/>
      <c r="B732" s="230"/>
      <c r="C732" s="104">
        <f t="shared" si="59"/>
        <v>44530</v>
      </c>
      <c r="D732" s="112"/>
      <c r="E732" s="101"/>
      <c r="F732" s="71" t="str">
        <f>VLOOKUP(MOD(C732,7),'CALENDAR INFO'!$I$2:$J$8,2)</f>
        <v>TUE</v>
      </c>
      <c r="G732" s="215">
        <v>7.0000000000000007E-2</v>
      </c>
      <c r="H732" s="426">
        <v>0.05</v>
      </c>
      <c r="I732" s="458">
        <f t="shared" si="60"/>
        <v>-2.0000000000000004E-2</v>
      </c>
      <c r="J732" s="437"/>
      <c r="K732" s="184"/>
      <c r="L732" s="205"/>
      <c r="M732" s="114">
        <f t="shared" si="63"/>
        <v>1</v>
      </c>
      <c r="N732" s="77">
        <f t="shared" si="62"/>
        <v>1.0000013888888888</v>
      </c>
    </row>
    <row r="733" spans="1:16">
      <c r="A733" s="100"/>
      <c r="B733" s="231"/>
      <c r="C733" s="109">
        <f t="shared" si="59"/>
        <v>44531</v>
      </c>
      <c r="D733" s="108"/>
      <c r="E733" s="115" t="s">
        <v>19</v>
      </c>
      <c r="F733" s="105" t="str">
        <f>VLOOKUP(MOD(C733,7),'CALENDAR INFO'!$I$2:$J$8,2)</f>
        <v>WED</v>
      </c>
      <c r="G733" s="218">
        <v>0.08</v>
      </c>
      <c r="H733" s="430">
        <v>0.05</v>
      </c>
      <c r="I733" s="461">
        <f t="shared" si="60"/>
        <v>-0.03</v>
      </c>
      <c r="J733" s="436" t="s">
        <v>118</v>
      </c>
      <c r="K733" s="15">
        <f>VLOOKUP(MONTH($C733),'CALENDAR INFO'!$I$12:$J$23,2)</f>
        <v>31</v>
      </c>
      <c r="L733" s="179">
        <f>K733</f>
        <v>31</v>
      </c>
      <c r="M733" s="116">
        <f t="shared" si="63"/>
        <v>1</v>
      </c>
      <c r="N733" s="111">
        <f t="shared" si="62"/>
        <v>1.0000013888888888</v>
      </c>
    </row>
    <row r="734" spans="1:16">
      <c r="B734" s="41"/>
      <c r="C734" s="103">
        <f t="shared" si="59"/>
        <v>44532</v>
      </c>
      <c r="E734" s="167" t="s">
        <v>18</v>
      </c>
      <c r="F734" s="58" t="str">
        <f>VLOOKUP(MOD(C734,7),'CALENDAR INFO'!$I$2:$J$8,2)</f>
        <v>THU</v>
      </c>
      <c r="G734" s="214">
        <v>0.08</v>
      </c>
      <c r="H734" s="425">
        <v>0.05</v>
      </c>
      <c r="I734" s="457">
        <f t="shared" si="60"/>
        <v>-0.03</v>
      </c>
      <c r="J734" s="152" t="s">
        <v>151</v>
      </c>
      <c r="K734" s="15">
        <f>ROW($C734)-1</f>
        <v>733</v>
      </c>
      <c r="L734" s="179">
        <f>K734</f>
        <v>733</v>
      </c>
      <c r="M734" s="113">
        <f t="shared" si="63"/>
        <v>1</v>
      </c>
      <c r="N734" s="64">
        <f t="shared" si="62"/>
        <v>1.0000013888888888</v>
      </c>
    </row>
    <row r="735" spans="1:16">
      <c r="B735" s="41"/>
      <c r="C735" s="103">
        <f t="shared" si="59"/>
        <v>44533</v>
      </c>
      <c r="E735" s="167"/>
      <c r="F735" s="58" t="str">
        <f>VLOOKUP(MOD(C735,7),'CALENDAR INFO'!$I$2:$J$8,2)</f>
        <v>FRI</v>
      </c>
      <c r="G735" s="214">
        <v>0.08</v>
      </c>
      <c r="H735" s="425">
        <v>0.05</v>
      </c>
      <c r="I735" s="457">
        <f t="shared" si="60"/>
        <v>-0.03</v>
      </c>
      <c r="J735" s="152" t="s">
        <v>152</v>
      </c>
      <c r="K735" s="15">
        <f>K733+K734-1</f>
        <v>763</v>
      </c>
      <c r="L735" s="200">
        <f>K735</f>
        <v>763</v>
      </c>
      <c r="M735" s="113">
        <f t="shared" si="63"/>
        <v>3</v>
      </c>
      <c r="N735" s="64">
        <f t="shared" si="62"/>
        <v>1.0000041666666666</v>
      </c>
    </row>
    <row r="736" spans="1:16">
      <c r="B736" s="41"/>
      <c r="C736" s="103">
        <f t="shared" si="59"/>
        <v>44534</v>
      </c>
      <c r="E736" s="167"/>
      <c r="F736" s="58" t="str">
        <f>VLOOKUP(MOD(C736,7),'CALENDAR INFO'!$I$2:$J$8,2)</f>
        <v>SAT</v>
      </c>
      <c r="G736" s="214">
        <v>0.08</v>
      </c>
      <c r="H736" s="425">
        <v>0.05</v>
      </c>
      <c r="I736" s="457">
        <f t="shared" si="60"/>
        <v>-0.03</v>
      </c>
      <c r="J736" s="152"/>
      <c r="K736" s="182"/>
      <c r="L736" s="201"/>
      <c r="M736" s="113">
        <f t="shared" si="63"/>
        <v>0</v>
      </c>
      <c r="N736" s="64">
        <f t="shared" si="62"/>
        <v>1</v>
      </c>
    </row>
    <row r="737" spans="2:16">
      <c r="B737" s="41"/>
      <c r="C737" s="103">
        <f t="shared" si="59"/>
        <v>44535</v>
      </c>
      <c r="E737" s="167"/>
      <c r="F737" s="58" t="str">
        <f>VLOOKUP(MOD(C737,7),'CALENDAR INFO'!$I$2:$J$8,2)</f>
        <v>SUN</v>
      </c>
      <c r="G737" s="214">
        <v>0.08</v>
      </c>
      <c r="H737" s="425">
        <v>0.05</v>
      </c>
      <c r="I737" s="457">
        <f t="shared" si="60"/>
        <v>-0.03</v>
      </c>
      <c r="J737" s="152" t="s">
        <v>153</v>
      </c>
      <c r="K737" s="182" t="str">
        <f>_xlfn.CONCAT("A",TEXT(K734,0),":","A",TEXT(K735,0))</f>
        <v>A733:A763</v>
      </c>
      <c r="L737" s="201" t="str">
        <f>_xlfn.CONCAT("B",TEXT(L734,0),":","B",TEXT(L735,0))</f>
        <v>B733:B763</v>
      </c>
      <c r="M737" s="113">
        <f t="shared" si="63"/>
        <v>0</v>
      </c>
      <c r="N737" s="64">
        <f t="shared" si="62"/>
        <v>1</v>
      </c>
    </row>
    <row r="738" spans="2:16">
      <c r="B738" s="41"/>
      <c r="C738" s="103">
        <f t="shared" si="59"/>
        <v>44536</v>
      </c>
      <c r="E738" s="167"/>
      <c r="F738" s="58" t="str">
        <f>VLOOKUP(MOD(C738,7),'CALENDAR INFO'!$I$2:$J$8,2)</f>
        <v>MON</v>
      </c>
      <c r="G738" s="214">
        <v>0.08</v>
      </c>
      <c r="H738" s="425">
        <v>0.05</v>
      </c>
      <c r="I738" s="457">
        <f t="shared" si="60"/>
        <v>-0.03</v>
      </c>
      <c r="J738" s="152" t="s">
        <v>154</v>
      </c>
      <c r="K738" s="182" t="str">
        <f>_xlfn.CONCAT("F",TEXT(K734,0),":","F",TEXT(K735,0))</f>
        <v>F733:F763</v>
      </c>
      <c r="L738" s="201" t="str">
        <f>_xlfn.CONCAT("G",TEXT(L734,0),":","G",TEXT(L735,0))</f>
        <v>G733:G763</v>
      </c>
      <c r="M738" s="113">
        <f t="shared" si="63"/>
        <v>1</v>
      </c>
      <c r="N738" s="64">
        <f t="shared" si="62"/>
        <v>1.0000013888888888</v>
      </c>
    </row>
    <row r="739" spans="2:16">
      <c r="B739" s="41"/>
      <c r="C739" s="103">
        <f t="shared" si="59"/>
        <v>44537</v>
      </c>
      <c r="E739" s="167"/>
      <c r="F739" s="58" t="str">
        <f>VLOOKUP(MOD(C739,7),'CALENDAR INFO'!$I$2:$J$8,2)</f>
        <v>TUE</v>
      </c>
      <c r="G739" s="214">
        <v>0.08</v>
      </c>
      <c r="H739" s="425">
        <v>0.05</v>
      </c>
      <c r="I739" s="457">
        <f t="shared" si="60"/>
        <v>-0.03</v>
      </c>
      <c r="J739" s="152"/>
      <c r="K739" s="152"/>
      <c r="L739" s="202"/>
      <c r="M739" s="113">
        <f t="shared" si="63"/>
        <v>1</v>
      </c>
      <c r="N739" s="64">
        <f t="shared" si="62"/>
        <v>1.0000013888888888</v>
      </c>
    </row>
    <row r="740" spans="2:16">
      <c r="B740" s="41"/>
      <c r="C740" s="103">
        <f t="shared" si="59"/>
        <v>44538</v>
      </c>
      <c r="E740" s="167"/>
      <c r="F740" s="58" t="str">
        <f>VLOOKUP(MOD(C740,7),'CALENDAR INFO'!$I$2:$J$8,2)</f>
        <v>WED</v>
      </c>
      <c r="G740" s="214">
        <v>0.08</v>
      </c>
      <c r="H740" s="425">
        <v>0.05</v>
      </c>
      <c r="I740" s="457">
        <f t="shared" si="60"/>
        <v>-0.03</v>
      </c>
      <c r="J740" s="152" t="s">
        <v>155</v>
      </c>
      <c r="K740" s="185">
        <f ca="1">SUM(INDIRECT(K737))</f>
        <v>0</v>
      </c>
      <c r="L740" s="179">
        <f ca="1">SUM(INDIRECT(L737))</f>
        <v>0</v>
      </c>
      <c r="M740" s="113">
        <f t="shared" si="63"/>
        <v>1</v>
      </c>
      <c r="N740" s="64">
        <f t="shared" si="62"/>
        <v>1.0000013888888888</v>
      </c>
    </row>
    <row r="741" spans="2:16">
      <c r="B741" s="41"/>
      <c r="C741" s="103">
        <f t="shared" si="59"/>
        <v>44539</v>
      </c>
      <c r="E741" s="167"/>
      <c r="F741" s="58" t="str">
        <f>VLOOKUP(MOD(C741,7),'CALENDAR INFO'!$I$2:$J$8,2)</f>
        <v>THU</v>
      </c>
      <c r="G741" s="214">
        <v>0.08</v>
      </c>
      <c r="H741" s="425">
        <v>0.05</v>
      </c>
      <c r="I741" s="457">
        <f t="shared" si="60"/>
        <v>-0.03</v>
      </c>
      <c r="J741" s="152" t="s">
        <v>156</v>
      </c>
      <c r="K741" s="207">
        <f ca="1">SUM(INDIRECT(K738))</f>
        <v>0</v>
      </c>
      <c r="L741" s="208">
        <f ca="1">SUM(INDIRECT(L738))</f>
        <v>2.4700000000000006</v>
      </c>
      <c r="M741" s="113">
        <f t="shared" si="63"/>
        <v>1</v>
      </c>
      <c r="N741" s="64">
        <f t="shared" si="62"/>
        <v>1.0000013888888888</v>
      </c>
    </row>
    <row r="742" spans="2:16">
      <c r="B742" s="41"/>
      <c r="C742" s="103">
        <f t="shared" si="59"/>
        <v>44540</v>
      </c>
      <c r="E742" s="167"/>
      <c r="F742" s="58" t="str">
        <f>VLOOKUP(MOD(C742,7),'CALENDAR INFO'!$I$2:$J$8,2)</f>
        <v>FRI</v>
      </c>
      <c r="G742" s="214">
        <v>0.08</v>
      </c>
      <c r="H742" s="425">
        <v>0.05</v>
      </c>
      <c r="I742" s="457">
        <f t="shared" si="60"/>
        <v>-0.03</v>
      </c>
      <c r="J742" s="152" t="s">
        <v>157</v>
      </c>
      <c r="K742" s="178">
        <f ca="1">K740+K741</f>
        <v>0</v>
      </c>
      <c r="L742" s="192">
        <f ca="1">L740+L741</f>
        <v>2.4700000000000006</v>
      </c>
      <c r="M742" s="113">
        <f t="shared" si="63"/>
        <v>3</v>
      </c>
      <c r="N742" s="64">
        <f t="shared" si="62"/>
        <v>1.0000041666666666</v>
      </c>
    </row>
    <row r="743" spans="2:16">
      <c r="B743" s="41"/>
      <c r="C743" s="103">
        <f t="shared" si="59"/>
        <v>44541</v>
      </c>
      <c r="E743" s="167"/>
      <c r="F743" s="58" t="str">
        <f>VLOOKUP(MOD(C743,7),'CALENDAR INFO'!$I$2:$J$8,2)</f>
        <v>SAT</v>
      </c>
      <c r="G743" s="214">
        <v>0.08</v>
      </c>
      <c r="H743" s="425">
        <v>0.05</v>
      </c>
      <c r="I743" s="457">
        <f t="shared" si="60"/>
        <v>-0.03</v>
      </c>
      <c r="J743" s="152"/>
      <c r="K743" s="178"/>
      <c r="L743" s="192"/>
      <c r="M743" s="113">
        <f t="shared" si="63"/>
        <v>0</v>
      </c>
      <c r="N743" s="64">
        <f t="shared" si="62"/>
        <v>1</v>
      </c>
      <c r="O743" s="89" t="s">
        <v>93</v>
      </c>
      <c r="P743" s="90"/>
    </row>
    <row r="744" spans="2:16">
      <c r="B744" s="41"/>
      <c r="C744" s="103">
        <f t="shared" si="59"/>
        <v>44542</v>
      </c>
      <c r="E744" s="167"/>
      <c r="F744" s="58" t="str">
        <f>VLOOKUP(MOD(C744,7),'CALENDAR INFO'!$I$2:$J$8,2)</f>
        <v>SUN</v>
      </c>
      <c r="G744" s="214">
        <v>0.08</v>
      </c>
      <c r="H744" s="425">
        <v>0.05</v>
      </c>
      <c r="I744" s="457">
        <f t="shared" si="60"/>
        <v>-0.03</v>
      </c>
      <c r="J744" s="152" t="s">
        <v>158</v>
      </c>
      <c r="K744" s="178">
        <f ca="1">K742/K733</f>
        <v>0</v>
      </c>
      <c r="L744" s="192">
        <f ca="1">L742/L733</f>
        <v>7.9677419354838727E-2</v>
      </c>
      <c r="M744" s="113">
        <f t="shared" si="63"/>
        <v>0</v>
      </c>
      <c r="N744" s="64">
        <f t="shared" si="62"/>
        <v>1</v>
      </c>
      <c r="O744" s="89" t="s">
        <v>77</v>
      </c>
      <c r="P744" s="135"/>
    </row>
    <row r="745" spans="2:16">
      <c r="B745" s="41"/>
      <c r="C745" s="103">
        <f t="shared" si="59"/>
        <v>44543</v>
      </c>
      <c r="E745" s="167"/>
      <c r="F745" s="58" t="str">
        <f>VLOOKUP(MOD(C745,7),'CALENDAR INFO'!$I$2:$J$8,2)</f>
        <v>MON</v>
      </c>
      <c r="G745" s="214">
        <v>0.08</v>
      </c>
      <c r="H745" s="425">
        <v>0.05</v>
      </c>
      <c r="I745" s="457">
        <f t="shared" si="60"/>
        <v>-0.03</v>
      </c>
      <c r="J745" s="152" t="s">
        <v>159</v>
      </c>
      <c r="K745" s="180">
        <f ca="1">100-K744</f>
        <v>100</v>
      </c>
      <c r="L745" s="193">
        <f ca="1">100-L744</f>
        <v>99.920322580645163</v>
      </c>
      <c r="M745" s="113">
        <f t="shared" si="63"/>
        <v>1</v>
      </c>
      <c r="N745" s="64">
        <f t="shared" si="62"/>
        <v>1.0000013888888888</v>
      </c>
    </row>
    <row r="746" spans="2:16">
      <c r="B746" s="41"/>
      <c r="C746" s="103">
        <f t="shared" si="59"/>
        <v>44544</v>
      </c>
      <c r="D746" s="153" t="s">
        <v>20</v>
      </c>
      <c r="E746" s="167"/>
      <c r="F746" s="58" t="str">
        <f>VLOOKUP(MOD(C746,7),'CALENDAR INFO'!$I$2:$J$8,2)</f>
        <v>TUE</v>
      </c>
      <c r="G746" s="214">
        <v>0.08</v>
      </c>
      <c r="H746" s="425">
        <v>0.05</v>
      </c>
      <c r="I746" s="457">
        <f t="shared" si="60"/>
        <v>-0.03</v>
      </c>
      <c r="J746" s="152"/>
      <c r="K746" s="178"/>
      <c r="L746" s="192"/>
      <c r="M746" s="113">
        <f t="shared" si="63"/>
        <v>1</v>
      </c>
      <c r="N746" s="64">
        <f t="shared" si="62"/>
        <v>1.0000013888888888</v>
      </c>
    </row>
    <row r="747" spans="2:16">
      <c r="B747" s="41"/>
      <c r="C747" s="103">
        <f t="shared" si="59"/>
        <v>44545</v>
      </c>
      <c r="D747" s="153" t="s">
        <v>20</v>
      </c>
      <c r="E747" s="167" t="s">
        <v>19</v>
      </c>
      <c r="F747" s="58" t="str">
        <f>VLOOKUP(MOD(C747,7),'CALENDAR INFO'!$I$2:$J$8,2)</f>
        <v>WED</v>
      </c>
      <c r="G747" s="214">
        <v>0.08</v>
      </c>
      <c r="H747" s="425">
        <v>0.05</v>
      </c>
      <c r="I747" s="457">
        <f t="shared" si="60"/>
        <v>-0.03</v>
      </c>
      <c r="J747" s="152"/>
      <c r="K747" s="186"/>
      <c r="L747" s="194"/>
      <c r="M747" s="113">
        <f t="shared" si="63"/>
        <v>1</v>
      </c>
      <c r="N747" s="64">
        <f t="shared" si="62"/>
        <v>1.0000013888888888</v>
      </c>
    </row>
    <row r="748" spans="2:16">
      <c r="B748" s="41"/>
      <c r="C748" s="103">
        <f t="shared" si="59"/>
        <v>44546</v>
      </c>
      <c r="E748" s="170" t="s">
        <v>18</v>
      </c>
      <c r="F748" s="58" t="str">
        <f>VLOOKUP(MOD(C748,7),'CALENDAR INFO'!$I$2:$J$8,2)</f>
        <v>THU</v>
      </c>
      <c r="G748" s="214">
        <v>0.08</v>
      </c>
      <c r="H748" s="425">
        <v>0.05</v>
      </c>
      <c r="I748" s="457">
        <f t="shared" si="60"/>
        <v>-0.03</v>
      </c>
      <c r="J748" s="152"/>
      <c r="K748" s="152"/>
      <c r="L748" s="202"/>
      <c r="M748" s="113">
        <f t="shared" si="63"/>
        <v>1</v>
      </c>
      <c r="N748" s="64">
        <f t="shared" si="62"/>
        <v>1.0000013888888888</v>
      </c>
    </row>
    <row r="749" spans="2:16">
      <c r="B749" s="41"/>
      <c r="C749" s="103">
        <f t="shared" si="59"/>
        <v>44547</v>
      </c>
      <c r="E749" s="170"/>
      <c r="F749" s="58" t="str">
        <f>VLOOKUP(MOD(C749,7),'CALENDAR INFO'!$I$2:$J$8,2)</f>
        <v>FRI</v>
      </c>
      <c r="G749" s="214">
        <v>0.08</v>
      </c>
      <c r="H749" s="425">
        <v>0.05</v>
      </c>
      <c r="I749" s="457">
        <f t="shared" si="60"/>
        <v>-0.03</v>
      </c>
      <c r="J749" s="152"/>
      <c r="K749" s="152"/>
      <c r="L749" s="202"/>
      <c r="M749" s="113">
        <f t="shared" si="63"/>
        <v>3</v>
      </c>
      <c r="N749" s="64">
        <f t="shared" si="62"/>
        <v>1.0000041666666666</v>
      </c>
    </row>
    <row r="750" spans="2:16">
      <c r="B750" s="41"/>
      <c r="C750" s="103">
        <f t="shared" si="59"/>
        <v>44548</v>
      </c>
      <c r="E750" s="170"/>
      <c r="F750" s="58" t="str">
        <f>VLOOKUP(MOD(C750,7),'CALENDAR INFO'!$I$2:$J$8,2)</f>
        <v>SAT</v>
      </c>
      <c r="G750" s="214">
        <v>0.08</v>
      </c>
      <c r="H750" s="425">
        <v>0.05</v>
      </c>
      <c r="I750" s="457">
        <f t="shared" si="60"/>
        <v>-0.03</v>
      </c>
      <c r="J750" s="152"/>
      <c r="K750" s="152"/>
      <c r="L750" s="202"/>
      <c r="M750" s="113">
        <f t="shared" si="63"/>
        <v>0</v>
      </c>
      <c r="N750" s="64">
        <f t="shared" si="62"/>
        <v>1</v>
      </c>
    </row>
    <row r="751" spans="2:16">
      <c r="B751" s="41"/>
      <c r="C751" s="103">
        <f t="shared" si="59"/>
        <v>44549</v>
      </c>
      <c r="E751" s="170"/>
      <c r="F751" s="58" t="str">
        <f>VLOOKUP(MOD(C751,7),'CALENDAR INFO'!$I$2:$J$8,2)</f>
        <v>SUN</v>
      </c>
      <c r="G751" s="214">
        <v>0.08</v>
      </c>
      <c r="H751" s="425">
        <v>0.05</v>
      </c>
      <c r="I751" s="457">
        <f t="shared" si="60"/>
        <v>-0.03</v>
      </c>
      <c r="J751" s="152"/>
      <c r="K751" s="152"/>
      <c r="L751" s="202"/>
      <c r="M751" s="113">
        <f t="shared" si="63"/>
        <v>0</v>
      </c>
      <c r="N751" s="64">
        <f t="shared" si="62"/>
        <v>1</v>
      </c>
    </row>
    <row r="752" spans="2:16">
      <c r="B752" s="41"/>
      <c r="C752" s="103">
        <f t="shared" si="59"/>
        <v>44550</v>
      </c>
      <c r="E752" s="170"/>
      <c r="F752" s="58" t="str">
        <f>VLOOKUP(MOD(C752,7),'CALENDAR INFO'!$I$2:$J$8,2)</f>
        <v>MON</v>
      </c>
      <c r="G752" s="214">
        <v>0.08</v>
      </c>
      <c r="H752" s="425">
        <v>0.04</v>
      </c>
      <c r="I752" s="457">
        <f t="shared" si="60"/>
        <v>-0.04</v>
      </c>
      <c r="J752" s="152"/>
      <c r="K752" s="152"/>
      <c r="L752" s="202"/>
      <c r="M752" s="113">
        <f t="shared" si="63"/>
        <v>1</v>
      </c>
      <c r="N752" s="64">
        <f t="shared" si="62"/>
        <v>1.0000011111111111</v>
      </c>
    </row>
    <row r="753" spans="1:16">
      <c r="B753" s="41"/>
      <c r="C753" s="103">
        <f t="shared" si="59"/>
        <v>44551</v>
      </c>
      <c r="E753" s="170"/>
      <c r="F753" s="58" t="str">
        <f>VLOOKUP(MOD(C753,7),'CALENDAR INFO'!$I$2:$J$8,2)</f>
        <v>TUE</v>
      </c>
      <c r="G753" s="214">
        <v>0.08</v>
      </c>
      <c r="H753" s="425">
        <v>0.05</v>
      </c>
      <c r="I753" s="457">
        <f t="shared" si="60"/>
        <v>-0.03</v>
      </c>
      <c r="J753" s="152"/>
      <c r="K753" s="152"/>
      <c r="L753" s="202"/>
      <c r="M753" s="113">
        <f t="shared" si="63"/>
        <v>1</v>
      </c>
      <c r="N753" s="64">
        <f t="shared" si="62"/>
        <v>1.0000013888888888</v>
      </c>
    </row>
    <row r="754" spans="1:16">
      <c r="B754" s="41"/>
      <c r="C754" s="103">
        <f t="shared" si="59"/>
        <v>44552</v>
      </c>
      <c r="E754" s="170"/>
      <c r="F754" s="58" t="str">
        <f>VLOOKUP(MOD(C754,7),'CALENDAR INFO'!$I$2:$J$8,2)</f>
        <v>WED</v>
      </c>
      <c r="G754" s="214">
        <v>0.08</v>
      </c>
      <c r="H754" s="425">
        <v>0.05</v>
      </c>
      <c r="I754" s="457">
        <f t="shared" si="60"/>
        <v>-0.03</v>
      </c>
      <c r="J754" s="152"/>
      <c r="K754" s="152"/>
      <c r="L754" s="202"/>
      <c r="M754" s="113">
        <f t="shared" si="63"/>
        <v>1</v>
      </c>
      <c r="N754" s="64">
        <f t="shared" si="62"/>
        <v>1.0000013888888888</v>
      </c>
    </row>
    <row r="755" spans="1:16">
      <c r="B755" s="41"/>
      <c r="C755" s="103">
        <f t="shared" si="59"/>
        <v>44553</v>
      </c>
      <c r="E755" s="170"/>
      <c r="F755" s="58" t="str">
        <f>VLOOKUP(MOD(C755,7),'CALENDAR INFO'!$I$2:$J$8,2)</f>
        <v>THU</v>
      </c>
      <c r="G755" s="214">
        <v>0.08</v>
      </c>
      <c r="H755" s="425">
        <v>0.05</v>
      </c>
      <c r="I755" s="457">
        <f t="shared" si="60"/>
        <v>-0.03</v>
      </c>
      <c r="J755" s="152"/>
      <c r="K755" s="152"/>
      <c r="L755" s="202"/>
      <c r="M755" s="117">
        <v>4</v>
      </c>
      <c r="N755" s="64">
        <f t="shared" si="62"/>
        <v>1.0000055555555556</v>
      </c>
    </row>
    <row r="756" spans="1:16">
      <c r="B756" s="41"/>
      <c r="C756" s="103">
        <f t="shared" si="59"/>
        <v>44554</v>
      </c>
      <c r="D756" s="173" t="s">
        <v>111</v>
      </c>
      <c r="E756" s="170"/>
      <c r="F756" s="58" t="str">
        <f>VLOOKUP(MOD(C756,7),'CALENDAR INFO'!$I$2:$J$8,2)</f>
        <v>FRI</v>
      </c>
      <c r="G756" s="214">
        <v>0.08</v>
      </c>
      <c r="H756" s="425">
        <v>0.05</v>
      </c>
      <c r="I756" s="457">
        <f t="shared" si="60"/>
        <v>-0.03</v>
      </c>
      <c r="J756" s="152"/>
      <c r="K756" s="152"/>
      <c r="L756" s="202"/>
      <c r="M756" s="117">
        <v>0</v>
      </c>
      <c r="N756" s="64">
        <f t="shared" si="62"/>
        <v>1</v>
      </c>
    </row>
    <row r="757" spans="1:16">
      <c r="B757" s="41"/>
      <c r="C757" s="103">
        <f t="shared" ref="C757:C820" si="64">C756+1</f>
        <v>44555</v>
      </c>
      <c r="E757" s="170"/>
      <c r="F757" s="58" t="str">
        <f>VLOOKUP(MOD(C757,7),'CALENDAR INFO'!$I$2:$J$8,2)</f>
        <v>SAT</v>
      </c>
      <c r="G757" s="214">
        <v>0.08</v>
      </c>
      <c r="H757" s="425">
        <v>0.05</v>
      </c>
      <c r="I757" s="457">
        <f t="shared" si="60"/>
        <v>-0.03</v>
      </c>
      <c r="J757" s="152"/>
      <c r="K757" s="152"/>
      <c r="L757" s="202"/>
      <c r="M757" s="113">
        <f t="shared" ref="M757:M776" si="65">IF(MOD(C757,7)&lt;2,0,IF(MOD(C757,7)=6,3,1))</f>
        <v>0</v>
      </c>
      <c r="N757" s="64">
        <f t="shared" si="62"/>
        <v>1</v>
      </c>
    </row>
    <row r="758" spans="1:16">
      <c r="B758" s="41"/>
      <c r="C758" s="103">
        <f t="shared" si="64"/>
        <v>44556</v>
      </c>
      <c r="E758" s="170"/>
      <c r="F758" s="58" t="str">
        <f>VLOOKUP(MOD(C758,7),'CALENDAR INFO'!$I$2:$J$8,2)</f>
        <v>SUN</v>
      </c>
      <c r="G758" s="214">
        <v>0.08</v>
      </c>
      <c r="H758" s="425">
        <v>0.05</v>
      </c>
      <c r="I758" s="457">
        <f t="shared" si="60"/>
        <v>-0.03</v>
      </c>
      <c r="J758" s="152"/>
      <c r="K758" s="182"/>
      <c r="L758" s="201"/>
      <c r="M758" s="113">
        <f t="shared" si="65"/>
        <v>0</v>
      </c>
      <c r="N758" s="64">
        <f t="shared" si="62"/>
        <v>1</v>
      </c>
    </row>
    <row r="759" spans="1:16">
      <c r="B759" s="41"/>
      <c r="C759" s="103">
        <f t="shared" si="64"/>
        <v>44557</v>
      </c>
      <c r="E759" s="170"/>
      <c r="F759" s="58" t="str">
        <f>VLOOKUP(MOD(C759,7),'CALENDAR INFO'!$I$2:$J$8,2)</f>
        <v>MON</v>
      </c>
      <c r="G759" s="214">
        <v>0.08</v>
      </c>
      <c r="H759" s="425">
        <v>0.05</v>
      </c>
      <c r="I759" s="457">
        <f t="shared" si="60"/>
        <v>-0.03</v>
      </c>
      <c r="J759" s="152"/>
      <c r="K759" s="152"/>
      <c r="L759" s="202"/>
      <c r="M759" s="113">
        <f t="shared" si="65"/>
        <v>1</v>
      </c>
      <c r="N759" s="64">
        <f t="shared" si="62"/>
        <v>1.0000013888888888</v>
      </c>
      <c r="O759" s="89" t="s">
        <v>93</v>
      </c>
      <c r="P759" s="90"/>
    </row>
    <row r="760" spans="1:16">
      <c r="B760" s="41"/>
      <c r="C760" s="103">
        <f t="shared" si="64"/>
        <v>44558</v>
      </c>
      <c r="E760" s="170"/>
      <c r="F760" s="58" t="str">
        <f>VLOOKUP(MOD(C760,7),'CALENDAR INFO'!$I$2:$J$8,2)</f>
        <v>TUE</v>
      </c>
      <c r="G760" s="214">
        <v>0.08</v>
      </c>
      <c r="H760" s="425">
        <v>0.05</v>
      </c>
      <c r="I760" s="457">
        <f t="shared" si="60"/>
        <v>-0.03</v>
      </c>
      <c r="J760" s="152"/>
      <c r="K760" s="182"/>
      <c r="L760" s="201"/>
      <c r="M760" s="113">
        <f t="shared" si="65"/>
        <v>1</v>
      </c>
      <c r="N760" s="64">
        <f t="shared" si="62"/>
        <v>1.0000013888888888</v>
      </c>
      <c r="O760" s="89" t="s">
        <v>26</v>
      </c>
      <c r="P760" s="135"/>
    </row>
    <row r="761" spans="1:16">
      <c r="B761" s="41"/>
      <c r="C761" s="103">
        <f t="shared" si="64"/>
        <v>44559</v>
      </c>
      <c r="E761" s="170" t="s">
        <v>19</v>
      </c>
      <c r="F761" s="58" t="str">
        <f>VLOOKUP(MOD(C761,7),'CALENDAR INFO'!$I$2:$J$8,2)</f>
        <v>WED</v>
      </c>
      <c r="G761" s="214">
        <v>0.08</v>
      </c>
      <c r="H761" s="425">
        <v>0.05</v>
      </c>
      <c r="I761" s="457">
        <f t="shared" si="60"/>
        <v>-0.03</v>
      </c>
      <c r="J761" s="152"/>
      <c r="K761" s="190"/>
      <c r="L761" s="203"/>
      <c r="M761" s="113">
        <f t="shared" si="65"/>
        <v>1</v>
      </c>
      <c r="N761" s="64">
        <f t="shared" si="62"/>
        <v>1.0000013888888888</v>
      </c>
      <c r="O761" s="89" t="s">
        <v>76</v>
      </c>
      <c r="P761" s="135"/>
    </row>
    <row r="762" spans="1:16">
      <c r="B762" s="41"/>
      <c r="C762" s="103">
        <f t="shared" si="64"/>
        <v>44560</v>
      </c>
      <c r="E762" s="167" t="s">
        <v>18</v>
      </c>
      <c r="F762" s="58" t="str">
        <f>VLOOKUP(MOD(C762,7),'CALENDAR INFO'!$I$2:$J$8,2)</f>
        <v>THU</v>
      </c>
      <c r="G762" s="214">
        <v>0.08</v>
      </c>
      <c r="H762" s="425">
        <v>0.05</v>
      </c>
      <c r="I762" s="457">
        <f t="shared" si="60"/>
        <v>-0.03</v>
      </c>
      <c r="J762" s="152"/>
      <c r="K762" s="182"/>
      <c r="L762" s="201"/>
      <c r="M762" s="113">
        <f t="shared" si="65"/>
        <v>1</v>
      </c>
      <c r="N762" s="64">
        <f t="shared" si="62"/>
        <v>1.0000013888888888</v>
      </c>
    </row>
    <row r="763" spans="1:16" ht="15.75" thickBot="1">
      <c r="A763" s="98"/>
      <c r="B763" s="230"/>
      <c r="C763" s="104">
        <f t="shared" si="64"/>
        <v>44561</v>
      </c>
      <c r="D763" s="112"/>
      <c r="E763" s="92"/>
      <c r="F763" s="71" t="str">
        <f>VLOOKUP(MOD(C763,7),'CALENDAR INFO'!$I$2:$J$8,2)</f>
        <v>FRI</v>
      </c>
      <c r="G763" s="215">
        <v>7.0000000000000007E-2</v>
      </c>
      <c r="H763" s="426">
        <v>0.05</v>
      </c>
      <c r="I763" s="458">
        <f t="shared" si="60"/>
        <v>-2.0000000000000004E-2</v>
      </c>
      <c r="J763" s="437"/>
      <c r="K763" s="184"/>
      <c r="L763" s="205"/>
      <c r="M763" s="114">
        <f t="shared" si="65"/>
        <v>3</v>
      </c>
      <c r="N763" s="77">
        <f t="shared" si="62"/>
        <v>1.0000041666666666</v>
      </c>
    </row>
    <row r="764" spans="1:16">
      <c r="A764" s="100"/>
      <c r="B764" s="233"/>
      <c r="C764" s="120">
        <f t="shared" si="64"/>
        <v>44562</v>
      </c>
      <c r="D764" s="108"/>
      <c r="E764" s="107"/>
      <c r="F764" s="119" t="str">
        <f>VLOOKUP(MOD(C764,7),'CALENDAR INFO'!$I$2:$J$8,2)</f>
        <v>SAT</v>
      </c>
      <c r="G764" s="218">
        <v>7.0000000000000007E-2</v>
      </c>
      <c r="H764" s="430">
        <v>0.05</v>
      </c>
      <c r="I764" s="461">
        <f t="shared" si="60"/>
        <v>-2.0000000000000004E-2</v>
      </c>
      <c r="J764" s="436" t="s">
        <v>118</v>
      </c>
      <c r="K764" s="15">
        <f>VLOOKUP(MONTH($C764),'CALENDAR INFO'!$I$12:$J$23,2)</f>
        <v>31</v>
      </c>
      <c r="L764" s="179">
        <f>K764</f>
        <v>31</v>
      </c>
      <c r="M764" s="63">
        <f t="shared" si="65"/>
        <v>0</v>
      </c>
      <c r="N764" s="111">
        <f t="shared" si="62"/>
        <v>1</v>
      </c>
    </row>
    <row r="765" spans="1:16">
      <c r="C765" s="61">
        <f t="shared" si="64"/>
        <v>44563</v>
      </c>
      <c r="E765" s="167"/>
      <c r="F765" s="121" t="str">
        <f>VLOOKUP(MOD(C765,7),'CALENDAR INFO'!$I$2:$J$8,2)</f>
        <v>SUN</v>
      </c>
      <c r="G765" s="214">
        <v>7.0000000000000007E-2</v>
      </c>
      <c r="H765" s="425">
        <v>0.05</v>
      </c>
      <c r="I765" s="457">
        <f t="shared" si="60"/>
        <v>-2.0000000000000004E-2</v>
      </c>
      <c r="J765" s="152" t="s">
        <v>151</v>
      </c>
      <c r="K765" s="15">
        <f>ROW($C765)-1</f>
        <v>764</v>
      </c>
      <c r="L765" s="179">
        <f>K765</f>
        <v>764</v>
      </c>
      <c r="M765" s="63">
        <f t="shared" si="65"/>
        <v>0</v>
      </c>
      <c r="N765" s="64">
        <f t="shared" si="62"/>
        <v>1</v>
      </c>
    </row>
    <row r="766" spans="1:16">
      <c r="C766" s="61">
        <f t="shared" si="64"/>
        <v>44564</v>
      </c>
      <c r="E766" s="167"/>
      <c r="F766" s="121" t="str">
        <f>VLOOKUP(MOD(C766,7),'CALENDAR INFO'!$I$2:$J$8,2)</f>
        <v>MON</v>
      </c>
      <c r="G766" s="214">
        <v>0.08</v>
      </c>
      <c r="H766" s="425">
        <v>0.05</v>
      </c>
      <c r="I766" s="457">
        <f t="shared" si="60"/>
        <v>-0.03</v>
      </c>
      <c r="J766" s="152" t="s">
        <v>152</v>
      </c>
      <c r="K766" s="15">
        <f>K764+K765-1</f>
        <v>794</v>
      </c>
      <c r="L766" s="200">
        <f>K766</f>
        <v>794</v>
      </c>
      <c r="M766" s="63">
        <f t="shared" si="65"/>
        <v>1</v>
      </c>
      <c r="N766" s="64">
        <f t="shared" si="62"/>
        <v>1.0000013888888888</v>
      </c>
    </row>
    <row r="767" spans="1:16">
      <c r="C767" s="61">
        <f t="shared" si="64"/>
        <v>44565</v>
      </c>
      <c r="E767" s="167"/>
      <c r="F767" s="121" t="str">
        <f>VLOOKUP(MOD(C767,7),'CALENDAR INFO'!$I$2:$J$8,2)</f>
        <v>TUE</v>
      </c>
      <c r="G767" s="214">
        <v>0.08</v>
      </c>
      <c r="H767" s="425">
        <v>0.05</v>
      </c>
      <c r="I767" s="457">
        <f t="shared" si="60"/>
        <v>-0.03</v>
      </c>
      <c r="J767" s="152"/>
      <c r="K767" s="182"/>
      <c r="L767" s="201"/>
      <c r="M767" s="63">
        <f t="shared" si="65"/>
        <v>1</v>
      </c>
      <c r="N767" s="64">
        <f t="shared" si="62"/>
        <v>1.0000013888888888</v>
      </c>
    </row>
    <row r="768" spans="1:16">
      <c r="C768" s="61">
        <f t="shared" si="64"/>
        <v>44566</v>
      </c>
      <c r="E768" s="167"/>
      <c r="F768" s="121" t="str">
        <f>VLOOKUP(MOD(C768,7),'CALENDAR INFO'!$I$2:$J$8,2)</f>
        <v>WED</v>
      </c>
      <c r="G768" s="214">
        <v>0.08</v>
      </c>
      <c r="H768" s="425">
        <v>0.05</v>
      </c>
      <c r="I768" s="457">
        <f t="shared" si="60"/>
        <v>-0.03</v>
      </c>
      <c r="J768" s="152" t="s">
        <v>153</v>
      </c>
      <c r="K768" s="182" t="str">
        <f>_xlfn.CONCAT("A",TEXT(K765,0),":","A",TEXT(K766,0))</f>
        <v>A764:A794</v>
      </c>
      <c r="L768" s="201" t="str">
        <f>_xlfn.CONCAT("B",TEXT(L765,0),":","B",TEXT(L766,0))</f>
        <v>B764:B794</v>
      </c>
      <c r="M768" s="63">
        <f t="shared" si="65"/>
        <v>1</v>
      </c>
      <c r="N768" s="64">
        <f t="shared" si="62"/>
        <v>1.0000013888888888</v>
      </c>
    </row>
    <row r="769" spans="3:14">
      <c r="C769" s="61">
        <f t="shared" si="64"/>
        <v>44567</v>
      </c>
      <c r="E769" s="167"/>
      <c r="F769" s="121" t="str">
        <f>VLOOKUP(MOD(C769,7),'CALENDAR INFO'!$I$2:$J$8,2)</f>
        <v>THU</v>
      </c>
      <c r="G769" s="214">
        <v>0.08</v>
      </c>
      <c r="H769" s="425">
        <v>0.05</v>
      </c>
      <c r="I769" s="457">
        <f t="shared" si="60"/>
        <v>-0.03</v>
      </c>
      <c r="J769" s="152" t="s">
        <v>154</v>
      </c>
      <c r="K769" s="182" t="str">
        <f>_xlfn.CONCAT("F",TEXT(K765,0),":","F",TEXT(K766,0))</f>
        <v>F764:F794</v>
      </c>
      <c r="L769" s="201" t="str">
        <f>_xlfn.CONCAT("G",TEXT(L765,0),":","G",TEXT(L766,0))</f>
        <v>G764:G794</v>
      </c>
      <c r="M769" s="63">
        <f t="shared" si="65"/>
        <v>1</v>
      </c>
      <c r="N769" s="64">
        <f t="shared" si="62"/>
        <v>1.0000013888888888</v>
      </c>
    </row>
    <row r="770" spans="3:14">
      <c r="C770" s="61">
        <f t="shared" si="64"/>
        <v>44568</v>
      </c>
      <c r="E770" s="167"/>
      <c r="F770" s="121" t="str">
        <f>VLOOKUP(MOD(C770,7),'CALENDAR INFO'!$I$2:$J$8,2)</f>
        <v>FRI</v>
      </c>
      <c r="G770" s="214">
        <v>0.08</v>
      </c>
      <c r="H770" s="425">
        <v>0.05</v>
      </c>
      <c r="I770" s="457">
        <f t="shared" si="60"/>
        <v>-0.03</v>
      </c>
      <c r="J770" s="152"/>
      <c r="K770" s="152"/>
      <c r="L770" s="202"/>
      <c r="M770" s="63">
        <f t="shared" si="65"/>
        <v>3</v>
      </c>
      <c r="N770" s="64">
        <f t="shared" si="62"/>
        <v>1.0000041666666666</v>
      </c>
    </row>
    <row r="771" spans="3:14">
      <c r="C771" s="61">
        <f t="shared" si="64"/>
        <v>44569</v>
      </c>
      <c r="E771" s="167"/>
      <c r="F771" s="121" t="str">
        <f>VLOOKUP(MOD(C771,7),'CALENDAR INFO'!$I$2:$J$8,2)</f>
        <v>SAT</v>
      </c>
      <c r="G771" s="214">
        <v>0.08</v>
      </c>
      <c r="H771" s="425">
        <v>0.05</v>
      </c>
      <c r="I771" s="457">
        <f t="shared" ref="I771:I834" si="66">H771-G771</f>
        <v>-0.03</v>
      </c>
      <c r="J771" s="152" t="s">
        <v>155</v>
      </c>
      <c r="K771" s="185">
        <f ca="1">SUM(INDIRECT(K768))</f>
        <v>0</v>
      </c>
      <c r="L771" s="179">
        <f ca="1">SUM(INDIRECT(L768))</f>
        <v>0</v>
      </c>
      <c r="M771" s="63">
        <f t="shared" si="65"/>
        <v>0</v>
      </c>
      <c r="N771" s="64">
        <f t="shared" si="62"/>
        <v>1</v>
      </c>
    </row>
    <row r="772" spans="3:14">
      <c r="C772" s="61">
        <f t="shared" si="64"/>
        <v>44570</v>
      </c>
      <c r="E772" s="167"/>
      <c r="F772" s="121" t="str">
        <f>VLOOKUP(MOD(C772,7),'CALENDAR INFO'!$I$2:$J$8,2)</f>
        <v>SUN</v>
      </c>
      <c r="G772" s="214">
        <v>0.08</v>
      </c>
      <c r="H772" s="425">
        <v>0.05</v>
      </c>
      <c r="I772" s="457">
        <f t="shared" si="66"/>
        <v>-0.03</v>
      </c>
      <c r="J772" s="152" t="s">
        <v>156</v>
      </c>
      <c r="K772" s="207">
        <f ca="1">SUM(INDIRECT(K769))</f>
        <v>0</v>
      </c>
      <c r="L772" s="208">
        <f ca="1">SUM(INDIRECT(L769))</f>
        <v>2.4600000000000009</v>
      </c>
      <c r="M772" s="63">
        <f t="shared" si="65"/>
        <v>0</v>
      </c>
      <c r="N772" s="64">
        <f t="shared" si="62"/>
        <v>1</v>
      </c>
    </row>
    <row r="773" spans="3:14">
      <c r="C773" s="61">
        <f t="shared" si="64"/>
        <v>44571</v>
      </c>
      <c r="E773" s="167"/>
      <c r="F773" s="121" t="str">
        <f>VLOOKUP(MOD(C773,7),'CALENDAR INFO'!$I$2:$J$8,2)</f>
        <v>MON</v>
      </c>
      <c r="G773" s="214">
        <v>0.08</v>
      </c>
      <c r="H773" s="425">
        <v>0.05</v>
      </c>
      <c r="I773" s="457">
        <f t="shared" si="66"/>
        <v>-0.03</v>
      </c>
      <c r="J773" s="152" t="s">
        <v>157</v>
      </c>
      <c r="K773" s="178">
        <f ca="1">K771+K772</f>
        <v>0</v>
      </c>
      <c r="L773" s="192">
        <f ca="1">L771+L772</f>
        <v>2.4600000000000009</v>
      </c>
      <c r="M773" s="63">
        <f t="shared" si="65"/>
        <v>1</v>
      </c>
      <c r="N773" s="64">
        <f t="shared" si="62"/>
        <v>1.0000013888888888</v>
      </c>
    </row>
    <row r="774" spans="3:14">
      <c r="C774" s="61">
        <f t="shared" si="64"/>
        <v>44572</v>
      </c>
      <c r="E774" s="167"/>
      <c r="F774" s="121" t="str">
        <f>VLOOKUP(MOD(C774,7),'CALENDAR INFO'!$I$2:$J$8,2)</f>
        <v>TUE</v>
      </c>
      <c r="G774" s="214">
        <v>0.08</v>
      </c>
      <c r="H774" s="425">
        <v>0.05</v>
      </c>
      <c r="I774" s="457">
        <f t="shared" si="66"/>
        <v>-0.03</v>
      </c>
      <c r="J774" s="152"/>
      <c r="K774" s="178"/>
      <c r="L774" s="192"/>
      <c r="M774" s="63">
        <f t="shared" si="65"/>
        <v>1</v>
      </c>
      <c r="N774" s="64">
        <f t="shared" si="62"/>
        <v>1.0000013888888888</v>
      </c>
    </row>
    <row r="775" spans="3:14">
      <c r="C775" s="61">
        <f t="shared" si="64"/>
        <v>44573</v>
      </c>
      <c r="E775" s="167" t="s">
        <v>19</v>
      </c>
      <c r="F775" s="121" t="str">
        <f>VLOOKUP(MOD(C775,7),'CALENDAR INFO'!$I$2:$J$8,2)</f>
        <v>WED</v>
      </c>
      <c r="G775" s="214">
        <v>0.08</v>
      </c>
      <c r="H775" s="425">
        <v>0.05</v>
      </c>
      <c r="I775" s="457">
        <f t="shared" si="66"/>
        <v>-0.03</v>
      </c>
      <c r="J775" s="152" t="s">
        <v>158</v>
      </c>
      <c r="K775" s="178">
        <f ca="1">K773/K764</f>
        <v>0</v>
      </c>
      <c r="L775" s="192">
        <f ca="1">L773/L764</f>
        <v>7.9354838709677453E-2</v>
      </c>
      <c r="M775" s="63">
        <f t="shared" si="65"/>
        <v>1</v>
      </c>
      <c r="N775" s="64">
        <f t="shared" si="62"/>
        <v>1.0000013888888888</v>
      </c>
    </row>
    <row r="776" spans="3:14">
      <c r="C776" s="61">
        <f t="shared" si="64"/>
        <v>44574</v>
      </c>
      <c r="E776" s="170" t="s">
        <v>18</v>
      </c>
      <c r="F776" s="121" t="str">
        <f>VLOOKUP(MOD(C776,7),'CALENDAR INFO'!$I$2:$J$8,2)</f>
        <v>THU</v>
      </c>
      <c r="G776" s="214">
        <v>0.08</v>
      </c>
      <c r="H776" s="425">
        <v>0.05</v>
      </c>
      <c r="I776" s="457">
        <f t="shared" si="66"/>
        <v>-0.03</v>
      </c>
      <c r="J776" s="152" t="s">
        <v>159</v>
      </c>
      <c r="K776" s="180">
        <f ca="1">100-K775</f>
        <v>100</v>
      </c>
      <c r="L776" s="193">
        <f ca="1">100-L775</f>
        <v>99.920645161290324</v>
      </c>
      <c r="M776" s="63">
        <f t="shared" si="65"/>
        <v>1</v>
      </c>
      <c r="N776" s="64">
        <f t="shared" si="62"/>
        <v>1.0000013888888888</v>
      </c>
    </row>
    <row r="777" spans="3:14">
      <c r="C777" s="61">
        <f t="shared" si="64"/>
        <v>44575</v>
      </c>
      <c r="E777" s="170"/>
      <c r="F777" s="121" t="str">
        <f>VLOOKUP(MOD(C777,7),'CALENDAR INFO'!$I$2:$J$8,2)</f>
        <v>FRI</v>
      </c>
      <c r="G777" s="214">
        <v>0.08</v>
      </c>
      <c r="H777" s="425">
        <v>0.05</v>
      </c>
      <c r="I777" s="457">
        <f t="shared" si="66"/>
        <v>-0.03</v>
      </c>
      <c r="J777" s="152"/>
      <c r="K777" s="178"/>
      <c r="L777" s="192"/>
      <c r="M777" s="81">
        <v>4</v>
      </c>
      <c r="N777" s="64">
        <f t="shared" si="62"/>
        <v>1.0000055555555556</v>
      </c>
    </row>
    <row r="778" spans="3:14">
      <c r="C778" s="61">
        <f t="shared" si="64"/>
        <v>44576</v>
      </c>
      <c r="E778" s="170"/>
      <c r="F778" s="121" t="str">
        <f>VLOOKUP(MOD(C778,7),'CALENDAR INFO'!$I$2:$J$8,2)</f>
        <v>SAT</v>
      </c>
      <c r="G778" s="214">
        <v>0.08</v>
      </c>
      <c r="H778" s="425">
        <v>0.05</v>
      </c>
      <c r="I778" s="457">
        <f t="shared" si="66"/>
        <v>-0.03</v>
      </c>
      <c r="J778" s="152"/>
      <c r="K778" s="186"/>
      <c r="L778" s="194"/>
      <c r="M778" s="63">
        <f>IF(MOD(C778,7)&lt;2,0,IF(MOD(C778,7)=6,3,1))</f>
        <v>0</v>
      </c>
      <c r="N778" s="64">
        <f t="shared" si="62"/>
        <v>1</v>
      </c>
    </row>
    <row r="779" spans="3:14">
      <c r="C779" s="61">
        <f t="shared" si="64"/>
        <v>44577</v>
      </c>
      <c r="E779" s="170"/>
      <c r="F779" s="121" t="str">
        <f>VLOOKUP(MOD(C779,7),'CALENDAR INFO'!$I$2:$J$8,2)</f>
        <v>SUN</v>
      </c>
      <c r="G779" s="214">
        <v>0.08</v>
      </c>
      <c r="H779" s="425">
        <v>0.05</v>
      </c>
      <c r="I779" s="457">
        <f t="shared" si="66"/>
        <v>-0.03</v>
      </c>
      <c r="J779" s="152"/>
      <c r="K779" s="152"/>
      <c r="L779" s="202"/>
      <c r="M779" s="63">
        <f>IF(MOD(C779,7)&lt;2,0,IF(MOD(C779,7)=6,3,1))</f>
        <v>0</v>
      </c>
      <c r="N779" s="64">
        <f t="shared" si="62"/>
        <v>1</v>
      </c>
    </row>
    <row r="780" spans="3:14">
      <c r="C780" s="61">
        <f t="shared" si="64"/>
        <v>44578</v>
      </c>
      <c r="D780" s="173" t="s">
        <v>103</v>
      </c>
      <c r="E780" s="170"/>
      <c r="F780" s="121" t="str">
        <f>VLOOKUP(MOD(C780,7),'CALENDAR INFO'!$I$2:$J$8,2)</f>
        <v>MON</v>
      </c>
      <c r="G780" s="214">
        <v>0.08</v>
      </c>
      <c r="H780" s="425">
        <v>0.05</v>
      </c>
      <c r="I780" s="457">
        <f t="shared" si="66"/>
        <v>-0.03</v>
      </c>
      <c r="J780" s="152"/>
      <c r="K780" s="152"/>
      <c r="L780" s="202"/>
      <c r="M780" s="81">
        <v>0</v>
      </c>
      <c r="N780" s="64">
        <f t="shared" si="62"/>
        <v>1</v>
      </c>
    </row>
    <row r="781" spans="3:14">
      <c r="C781" s="61">
        <f t="shared" si="64"/>
        <v>44579</v>
      </c>
      <c r="E781" s="170"/>
      <c r="F781" s="121" t="str">
        <f>VLOOKUP(MOD(C781,7),'CALENDAR INFO'!$I$2:$J$8,2)</f>
        <v>TUE</v>
      </c>
      <c r="G781" s="214">
        <v>0.08</v>
      </c>
      <c r="H781" s="425">
        <v>0.05</v>
      </c>
      <c r="I781" s="457">
        <f t="shared" si="66"/>
        <v>-0.03</v>
      </c>
      <c r="J781" s="152"/>
      <c r="K781" s="152"/>
      <c r="L781" s="202"/>
      <c r="M781" s="63">
        <f t="shared" ref="M781:M811" si="67">IF(MOD(C781,7)&lt;2,0,IF(MOD(C781,7)=6,3,1))</f>
        <v>1</v>
      </c>
      <c r="N781" s="64">
        <f t="shared" si="62"/>
        <v>1.0000013888888888</v>
      </c>
    </row>
    <row r="782" spans="3:14">
      <c r="C782" s="61">
        <f t="shared" si="64"/>
        <v>44580</v>
      </c>
      <c r="E782" s="170"/>
      <c r="F782" s="121" t="str">
        <f>VLOOKUP(MOD(C782,7),'CALENDAR INFO'!$I$2:$J$8,2)</f>
        <v>WED</v>
      </c>
      <c r="G782" s="214">
        <v>0.08</v>
      </c>
      <c r="H782" s="425">
        <v>0.05</v>
      </c>
      <c r="I782" s="457">
        <f t="shared" si="66"/>
        <v>-0.03</v>
      </c>
      <c r="J782" s="152"/>
      <c r="K782" s="152"/>
      <c r="L782" s="202"/>
      <c r="M782" s="63">
        <f t="shared" si="67"/>
        <v>1</v>
      </c>
      <c r="N782" s="64">
        <f t="shared" si="62"/>
        <v>1.0000013888888888</v>
      </c>
    </row>
    <row r="783" spans="3:14">
      <c r="C783" s="61">
        <f t="shared" si="64"/>
        <v>44581</v>
      </c>
      <c r="E783" s="170"/>
      <c r="F783" s="121" t="str">
        <f>VLOOKUP(MOD(C783,7),'CALENDAR INFO'!$I$2:$J$8,2)</f>
        <v>THU</v>
      </c>
      <c r="G783" s="214">
        <v>0.08</v>
      </c>
      <c r="H783" s="425">
        <v>0.04</v>
      </c>
      <c r="I783" s="457">
        <f t="shared" si="66"/>
        <v>-0.04</v>
      </c>
      <c r="J783" s="152"/>
      <c r="K783" s="152"/>
      <c r="L783" s="202"/>
      <c r="M783" s="63">
        <f t="shared" si="67"/>
        <v>1</v>
      </c>
      <c r="N783" s="64">
        <f t="shared" si="62"/>
        <v>1.0000011111111111</v>
      </c>
    </row>
    <row r="784" spans="3:14">
      <c r="C784" s="61">
        <f t="shared" si="64"/>
        <v>44582</v>
      </c>
      <c r="E784" s="170"/>
      <c r="F784" s="121" t="str">
        <f>VLOOKUP(MOD(C784,7),'CALENDAR INFO'!$I$2:$J$8,2)</f>
        <v>FRI</v>
      </c>
      <c r="G784" s="214">
        <v>0.08</v>
      </c>
      <c r="H784" s="425">
        <v>0.05</v>
      </c>
      <c r="I784" s="457">
        <f t="shared" si="66"/>
        <v>-0.03</v>
      </c>
      <c r="J784" s="152"/>
      <c r="K784" s="152"/>
      <c r="L784" s="202"/>
      <c r="M784" s="63">
        <f t="shared" si="67"/>
        <v>3</v>
      </c>
      <c r="N784" s="64">
        <f t="shared" si="62"/>
        <v>1.0000041666666666</v>
      </c>
    </row>
    <row r="785" spans="1:16">
      <c r="C785" s="61">
        <f t="shared" si="64"/>
        <v>44583</v>
      </c>
      <c r="E785" s="170"/>
      <c r="F785" s="121" t="str">
        <f>VLOOKUP(MOD(C785,7),'CALENDAR INFO'!$I$2:$J$8,2)</f>
        <v>SAT</v>
      </c>
      <c r="G785" s="214">
        <v>0.08</v>
      </c>
      <c r="H785" s="425">
        <v>0.05</v>
      </c>
      <c r="I785" s="457">
        <f t="shared" si="66"/>
        <v>-0.03</v>
      </c>
      <c r="J785" s="152"/>
      <c r="K785" s="152"/>
      <c r="L785" s="202"/>
      <c r="M785" s="63">
        <f t="shared" si="67"/>
        <v>0</v>
      </c>
      <c r="N785" s="64">
        <f t="shared" si="62"/>
        <v>1</v>
      </c>
    </row>
    <row r="786" spans="1:16">
      <c r="C786" s="61">
        <f t="shared" si="64"/>
        <v>44584</v>
      </c>
      <c r="E786" s="170"/>
      <c r="F786" s="121" t="str">
        <f>VLOOKUP(MOD(C786,7),'CALENDAR INFO'!$I$2:$J$8,2)</f>
        <v>SUN</v>
      </c>
      <c r="G786" s="214">
        <v>0.08</v>
      </c>
      <c r="H786" s="425">
        <v>0.05</v>
      </c>
      <c r="I786" s="457">
        <f t="shared" si="66"/>
        <v>-0.03</v>
      </c>
      <c r="J786" s="152"/>
      <c r="K786" s="152"/>
      <c r="L786" s="202"/>
      <c r="M786" s="63">
        <f t="shared" si="67"/>
        <v>0</v>
      </c>
      <c r="N786" s="64">
        <f t="shared" si="62"/>
        <v>1</v>
      </c>
    </row>
    <row r="787" spans="1:16">
      <c r="C787" s="61">
        <f t="shared" si="64"/>
        <v>44585</v>
      </c>
      <c r="E787" s="170"/>
      <c r="F787" s="121" t="str">
        <f>VLOOKUP(MOD(C787,7),'CALENDAR INFO'!$I$2:$J$8,2)</f>
        <v>MON</v>
      </c>
      <c r="G787" s="214">
        <v>0.08</v>
      </c>
      <c r="H787" s="425">
        <v>0.04</v>
      </c>
      <c r="I787" s="457">
        <f t="shared" si="66"/>
        <v>-0.04</v>
      </c>
      <c r="J787" s="152"/>
      <c r="K787" s="152"/>
      <c r="L787" s="202"/>
      <c r="M787" s="63">
        <f t="shared" si="67"/>
        <v>1</v>
      </c>
      <c r="N787" s="64">
        <f t="shared" ref="N787:N850" si="68">1+(M787/360)*(MAX(H787,B787)/100)</f>
        <v>1.0000011111111111</v>
      </c>
    </row>
    <row r="788" spans="1:16">
      <c r="C788" s="61">
        <f t="shared" si="64"/>
        <v>44586</v>
      </c>
      <c r="D788" s="153" t="s">
        <v>20</v>
      </c>
      <c r="E788" s="170"/>
      <c r="F788" s="121" t="str">
        <f>VLOOKUP(MOD(C788,7),'CALENDAR INFO'!$I$2:$J$8,2)</f>
        <v>TUE</v>
      </c>
      <c r="G788" s="214">
        <v>0.08</v>
      </c>
      <c r="H788" s="425">
        <v>0.05</v>
      </c>
      <c r="I788" s="457">
        <f t="shared" si="66"/>
        <v>-0.03</v>
      </c>
      <c r="J788" s="152"/>
      <c r="K788" s="152"/>
      <c r="L788" s="202"/>
      <c r="M788" s="63">
        <f t="shared" si="67"/>
        <v>1</v>
      </c>
      <c r="N788" s="64">
        <f t="shared" si="68"/>
        <v>1.0000013888888888</v>
      </c>
    </row>
    <row r="789" spans="1:16">
      <c r="C789" s="61">
        <f t="shared" si="64"/>
        <v>44587</v>
      </c>
      <c r="D789" s="153" t="s">
        <v>20</v>
      </c>
      <c r="E789" s="170" t="s">
        <v>19</v>
      </c>
      <c r="F789" s="121" t="str">
        <f>VLOOKUP(MOD(C789,7),'CALENDAR INFO'!$I$2:$J$8,2)</f>
        <v>WED</v>
      </c>
      <c r="G789" s="214">
        <v>0.08</v>
      </c>
      <c r="H789" s="425">
        <v>0.04</v>
      </c>
      <c r="I789" s="457">
        <f t="shared" si="66"/>
        <v>-0.04</v>
      </c>
      <c r="J789" s="152"/>
      <c r="K789" s="182"/>
      <c r="L789" s="201"/>
      <c r="M789" s="63">
        <f t="shared" si="67"/>
        <v>1</v>
      </c>
      <c r="N789" s="64">
        <f t="shared" si="68"/>
        <v>1.0000011111111111</v>
      </c>
    </row>
    <row r="790" spans="1:16">
      <c r="C790" s="61">
        <f t="shared" si="64"/>
        <v>44588</v>
      </c>
      <c r="E790" s="167" t="s">
        <v>18</v>
      </c>
      <c r="F790" s="121" t="str">
        <f>VLOOKUP(MOD(C790,7),'CALENDAR INFO'!$I$2:$J$8,2)</f>
        <v>THU</v>
      </c>
      <c r="G790" s="214">
        <v>0.08</v>
      </c>
      <c r="H790" s="425">
        <v>0.04</v>
      </c>
      <c r="I790" s="457">
        <f t="shared" si="66"/>
        <v>-0.04</v>
      </c>
      <c r="J790" s="152"/>
      <c r="K790" s="152"/>
      <c r="L790" s="202"/>
      <c r="M790" s="63">
        <f t="shared" si="67"/>
        <v>1</v>
      </c>
      <c r="N790" s="64">
        <f t="shared" si="68"/>
        <v>1.0000011111111111</v>
      </c>
      <c r="O790" s="89" t="s">
        <v>93</v>
      </c>
      <c r="P790" s="90"/>
    </row>
    <row r="791" spans="1:16">
      <c r="C791" s="61">
        <f t="shared" si="64"/>
        <v>44589</v>
      </c>
      <c r="E791" s="167"/>
      <c r="F791" s="121" t="str">
        <f>VLOOKUP(MOD(C791,7),'CALENDAR INFO'!$I$2:$J$8,2)</f>
        <v>FRI</v>
      </c>
      <c r="G791" s="214">
        <v>0.08</v>
      </c>
      <c r="H791" s="425">
        <v>0.05</v>
      </c>
      <c r="I791" s="457">
        <f t="shared" si="66"/>
        <v>-0.03</v>
      </c>
      <c r="J791" s="152"/>
      <c r="K791" s="182"/>
      <c r="L791" s="201"/>
      <c r="M791" s="63">
        <f t="shared" si="67"/>
        <v>3</v>
      </c>
      <c r="N791" s="64">
        <f t="shared" si="68"/>
        <v>1.0000041666666666</v>
      </c>
      <c r="O791" s="89" t="s">
        <v>26</v>
      </c>
      <c r="P791" s="135"/>
    </row>
    <row r="792" spans="1:16">
      <c r="C792" s="61">
        <f t="shared" si="64"/>
        <v>44590</v>
      </c>
      <c r="E792" s="167"/>
      <c r="F792" s="121" t="str">
        <f>VLOOKUP(MOD(C792,7),'CALENDAR INFO'!$I$2:$J$8,2)</f>
        <v>SAT</v>
      </c>
      <c r="G792" s="214">
        <v>0.08</v>
      </c>
      <c r="H792" s="425">
        <v>0.05</v>
      </c>
      <c r="I792" s="457">
        <f t="shared" si="66"/>
        <v>-0.03</v>
      </c>
      <c r="J792" s="152"/>
      <c r="K792" s="190"/>
      <c r="L792" s="203"/>
      <c r="M792" s="63">
        <f t="shared" si="67"/>
        <v>0</v>
      </c>
      <c r="N792" s="64">
        <f t="shared" si="68"/>
        <v>1</v>
      </c>
      <c r="O792" s="89" t="s">
        <v>76</v>
      </c>
      <c r="P792" s="135"/>
    </row>
    <row r="793" spans="1:16">
      <c r="C793" s="61">
        <f t="shared" si="64"/>
        <v>44591</v>
      </c>
      <c r="E793" s="167"/>
      <c r="F793" s="121" t="str">
        <f>VLOOKUP(MOD(C793,7),'CALENDAR INFO'!$I$2:$J$8,2)</f>
        <v>SUN</v>
      </c>
      <c r="G793" s="214">
        <v>0.08</v>
      </c>
      <c r="H793" s="425">
        <v>0.05</v>
      </c>
      <c r="I793" s="457">
        <f t="shared" si="66"/>
        <v>-0.03</v>
      </c>
      <c r="J793" s="152"/>
      <c r="K793" s="182"/>
      <c r="L793" s="201"/>
      <c r="M793" s="63">
        <f t="shared" si="67"/>
        <v>0</v>
      </c>
      <c r="N793" s="64">
        <f t="shared" si="68"/>
        <v>1</v>
      </c>
    </row>
    <row r="794" spans="1:16" ht="15.75" thickBot="1">
      <c r="A794" s="98"/>
      <c r="B794" s="86"/>
      <c r="C794" s="75">
        <f t="shared" si="64"/>
        <v>44592</v>
      </c>
      <c r="D794" s="112"/>
      <c r="E794" s="92"/>
      <c r="F794" s="138" t="str">
        <f>VLOOKUP(MOD(C794,7),'CALENDAR INFO'!$I$2:$J$8,2)</f>
        <v>MON</v>
      </c>
      <c r="G794" s="215">
        <v>0.08</v>
      </c>
      <c r="H794" s="426">
        <v>0.05</v>
      </c>
      <c r="I794" s="458">
        <f t="shared" si="66"/>
        <v>-0.03</v>
      </c>
      <c r="J794" s="437"/>
      <c r="K794" s="191"/>
      <c r="L794" s="204"/>
      <c r="M794" s="88">
        <f t="shared" si="67"/>
        <v>1</v>
      </c>
      <c r="N794" s="77">
        <f t="shared" si="68"/>
        <v>1.0000013888888888</v>
      </c>
    </row>
    <row r="795" spans="1:16">
      <c r="C795" s="61">
        <f t="shared" si="64"/>
        <v>44593</v>
      </c>
      <c r="E795" s="167"/>
      <c r="F795" s="121" t="str">
        <f>VLOOKUP(MOD(C795,7),'CALENDAR INFO'!$I$2:$J$8,2)</f>
        <v>TUE</v>
      </c>
      <c r="G795" s="214">
        <v>0.08</v>
      </c>
      <c r="H795" s="425">
        <v>0.05</v>
      </c>
      <c r="I795" s="457">
        <f t="shared" si="66"/>
        <v>-0.03</v>
      </c>
      <c r="J795" s="436" t="s">
        <v>118</v>
      </c>
      <c r="K795" s="15">
        <f>VLOOKUP(MONTH($C795),'CALENDAR INFO'!$I$12:$J$23,2)</f>
        <v>28</v>
      </c>
      <c r="L795" s="179">
        <f>K795</f>
        <v>28</v>
      </c>
      <c r="M795" s="63">
        <f t="shared" si="67"/>
        <v>1</v>
      </c>
      <c r="N795" s="64">
        <f t="shared" si="68"/>
        <v>1.0000013888888888</v>
      </c>
    </row>
    <row r="796" spans="1:16">
      <c r="C796" s="61">
        <f t="shared" si="64"/>
        <v>44594</v>
      </c>
      <c r="E796" s="167"/>
      <c r="F796" s="121" t="str">
        <f>VLOOKUP(MOD(C796,7),'CALENDAR INFO'!$I$2:$J$8,2)</f>
        <v>WED</v>
      </c>
      <c r="G796" s="214">
        <v>0.08</v>
      </c>
      <c r="H796" s="425">
        <v>0.05</v>
      </c>
      <c r="I796" s="457">
        <f t="shared" si="66"/>
        <v>-0.03</v>
      </c>
      <c r="J796" s="152" t="s">
        <v>151</v>
      </c>
      <c r="K796" s="15">
        <f>ROW($C796)-1</f>
        <v>795</v>
      </c>
      <c r="L796" s="179">
        <f>K796</f>
        <v>795</v>
      </c>
      <c r="M796" s="63">
        <f t="shared" si="67"/>
        <v>1</v>
      </c>
      <c r="N796" s="64">
        <f t="shared" si="68"/>
        <v>1.0000013888888888</v>
      </c>
    </row>
    <row r="797" spans="1:16">
      <c r="C797" s="61">
        <f t="shared" si="64"/>
        <v>44595</v>
      </c>
      <c r="E797" s="167"/>
      <c r="F797" s="121" t="str">
        <f>VLOOKUP(MOD(C797,7),'CALENDAR INFO'!$I$2:$J$8,2)</f>
        <v>THU</v>
      </c>
      <c r="G797" s="214">
        <v>0.08</v>
      </c>
      <c r="H797" s="425">
        <v>0.05</v>
      </c>
      <c r="I797" s="457">
        <f t="shared" si="66"/>
        <v>-0.03</v>
      </c>
      <c r="J797" s="152" t="s">
        <v>152</v>
      </c>
      <c r="K797" s="15">
        <f>K795+K796-1</f>
        <v>822</v>
      </c>
      <c r="L797" s="200">
        <f>K797</f>
        <v>822</v>
      </c>
      <c r="M797" s="63">
        <f t="shared" si="67"/>
        <v>1</v>
      </c>
      <c r="N797" s="64">
        <f t="shared" si="68"/>
        <v>1.0000013888888888</v>
      </c>
    </row>
    <row r="798" spans="1:16">
      <c r="C798" s="61">
        <f t="shared" si="64"/>
        <v>44596</v>
      </c>
      <c r="E798" s="167"/>
      <c r="F798" s="121" t="str">
        <f>VLOOKUP(MOD(C798,7),'CALENDAR INFO'!$I$2:$J$8,2)</f>
        <v>FRI</v>
      </c>
      <c r="G798" s="214">
        <v>0.08</v>
      </c>
      <c r="H798" s="425">
        <v>0.05</v>
      </c>
      <c r="I798" s="457">
        <f t="shared" si="66"/>
        <v>-0.03</v>
      </c>
      <c r="J798" s="152"/>
      <c r="K798" s="182"/>
      <c r="L798" s="201"/>
      <c r="M798" s="63">
        <f t="shared" si="67"/>
        <v>3</v>
      </c>
      <c r="N798" s="64">
        <f t="shared" si="68"/>
        <v>1.0000041666666666</v>
      </c>
    </row>
    <row r="799" spans="1:16">
      <c r="C799" s="61">
        <f t="shared" si="64"/>
        <v>44597</v>
      </c>
      <c r="E799" s="167"/>
      <c r="F799" s="121" t="str">
        <f>VLOOKUP(MOD(C799,7),'CALENDAR INFO'!$I$2:$J$8,2)</f>
        <v>SAT</v>
      </c>
      <c r="G799" s="214">
        <v>0.08</v>
      </c>
      <c r="H799" s="425">
        <v>0.05</v>
      </c>
      <c r="I799" s="457">
        <f t="shared" si="66"/>
        <v>-0.03</v>
      </c>
      <c r="J799" s="152" t="s">
        <v>153</v>
      </c>
      <c r="K799" s="182" t="str">
        <f>_xlfn.CONCAT("A",TEXT(K796,0),":","A",TEXT(K797,0))</f>
        <v>A795:A822</v>
      </c>
      <c r="L799" s="201" t="str">
        <f>_xlfn.CONCAT("B",TEXT(L796,0),":","B",TEXT(L797,0))</f>
        <v>B795:B822</v>
      </c>
      <c r="M799" s="63">
        <f t="shared" si="67"/>
        <v>0</v>
      </c>
      <c r="N799" s="64">
        <f t="shared" si="68"/>
        <v>1</v>
      </c>
    </row>
    <row r="800" spans="1:16">
      <c r="C800" s="61">
        <f t="shared" si="64"/>
        <v>44598</v>
      </c>
      <c r="E800" s="167"/>
      <c r="F800" s="121" t="str">
        <f>VLOOKUP(MOD(C800,7),'CALENDAR INFO'!$I$2:$J$8,2)</f>
        <v>SUN</v>
      </c>
      <c r="G800" s="214">
        <v>0.08</v>
      </c>
      <c r="H800" s="425">
        <v>0.05</v>
      </c>
      <c r="I800" s="457">
        <f t="shared" si="66"/>
        <v>-0.03</v>
      </c>
      <c r="J800" s="152" t="s">
        <v>154</v>
      </c>
      <c r="K800" s="182" t="str">
        <f>_xlfn.CONCAT("F",TEXT(K796,0),":","F",TEXT(K797,0))</f>
        <v>F795:F822</v>
      </c>
      <c r="L800" s="201" t="str">
        <f>_xlfn.CONCAT("G",TEXT(L796,0),":","G",TEXT(L797,0))</f>
        <v>G795:G822</v>
      </c>
      <c r="M800" s="63">
        <f t="shared" si="67"/>
        <v>0</v>
      </c>
      <c r="N800" s="64">
        <f t="shared" si="68"/>
        <v>1</v>
      </c>
    </row>
    <row r="801" spans="3:14">
      <c r="C801" s="61">
        <f t="shared" si="64"/>
        <v>44599</v>
      </c>
      <c r="E801" s="167"/>
      <c r="F801" s="121" t="str">
        <f>VLOOKUP(MOD(C801,7),'CALENDAR INFO'!$I$2:$J$8,2)</f>
        <v>MON</v>
      </c>
      <c r="G801" s="214">
        <v>0.08</v>
      </c>
      <c r="H801" s="425">
        <v>0.05</v>
      </c>
      <c r="I801" s="457">
        <f t="shared" si="66"/>
        <v>-0.03</v>
      </c>
      <c r="J801" s="152"/>
      <c r="K801" s="152"/>
      <c r="L801" s="202"/>
      <c r="M801" s="63">
        <f t="shared" si="67"/>
        <v>1</v>
      </c>
      <c r="N801" s="64">
        <f t="shared" si="68"/>
        <v>1.0000013888888888</v>
      </c>
    </row>
    <row r="802" spans="3:14">
      <c r="C802" s="61">
        <f t="shared" si="64"/>
        <v>44600</v>
      </c>
      <c r="E802" s="167"/>
      <c r="F802" s="121" t="str">
        <f>VLOOKUP(MOD(C802,7),'CALENDAR INFO'!$I$2:$J$8,2)</f>
        <v>TUE</v>
      </c>
      <c r="G802" s="214">
        <v>0.08</v>
      </c>
      <c r="H802" s="425">
        <v>0.05</v>
      </c>
      <c r="I802" s="457">
        <f t="shared" si="66"/>
        <v>-0.03</v>
      </c>
      <c r="J802" s="152" t="s">
        <v>155</v>
      </c>
      <c r="K802" s="185">
        <f ca="1">SUM(INDIRECT(K799))</f>
        <v>0</v>
      </c>
      <c r="L802" s="179">
        <f ca="1">SUM(INDIRECT(L799))</f>
        <v>0</v>
      </c>
      <c r="M802" s="63">
        <f t="shared" si="67"/>
        <v>1</v>
      </c>
      <c r="N802" s="64">
        <f t="shared" si="68"/>
        <v>1.0000013888888888</v>
      </c>
    </row>
    <row r="803" spans="3:14">
      <c r="C803" s="61">
        <f t="shared" si="64"/>
        <v>44601</v>
      </c>
      <c r="E803" s="167" t="s">
        <v>19</v>
      </c>
      <c r="F803" s="121" t="str">
        <f>VLOOKUP(MOD(C803,7),'CALENDAR INFO'!$I$2:$J$8,2)</f>
        <v>WED</v>
      </c>
      <c r="G803" s="214">
        <v>0.08</v>
      </c>
      <c r="H803" s="425">
        <v>0.04</v>
      </c>
      <c r="I803" s="457">
        <f t="shared" si="66"/>
        <v>-0.04</v>
      </c>
      <c r="J803" s="152" t="s">
        <v>156</v>
      </c>
      <c r="K803" s="207">
        <f ca="1">SUM(INDIRECT(K800))</f>
        <v>0</v>
      </c>
      <c r="L803" s="208">
        <f ca="1">SUM(INDIRECT(L800))</f>
        <v>2.2400000000000007</v>
      </c>
      <c r="M803" s="63">
        <f t="shared" si="67"/>
        <v>1</v>
      </c>
      <c r="N803" s="64">
        <f t="shared" si="68"/>
        <v>1.0000011111111111</v>
      </c>
    </row>
    <row r="804" spans="3:14">
      <c r="C804" s="61">
        <f t="shared" si="64"/>
        <v>44602</v>
      </c>
      <c r="E804" s="170" t="s">
        <v>18</v>
      </c>
      <c r="F804" s="121" t="str">
        <f>VLOOKUP(MOD(C804,7),'CALENDAR INFO'!$I$2:$J$8,2)</f>
        <v>THU</v>
      </c>
      <c r="G804" s="214">
        <v>0.08</v>
      </c>
      <c r="H804" s="425">
        <v>0.05</v>
      </c>
      <c r="I804" s="457">
        <f t="shared" si="66"/>
        <v>-0.03</v>
      </c>
      <c r="J804" s="152" t="s">
        <v>157</v>
      </c>
      <c r="K804" s="178">
        <f ca="1">K802+K803</f>
        <v>0</v>
      </c>
      <c r="L804" s="192">
        <f ca="1">L802+L803</f>
        <v>2.2400000000000007</v>
      </c>
      <c r="M804" s="63">
        <f t="shared" si="67"/>
        <v>1</v>
      </c>
      <c r="N804" s="64">
        <f t="shared" si="68"/>
        <v>1.0000013888888888</v>
      </c>
    </row>
    <row r="805" spans="3:14">
      <c r="C805" s="61">
        <f t="shared" si="64"/>
        <v>44603</v>
      </c>
      <c r="E805" s="170"/>
      <c r="F805" s="121" t="str">
        <f>VLOOKUP(MOD(C805,7),'CALENDAR INFO'!$I$2:$J$8,2)</f>
        <v>FRI</v>
      </c>
      <c r="G805" s="214">
        <v>0.08</v>
      </c>
      <c r="H805" s="425">
        <v>0.05</v>
      </c>
      <c r="I805" s="457">
        <f t="shared" si="66"/>
        <v>-0.03</v>
      </c>
      <c r="J805" s="152"/>
      <c r="K805" s="178"/>
      <c r="L805" s="192"/>
      <c r="M805" s="63">
        <f t="shared" si="67"/>
        <v>3</v>
      </c>
      <c r="N805" s="64">
        <f t="shared" si="68"/>
        <v>1.0000041666666666</v>
      </c>
    </row>
    <row r="806" spans="3:14">
      <c r="C806" s="61">
        <f t="shared" si="64"/>
        <v>44604</v>
      </c>
      <c r="E806" s="170"/>
      <c r="F806" s="121" t="str">
        <f>VLOOKUP(MOD(C806,7),'CALENDAR INFO'!$I$2:$J$8,2)</f>
        <v>SAT</v>
      </c>
      <c r="G806" s="214">
        <v>0.08</v>
      </c>
      <c r="H806" s="425">
        <v>0.05</v>
      </c>
      <c r="I806" s="457">
        <f t="shared" si="66"/>
        <v>-0.03</v>
      </c>
      <c r="J806" s="152" t="s">
        <v>158</v>
      </c>
      <c r="K806" s="178">
        <f ca="1">K804/K795</f>
        <v>0</v>
      </c>
      <c r="L806" s="192">
        <f ca="1">L804/L795</f>
        <v>8.0000000000000029E-2</v>
      </c>
      <c r="M806" s="63">
        <f t="shared" si="67"/>
        <v>0</v>
      </c>
      <c r="N806" s="64">
        <f t="shared" si="68"/>
        <v>1</v>
      </c>
    </row>
    <row r="807" spans="3:14">
      <c r="C807" s="61">
        <f t="shared" si="64"/>
        <v>44605</v>
      </c>
      <c r="E807" s="170"/>
      <c r="F807" s="121" t="str">
        <f>VLOOKUP(MOD(C807,7),'CALENDAR INFO'!$I$2:$J$8,2)</f>
        <v>SUN</v>
      </c>
      <c r="G807" s="214">
        <v>0.08</v>
      </c>
      <c r="H807" s="425">
        <v>0.05</v>
      </c>
      <c r="I807" s="457">
        <f t="shared" si="66"/>
        <v>-0.03</v>
      </c>
      <c r="J807" s="152" t="s">
        <v>159</v>
      </c>
      <c r="K807" s="180">
        <f ca="1">100-K806</f>
        <v>100</v>
      </c>
      <c r="L807" s="193">
        <f ca="1">100-L806</f>
        <v>99.92</v>
      </c>
      <c r="M807" s="63">
        <f t="shared" si="67"/>
        <v>0</v>
      </c>
      <c r="N807" s="64">
        <f t="shared" si="68"/>
        <v>1</v>
      </c>
    </row>
    <row r="808" spans="3:14">
      <c r="C808" s="61">
        <f t="shared" si="64"/>
        <v>44606</v>
      </c>
      <c r="E808" s="170"/>
      <c r="F808" s="121" t="str">
        <f>VLOOKUP(MOD(C808,7),'CALENDAR INFO'!$I$2:$J$8,2)</f>
        <v>MON</v>
      </c>
      <c r="G808" s="214">
        <v>0.08</v>
      </c>
      <c r="H808" s="425">
        <v>0.05</v>
      </c>
      <c r="I808" s="457">
        <f t="shared" si="66"/>
        <v>-0.03</v>
      </c>
      <c r="J808" s="152"/>
      <c r="K808" s="178"/>
      <c r="L808" s="192"/>
      <c r="M808" s="63">
        <f t="shared" si="67"/>
        <v>1</v>
      </c>
      <c r="N808" s="64">
        <f t="shared" si="68"/>
        <v>1.0000013888888888</v>
      </c>
    </row>
    <row r="809" spans="3:14">
      <c r="C809" s="61">
        <f t="shared" si="64"/>
        <v>44607</v>
      </c>
      <c r="E809" s="170"/>
      <c r="F809" s="121" t="str">
        <f>VLOOKUP(MOD(C809,7),'CALENDAR INFO'!$I$2:$J$8,2)</f>
        <v>TUE</v>
      </c>
      <c r="G809" s="214">
        <v>0.08</v>
      </c>
      <c r="H809" s="425">
        <v>0.05</v>
      </c>
      <c r="I809" s="457">
        <f t="shared" si="66"/>
        <v>-0.03</v>
      </c>
      <c r="J809" s="152"/>
      <c r="K809" s="186"/>
      <c r="L809" s="194"/>
      <c r="M809" s="63">
        <f t="shared" si="67"/>
        <v>1</v>
      </c>
      <c r="N809" s="64">
        <f t="shared" si="68"/>
        <v>1.0000013888888888</v>
      </c>
    </row>
    <row r="810" spans="3:14">
      <c r="C810" s="61">
        <f t="shared" si="64"/>
        <v>44608</v>
      </c>
      <c r="E810" s="170"/>
      <c r="F810" s="121" t="str">
        <f>VLOOKUP(MOD(C810,7),'CALENDAR INFO'!$I$2:$J$8,2)</f>
        <v>WED</v>
      </c>
      <c r="G810" s="214">
        <v>0.08</v>
      </c>
      <c r="H810" s="425">
        <v>0.05</v>
      </c>
      <c r="I810" s="457">
        <f t="shared" si="66"/>
        <v>-0.03</v>
      </c>
      <c r="J810" s="152"/>
      <c r="K810" s="152"/>
      <c r="L810" s="202"/>
      <c r="M810" s="63">
        <f t="shared" si="67"/>
        <v>1</v>
      </c>
      <c r="N810" s="64">
        <f t="shared" si="68"/>
        <v>1.0000013888888888</v>
      </c>
    </row>
    <row r="811" spans="3:14">
      <c r="C811" s="61">
        <f t="shared" si="64"/>
        <v>44609</v>
      </c>
      <c r="E811" s="170"/>
      <c r="F811" s="121" t="str">
        <f>VLOOKUP(MOD(C811,7),'CALENDAR INFO'!$I$2:$J$8,2)</f>
        <v>THU</v>
      </c>
      <c r="G811" s="214">
        <v>0.08</v>
      </c>
      <c r="H811" s="425">
        <v>0.05</v>
      </c>
      <c r="I811" s="457">
        <f t="shared" si="66"/>
        <v>-0.03</v>
      </c>
      <c r="J811" s="152"/>
      <c r="K811" s="152"/>
      <c r="L811" s="202"/>
      <c r="M811" s="63">
        <f t="shared" si="67"/>
        <v>1</v>
      </c>
      <c r="N811" s="64">
        <f t="shared" si="68"/>
        <v>1.0000013888888888</v>
      </c>
    </row>
    <row r="812" spans="3:14">
      <c r="C812" s="61">
        <f t="shared" si="64"/>
        <v>44610</v>
      </c>
      <c r="E812" s="170"/>
      <c r="F812" s="121" t="str">
        <f>VLOOKUP(MOD(C812,7),'CALENDAR INFO'!$I$2:$J$8,2)</f>
        <v>FRI</v>
      </c>
      <c r="G812" s="214">
        <v>0.08</v>
      </c>
      <c r="H812" s="425">
        <v>0.05</v>
      </c>
      <c r="I812" s="457">
        <f t="shared" si="66"/>
        <v>-0.03</v>
      </c>
      <c r="J812" s="152"/>
      <c r="K812" s="152"/>
      <c r="L812" s="202"/>
      <c r="M812" s="81">
        <v>4</v>
      </c>
      <c r="N812" s="64">
        <f t="shared" si="68"/>
        <v>1.0000055555555556</v>
      </c>
    </row>
    <row r="813" spans="3:14">
      <c r="C813" s="61">
        <f t="shared" si="64"/>
        <v>44611</v>
      </c>
      <c r="E813" s="170"/>
      <c r="F813" s="121" t="str">
        <f>VLOOKUP(MOD(C813,7),'CALENDAR INFO'!$I$2:$J$8,2)</f>
        <v>SAT</v>
      </c>
      <c r="G813" s="214">
        <v>0.08</v>
      </c>
      <c r="H813" s="425">
        <v>0.05</v>
      </c>
      <c r="I813" s="457">
        <f t="shared" si="66"/>
        <v>-0.03</v>
      </c>
      <c r="J813" s="152"/>
      <c r="K813" s="152"/>
      <c r="L813" s="202"/>
      <c r="M813" s="63">
        <f>IF(MOD(C813,7)&lt;2,0,IF(MOD(C813,7)=6,3,1))</f>
        <v>0</v>
      </c>
      <c r="N813" s="64">
        <f t="shared" si="68"/>
        <v>1</v>
      </c>
    </row>
    <row r="814" spans="3:14">
      <c r="C814" s="61">
        <f t="shared" si="64"/>
        <v>44612</v>
      </c>
      <c r="E814" s="170"/>
      <c r="F814" s="121" t="str">
        <f>VLOOKUP(MOD(C814,7),'CALENDAR INFO'!$I$2:$J$8,2)</f>
        <v>SUN</v>
      </c>
      <c r="G814" s="214">
        <v>0.08</v>
      </c>
      <c r="H814" s="425">
        <v>0.05</v>
      </c>
      <c r="I814" s="457">
        <f t="shared" si="66"/>
        <v>-0.03</v>
      </c>
      <c r="J814" s="152"/>
      <c r="K814" s="152"/>
      <c r="L814" s="202"/>
      <c r="M814" s="63">
        <f>IF(MOD(C814,7)&lt;2,0,IF(MOD(C814,7)=6,3,1))</f>
        <v>0</v>
      </c>
      <c r="N814" s="64">
        <f t="shared" si="68"/>
        <v>1</v>
      </c>
    </row>
    <row r="815" spans="3:14">
      <c r="C815" s="61">
        <f t="shared" si="64"/>
        <v>44613</v>
      </c>
      <c r="D815" s="173" t="s">
        <v>39</v>
      </c>
      <c r="E815" s="170"/>
      <c r="F815" s="121" t="str">
        <f>VLOOKUP(MOD(C815,7),'CALENDAR INFO'!$I$2:$J$8,2)</f>
        <v>MON</v>
      </c>
      <c r="G815" s="214">
        <v>0.08</v>
      </c>
      <c r="H815" s="425">
        <v>0.05</v>
      </c>
      <c r="I815" s="457">
        <f t="shared" si="66"/>
        <v>-0.03</v>
      </c>
      <c r="J815" s="152"/>
      <c r="K815" s="152"/>
      <c r="L815" s="202"/>
      <c r="M815" s="81">
        <v>0</v>
      </c>
      <c r="N815" s="64">
        <f t="shared" si="68"/>
        <v>1</v>
      </c>
    </row>
    <row r="816" spans="3:14">
      <c r="C816" s="61">
        <f t="shared" si="64"/>
        <v>44614</v>
      </c>
      <c r="E816" s="170"/>
      <c r="F816" s="121" t="str">
        <f>VLOOKUP(MOD(C816,7),'CALENDAR INFO'!$I$2:$J$8,2)</f>
        <v>TUE</v>
      </c>
      <c r="G816" s="214">
        <v>0.08</v>
      </c>
      <c r="H816" s="425">
        <v>0.05</v>
      </c>
      <c r="I816" s="457">
        <f t="shared" si="66"/>
        <v>-0.03</v>
      </c>
      <c r="J816" s="152"/>
      <c r="K816" s="152"/>
      <c r="L816" s="202"/>
      <c r="M816" s="63">
        <f t="shared" ref="M816:M847" si="69">IF(MOD(C816,7)&lt;2,0,IF(MOD(C816,7)=6,3,1))</f>
        <v>1</v>
      </c>
      <c r="N816" s="64">
        <f t="shared" si="68"/>
        <v>1.0000013888888888</v>
      </c>
    </row>
    <row r="817" spans="1:17">
      <c r="C817" s="61">
        <f t="shared" si="64"/>
        <v>44615</v>
      </c>
      <c r="E817" s="170" t="s">
        <v>19</v>
      </c>
      <c r="F817" s="121" t="str">
        <f>VLOOKUP(MOD(C817,7),'CALENDAR INFO'!$I$2:$J$8,2)</f>
        <v>WED</v>
      </c>
      <c r="G817" s="214">
        <v>0.08</v>
      </c>
      <c r="H817" s="425">
        <v>0.05</v>
      </c>
      <c r="I817" s="457">
        <f t="shared" si="66"/>
        <v>-0.03</v>
      </c>
      <c r="J817" s="152"/>
      <c r="K817" s="182"/>
      <c r="L817" s="201"/>
      <c r="M817" s="63">
        <f t="shared" si="69"/>
        <v>1</v>
      </c>
      <c r="N817" s="64">
        <f t="shared" si="68"/>
        <v>1.0000013888888888</v>
      </c>
    </row>
    <row r="818" spans="1:17">
      <c r="C818" s="61">
        <f t="shared" si="64"/>
        <v>44616</v>
      </c>
      <c r="E818" s="167" t="s">
        <v>18</v>
      </c>
      <c r="F818" s="121" t="str">
        <f>VLOOKUP(MOD(C818,7),'CALENDAR INFO'!$I$2:$J$8,2)</f>
        <v>THU</v>
      </c>
      <c r="G818" s="214">
        <v>0.08</v>
      </c>
      <c r="H818" s="425">
        <v>0.05</v>
      </c>
      <c r="I818" s="457">
        <f t="shared" si="66"/>
        <v>-0.03</v>
      </c>
      <c r="J818" s="152"/>
      <c r="K818" s="152"/>
      <c r="L818" s="202"/>
      <c r="M818" s="63">
        <f t="shared" si="69"/>
        <v>1</v>
      </c>
      <c r="N818" s="64">
        <f t="shared" si="68"/>
        <v>1.0000013888888888</v>
      </c>
      <c r="O818" s="89" t="s">
        <v>93</v>
      </c>
      <c r="P818" s="90"/>
    </row>
    <row r="819" spans="1:17">
      <c r="C819" s="61">
        <f t="shared" si="64"/>
        <v>44617</v>
      </c>
      <c r="E819" s="167"/>
      <c r="F819" s="121" t="str">
        <f>VLOOKUP(MOD(C819,7),'CALENDAR INFO'!$I$2:$J$8,2)</f>
        <v>FRI</v>
      </c>
      <c r="G819" s="214">
        <v>0.08</v>
      </c>
      <c r="H819" s="425">
        <v>0.05</v>
      </c>
      <c r="I819" s="457">
        <f t="shared" si="66"/>
        <v>-0.03</v>
      </c>
      <c r="J819" s="152"/>
      <c r="K819" s="190"/>
      <c r="L819" s="201"/>
      <c r="M819" s="63">
        <f t="shared" si="69"/>
        <v>3</v>
      </c>
      <c r="N819" s="64">
        <f t="shared" si="68"/>
        <v>1.0000041666666666</v>
      </c>
      <c r="O819" s="89" t="s">
        <v>26</v>
      </c>
      <c r="P819" s="135">
        <v>99.92</v>
      </c>
      <c r="Q819" s="17" t="s">
        <v>107</v>
      </c>
    </row>
    <row r="820" spans="1:17">
      <c r="C820" s="61">
        <f t="shared" si="64"/>
        <v>44618</v>
      </c>
      <c r="E820" s="167"/>
      <c r="F820" s="121" t="str">
        <f>VLOOKUP(MOD(C820,7),'CALENDAR INFO'!$I$2:$J$8,2)</f>
        <v>SAT</v>
      </c>
      <c r="G820" s="214">
        <v>0.08</v>
      </c>
      <c r="H820" s="425">
        <v>0.05</v>
      </c>
      <c r="I820" s="457">
        <f t="shared" si="66"/>
        <v>-0.03</v>
      </c>
      <c r="J820" s="152"/>
      <c r="K820" s="190"/>
      <c r="L820" s="203"/>
      <c r="M820" s="63">
        <f t="shared" si="69"/>
        <v>0</v>
      </c>
      <c r="N820" s="64">
        <f t="shared" si="68"/>
        <v>1</v>
      </c>
      <c r="O820" s="89" t="s">
        <v>76</v>
      </c>
      <c r="P820" s="135">
        <v>99.95</v>
      </c>
      <c r="Q820" s="17" t="s">
        <v>107</v>
      </c>
    </row>
    <row r="821" spans="1:17">
      <c r="C821" s="61">
        <f t="shared" ref="C821:C884" si="70">C820+1</f>
        <v>44619</v>
      </c>
      <c r="E821" s="167"/>
      <c r="F821" s="121" t="str">
        <f>VLOOKUP(MOD(C821,7),'CALENDAR INFO'!$I$2:$J$8,2)</f>
        <v>SUN</v>
      </c>
      <c r="G821" s="214">
        <v>0.08</v>
      </c>
      <c r="H821" s="425">
        <v>0.05</v>
      </c>
      <c r="I821" s="457">
        <f t="shared" si="66"/>
        <v>-0.03</v>
      </c>
      <c r="J821" s="152"/>
      <c r="K821" s="182"/>
      <c r="L821" s="201"/>
      <c r="M821" s="63">
        <f t="shared" si="69"/>
        <v>0</v>
      </c>
      <c r="N821" s="64">
        <f t="shared" si="68"/>
        <v>1</v>
      </c>
    </row>
    <row r="822" spans="1:17" ht="15.75" thickBot="1">
      <c r="A822" s="98"/>
      <c r="B822" s="86"/>
      <c r="C822" s="75">
        <f t="shared" si="70"/>
        <v>44620</v>
      </c>
      <c r="D822" s="112"/>
      <c r="E822" s="92"/>
      <c r="F822" s="138" t="str">
        <f>VLOOKUP(MOD(C822,7),'CALENDAR INFO'!$I$2:$J$8,2)</f>
        <v>MON</v>
      </c>
      <c r="G822" s="215">
        <v>0.08</v>
      </c>
      <c r="H822" s="426">
        <v>0.05</v>
      </c>
      <c r="I822" s="458">
        <f t="shared" si="66"/>
        <v>-0.03</v>
      </c>
      <c r="J822" s="437"/>
      <c r="K822" s="191"/>
      <c r="L822" s="204"/>
      <c r="M822" s="88">
        <f t="shared" si="69"/>
        <v>1</v>
      </c>
      <c r="N822" s="77">
        <f t="shared" si="68"/>
        <v>1.0000013888888888</v>
      </c>
    </row>
    <row r="823" spans="1:17">
      <c r="B823" s="41"/>
      <c r="C823" s="61">
        <f t="shared" si="70"/>
        <v>44621</v>
      </c>
      <c r="E823" s="167"/>
      <c r="F823" s="121" t="str">
        <f>VLOOKUP(MOD(C823,7),'CALENDAR INFO'!$I$2:$J$8,2)</f>
        <v>TUE</v>
      </c>
      <c r="G823" s="214">
        <v>0.08</v>
      </c>
      <c r="H823" s="425">
        <v>0.05</v>
      </c>
      <c r="I823" s="457">
        <f t="shared" si="66"/>
        <v>-0.03</v>
      </c>
      <c r="J823" s="436" t="s">
        <v>118</v>
      </c>
      <c r="K823" s="15">
        <f>VLOOKUP(MONTH($C823),'CALENDAR INFO'!$I$12:$J$23,2)</f>
        <v>31</v>
      </c>
      <c r="L823" s="179">
        <f>K823</f>
        <v>31</v>
      </c>
      <c r="M823" s="63">
        <f t="shared" si="69"/>
        <v>1</v>
      </c>
      <c r="N823" s="64">
        <f t="shared" si="68"/>
        <v>1.0000013888888888</v>
      </c>
    </row>
    <row r="824" spans="1:17">
      <c r="B824" s="41"/>
      <c r="C824" s="61">
        <f t="shared" si="70"/>
        <v>44622</v>
      </c>
      <c r="E824" s="167"/>
      <c r="F824" s="121" t="str">
        <f>VLOOKUP(MOD(C824,7),'CALENDAR INFO'!$I$2:$J$8,2)</f>
        <v>WED</v>
      </c>
      <c r="G824" s="214">
        <v>0.08</v>
      </c>
      <c r="H824" s="425">
        <v>0.05</v>
      </c>
      <c r="I824" s="457">
        <f t="shared" si="66"/>
        <v>-0.03</v>
      </c>
      <c r="J824" s="152" t="s">
        <v>151</v>
      </c>
      <c r="K824" s="15">
        <f>ROW($C824)-1</f>
        <v>823</v>
      </c>
      <c r="L824" s="179">
        <f>K824</f>
        <v>823</v>
      </c>
      <c r="M824" s="63">
        <f t="shared" si="69"/>
        <v>1</v>
      </c>
      <c r="N824" s="64">
        <f t="shared" si="68"/>
        <v>1.0000013888888888</v>
      </c>
    </row>
    <row r="825" spans="1:17">
      <c r="B825" s="41"/>
      <c r="C825" s="61">
        <f t="shared" si="70"/>
        <v>44623</v>
      </c>
      <c r="E825" s="167"/>
      <c r="F825" s="121" t="str">
        <f>VLOOKUP(MOD(C825,7),'CALENDAR INFO'!$I$2:$J$8,2)</f>
        <v>THU</v>
      </c>
      <c r="G825" s="214">
        <v>0.08</v>
      </c>
      <c r="H825" s="425">
        <v>0.05</v>
      </c>
      <c r="I825" s="457">
        <f t="shared" si="66"/>
        <v>-0.03</v>
      </c>
      <c r="J825" s="152" t="s">
        <v>152</v>
      </c>
      <c r="K825" s="15">
        <f>K823+K824-1</f>
        <v>853</v>
      </c>
      <c r="L825" s="200">
        <f>K825</f>
        <v>853</v>
      </c>
      <c r="M825" s="63">
        <f t="shared" si="69"/>
        <v>1</v>
      </c>
      <c r="N825" s="64">
        <f t="shared" si="68"/>
        <v>1.0000013888888888</v>
      </c>
    </row>
    <row r="826" spans="1:17">
      <c r="B826" s="41"/>
      <c r="C826" s="61">
        <f t="shared" si="70"/>
        <v>44624</v>
      </c>
      <c r="E826" s="167"/>
      <c r="F826" s="121" t="str">
        <f>VLOOKUP(MOD(C826,7),'CALENDAR INFO'!$I$2:$J$8,2)</f>
        <v>FRI</v>
      </c>
      <c r="G826" s="214">
        <v>0.08</v>
      </c>
      <c r="H826" s="425">
        <v>0.05</v>
      </c>
      <c r="I826" s="457">
        <f t="shared" si="66"/>
        <v>-0.03</v>
      </c>
      <c r="J826" s="152"/>
      <c r="K826" s="182"/>
      <c r="L826" s="201"/>
      <c r="M826" s="63">
        <f t="shared" si="69"/>
        <v>3</v>
      </c>
      <c r="N826" s="64">
        <f t="shared" si="68"/>
        <v>1.0000041666666666</v>
      </c>
    </row>
    <row r="827" spans="1:17">
      <c r="B827" s="41"/>
      <c r="C827" s="61">
        <f t="shared" si="70"/>
        <v>44625</v>
      </c>
      <c r="E827" s="167"/>
      <c r="F827" s="121" t="str">
        <f>VLOOKUP(MOD(C827,7),'CALENDAR INFO'!$I$2:$J$8,2)</f>
        <v>SAT</v>
      </c>
      <c r="G827" s="214">
        <v>0.08</v>
      </c>
      <c r="H827" s="425">
        <v>0.05</v>
      </c>
      <c r="I827" s="457">
        <f t="shared" si="66"/>
        <v>-0.03</v>
      </c>
      <c r="J827" s="152" t="s">
        <v>153</v>
      </c>
      <c r="K827" s="182" t="str">
        <f>_xlfn.CONCAT("A",TEXT(K824,0),":","A",TEXT(K825,0))</f>
        <v>A823:A853</v>
      </c>
      <c r="L827" s="201" t="str">
        <f>_xlfn.CONCAT("B",TEXT(L824,0),":","B",TEXT(L825,0))</f>
        <v>B823:B853</v>
      </c>
      <c r="M827" s="63">
        <f t="shared" si="69"/>
        <v>0</v>
      </c>
      <c r="N827" s="64">
        <f t="shared" si="68"/>
        <v>1</v>
      </c>
    </row>
    <row r="828" spans="1:17">
      <c r="B828" s="41"/>
      <c r="C828" s="61">
        <f t="shared" si="70"/>
        <v>44626</v>
      </c>
      <c r="E828" s="167"/>
      <c r="F828" s="121" t="str">
        <f>VLOOKUP(MOD(C828,7),'CALENDAR INFO'!$I$2:$J$8,2)</f>
        <v>SUN</v>
      </c>
      <c r="G828" s="214">
        <v>0.08</v>
      </c>
      <c r="H828" s="425">
        <v>0.05</v>
      </c>
      <c r="I828" s="457">
        <f t="shared" si="66"/>
        <v>-0.03</v>
      </c>
      <c r="J828" s="152" t="s">
        <v>154</v>
      </c>
      <c r="K828" s="182" t="str">
        <f>_xlfn.CONCAT("F",TEXT(K824,0),":","F",TEXT(K825,0))</f>
        <v>F823:F853</v>
      </c>
      <c r="L828" s="201" t="str">
        <f>_xlfn.CONCAT("G",TEXT(L824,0),":","G",TEXT(L825,0))</f>
        <v>G823:G853</v>
      </c>
      <c r="M828" s="63">
        <f t="shared" si="69"/>
        <v>0</v>
      </c>
      <c r="N828" s="64">
        <f t="shared" si="68"/>
        <v>1</v>
      </c>
    </row>
    <row r="829" spans="1:17">
      <c r="B829" s="41"/>
      <c r="C829" s="61">
        <f t="shared" si="70"/>
        <v>44627</v>
      </c>
      <c r="E829" s="167"/>
      <c r="F829" s="121" t="str">
        <f>VLOOKUP(MOD(C829,7),'CALENDAR INFO'!$I$2:$J$8,2)</f>
        <v>MON</v>
      </c>
      <c r="G829" s="214">
        <v>0.08</v>
      </c>
      <c r="H829" s="425">
        <v>0.05</v>
      </c>
      <c r="I829" s="457">
        <f t="shared" si="66"/>
        <v>-0.03</v>
      </c>
      <c r="J829" s="152"/>
      <c r="K829" s="152"/>
      <c r="L829" s="202"/>
      <c r="M829" s="63">
        <f t="shared" si="69"/>
        <v>1</v>
      </c>
      <c r="N829" s="64">
        <f t="shared" si="68"/>
        <v>1.0000013888888888</v>
      </c>
    </row>
    <row r="830" spans="1:17">
      <c r="B830" s="41"/>
      <c r="C830" s="61">
        <f t="shared" si="70"/>
        <v>44628</v>
      </c>
      <c r="E830" s="167"/>
      <c r="F830" s="121" t="str">
        <f>VLOOKUP(MOD(C830,7),'CALENDAR INFO'!$I$2:$J$8,2)</f>
        <v>TUE</v>
      </c>
      <c r="G830" s="214">
        <v>0.08</v>
      </c>
      <c r="H830" s="425">
        <v>0.05</v>
      </c>
      <c r="I830" s="457">
        <f t="shared" si="66"/>
        <v>-0.03</v>
      </c>
      <c r="J830" s="152" t="s">
        <v>155</v>
      </c>
      <c r="K830" s="185">
        <f ca="1">SUM(INDIRECT(K827))</f>
        <v>0</v>
      </c>
      <c r="L830" s="179">
        <f ca="1">SUM(INDIRECT(L827))</f>
        <v>0</v>
      </c>
      <c r="M830" s="63">
        <f t="shared" si="69"/>
        <v>1</v>
      </c>
      <c r="N830" s="64">
        <f t="shared" si="68"/>
        <v>1.0000013888888888</v>
      </c>
    </row>
    <row r="831" spans="1:17">
      <c r="B831" s="41"/>
      <c r="C831" s="61">
        <f t="shared" si="70"/>
        <v>44629</v>
      </c>
      <c r="E831" s="167" t="s">
        <v>19</v>
      </c>
      <c r="F831" s="121" t="str">
        <f>VLOOKUP(MOD(C831,7),'CALENDAR INFO'!$I$2:$J$8,2)</f>
        <v>WED</v>
      </c>
      <c r="G831" s="214">
        <v>0.08</v>
      </c>
      <c r="H831" s="425">
        <v>0.05</v>
      </c>
      <c r="I831" s="457">
        <f t="shared" si="66"/>
        <v>-0.03</v>
      </c>
      <c r="J831" s="152" t="s">
        <v>156</v>
      </c>
      <c r="K831" s="207">
        <f ca="1">SUM(INDIRECT(K828))</f>
        <v>0</v>
      </c>
      <c r="L831" s="208">
        <f ca="1">SUM(INDIRECT(L828))</f>
        <v>6.23</v>
      </c>
      <c r="M831" s="63">
        <f t="shared" si="69"/>
        <v>1</v>
      </c>
      <c r="N831" s="64">
        <f t="shared" si="68"/>
        <v>1.0000013888888888</v>
      </c>
    </row>
    <row r="832" spans="1:17">
      <c r="B832" s="234"/>
      <c r="C832" s="61">
        <f t="shared" si="70"/>
        <v>44630</v>
      </c>
      <c r="E832" s="170" t="s">
        <v>18</v>
      </c>
      <c r="F832" s="121" t="str">
        <f>VLOOKUP(MOD(C832,7),'CALENDAR INFO'!$I$2:$J$8,2)</f>
        <v>THU</v>
      </c>
      <c r="G832" s="214">
        <v>0.08</v>
      </c>
      <c r="H832" s="425">
        <v>0.05</v>
      </c>
      <c r="I832" s="457">
        <f t="shared" si="66"/>
        <v>-0.03</v>
      </c>
      <c r="J832" s="152" t="s">
        <v>157</v>
      </c>
      <c r="K832" s="178">
        <f ca="1">K830+K831</f>
        <v>0</v>
      </c>
      <c r="L832" s="192">
        <f ca="1">L830+L831</f>
        <v>6.23</v>
      </c>
      <c r="M832" s="63">
        <f t="shared" si="69"/>
        <v>1</v>
      </c>
      <c r="N832" s="64">
        <f t="shared" si="68"/>
        <v>1.0000013888888888</v>
      </c>
    </row>
    <row r="833" spans="1:16">
      <c r="B833" s="41"/>
      <c r="C833" s="61">
        <f t="shared" si="70"/>
        <v>44631</v>
      </c>
      <c r="E833" s="170"/>
      <c r="F833" s="121" t="str">
        <f>VLOOKUP(MOD(C833,7),'CALENDAR INFO'!$I$2:$J$8,2)</f>
        <v>FRI</v>
      </c>
      <c r="G833" s="214">
        <v>0.08</v>
      </c>
      <c r="H833" s="425">
        <v>0.05</v>
      </c>
      <c r="I833" s="457">
        <f t="shared" si="66"/>
        <v>-0.03</v>
      </c>
      <c r="J833" s="152"/>
      <c r="K833" s="178"/>
      <c r="L833" s="192"/>
      <c r="M833" s="63">
        <f t="shared" si="69"/>
        <v>3</v>
      </c>
      <c r="N833" s="64">
        <f t="shared" si="68"/>
        <v>1.0000041666666666</v>
      </c>
    </row>
    <row r="834" spans="1:16">
      <c r="B834" s="41"/>
      <c r="C834" s="61">
        <f t="shared" si="70"/>
        <v>44632</v>
      </c>
      <c r="E834" s="170"/>
      <c r="F834" s="121" t="str">
        <f>VLOOKUP(MOD(C834,7),'CALENDAR INFO'!$I$2:$J$8,2)</f>
        <v>SAT</v>
      </c>
      <c r="G834" s="214">
        <v>0.08</v>
      </c>
      <c r="H834" s="425">
        <v>0.05</v>
      </c>
      <c r="I834" s="457">
        <f t="shared" si="66"/>
        <v>-0.03</v>
      </c>
      <c r="J834" s="152" t="s">
        <v>158</v>
      </c>
      <c r="K834" s="178">
        <f ca="1">K832/K823</f>
        <v>0</v>
      </c>
      <c r="L834" s="192">
        <f ca="1">L832/L823</f>
        <v>0.20096774193548389</v>
      </c>
      <c r="M834" s="63">
        <f t="shared" si="69"/>
        <v>0</v>
      </c>
      <c r="N834" s="64">
        <f t="shared" si="68"/>
        <v>1</v>
      </c>
      <c r="O834" s="89" t="s">
        <v>93</v>
      </c>
      <c r="P834" s="90"/>
    </row>
    <row r="835" spans="1:16">
      <c r="B835" s="41"/>
      <c r="C835" s="61">
        <f t="shared" si="70"/>
        <v>44633</v>
      </c>
      <c r="E835" s="170"/>
      <c r="F835" s="121" t="str">
        <f>VLOOKUP(MOD(C835,7),'CALENDAR INFO'!$I$2:$J$8,2)</f>
        <v>SUN</v>
      </c>
      <c r="G835" s="214">
        <v>0.08</v>
      </c>
      <c r="H835" s="425">
        <v>0.05</v>
      </c>
      <c r="I835" s="457">
        <f t="shared" ref="I835:I898" si="71">H835-G835</f>
        <v>-0.03</v>
      </c>
      <c r="J835" s="152" t="s">
        <v>159</v>
      </c>
      <c r="K835" s="180">
        <f ca="1">100-K834</f>
        <v>100</v>
      </c>
      <c r="L835" s="193">
        <f ca="1">100-L834</f>
        <v>99.799032258064514</v>
      </c>
      <c r="M835" s="63">
        <f t="shared" si="69"/>
        <v>0</v>
      </c>
      <c r="N835" s="64">
        <f t="shared" si="68"/>
        <v>1</v>
      </c>
      <c r="O835" s="89" t="s">
        <v>77</v>
      </c>
      <c r="P835" s="135"/>
    </row>
    <row r="836" spans="1:16">
      <c r="B836" s="41"/>
      <c r="C836" s="61">
        <f t="shared" si="70"/>
        <v>44634</v>
      </c>
      <c r="E836" s="170"/>
      <c r="F836" s="121" t="str">
        <f>VLOOKUP(MOD(C836,7),'CALENDAR INFO'!$I$2:$J$8,2)</f>
        <v>MON</v>
      </c>
      <c r="G836" s="214">
        <v>0.08</v>
      </c>
      <c r="H836" s="425">
        <v>0.05</v>
      </c>
      <c r="I836" s="457">
        <f t="shared" si="71"/>
        <v>-0.03</v>
      </c>
      <c r="J836" s="152"/>
      <c r="K836" s="178"/>
      <c r="L836" s="192"/>
      <c r="M836" s="63">
        <f t="shared" si="69"/>
        <v>1</v>
      </c>
      <c r="N836" s="64">
        <f t="shared" si="68"/>
        <v>1.0000013888888888</v>
      </c>
    </row>
    <row r="837" spans="1:16">
      <c r="B837" s="41"/>
      <c r="C837" s="61">
        <f t="shared" si="70"/>
        <v>44635</v>
      </c>
      <c r="D837" s="153" t="s">
        <v>20</v>
      </c>
      <c r="E837" s="170"/>
      <c r="F837" s="121" t="str">
        <f>VLOOKUP(MOD(C837,7),'CALENDAR INFO'!$I$2:$J$8,2)</f>
        <v>TUE</v>
      </c>
      <c r="G837" s="214">
        <v>0.08</v>
      </c>
      <c r="H837" s="425">
        <v>0.05</v>
      </c>
      <c r="I837" s="457">
        <f t="shared" si="71"/>
        <v>-0.03</v>
      </c>
      <c r="J837" s="152"/>
      <c r="K837" s="186"/>
      <c r="L837" s="194"/>
      <c r="M837" s="63">
        <f t="shared" si="69"/>
        <v>1</v>
      </c>
      <c r="N837" s="64">
        <f t="shared" si="68"/>
        <v>1.0000013888888888</v>
      </c>
    </row>
    <row r="838" spans="1:16">
      <c r="B838" s="41"/>
      <c r="C838" s="61">
        <f t="shared" si="70"/>
        <v>44636</v>
      </c>
      <c r="D838" s="153" t="s">
        <v>20</v>
      </c>
      <c r="E838" s="170"/>
      <c r="F838" s="121" t="str">
        <f>VLOOKUP(MOD(C838,7),'CALENDAR INFO'!$I$2:$J$8,2)</f>
        <v>WED</v>
      </c>
      <c r="G838" s="214">
        <v>0.08</v>
      </c>
      <c r="H838" s="425">
        <v>0.05</v>
      </c>
      <c r="I838" s="457">
        <f t="shared" si="71"/>
        <v>-0.03</v>
      </c>
      <c r="J838" s="152"/>
      <c r="K838" s="152"/>
      <c r="L838" s="202"/>
      <c r="M838" s="63">
        <f t="shared" si="69"/>
        <v>1</v>
      </c>
      <c r="N838" s="64">
        <f t="shared" si="68"/>
        <v>1.0000013888888888</v>
      </c>
    </row>
    <row r="839" spans="1:16">
      <c r="A839" s="42"/>
      <c r="B839" s="41"/>
      <c r="C839" s="61">
        <f t="shared" si="70"/>
        <v>44637</v>
      </c>
      <c r="E839" s="170"/>
      <c r="F839" s="121" t="str">
        <f>VLOOKUP(MOD(C839,7),'CALENDAR INFO'!$I$2:$J$8,2)</f>
        <v>THU</v>
      </c>
      <c r="G839" s="220">
        <v>0.33</v>
      </c>
      <c r="H839" s="432">
        <v>0.3</v>
      </c>
      <c r="I839" s="457">
        <f t="shared" si="71"/>
        <v>-3.0000000000000027E-2</v>
      </c>
      <c r="J839" s="152"/>
      <c r="K839" s="152"/>
      <c r="L839" s="202"/>
      <c r="M839" s="63">
        <f t="shared" si="69"/>
        <v>1</v>
      </c>
      <c r="N839" s="64">
        <f t="shared" si="68"/>
        <v>1.0000083333333334</v>
      </c>
    </row>
    <row r="840" spans="1:16">
      <c r="B840" s="41"/>
      <c r="C840" s="61">
        <f t="shared" si="70"/>
        <v>44638</v>
      </c>
      <c r="E840" s="170"/>
      <c r="F840" s="121" t="str">
        <f>VLOOKUP(MOD(C840,7),'CALENDAR INFO'!$I$2:$J$8,2)</f>
        <v>FRI</v>
      </c>
      <c r="G840" s="214">
        <v>0.33</v>
      </c>
      <c r="H840" s="425">
        <v>0.3</v>
      </c>
      <c r="I840" s="457">
        <f t="shared" si="71"/>
        <v>-3.0000000000000027E-2</v>
      </c>
      <c r="J840" s="152"/>
      <c r="K840" s="152"/>
      <c r="L840" s="202"/>
      <c r="M840" s="63">
        <f t="shared" si="69"/>
        <v>3</v>
      </c>
      <c r="N840" s="64">
        <f t="shared" si="68"/>
        <v>1.0000249999999999</v>
      </c>
    </row>
    <row r="841" spans="1:16">
      <c r="B841" s="41"/>
      <c r="C841" s="61">
        <f t="shared" si="70"/>
        <v>44639</v>
      </c>
      <c r="E841" s="170"/>
      <c r="F841" s="121" t="str">
        <f>VLOOKUP(MOD(C841,7),'CALENDAR INFO'!$I$2:$J$8,2)</f>
        <v>SAT</v>
      </c>
      <c r="G841" s="214">
        <v>0.33</v>
      </c>
      <c r="H841" s="425">
        <v>0.3</v>
      </c>
      <c r="I841" s="457">
        <f t="shared" si="71"/>
        <v>-3.0000000000000027E-2</v>
      </c>
      <c r="J841" s="152"/>
      <c r="K841" s="152"/>
      <c r="L841" s="202"/>
      <c r="M841" s="63">
        <f t="shared" si="69"/>
        <v>0</v>
      </c>
      <c r="N841" s="64">
        <f t="shared" si="68"/>
        <v>1</v>
      </c>
    </row>
    <row r="842" spans="1:16">
      <c r="B842" s="41"/>
      <c r="C842" s="61">
        <f t="shared" si="70"/>
        <v>44640</v>
      </c>
      <c r="E842" s="170"/>
      <c r="F842" s="121" t="str">
        <f>VLOOKUP(MOD(C842,7),'CALENDAR INFO'!$I$2:$J$8,2)</f>
        <v>SUN</v>
      </c>
      <c r="G842" s="214">
        <v>0.33</v>
      </c>
      <c r="H842" s="425">
        <v>0.3</v>
      </c>
      <c r="I842" s="457">
        <f t="shared" si="71"/>
        <v>-3.0000000000000027E-2</v>
      </c>
      <c r="J842" s="152"/>
      <c r="K842" s="152"/>
      <c r="L842" s="202"/>
      <c r="M842" s="63">
        <f t="shared" si="69"/>
        <v>0</v>
      </c>
      <c r="N842" s="64">
        <f t="shared" si="68"/>
        <v>1</v>
      </c>
    </row>
    <row r="843" spans="1:16">
      <c r="B843" s="41"/>
      <c r="C843" s="61">
        <f t="shared" si="70"/>
        <v>44641</v>
      </c>
      <c r="E843" s="170"/>
      <c r="F843" s="121" t="str">
        <f>VLOOKUP(MOD(C843,7),'CALENDAR INFO'!$I$2:$J$8,2)</f>
        <v>MON</v>
      </c>
      <c r="G843" s="214">
        <v>0.33</v>
      </c>
      <c r="H843" s="425">
        <v>0.28999999999999998</v>
      </c>
      <c r="I843" s="457">
        <f t="shared" si="71"/>
        <v>-4.0000000000000036E-2</v>
      </c>
      <c r="J843" s="152"/>
      <c r="K843" s="152"/>
      <c r="L843" s="202"/>
      <c r="M843" s="63">
        <f t="shared" si="69"/>
        <v>1</v>
      </c>
      <c r="N843" s="64">
        <f t="shared" si="68"/>
        <v>1.0000080555555555</v>
      </c>
    </row>
    <row r="844" spans="1:16">
      <c r="B844" s="41"/>
      <c r="C844" s="61">
        <f t="shared" si="70"/>
        <v>44642</v>
      </c>
      <c r="E844" s="170"/>
      <c r="F844" s="121" t="str">
        <f>VLOOKUP(MOD(C844,7),'CALENDAR INFO'!$I$2:$J$8,2)</f>
        <v>TUE</v>
      </c>
      <c r="G844" s="214">
        <v>0.33</v>
      </c>
      <c r="H844" s="425">
        <v>0.28000000000000003</v>
      </c>
      <c r="I844" s="457">
        <f t="shared" si="71"/>
        <v>-4.9999999999999989E-2</v>
      </c>
      <c r="J844" s="152"/>
      <c r="K844" s="152"/>
      <c r="L844" s="202"/>
      <c r="M844" s="63">
        <f t="shared" si="69"/>
        <v>1</v>
      </c>
      <c r="N844" s="64">
        <f t="shared" si="68"/>
        <v>1.0000077777777778</v>
      </c>
    </row>
    <row r="845" spans="1:16">
      <c r="B845" s="41"/>
      <c r="C845" s="61">
        <f t="shared" si="70"/>
        <v>44643</v>
      </c>
      <c r="E845" s="170" t="s">
        <v>19</v>
      </c>
      <c r="F845" s="121" t="str">
        <f>VLOOKUP(MOD(C845,7),'CALENDAR INFO'!$I$2:$J$8,2)</f>
        <v>WED</v>
      </c>
      <c r="G845" s="214">
        <v>0.33</v>
      </c>
      <c r="H845" s="425">
        <v>0.27</v>
      </c>
      <c r="I845" s="457">
        <f t="shared" si="71"/>
        <v>-0.06</v>
      </c>
      <c r="J845" s="152"/>
      <c r="K845" s="152"/>
      <c r="L845" s="202"/>
      <c r="M845" s="63">
        <f t="shared" si="69"/>
        <v>1</v>
      </c>
      <c r="N845" s="64">
        <f t="shared" si="68"/>
        <v>1.0000074999999999</v>
      </c>
    </row>
    <row r="846" spans="1:16">
      <c r="B846" s="41"/>
      <c r="C846" s="61">
        <f t="shared" si="70"/>
        <v>44644</v>
      </c>
      <c r="E846" s="167" t="s">
        <v>18</v>
      </c>
      <c r="F846" s="121" t="str">
        <f>VLOOKUP(MOD(C846,7),'CALENDAR INFO'!$I$2:$J$8,2)</f>
        <v>THU</v>
      </c>
      <c r="G846" s="214">
        <v>0.33</v>
      </c>
      <c r="H846" s="425">
        <v>0.27</v>
      </c>
      <c r="I846" s="457">
        <f t="shared" si="71"/>
        <v>-0.06</v>
      </c>
      <c r="J846" s="152"/>
      <c r="K846" s="152"/>
      <c r="L846" s="202"/>
      <c r="M846" s="63">
        <f t="shared" si="69"/>
        <v>1</v>
      </c>
      <c r="N846" s="64">
        <f t="shared" si="68"/>
        <v>1.0000074999999999</v>
      </c>
    </row>
    <row r="847" spans="1:16">
      <c r="B847" s="41"/>
      <c r="C847" s="61">
        <f t="shared" si="70"/>
        <v>44645</v>
      </c>
      <c r="E847" s="167"/>
      <c r="F847" s="121" t="str">
        <f>VLOOKUP(MOD(C847,7),'CALENDAR INFO'!$I$2:$J$8,2)</f>
        <v>FRI</v>
      </c>
      <c r="G847" s="214">
        <v>0.33</v>
      </c>
      <c r="H847" s="425">
        <v>0.28000000000000003</v>
      </c>
      <c r="I847" s="457">
        <f t="shared" si="71"/>
        <v>-4.9999999999999989E-2</v>
      </c>
      <c r="J847" s="152"/>
      <c r="K847" s="152"/>
      <c r="L847" s="202"/>
      <c r="M847" s="63">
        <f t="shared" si="69"/>
        <v>3</v>
      </c>
      <c r="N847" s="64">
        <f t="shared" si="68"/>
        <v>1.0000233333333333</v>
      </c>
    </row>
    <row r="848" spans="1:16">
      <c r="B848" s="41"/>
      <c r="C848" s="61">
        <f t="shared" si="70"/>
        <v>44646</v>
      </c>
      <c r="E848" s="167"/>
      <c r="F848" s="121" t="str">
        <f>VLOOKUP(MOD(C848,7),'CALENDAR INFO'!$I$2:$J$8,2)</f>
        <v>SAT</v>
      </c>
      <c r="G848" s="214">
        <v>0.33</v>
      </c>
      <c r="H848" s="425">
        <v>0.28000000000000003</v>
      </c>
      <c r="I848" s="457">
        <f t="shared" si="71"/>
        <v>-4.9999999999999989E-2</v>
      </c>
      <c r="J848" s="152"/>
      <c r="K848" s="182"/>
      <c r="L848" s="201"/>
      <c r="M848" s="63">
        <f t="shared" ref="M848:M866" si="72">IF(MOD(C848,7)&lt;2,0,IF(MOD(C848,7)=6,3,1))</f>
        <v>0</v>
      </c>
      <c r="N848" s="64">
        <f t="shared" si="68"/>
        <v>1</v>
      </c>
    </row>
    <row r="849" spans="1:16">
      <c r="B849" s="41"/>
      <c r="C849" s="61">
        <f t="shared" si="70"/>
        <v>44647</v>
      </c>
      <c r="E849" s="167"/>
      <c r="F849" s="121" t="str">
        <f>VLOOKUP(MOD(C849,7),'CALENDAR INFO'!$I$2:$J$8,2)</f>
        <v>SUN</v>
      </c>
      <c r="G849" s="214">
        <v>0.33</v>
      </c>
      <c r="H849" s="425">
        <v>0.28000000000000003</v>
      </c>
      <c r="I849" s="457">
        <f t="shared" si="71"/>
        <v>-4.9999999999999989E-2</v>
      </c>
      <c r="J849" s="152"/>
      <c r="K849" s="152"/>
      <c r="L849" s="202"/>
      <c r="M849" s="63">
        <f t="shared" si="72"/>
        <v>0</v>
      </c>
      <c r="N849" s="64">
        <f t="shared" si="68"/>
        <v>1</v>
      </c>
      <c r="O849" s="89" t="s">
        <v>93</v>
      </c>
      <c r="P849" s="90"/>
    </row>
    <row r="850" spans="1:16">
      <c r="B850" s="41"/>
      <c r="C850" s="61">
        <f t="shared" si="70"/>
        <v>44648</v>
      </c>
      <c r="E850" s="167"/>
      <c r="F850" s="121" t="str">
        <f>VLOOKUP(MOD(C850,7),'CALENDAR INFO'!$I$2:$J$8,2)</f>
        <v>MON</v>
      </c>
      <c r="G850" s="214">
        <v>0.33</v>
      </c>
      <c r="H850" s="425">
        <v>0.28000000000000003</v>
      </c>
      <c r="I850" s="457">
        <f t="shared" si="71"/>
        <v>-4.9999999999999989E-2</v>
      </c>
      <c r="J850" s="152"/>
      <c r="K850" s="182"/>
      <c r="L850" s="201"/>
      <c r="M850" s="63">
        <f t="shared" si="72"/>
        <v>1</v>
      </c>
      <c r="N850" s="64">
        <f t="shared" si="68"/>
        <v>1.0000077777777778</v>
      </c>
      <c r="O850" s="89" t="s">
        <v>26</v>
      </c>
      <c r="P850" s="135"/>
    </row>
    <row r="851" spans="1:16">
      <c r="B851" s="41"/>
      <c r="C851" s="61">
        <f t="shared" si="70"/>
        <v>44649</v>
      </c>
      <c r="E851" s="167"/>
      <c r="F851" s="121" t="str">
        <f>VLOOKUP(MOD(C851,7),'CALENDAR INFO'!$I$2:$J$8,2)</f>
        <v>TUE</v>
      </c>
      <c r="G851" s="214">
        <v>0.33</v>
      </c>
      <c r="H851" s="425">
        <v>0.28000000000000003</v>
      </c>
      <c r="I851" s="457">
        <f t="shared" si="71"/>
        <v>-4.9999999999999989E-2</v>
      </c>
      <c r="J851" s="152"/>
      <c r="K851" s="190"/>
      <c r="L851" s="203"/>
      <c r="M851" s="63">
        <f t="shared" si="72"/>
        <v>1</v>
      </c>
      <c r="N851" s="64">
        <f t="shared" ref="N851:N914" si="73">1+(M851/360)*(MAX(H851,B851)/100)</f>
        <v>1.0000077777777778</v>
      </c>
      <c r="O851" s="89" t="s">
        <v>76</v>
      </c>
      <c r="P851" s="135"/>
    </row>
    <row r="852" spans="1:16">
      <c r="B852" s="41"/>
      <c r="C852" s="61">
        <f t="shared" si="70"/>
        <v>44650</v>
      </c>
      <c r="E852" s="167"/>
      <c r="F852" s="121" t="str">
        <f>VLOOKUP(MOD(C852,7),'CALENDAR INFO'!$I$2:$J$8,2)</f>
        <v>WED</v>
      </c>
      <c r="G852" s="214">
        <v>0.33</v>
      </c>
      <c r="H852" s="425">
        <v>0.27</v>
      </c>
      <c r="I852" s="457">
        <f t="shared" si="71"/>
        <v>-0.06</v>
      </c>
      <c r="J852" s="152"/>
      <c r="K852" s="182"/>
      <c r="L852" s="201"/>
      <c r="M852" s="63">
        <f t="shared" si="72"/>
        <v>1</v>
      </c>
      <c r="N852" s="64">
        <f t="shared" si="73"/>
        <v>1.0000074999999999</v>
      </c>
    </row>
    <row r="853" spans="1:16" ht="15.75" thickBot="1">
      <c r="A853" s="98"/>
      <c r="B853" s="230"/>
      <c r="C853" s="75">
        <f t="shared" si="70"/>
        <v>44651</v>
      </c>
      <c r="D853" s="112"/>
      <c r="E853" s="92"/>
      <c r="F853" s="138" t="str">
        <f>VLOOKUP(MOD(C853,7),'CALENDAR INFO'!$I$2:$J$8,2)</f>
        <v>THU</v>
      </c>
      <c r="G853" s="215">
        <v>0.33</v>
      </c>
      <c r="H853" s="426">
        <v>0.28999999999999998</v>
      </c>
      <c r="I853" s="458">
        <f t="shared" si="71"/>
        <v>-4.0000000000000036E-2</v>
      </c>
      <c r="J853" s="437"/>
      <c r="K853" s="184"/>
      <c r="L853" s="205"/>
      <c r="M853" s="88">
        <f t="shared" si="72"/>
        <v>1</v>
      </c>
      <c r="N853" s="77">
        <f t="shared" si="73"/>
        <v>1.0000080555555555</v>
      </c>
    </row>
    <row r="854" spans="1:16">
      <c r="A854" s="140"/>
      <c r="B854" s="234"/>
      <c r="C854" s="61">
        <f t="shared" si="70"/>
        <v>44652</v>
      </c>
      <c r="E854" s="167"/>
      <c r="F854" s="121" t="str">
        <f>VLOOKUP(MOD(C854,7),'CALENDAR INFO'!$I$2:$J$8,2)</f>
        <v>FRI</v>
      </c>
      <c r="G854" s="214">
        <v>0.33</v>
      </c>
      <c r="H854" s="425">
        <v>0.3</v>
      </c>
      <c r="I854" s="457">
        <f t="shared" si="71"/>
        <v>-3.0000000000000027E-2</v>
      </c>
      <c r="J854" s="436" t="s">
        <v>118</v>
      </c>
      <c r="K854" s="15">
        <f>VLOOKUP(MONTH($C854),'CALENDAR INFO'!$I$12:$J$23,2)</f>
        <v>30</v>
      </c>
      <c r="L854" s="179">
        <f>K854</f>
        <v>30</v>
      </c>
      <c r="M854" s="113">
        <f t="shared" si="72"/>
        <v>3</v>
      </c>
      <c r="N854" s="64">
        <f t="shared" si="73"/>
        <v>1.0000249999999999</v>
      </c>
    </row>
    <row r="855" spans="1:16">
      <c r="B855" s="41"/>
      <c r="C855" s="61">
        <f t="shared" si="70"/>
        <v>44653</v>
      </c>
      <c r="E855" s="167"/>
      <c r="F855" s="121" t="str">
        <f>VLOOKUP(MOD(C855,7),'CALENDAR INFO'!$I$2:$J$8,2)</f>
        <v>SAT</v>
      </c>
      <c r="G855" s="214">
        <v>0.33</v>
      </c>
      <c r="H855" s="425">
        <v>0.3</v>
      </c>
      <c r="I855" s="457">
        <f t="shared" si="71"/>
        <v>-3.0000000000000027E-2</v>
      </c>
      <c r="J855" s="152" t="s">
        <v>151</v>
      </c>
      <c r="K855" s="15">
        <f>ROW($C855)-1</f>
        <v>854</v>
      </c>
      <c r="L855" s="179">
        <f>K855</f>
        <v>854</v>
      </c>
      <c r="M855" s="113">
        <f t="shared" si="72"/>
        <v>0</v>
      </c>
      <c r="N855" s="64">
        <f t="shared" si="73"/>
        <v>1</v>
      </c>
    </row>
    <row r="856" spans="1:16">
      <c r="B856" s="41"/>
      <c r="C856" s="61">
        <f t="shared" si="70"/>
        <v>44654</v>
      </c>
      <c r="E856" s="167"/>
      <c r="F856" s="121" t="str">
        <f>VLOOKUP(MOD(C856,7),'CALENDAR INFO'!$I$2:$J$8,2)</f>
        <v>SUN</v>
      </c>
      <c r="G856" s="214">
        <v>0.33</v>
      </c>
      <c r="H856" s="425">
        <v>0.3</v>
      </c>
      <c r="I856" s="457">
        <f t="shared" si="71"/>
        <v>-3.0000000000000027E-2</v>
      </c>
      <c r="J856" s="152" t="s">
        <v>152</v>
      </c>
      <c r="K856" s="15">
        <f>K854+K855-1</f>
        <v>883</v>
      </c>
      <c r="L856" s="200">
        <f>K856</f>
        <v>883</v>
      </c>
      <c r="M856" s="113">
        <f t="shared" si="72"/>
        <v>0</v>
      </c>
      <c r="N856" s="64">
        <f t="shared" si="73"/>
        <v>1</v>
      </c>
    </row>
    <row r="857" spans="1:16">
      <c r="B857" s="41"/>
      <c r="C857" s="61">
        <f t="shared" si="70"/>
        <v>44655</v>
      </c>
      <c r="E857" s="167"/>
      <c r="F857" s="121" t="str">
        <f>VLOOKUP(MOD(C857,7),'CALENDAR INFO'!$I$2:$J$8,2)</f>
        <v>MON</v>
      </c>
      <c r="G857" s="214">
        <v>0.33</v>
      </c>
      <c r="H857" s="425">
        <v>0.3</v>
      </c>
      <c r="I857" s="457">
        <f t="shared" si="71"/>
        <v>-3.0000000000000027E-2</v>
      </c>
      <c r="J857" s="152"/>
      <c r="K857" s="182"/>
      <c r="L857" s="201"/>
      <c r="M857" s="113">
        <f t="shared" si="72"/>
        <v>1</v>
      </c>
      <c r="N857" s="64">
        <f t="shared" si="73"/>
        <v>1.0000083333333334</v>
      </c>
    </row>
    <row r="858" spans="1:16">
      <c r="B858" s="41"/>
      <c r="C858" s="61">
        <f t="shared" si="70"/>
        <v>44656</v>
      </c>
      <c r="E858" s="167"/>
      <c r="F858" s="121" t="str">
        <f>VLOOKUP(MOD(C858,7),'CALENDAR INFO'!$I$2:$J$8,2)</f>
        <v>TUE</v>
      </c>
      <c r="G858" s="214">
        <v>0.33</v>
      </c>
      <c r="H858" s="425">
        <v>0.3</v>
      </c>
      <c r="I858" s="457">
        <f t="shared" si="71"/>
        <v>-3.0000000000000027E-2</v>
      </c>
      <c r="J858" s="152" t="s">
        <v>153</v>
      </c>
      <c r="K858" s="182" t="str">
        <f>_xlfn.CONCAT("A",TEXT(K855,0),":","A",TEXT(K856,0))</f>
        <v>A854:A883</v>
      </c>
      <c r="L858" s="201" t="str">
        <f>_xlfn.CONCAT("B",TEXT(L855,0),":","B",TEXT(L856,0))</f>
        <v>B854:B883</v>
      </c>
      <c r="M858" s="113">
        <f t="shared" si="72"/>
        <v>1</v>
      </c>
      <c r="N858" s="64">
        <f t="shared" si="73"/>
        <v>1.0000083333333334</v>
      </c>
    </row>
    <row r="859" spans="1:16">
      <c r="B859" s="41"/>
      <c r="C859" s="61">
        <f t="shared" si="70"/>
        <v>44657</v>
      </c>
      <c r="E859" s="167" t="s">
        <v>19</v>
      </c>
      <c r="F859" s="121" t="str">
        <f>VLOOKUP(MOD(C859,7),'CALENDAR INFO'!$I$2:$J$8,2)</f>
        <v>WED</v>
      </c>
      <c r="G859" s="214">
        <v>0.33</v>
      </c>
      <c r="H859" s="425">
        <v>0.3</v>
      </c>
      <c r="I859" s="457">
        <f t="shared" si="71"/>
        <v>-3.0000000000000027E-2</v>
      </c>
      <c r="J859" s="152" t="s">
        <v>154</v>
      </c>
      <c r="K859" s="182" t="str">
        <f>_xlfn.CONCAT("F",TEXT(K855,0),":","F",TEXT(K856,0))</f>
        <v>F854:F883</v>
      </c>
      <c r="L859" s="201" t="str">
        <f>_xlfn.CONCAT("G",TEXT(L855,0),":","G",TEXT(L856,0))</f>
        <v>G854:G883</v>
      </c>
      <c r="M859" s="113">
        <f t="shared" si="72"/>
        <v>1</v>
      </c>
      <c r="N859" s="64">
        <f t="shared" si="73"/>
        <v>1.0000083333333334</v>
      </c>
    </row>
    <row r="860" spans="1:16">
      <c r="B860" s="41"/>
      <c r="C860" s="61">
        <f t="shared" si="70"/>
        <v>44658</v>
      </c>
      <c r="E860" s="170" t="s">
        <v>18</v>
      </c>
      <c r="F860" s="121" t="str">
        <f>VLOOKUP(MOD(C860,7),'CALENDAR INFO'!$I$2:$J$8,2)</f>
        <v>THU</v>
      </c>
      <c r="G860" s="214">
        <v>0.33</v>
      </c>
      <c r="H860" s="425">
        <v>0.3</v>
      </c>
      <c r="I860" s="457">
        <f t="shared" si="71"/>
        <v>-3.0000000000000027E-2</v>
      </c>
      <c r="J860" s="152"/>
      <c r="K860" s="152"/>
      <c r="L860" s="202"/>
      <c r="M860" s="113">
        <f t="shared" si="72"/>
        <v>1</v>
      </c>
      <c r="N860" s="64">
        <f t="shared" si="73"/>
        <v>1.0000083333333334</v>
      </c>
    </row>
    <row r="861" spans="1:16">
      <c r="B861" s="41"/>
      <c r="C861" s="61">
        <f t="shared" si="70"/>
        <v>44659</v>
      </c>
      <c r="E861" s="170"/>
      <c r="F861" s="121" t="str">
        <f>VLOOKUP(MOD(C861,7),'CALENDAR INFO'!$I$2:$J$8,2)</f>
        <v>FRI</v>
      </c>
      <c r="G861" s="214">
        <v>0.33</v>
      </c>
      <c r="H861" s="425">
        <v>0.3</v>
      </c>
      <c r="I861" s="457">
        <f t="shared" si="71"/>
        <v>-3.0000000000000027E-2</v>
      </c>
      <c r="J861" s="152" t="s">
        <v>155</v>
      </c>
      <c r="K861" s="185">
        <f ca="1">SUM(INDIRECT(K858))</f>
        <v>0</v>
      </c>
      <c r="L861" s="179">
        <f ca="1">SUM(INDIRECT(L858))</f>
        <v>0</v>
      </c>
      <c r="M861" s="113">
        <f t="shared" si="72"/>
        <v>3</v>
      </c>
      <c r="N861" s="64">
        <f t="shared" si="73"/>
        <v>1.0000249999999999</v>
      </c>
    </row>
    <row r="862" spans="1:16">
      <c r="B862" s="41"/>
      <c r="C862" s="61">
        <f t="shared" si="70"/>
        <v>44660</v>
      </c>
      <c r="E862" s="170"/>
      <c r="F862" s="121" t="str">
        <f>VLOOKUP(MOD(C862,7),'CALENDAR INFO'!$I$2:$J$8,2)</f>
        <v>SAT</v>
      </c>
      <c r="G862" s="214">
        <v>0.33</v>
      </c>
      <c r="H862" s="425">
        <v>0.3</v>
      </c>
      <c r="I862" s="457">
        <f t="shared" si="71"/>
        <v>-3.0000000000000027E-2</v>
      </c>
      <c r="J862" s="152" t="s">
        <v>156</v>
      </c>
      <c r="K862" s="207">
        <f ca="1">SUM(INDIRECT(K859))</f>
        <v>0</v>
      </c>
      <c r="L862" s="208">
        <f ca="1">SUM(INDIRECT(L859))</f>
        <v>9.9</v>
      </c>
      <c r="M862" s="113">
        <f t="shared" si="72"/>
        <v>0</v>
      </c>
      <c r="N862" s="64">
        <f t="shared" si="73"/>
        <v>1</v>
      </c>
    </row>
    <row r="863" spans="1:16">
      <c r="B863" s="41"/>
      <c r="C863" s="61">
        <f t="shared" si="70"/>
        <v>44661</v>
      </c>
      <c r="E863" s="170"/>
      <c r="F863" s="121" t="str">
        <f>VLOOKUP(MOD(C863,7),'CALENDAR INFO'!$I$2:$J$8,2)</f>
        <v>SUN</v>
      </c>
      <c r="G863" s="214">
        <v>0.33</v>
      </c>
      <c r="H863" s="425">
        <v>0.3</v>
      </c>
      <c r="I863" s="457">
        <f t="shared" si="71"/>
        <v>-3.0000000000000027E-2</v>
      </c>
      <c r="J863" s="152" t="s">
        <v>157</v>
      </c>
      <c r="K863" s="178">
        <f ca="1">K861+K862</f>
        <v>0</v>
      </c>
      <c r="L863" s="192">
        <f ca="1">L861+L862</f>
        <v>9.9</v>
      </c>
      <c r="M863" s="113">
        <f t="shared" si="72"/>
        <v>0</v>
      </c>
      <c r="N863" s="64">
        <f t="shared" si="73"/>
        <v>1</v>
      </c>
    </row>
    <row r="864" spans="1:16">
      <c r="B864" s="41"/>
      <c r="C864" s="61">
        <f t="shared" si="70"/>
        <v>44662</v>
      </c>
      <c r="E864" s="170"/>
      <c r="F864" s="121" t="str">
        <f>VLOOKUP(MOD(C864,7),'CALENDAR INFO'!$I$2:$J$8,2)</f>
        <v>MON</v>
      </c>
      <c r="G864" s="214">
        <v>0.33</v>
      </c>
      <c r="H864" s="425">
        <v>0.3</v>
      </c>
      <c r="I864" s="457">
        <f t="shared" si="71"/>
        <v>-3.0000000000000027E-2</v>
      </c>
      <c r="J864" s="152"/>
      <c r="K864" s="178"/>
      <c r="L864" s="192"/>
      <c r="M864" s="113">
        <f t="shared" si="72"/>
        <v>1</v>
      </c>
      <c r="N864" s="64">
        <f t="shared" si="73"/>
        <v>1.0000083333333334</v>
      </c>
    </row>
    <row r="865" spans="2:16">
      <c r="B865" s="41"/>
      <c r="C865" s="61">
        <f t="shared" si="70"/>
        <v>44663</v>
      </c>
      <c r="E865" s="170"/>
      <c r="F865" s="121" t="str">
        <f>VLOOKUP(MOD(C865,7),'CALENDAR INFO'!$I$2:$J$8,2)</f>
        <v>TUE</v>
      </c>
      <c r="G865" s="214">
        <v>0.33</v>
      </c>
      <c r="H865" s="425">
        <v>0.28999999999999998</v>
      </c>
      <c r="I865" s="457">
        <f t="shared" si="71"/>
        <v>-4.0000000000000036E-2</v>
      </c>
      <c r="J865" s="152" t="s">
        <v>158</v>
      </c>
      <c r="K865" s="178">
        <f ca="1">K863/K854</f>
        <v>0</v>
      </c>
      <c r="L865" s="192">
        <f ca="1">L863/L854</f>
        <v>0.33</v>
      </c>
      <c r="M865" s="113">
        <f t="shared" si="72"/>
        <v>1</v>
      </c>
      <c r="N865" s="64">
        <f t="shared" si="73"/>
        <v>1.0000080555555555</v>
      </c>
    </row>
    <row r="866" spans="2:16">
      <c r="B866" s="41"/>
      <c r="C866" s="61">
        <f t="shared" si="70"/>
        <v>44664</v>
      </c>
      <c r="E866" s="170"/>
      <c r="F866" s="121" t="str">
        <f>VLOOKUP(MOD(C866,7),'CALENDAR INFO'!$I$2:$J$8,2)</f>
        <v>WED</v>
      </c>
      <c r="G866" s="214">
        <v>0.33</v>
      </c>
      <c r="H866" s="425">
        <v>0.28999999999999998</v>
      </c>
      <c r="I866" s="457">
        <f t="shared" si="71"/>
        <v>-4.0000000000000036E-2</v>
      </c>
      <c r="J866" s="152" t="s">
        <v>159</v>
      </c>
      <c r="K866" s="180">
        <f ca="1">100-K865</f>
        <v>100</v>
      </c>
      <c r="L866" s="193">
        <f ca="1">100-L865</f>
        <v>99.67</v>
      </c>
      <c r="M866" s="113">
        <f t="shared" si="72"/>
        <v>1</v>
      </c>
      <c r="N866" s="64">
        <f t="shared" si="73"/>
        <v>1.0000080555555555</v>
      </c>
    </row>
    <row r="867" spans="2:16">
      <c r="B867" s="41"/>
      <c r="C867" s="61">
        <f t="shared" si="70"/>
        <v>44665</v>
      </c>
      <c r="E867" s="170"/>
      <c r="F867" s="121" t="str">
        <f>VLOOKUP(MOD(C867,7),'CALENDAR INFO'!$I$2:$J$8,2)</f>
        <v>THU</v>
      </c>
      <c r="G867" s="214">
        <v>0.33</v>
      </c>
      <c r="H867" s="425">
        <v>0.28999999999999998</v>
      </c>
      <c r="I867" s="457">
        <f t="shared" si="71"/>
        <v>-4.0000000000000036E-2</v>
      </c>
      <c r="J867" s="152"/>
      <c r="K867" s="178"/>
      <c r="L867" s="192"/>
      <c r="M867" s="117">
        <v>4</v>
      </c>
      <c r="N867" s="64">
        <f t="shared" si="73"/>
        <v>1.0000322222222222</v>
      </c>
    </row>
    <row r="868" spans="2:16">
      <c r="B868" s="41"/>
      <c r="C868" s="61">
        <f t="shared" si="70"/>
        <v>44666</v>
      </c>
      <c r="D868" s="173" t="s">
        <v>56</v>
      </c>
      <c r="E868" s="170"/>
      <c r="F868" s="121" t="str">
        <f>VLOOKUP(MOD(C868,7),'CALENDAR INFO'!$I$2:$J$8,2)</f>
        <v>FRI</v>
      </c>
      <c r="G868" s="214">
        <v>0.33</v>
      </c>
      <c r="H868" s="425">
        <v>0.28999999999999998</v>
      </c>
      <c r="I868" s="457">
        <f t="shared" si="71"/>
        <v>-4.0000000000000036E-2</v>
      </c>
      <c r="J868" s="152"/>
      <c r="K868" s="186"/>
      <c r="L868" s="194"/>
      <c r="M868" s="117">
        <v>0</v>
      </c>
      <c r="N868" s="64">
        <f t="shared" si="73"/>
        <v>1</v>
      </c>
    </row>
    <row r="869" spans="2:16">
      <c r="B869" s="41"/>
      <c r="C869" s="61">
        <f t="shared" si="70"/>
        <v>44667</v>
      </c>
      <c r="E869" s="170"/>
      <c r="F869" s="121" t="str">
        <f>VLOOKUP(MOD(C869,7),'CALENDAR INFO'!$I$2:$J$8,2)</f>
        <v>SAT</v>
      </c>
      <c r="G869" s="214">
        <v>0.33</v>
      </c>
      <c r="H869" s="425">
        <v>0.28999999999999998</v>
      </c>
      <c r="I869" s="457">
        <f t="shared" si="71"/>
        <v>-4.0000000000000036E-2</v>
      </c>
      <c r="J869" s="152"/>
      <c r="K869" s="152"/>
      <c r="L869" s="202"/>
      <c r="M869" s="113">
        <f t="shared" ref="M869:M909" si="74">IF(MOD(C869,7)&lt;2,0,IF(MOD(C869,7)=6,3,1))</f>
        <v>0</v>
      </c>
      <c r="N869" s="64">
        <f t="shared" si="73"/>
        <v>1</v>
      </c>
    </row>
    <row r="870" spans="2:16">
      <c r="B870" s="41"/>
      <c r="C870" s="61">
        <f t="shared" si="70"/>
        <v>44668</v>
      </c>
      <c r="E870" s="170"/>
      <c r="F870" s="121" t="str">
        <f>VLOOKUP(MOD(C870,7),'CALENDAR INFO'!$I$2:$J$8,2)</f>
        <v>SUN</v>
      </c>
      <c r="G870" s="214">
        <v>0.33</v>
      </c>
      <c r="H870" s="425">
        <v>0.28999999999999998</v>
      </c>
      <c r="I870" s="457">
        <f t="shared" si="71"/>
        <v>-4.0000000000000036E-2</v>
      </c>
      <c r="J870" s="152"/>
      <c r="K870" s="152"/>
      <c r="L870" s="202"/>
      <c r="M870" s="113">
        <f t="shared" si="74"/>
        <v>0</v>
      </c>
      <c r="N870" s="64">
        <f t="shared" si="73"/>
        <v>1</v>
      </c>
    </row>
    <row r="871" spans="2:16">
      <c r="B871" s="41"/>
      <c r="C871" s="61">
        <f t="shared" si="70"/>
        <v>44669</v>
      </c>
      <c r="E871" s="170"/>
      <c r="F871" s="121" t="str">
        <f>VLOOKUP(MOD(C871,7),'CALENDAR INFO'!$I$2:$J$8,2)</f>
        <v>MON</v>
      </c>
      <c r="G871" s="214">
        <v>0.33</v>
      </c>
      <c r="H871" s="425">
        <v>0.28999999999999998</v>
      </c>
      <c r="I871" s="457">
        <f t="shared" si="71"/>
        <v>-4.0000000000000036E-2</v>
      </c>
      <c r="J871" s="152"/>
      <c r="K871" s="152"/>
      <c r="L871" s="202"/>
      <c r="M871" s="113">
        <f t="shared" si="74"/>
        <v>1</v>
      </c>
      <c r="N871" s="64">
        <f t="shared" si="73"/>
        <v>1.0000080555555555</v>
      </c>
    </row>
    <row r="872" spans="2:16">
      <c r="B872" s="41"/>
      <c r="C872" s="61">
        <f t="shared" si="70"/>
        <v>44670</v>
      </c>
      <c r="E872" s="170"/>
      <c r="F872" s="121" t="str">
        <f>VLOOKUP(MOD(C872,7),'CALENDAR INFO'!$I$2:$J$8,2)</f>
        <v>TUE</v>
      </c>
      <c r="G872" s="214">
        <v>0.33</v>
      </c>
      <c r="H872" s="425">
        <v>0.28000000000000003</v>
      </c>
      <c r="I872" s="457">
        <f t="shared" si="71"/>
        <v>-4.9999999999999989E-2</v>
      </c>
      <c r="J872" s="152"/>
      <c r="K872" s="152"/>
      <c r="L872" s="202"/>
      <c r="M872" s="113">
        <f t="shared" si="74"/>
        <v>1</v>
      </c>
      <c r="N872" s="64">
        <f t="shared" si="73"/>
        <v>1.0000077777777778</v>
      </c>
    </row>
    <row r="873" spans="2:16">
      <c r="B873" s="41"/>
      <c r="C873" s="61">
        <f t="shared" si="70"/>
        <v>44671</v>
      </c>
      <c r="E873" s="170" t="s">
        <v>19</v>
      </c>
      <c r="F873" s="121" t="str">
        <f>VLOOKUP(MOD(C873,7),'CALENDAR INFO'!$I$2:$J$8,2)</f>
        <v>WED</v>
      </c>
      <c r="G873" s="214">
        <v>0.33</v>
      </c>
      <c r="H873" s="425">
        <v>0.27</v>
      </c>
      <c r="I873" s="457">
        <f t="shared" si="71"/>
        <v>-0.06</v>
      </c>
      <c r="J873" s="152"/>
      <c r="K873" s="152"/>
      <c r="L873" s="202"/>
      <c r="M873" s="113">
        <f t="shared" si="74"/>
        <v>1</v>
      </c>
      <c r="N873" s="64">
        <f t="shared" si="73"/>
        <v>1.0000074999999999</v>
      </c>
    </row>
    <row r="874" spans="2:16">
      <c r="B874" s="41"/>
      <c r="C874" s="61">
        <f t="shared" si="70"/>
        <v>44672</v>
      </c>
      <c r="E874" s="167" t="s">
        <v>18</v>
      </c>
      <c r="F874" s="121" t="str">
        <f>VLOOKUP(MOD(C874,7),'CALENDAR INFO'!$I$2:$J$8,2)</f>
        <v>THU</v>
      </c>
      <c r="G874" s="214">
        <v>0.33</v>
      </c>
      <c r="H874" s="425">
        <v>0.26</v>
      </c>
      <c r="I874" s="457">
        <f t="shared" si="71"/>
        <v>-7.0000000000000007E-2</v>
      </c>
      <c r="J874" s="152"/>
      <c r="K874" s="152"/>
      <c r="L874" s="202"/>
      <c r="M874" s="113">
        <f t="shared" si="74"/>
        <v>1</v>
      </c>
      <c r="N874" s="64">
        <f t="shared" si="73"/>
        <v>1.0000072222222223</v>
      </c>
    </row>
    <row r="875" spans="2:16">
      <c r="B875" s="41"/>
      <c r="C875" s="61">
        <f t="shared" si="70"/>
        <v>44673</v>
      </c>
      <c r="E875" s="167"/>
      <c r="F875" s="121" t="str">
        <f>VLOOKUP(MOD(C875,7),'CALENDAR INFO'!$I$2:$J$8,2)</f>
        <v>FRI</v>
      </c>
      <c r="G875" s="214">
        <v>0.33</v>
      </c>
      <c r="H875" s="425">
        <v>0.27</v>
      </c>
      <c r="I875" s="457">
        <f t="shared" si="71"/>
        <v>-0.06</v>
      </c>
      <c r="J875" s="152"/>
      <c r="K875" s="152"/>
      <c r="L875" s="202"/>
      <c r="M875" s="113">
        <f t="shared" si="74"/>
        <v>3</v>
      </c>
      <c r="N875" s="64">
        <f t="shared" si="73"/>
        <v>1.0000225</v>
      </c>
    </row>
    <row r="876" spans="2:16">
      <c r="B876" s="41"/>
      <c r="C876" s="61">
        <f t="shared" si="70"/>
        <v>44674</v>
      </c>
      <c r="E876" s="167"/>
      <c r="F876" s="121" t="str">
        <f>VLOOKUP(MOD(C876,7),'CALENDAR INFO'!$I$2:$J$8,2)</f>
        <v>SAT</v>
      </c>
      <c r="G876" s="214">
        <v>0.33</v>
      </c>
      <c r="H876" s="425">
        <v>0.27</v>
      </c>
      <c r="I876" s="457">
        <f t="shared" si="71"/>
        <v>-0.06</v>
      </c>
      <c r="J876" s="152"/>
      <c r="K876" s="152"/>
      <c r="L876" s="202"/>
      <c r="M876" s="113">
        <f t="shared" si="74"/>
        <v>0</v>
      </c>
      <c r="N876" s="64">
        <f t="shared" si="73"/>
        <v>1</v>
      </c>
    </row>
    <row r="877" spans="2:16">
      <c r="B877" s="41"/>
      <c r="C877" s="61">
        <f t="shared" si="70"/>
        <v>44675</v>
      </c>
      <c r="E877" s="167"/>
      <c r="F877" s="121" t="str">
        <f>VLOOKUP(MOD(C877,7),'CALENDAR INFO'!$I$2:$J$8,2)</f>
        <v>SUN</v>
      </c>
      <c r="G877" s="214">
        <v>0.33</v>
      </c>
      <c r="H877" s="425">
        <v>0.27</v>
      </c>
      <c r="I877" s="457">
        <f t="shared" si="71"/>
        <v>-0.06</v>
      </c>
      <c r="J877" s="152"/>
      <c r="K877" s="152"/>
      <c r="L877" s="202"/>
      <c r="M877" s="113">
        <f t="shared" si="74"/>
        <v>0</v>
      </c>
      <c r="N877" s="64">
        <f t="shared" si="73"/>
        <v>1</v>
      </c>
    </row>
    <row r="878" spans="2:16">
      <c r="B878" s="41"/>
      <c r="C878" s="61">
        <f t="shared" si="70"/>
        <v>44676</v>
      </c>
      <c r="E878" s="167"/>
      <c r="F878" s="121" t="str">
        <f>VLOOKUP(MOD(C878,7),'CALENDAR INFO'!$I$2:$J$8,2)</f>
        <v>MON</v>
      </c>
      <c r="G878" s="214">
        <v>0.33</v>
      </c>
      <c r="H878" s="425">
        <v>0.27</v>
      </c>
      <c r="I878" s="457">
        <f t="shared" si="71"/>
        <v>-0.06</v>
      </c>
      <c r="J878" s="152"/>
      <c r="K878" s="182"/>
      <c r="L878" s="201"/>
      <c r="M878" s="113">
        <f t="shared" si="74"/>
        <v>1</v>
      </c>
      <c r="N878" s="64">
        <f t="shared" si="73"/>
        <v>1.0000074999999999</v>
      </c>
    </row>
    <row r="879" spans="2:16">
      <c r="B879" s="41"/>
      <c r="C879" s="61">
        <f t="shared" si="70"/>
        <v>44677</v>
      </c>
      <c r="E879" s="167"/>
      <c r="F879" s="121" t="str">
        <f>VLOOKUP(MOD(C879,7),'CALENDAR INFO'!$I$2:$J$8,2)</f>
        <v>TUE</v>
      </c>
      <c r="G879" s="214">
        <v>0.33</v>
      </c>
      <c r="H879" s="425">
        <v>0.27</v>
      </c>
      <c r="I879" s="457">
        <f t="shared" si="71"/>
        <v>-0.06</v>
      </c>
      <c r="J879" s="152"/>
      <c r="K879" s="152"/>
      <c r="L879" s="202"/>
      <c r="M879" s="113">
        <f t="shared" si="74"/>
        <v>1</v>
      </c>
      <c r="N879" s="64">
        <f t="shared" si="73"/>
        <v>1.0000074999999999</v>
      </c>
      <c r="O879" s="89" t="s">
        <v>93</v>
      </c>
      <c r="P879" s="90"/>
    </row>
    <row r="880" spans="2:16">
      <c r="B880" s="41"/>
      <c r="C880" s="61">
        <f t="shared" si="70"/>
        <v>44678</v>
      </c>
      <c r="E880" s="167"/>
      <c r="F880" s="121" t="str">
        <f>VLOOKUP(MOD(C880,7),'CALENDAR INFO'!$I$2:$J$8,2)</f>
        <v>WED</v>
      </c>
      <c r="G880" s="214">
        <v>0.33</v>
      </c>
      <c r="H880" s="425">
        <v>0.28000000000000003</v>
      </c>
      <c r="I880" s="457">
        <f t="shared" si="71"/>
        <v>-4.9999999999999989E-2</v>
      </c>
      <c r="J880" s="152"/>
      <c r="K880" s="182"/>
      <c r="L880" s="201"/>
      <c r="M880" s="113">
        <f t="shared" si="74"/>
        <v>1</v>
      </c>
      <c r="N880" s="64">
        <f t="shared" si="73"/>
        <v>1.0000077777777778</v>
      </c>
      <c r="O880" s="89" t="s">
        <v>26</v>
      </c>
      <c r="P880" s="135"/>
    </row>
    <row r="881" spans="1:16">
      <c r="B881" s="41"/>
      <c r="C881" s="61">
        <f t="shared" si="70"/>
        <v>44679</v>
      </c>
      <c r="E881" s="167"/>
      <c r="F881" s="121" t="str">
        <f>VLOOKUP(MOD(C881,7),'CALENDAR INFO'!$I$2:$J$8,2)</f>
        <v>THU</v>
      </c>
      <c r="G881" s="214">
        <v>0.33</v>
      </c>
      <c r="H881" s="425">
        <v>0.28000000000000003</v>
      </c>
      <c r="I881" s="457">
        <f t="shared" si="71"/>
        <v>-4.9999999999999989E-2</v>
      </c>
      <c r="J881" s="152"/>
      <c r="K881" s="190"/>
      <c r="L881" s="203"/>
      <c r="M881" s="113">
        <f t="shared" si="74"/>
        <v>1</v>
      </c>
      <c r="N881" s="64">
        <f t="shared" si="73"/>
        <v>1.0000077777777778</v>
      </c>
      <c r="O881" s="89" t="s">
        <v>76</v>
      </c>
      <c r="P881" s="135"/>
    </row>
    <row r="882" spans="1:16">
      <c r="B882" s="41"/>
      <c r="C882" s="61">
        <f t="shared" si="70"/>
        <v>44680</v>
      </c>
      <c r="E882" s="167"/>
      <c r="F882" s="121" t="str">
        <f>VLOOKUP(MOD(C882,7),'CALENDAR INFO'!$I$2:$J$8,2)</f>
        <v>FRI</v>
      </c>
      <c r="G882" s="214">
        <v>0.33</v>
      </c>
      <c r="H882" s="425">
        <v>0.28000000000000003</v>
      </c>
      <c r="I882" s="457">
        <f t="shared" si="71"/>
        <v>-4.9999999999999989E-2</v>
      </c>
      <c r="J882" s="152"/>
      <c r="K882" s="182"/>
      <c r="L882" s="201"/>
      <c r="M882" s="113">
        <f t="shared" si="74"/>
        <v>3</v>
      </c>
      <c r="N882" s="64">
        <f t="shared" si="73"/>
        <v>1.0000233333333333</v>
      </c>
    </row>
    <row r="883" spans="1:16" ht="15.75" thickBot="1">
      <c r="A883" s="98"/>
      <c r="B883" s="230"/>
      <c r="C883" s="75">
        <f t="shared" si="70"/>
        <v>44681</v>
      </c>
      <c r="D883" s="112"/>
      <c r="E883" s="92"/>
      <c r="F883" s="138" t="str">
        <f>VLOOKUP(MOD(C883,7),'CALENDAR INFO'!$I$2:$J$8,2)</f>
        <v>SAT</v>
      </c>
      <c r="G883" s="215">
        <v>0.33</v>
      </c>
      <c r="H883" s="426">
        <v>0.28000000000000003</v>
      </c>
      <c r="I883" s="458">
        <f t="shared" si="71"/>
        <v>-4.9999999999999989E-2</v>
      </c>
      <c r="J883" s="437"/>
      <c r="K883" s="184"/>
      <c r="L883" s="205"/>
      <c r="M883" s="114">
        <f t="shared" si="74"/>
        <v>0</v>
      </c>
      <c r="N883" s="77">
        <f t="shared" si="73"/>
        <v>1</v>
      </c>
    </row>
    <row r="884" spans="1:16">
      <c r="B884" s="41"/>
      <c r="C884" s="61">
        <f t="shared" si="70"/>
        <v>44682</v>
      </c>
      <c r="E884" s="167"/>
      <c r="F884" s="121" t="str">
        <f>VLOOKUP(MOD(C884,7),'CALENDAR INFO'!$I$2:$J$8,2)</f>
        <v>SUN</v>
      </c>
      <c r="G884" s="214">
        <v>0.33</v>
      </c>
      <c r="H884" s="425">
        <v>0.28000000000000003</v>
      </c>
      <c r="I884" s="457">
        <f t="shared" si="71"/>
        <v>-4.9999999999999989E-2</v>
      </c>
      <c r="J884" s="436" t="s">
        <v>118</v>
      </c>
      <c r="K884" s="15">
        <f>VLOOKUP(MONTH($C884),'CALENDAR INFO'!$I$12:$J$23,2)</f>
        <v>31</v>
      </c>
      <c r="L884" s="179">
        <f>K884</f>
        <v>31</v>
      </c>
      <c r="M884" s="116">
        <f t="shared" si="74"/>
        <v>0</v>
      </c>
      <c r="N884" s="111">
        <f t="shared" si="73"/>
        <v>1</v>
      </c>
    </row>
    <row r="885" spans="1:16">
      <c r="B885" s="41"/>
      <c r="C885" s="61">
        <f t="shared" ref="C885:C948" si="75">C884+1</f>
        <v>44683</v>
      </c>
      <c r="E885" s="167"/>
      <c r="F885" s="121" t="str">
        <f>VLOOKUP(MOD(C885,7),'CALENDAR INFO'!$I$2:$J$8,2)</f>
        <v>MON</v>
      </c>
      <c r="G885" s="214">
        <v>0.33</v>
      </c>
      <c r="H885" s="425">
        <v>0.3</v>
      </c>
      <c r="I885" s="457">
        <f t="shared" si="71"/>
        <v>-3.0000000000000027E-2</v>
      </c>
      <c r="J885" s="152" t="s">
        <v>151</v>
      </c>
      <c r="K885" s="15">
        <f>ROW($C885)-1</f>
        <v>884</v>
      </c>
      <c r="L885" s="179">
        <f>K885</f>
        <v>884</v>
      </c>
      <c r="M885" s="113">
        <f t="shared" si="74"/>
        <v>1</v>
      </c>
      <c r="N885" s="64">
        <f t="shared" si="73"/>
        <v>1.0000083333333334</v>
      </c>
    </row>
    <row r="886" spans="1:16">
      <c r="B886" s="41"/>
      <c r="C886" s="61">
        <f t="shared" si="75"/>
        <v>44684</v>
      </c>
      <c r="D886" s="153" t="s">
        <v>20</v>
      </c>
      <c r="E886" s="167"/>
      <c r="F886" s="121" t="str">
        <f>VLOOKUP(MOD(C886,7),'CALENDAR INFO'!$I$2:$J$8,2)</f>
        <v>TUE</v>
      </c>
      <c r="G886" s="214">
        <v>0.33</v>
      </c>
      <c r="H886" s="425">
        <v>0.3</v>
      </c>
      <c r="I886" s="457">
        <f t="shared" si="71"/>
        <v>-3.0000000000000027E-2</v>
      </c>
      <c r="J886" s="152" t="s">
        <v>152</v>
      </c>
      <c r="K886" s="15">
        <f>K884+K885-1</f>
        <v>914</v>
      </c>
      <c r="L886" s="200">
        <f>K886</f>
        <v>914</v>
      </c>
      <c r="M886" s="113">
        <f t="shared" si="74"/>
        <v>1</v>
      </c>
      <c r="N886" s="64">
        <f t="shared" si="73"/>
        <v>1.0000083333333334</v>
      </c>
    </row>
    <row r="887" spans="1:16">
      <c r="B887" s="234"/>
      <c r="C887" s="61">
        <f t="shared" si="75"/>
        <v>44685</v>
      </c>
      <c r="D887" s="153" t="s">
        <v>20</v>
      </c>
      <c r="E887" s="167" t="s">
        <v>19</v>
      </c>
      <c r="F887" s="121" t="str">
        <f>VLOOKUP(MOD(C887,7),'CALENDAR INFO'!$I$2:$J$8,2)</f>
        <v>WED</v>
      </c>
      <c r="G887" s="214">
        <v>0.33</v>
      </c>
      <c r="H887" s="425">
        <v>0.3</v>
      </c>
      <c r="I887" s="457">
        <f t="shared" si="71"/>
        <v>-3.0000000000000027E-2</v>
      </c>
      <c r="J887" s="152"/>
      <c r="K887" s="182"/>
      <c r="L887" s="201"/>
      <c r="M887" s="113">
        <f t="shared" si="74"/>
        <v>1</v>
      </c>
      <c r="N887" s="64">
        <f t="shared" si="73"/>
        <v>1.0000083333333334</v>
      </c>
    </row>
    <row r="888" spans="1:16">
      <c r="B888" s="41"/>
      <c r="C888" s="61">
        <f t="shared" si="75"/>
        <v>44686</v>
      </c>
      <c r="E888" s="170" t="s">
        <v>18</v>
      </c>
      <c r="F888" s="121" t="str">
        <f>VLOOKUP(MOD(C888,7),'CALENDAR INFO'!$I$2:$J$8,2)</f>
        <v>THU</v>
      </c>
      <c r="G888" s="220">
        <v>0.83</v>
      </c>
      <c r="H888" s="432">
        <v>0.79</v>
      </c>
      <c r="I888" s="457">
        <f t="shared" si="71"/>
        <v>-3.9999999999999925E-2</v>
      </c>
      <c r="J888" s="152" t="s">
        <v>153</v>
      </c>
      <c r="K888" s="182" t="str">
        <f>_xlfn.CONCAT("A",TEXT(K885,0),":","A",TEXT(K886,0))</f>
        <v>A884:A914</v>
      </c>
      <c r="L888" s="201" t="str">
        <f>_xlfn.CONCAT("B",TEXT(L885,0),":","B",TEXT(L886,0))</f>
        <v>B884:B914</v>
      </c>
      <c r="M888" s="113">
        <f t="shared" si="74"/>
        <v>1</v>
      </c>
      <c r="N888" s="64">
        <f t="shared" si="73"/>
        <v>1.0000219444444445</v>
      </c>
    </row>
    <row r="889" spans="1:16">
      <c r="B889" s="41"/>
      <c r="C889" s="61">
        <f t="shared" si="75"/>
        <v>44687</v>
      </c>
      <c r="E889" s="170"/>
      <c r="F889" s="121" t="str">
        <f>VLOOKUP(MOD(C889,7),'CALENDAR INFO'!$I$2:$J$8,2)</f>
        <v>FRI</v>
      </c>
      <c r="G889" s="214">
        <v>0.83</v>
      </c>
      <c r="H889" s="425">
        <v>0.78</v>
      </c>
      <c r="I889" s="457">
        <f t="shared" si="71"/>
        <v>-4.9999999999999933E-2</v>
      </c>
      <c r="J889" s="152" t="s">
        <v>154</v>
      </c>
      <c r="K889" s="182" t="str">
        <f>_xlfn.CONCAT("F",TEXT(K885,0),":","F",TEXT(K886,0))</f>
        <v>F884:F914</v>
      </c>
      <c r="L889" s="201" t="str">
        <f>_xlfn.CONCAT("G",TEXT(L885,0),":","G",TEXT(L886,0))</f>
        <v>G884:G914</v>
      </c>
      <c r="M889" s="113">
        <f t="shared" si="74"/>
        <v>3</v>
      </c>
      <c r="N889" s="64">
        <f t="shared" si="73"/>
        <v>1.000065</v>
      </c>
    </row>
    <row r="890" spans="1:16">
      <c r="B890" s="41"/>
      <c r="C890" s="61">
        <f t="shared" si="75"/>
        <v>44688</v>
      </c>
      <c r="E890" s="170"/>
      <c r="F890" s="121" t="str">
        <f>VLOOKUP(MOD(C890,7),'CALENDAR INFO'!$I$2:$J$8,2)</f>
        <v>SAT</v>
      </c>
      <c r="G890" s="214">
        <v>0.83</v>
      </c>
      <c r="H890" s="425">
        <v>0.78</v>
      </c>
      <c r="I890" s="457">
        <f t="shared" si="71"/>
        <v>-4.9999999999999933E-2</v>
      </c>
      <c r="J890" s="152"/>
      <c r="K890" s="152"/>
      <c r="L890" s="202"/>
      <c r="M890" s="113">
        <f t="shared" si="74"/>
        <v>0</v>
      </c>
      <c r="N890" s="64">
        <f t="shared" si="73"/>
        <v>1</v>
      </c>
    </row>
    <row r="891" spans="1:16">
      <c r="B891" s="41"/>
      <c r="C891" s="61">
        <f t="shared" si="75"/>
        <v>44689</v>
      </c>
      <c r="E891" s="170"/>
      <c r="F891" s="121" t="str">
        <f>VLOOKUP(MOD(C891,7),'CALENDAR INFO'!$I$2:$J$8,2)</f>
        <v>SUN</v>
      </c>
      <c r="G891" s="214">
        <v>0.83</v>
      </c>
      <c r="H891" s="425">
        <v>0.78</v>
      </c>
      <c r="I891" s="457">
        <f t="shared" si="71"/>
        <v>-4.9999999999999933E-2</v>
      </c>
      <c r="J891" s="152" t="s">
        <v>155</v>
      </c>
      <c r="K891" s="185">
        <f ca="1">SUM(INDIRECT(K888))</f>
        <v>0</v>
      </c>
      <c r="L891" s="179">
        <f ca="1">SUM(INDIRECT(L888))</f>
        <v>0</v>
      </c>
      <c r="M891" s="113">
        <f t="shared" si="74"/>
        <v>0</v>
      </c>
      <c r="N891" s="64">
        <f t="shared" si="73"/>
        <v>1</v>
      </c>
    </row>
    <row r="892" spans="1:16">
      <c r="B892" s="41"/>
      <c r="C892" s="61">
        <f t="shared" si="75"/>
        <v>44690</v>
      </c>
      <c r="E892" s="170"/>
      <c r="F892" s="121" t="str">
        <f>VLOOKUP(MOD(C892,7),'CALENDAR INFO'!$I$2:$J$8,2)</f>
        <v>MON</v>
      </c>
      <c r="G892" s="214">
        <v>0.83</v>
      </c>
      <c r="H892" s="425">
        <v>0.78</v>
      </c>
      <c r="I892" s="457">
        <f t="shared" si="71"/>
        <v>-4.9999999999999933E-2</v>
      </c>
      <c r="J892" s="152" t="s">
        <v>156</v>
      </c>
      <c r="K892" s="207">
        <f ca="1">SUM(INDIRECT(K889))</f>
        <v>0</v>
      </c>
      <c r="L892" s="208">
        <f ca="1">SUM(INDIRECT(L889))</f>
        <v>23.729999999999983</v>
      </c>
      <c r="M892" s="113">
        <f t="shared" si="74"/>
        <v>1</v>
      </c>
      <c r="N892" s="64">
        <f t="shared" si="73"/>
        <v>1.0000216666666666</v>
      </c>
    </row>
    <row r="893" spans="1:16">
      <c r="B893" s="41"/>
      <c r="C893" s="61">
        <f t="shared" si="75"/>
        <v>44691</v>
      </c>
      <c r="E893" s="170"/>
      <c r="F893" s="121" t="str">
        <f>VLOOKUP(MOD(C893,7),'CALENDAR INFO'!$I$2:$J$8,2)</f>
        <v>TUE</v>
      </c>
      <c r="G893" s="214">
        <v>0.83</v>
      </c>
      <c r="H893" s="425">
        <v>0.78</v>
      </c>
      <c r="I893" s="457">
        <f t="shared" si="71"/>
        <v>-4.9999999999999933E-2</v>
      </c>
      <c r="J893" s="152" t="s">
        <v>157</v>
      </c>
      <c r="K893" s="178">
        <f ca="1">K891+K892</f>
        <v>0</v>
      </c>
      <c r="L893" s="192">
        <f ca="1">L891+L892</f>
        <v>23.729999999999983</v>
      </c>
      <c r="M893" s="113">
        <f t="shared" si="74"/>
        <v>1</v>
      </c>
      <c r="N893" s="64">
        <f t="shared" si="73"/>
        <v>1.0000216666666666</v>
      </c>
    </row>
    <row r="894" spans="1:16">
      <c r="B894" s="41"/>
      <c r="C894" s="61">
        <f t="shared" si="75"/>
        <v>44692</v>
      </c>
      <c r="E894" s="170"/>
      <c r="F894" s="121" t="str">
        <f>VLOOKUP(MOD(C894,7),'CALENDAR INFO'!$I$2:$J$8,2)</f>
        <v>WED</v>
      </c>
      <c r="G894" s="214">
        <v>0.83</v>
      </c>
      <c r="H894" s="425">
        <v>0.78</v>
      </c>
      <c r="I894" s="457">
        <f t="shared" si="71"/>
        <v>-4.9999999999999933E-2</v>
      </c>
      <c r="J894" s="152"/>
      <c r="K894" s="178"/>
      <c r="L894" s="192"/>
      <c r="M894" s="113">
        <f t="shared" si="74"/>
        <v>1</v>
      </c>
      <c r="N894" s="64">
        <f t="shared" si="73"/>
        <v>1.0000216666666666</v>
      </c>
    </row>
    <row r="895" spans="1:16">
      <c r="B895" s="41"/>
      <c r="C895" s="61">
        <f t="shared" si="75"/>
        <v>44693</v>
      </c>
      <c r="E895" s="170"/>
      <c r="F895" s="121" t="str">
        <f>VLOOKUP(MOD(C895,7),'CALENDAR INFO'!$I$2:$J$8,2)</f>
        <v>THU</v>
      </c>
      <c r="G895" s="214">
        <v>0.83</v>
      </c>
      <c r="H895" s="425">
        <v>0.79</v>
      </c>
      <c r="I895" s="457">
        <f t="shared" si="71"/>
        <v>-3.9999999999999925E-2</v>
      </c>
      <c r="J895" s="152" t="s">
        <v>158</v>
      </c>
      <c r="K895" s="178">
        <f ca="1">K893/K884</f>
        <v>0</v>
      </c>
      <c r="L895" s="192">
        <f ca="1">L893/L884</f>
        <v>0.7654838709677414</v>
      </c>
      <c r="M895" s="113">
        <f t="shared" si="74"/>
        <v>1</v>
      </c>
      <c r="N895" s="64">
        <f t="shared" si="73"/>
        <v>1.0000219444444445</v>
      </c>
    </row>
    <row r="896" spans="1:16">
      <c r="B896" s="41"/>
      <c r="C896" s="61">
        <f t="shared" si="75"/>
        <v>44694</v>
      </c>
      <c r="E896" s="170"/>
      <c r="F896" s="121" t="str">
        <f>VLOOKUP(MOD(C896,7),'CALENDAR INFO'!$I$2:$J$8,2)</f>
        <v>FRI</v>
      </c>
      <c r="G896" s="214">
        <v>0.83</v>
      </c>
      <c r="H896" s="425">
        <v>0.79</v>
      </c>
      <c r="I896" s="457">
        <f t="shared" si="71"/>
        <v>-3.9999999999999925E-2</v>
      </c>
      <c r="J896" s="152" t="s">
        <v>159</v>
      </c>
      <c r="K896" s="180">
        <f ca="1">100-K895</f>
        <v>100</v>
      </c>
      <c r="L896" s="193">
        <f ca="1">100-L895</f>
        <v>99.234516129032258</v>
      </c>
      <c r="M896" s="113">
        <f t="shared" si="74"/>
        <v>3</v>
      </c>
      <c r="N896" s="64">
        <f t="shared" si="73"/>
        <v>1.0000658333333334</v>
      </c>
    </row>
    <row r="897" spans="2:16">
      <c r="B897" s="41"/>
      <c r="C897" s="61">
        <f t="shared" si="75"/>
        <v>44695</v>
      </c>
      <c r="E897" s="170"/>
      <c r="F897" s="121" t="str">
        <f>VLOOKUP(MOD(C897,7),'CALENDAR INFO'!$I$2:$J$8,2)</f>
        <v>SAT</v>
      </c>
      <c r="G897" s="214">
        <v>0.83</v>
      </c>
      <c r="H897" s="425">
        <v>0.79</v>
      </c>
      <c r="I897" s="457">
        <f t="shared" si="71"/>
        <v>-3.9999999999999925E-2</v>
      </c>
      <c r="J897" s="152"/>
      <c r="K897" s="178"/>
      <c r="L897" s="192"/>
      <c r="M897" s="113">
        <f t="shared" si="74"/>
        <v>0</v>
      </c>
      <c r="N897" s="64">
        <f t="shared" si="73"/>
        <v>1</v>
      </c>
    </row>
    <row r="898" spans="2:16">
      <c r="B898" s="41"/>
      <c r="C898" s="61">
        <f t="shared" si="75"/>
        <v>44696</v>
      </c>
      <c r="E898" s="170"/>
      <c r="F898" s="121" t="str">
        <f>VLOOKUP(MOD(C898,7),'CALENDAR INFO'!$I$2:$J$8,2)</f>
        <v>SUN</v>
      </c>
      <c r="G898" s="214">
        <v>0.83</v>
      </c>
      <c r="H898" s="425">
        <v>0.79</v>
      </c>
      <c r="I898" s="457">
        <f t="shared" si="71"/>
        <v>-3.9999999999999925E-2</v>
      </c>
      <c r="J898" s="152"/>
      <c r="K898" s="186"/>
      <c r="L898" s="194"/>
      <c r="M898" s="113">
        <f t="shared" si="74"/>
        <v>0</v>
      </c>
      <c r="N898" s="64">
        <f t="shared" si="73"/>
        <v>1</v>
      </c>
    </row>
    <row r="899" spans="2:16">
      <c r="B899" s="41"/>
      <c r="C899" s="61">
        <f t="shared" si="75"/>
        <v>44697</v>
      </c>
      <c r="E899" s="170"/>
      <c r="F899" s="121" t="str">
        <f>VLOOKUP(MOD(C899,7),'CALENDAR INFO'!$I$2:$J$8,2)</f>
        <v>MON</v>
      </c>
      <c r="G899" s="214">
        <v>0.83</v>
      </c>
      <c r="H899" s="425">
        <v>0.8</v>
      </c>
      <c r="I899" s="457">
        <f t="shared" ref="I899:I962" si="76">H899-G899</f>
        <v>-2.9999999999999916E-2</v>
      </c>
      <c r="J899" s="152"/>
      <c r="K899" s="152"/>
      <c r="L899" s="202"/>
      <c r="M899" s="113">
        <f t="shared" si="74"/>
        <v>1</v>
      </c>
      <c r="N899" s="64">
        <f t="shared" si="73"/>
        <v>1.0000222222222221</v>
      </c>
    </row>
    <row r="900" spans="2:16">
      <c r="B900" s="41"/>
      <c r="C900" s="61">
        <f t="shared" si="75"/>
        <v>44698</v>
      </c>
      <c r="E900" s="170"/>
      <c r="F900" s="121" t="str">
        <f>VLOOKUP(MOD(C900,7),'CALENDAR INFO'!$I$2:$J$8,2)</f>
        <v>TUE</v>
      </c>
      <c r="G900" s="214">
        <v>0.83</v>
      </c>
      <c r="H900" s="425">
        <v>0.8</v>
      </c>
      <c r="I900" s="457">
        <f t="shared" si="76"/>
        <v>-2.9999999999999916E-2</v>
      </c>
      <c r="J900" s="152"/>
      <c r="K900" s="152"/>
      <c r="L900" s="202"/>
      <c r="M900" s="113">
        <f t="shared" si="74"/>
        <v>1</v>
      </c>
      <c r="N900" s="64">
        <f t="shared" si="73"/>
        <v>1.0000222222222221</v>
      </c>
    </row>
    <row r="901" spans="2:16">
      <c r="B901" s="41"/>
      <c r="C901" s="61">
        <f t="shared" si="75"/>
        <v>44699</v>
      </c>
      <c r="E901" s="170" t="s">
        <v>19</v>
      </c>
      <c r="F901" s="121" t="str">
        <f>VLOOKUP(MOD(C901,7),'CALENDAR INFO'!$I$2:$J$8,2)</f>
        <v>WED</v>
      </c>
      <c r="G901" s="214">
        <v>0.83</v>
      </c>
      <c r="H901" s="425">
        <v>0.79</v>
      </c>
      <c r="I901" s="457">
        <f t="shared" si="76"/>
        <v>-3.9999999999999925E-2</v>
      </c>
      <c r="J901" s="152"/>
      <c r="K901" s="152"/>
      <c r="L901" s="202"/>
      <c r="M901" s="113">
        <f t="shared" si="74"/>
        <v>1</v>
      </c>
      <c r="N901" s="64">
        <f t="shared" si="73"/>
        <v>1.0000219444444445</v>
      </c>
    </row>
    <row r="902" spans="2:16">
      <c r="B902" s="41"/>
      <c r="C902" s="61">
        <f t="shared" si="75"/>
        <v>44700</v>
      </c>
      <c r="E902" s="167" t="s">
        <v>18</v>
      </c>
      <c r="F902" s="121" t="str">
        <f>VLOOKUP(MOD(C902,7),'CALENDAR INFO'!$I$2:$J$8,2)</f>
        <v>THU</v>
      </c>
      <c r="G902" s="214">
        <v>0.83</v>
      </c>
      <c r="H902" s="425">
        <v>0.79</v>
      </c>
      <c r="I902" s="457">
        <f t="shared" si="76"/>
        <v>-3.9999999999999925E-2</v>
      </c>
      <c r="J902" s="152"/>
      <c r="K902" s="152"/>
      <c r="L902" s="202"/>
      <c r="M902" s="113">
        <f t="shared" si="74"/>
        <v>1</v>
      </c>
      <c r="N902" s="64">
        <f t="shared" si="73"/>
        <v>1.0000219444444445</v>
      </c>
    </row>
    <row r="903" spans="2:16">
      <c r="B903" s="41"/>
      <c r="C903" s="61">
        <f t="shared" si="75"/>
        <v>44701</v>
      </c>
      <c r="E903" s="167"/>
      <c r="F903" s="121" t="str">
        <f>VLOOKUP(MOD(C903,7),'CALENDAR INFO'!$I$2:$J$8,2)</f>
        <v>FRI</v>
      </c>
      <c r="G903" s="214">
        <v>0.83</v>
      </c>
      <c r="H903" s="425">
        <v>0.78</v>
      </c>
      <c r="I903" s="457">
        <f t="shared" si="76"/>
        <v>-4.9999999999999933E-2</v>
      </c>
      <c r="J903" s="152"/>
      <c r="K903" s="152"/>
      <c r="L903" s="202"/>
      <c r="M903" s="113">
        <f t="shared" si="74"/>
        <v>3</v>
      </c>
      <c r="N903" s="64">
        <f t="shared" si="73"/>
        <v>1.000065</v>
      </c>
    </row>
    <row r="904" spans="2:16">
      <c r="B904" s="41"/>
      <c r="C904" s="61">
        <f t="shared" si="75"/>
        <v>44702</v>
      </c>
      <c r="E904" s="167"/>
      <c r="F904" s="121" t="str">
        <f>VLOOKUP(MOD(C904,7),'CALENDAR INFO'!$I$2:$J$8,2)</f>
        <v>SAT</v>
      </c>
      <c r="G904" s="214">
        <v>0.83</v>
      </c>
      <c r="H904" s="425">
        <v>0.78</v>
      </c>
      <c r="I904" s="457">
        <f t="shared" si="76"/>
        <v>-4.9999999999999933E-2</v>
      </c>
      <c r="J904" s="152"/>
      <c r="K904" s="152"/>
      <c r="L904" s="202"/>
      <c r="M904" s="113">
        <f t="shared" si="74"/>
        <v>0</v>
      </c>
      <c r="N904" s="64">
        <f t="shared" si="73"/>
        <v>1</v>
      </c>
    </row>
    <row r="905" spans="2:16">
      <c r="B905" s="41"/>
      <c r="C905" s="61">
        <f t="shared" si="75"/>
        <v>44703</v>
      </c>
      <c r="E905" s="167"/>
      <c r="F905" s="121" t="str">
        <f>VLOOKUP(MOD(C905,7),'CALENDAR INFO'!$I$2:$J$8,2)</f>
        <v>SUN</v>
      </c>
      <c r="G905" s="214">
        <v>0.83</v>
      </c>
      <c r="H905" s="425">
        <v>0.78</v>
      </c>
      <c r="I905" s="457">
        <f t="shared" si="76"/>
        <v>-4.9999999999999933E-2</v>
      </c>
      <c r="J905" s="152"/>
      <c r="K905" s="152"/>
      <c r="L905" s="202"/>
      <c r="M905" s="113">
        <f t="shared" si="74"/>
        <v>0</v>
      </c>
      <c r="N905" s="64">
        <f t="shared" si="73"/>
        <v>1</v>
      </c>
    </row>
    <row r="906" spans="2:16">
      <c r="B906" s="41"/>
      <c r="C906" s="61">
        <f t="shared" si="75"/>
        <v>44704</v>
      </c>
      <c r="E906" s="167"/>
      <c r="F906" s="121" t="str">
        <f>VLOOKUP(MOD(C906,7),'CALENDAR INFO'!$I$2:$J$8,2)</f>
        <v>MON</v>
      </c>
      <c r="G906" s="214">
        <v>0.83</v>
      </c>
      <c r="H906" s="425">
        <v>0.78</v>
      </c>
      <c r="I906" s="457">
        <f t="shared" si="76"/>
        <v>-4.9999999999999933E-2</v>
      </c>
      <c r="J906" s="152"/>
      <c r="K906" s="152"/>
      <c r="L906" s="202"/>
      <c r="M906" s="113">
        <f t="shared" si="74"/>
        <v>1</v>
      </c>
      <c r="N906" s="64">
        <f t="shared" si="73"/>
        <v>1.0000216666666666</v>
      </c>
    </row>
    <row r="907" spans="2:16">
      <c r="B907" s="41"/>
      <c r="C907" s="61">
        <f t="shared" si="75"/>
        <v>44705</v>
      </c>
      <c r="E907" s="167"/>
      <c r="F907" s="121" t="str">
        <f>VLOOKUP(MOD(C907,7),'CALENDAR INFO'!$I$2:$J$8,2)</f>
        <v>TUE</v>
      </c>
      <c r="G907" s="214">
        <v>0.83</v>
      </c>
      <c r="H907" s="425">
        <v>0.78</v>
      </c>
      <c r="I907" s="457">
        <f t="shared" si="76"/>
        <v>-4.9999999999999933E-2</v>
      </c>
      <c r="J907" s="152"/>
      <c r="K907" s="152"/>
      <c r="L907" s="202"/>
      <c r="M907" s="113">
        <f t="shared" si="74"/>
        <v>1</v>
      </c>
      <c r="N907" s="64">
        <f t="shared" si="73"/>
        <v>1.0000216666666666</v>
      </c>
    </row>
    <row r="908" spans="2:16">
      <c r="B908" s="41"/>
      <c r="C908" s="61">
        <f t="shared" si="75"/>
        <v>44706</v>
      </c>
      <c r="E908" s="167"/>
      <c r="F908" s="121" t="str">
        <f>VLOOKUP(MOD(C908,7),'CALENDAR INFO'!$I$2:$J$8,2)</f>
        <v>WED</v>
      </c>
      <c r="G908" s="214">
        <v>0.83</v>
      </c>
      <c r="H908" s="425">
        <v>0.78</v>
      </c>
      <c r="I908" s="457">
        <f t="shared" si="76"/>
        <v>-4.9999999999999933E-2</v>
      </c>
      <c r="J908" s="152"/>
      <c r="K908" s="152"/>
      <c r="L908" s="202"/>
      <c r="M908" s="113">
        <f t="shared" si="74"/>
        <v>1</v>
      </c>
      <c r="N908" s="64">
        <f t="shared" si="73"/>
        <v>1.0000216666666666</v>
      </c>
    </row>
    <row r="909" spans="2:16">
      <c r="B909" s="41"/>
      <c r="C909" s="61">
        <f t="shared" si="75"/>
        <v>44707</v>
      </c>
      <c r="E909" s="167"/>
      <c r="F909" s="121" t="str">
        <f>VLOOKUP(MOD(C909,7),'CALENDAR INFO'!$I$2:$J$8,2)</f>
        <v>THU</v>
      </c>
      <c r="G909" s="214">
        <v>0.83</v>
      </c>
      <c r="H909" s="425">
        <v>0.78</v>
      </c>
      <c r="I909" s="457">
        <f t="shared" si="76"/>
        <v>-4.9999999999999933E-2</v>
      </c>
      <c r="J909" s="152"/>
      <c r="K909" s="182"/>
      <c r="L909" s="201"/>
      <c r="M909" s="113">
        <f t="shared" si="74"/>
        <v>1</v>
      </c>
      <c r="N909" s="64">
        <f t="shared" si="73"/>
        <v>1.0000216666666666</v>
      </c>
    </row>
    <row r="910" spans="2:16">
      <c r="B910" s="41"/>
      <c r="C910" s="61">
        <f t="shared" si="75"/>
        <v>44708</v>
      </c>
      <c r="E910" s="167"/>
      <c r="F910" s="121" t="str">
        <f>VLOOKUP(MOD(C910,7),'CALENDAR INFO'!$I$2:$J$8,2)</f>
        <v>FRI</v>
      </c>
      <c r="G910" s="214">
        <v>0.83</v>
      </c>
      <c r="H910" s="425">
        <v>0.78</v>
      </c>
      <c r="I910" s="457">
        <f t="shared" si="76"/>
        <v>-4.9999999999999933E-2</v>
      </c>
      <c r="J910" s="152"/>
      <c r="K910" s="152"/>
      <c r="L910" s="202"/>
      <c r="M910" s="117">
        <v>4</v>
      </c>
      <c r="N910" s="64">
        <f t="shared" si="73"/>
        <v>1.0000866666666666</v>
      </c>
      <c r="O910" s="89" t="s">
        <v>93</v>
      </c>
      <c r="P910" s="90"/>
    </row>
    <row r="911" spans="2:16">
      <c r="B911" s="41"/>
      <c r="C911" s="61">
        <f t="shared" si="75"/>
        <v>44709</v>
      </c>
      <c r="E911" s="167"/>
      <c r="F911" s="121" t="str">
        <f>VLOOKUP(MOD(C911,7),'CALENDAR INFO'!$I$2:$J$8,2)</f>
        <v>SAT</v>
      </c>
      <c r="G911" s="214">
        <v>0.83</v>
      </c>
      <c r="H911" s="425">
        <v>0.78</v>
      </c>
      <c r="I911" s="457">
        <f t="shared" si="76"/>
        <v>-4.9999999999999933E-2</v>
      </c>
      <c r="J911" s="152"/>
      <c r="K911" s="182"/>
      <c r="L911" s="201"/>
      <c r="M911" s="113">
        <f>IF(MOD(C911,7)&lt;2,0,IF(MOD(C911,7)=6,3,1))</f>
        <v>0</v>
      </c>
      <c r="N911" s="64">
        <f t="shared" si="73"/>
        <v>1</v>
      </c>
      <c r="O911" s="89" t="s">
        <v>26</v>
      </c>
      <c r="P911" s="135"/>
    </row>
    <row r="912" spans="2:16">
      <c r="B912" s="41"/>
      <c r="C912" s="61">
        <f t="shared" si="75"/>
        <v>44710</v>
      </c>
      <c r="E912" s="167"/>
      <c r="F912" s="121" t="str">
        <f>VLOOKUP(MOD(C912,7),'CALENDAR INFO'!$I$2:$J$8,2)</f>
        <v>SUN</v>
      </c>
      <c r="G912" s="214">
        <v>0.83</v>
      </c>
      <c r="H912" s="425">
        <v>0.78</v>
      </c>
      <c r="I912" s="457">
        <f t="shared" si="76"/>
        <v>-4.9999999999999933E-2</v>
      </c>
      <c r="J912" s="152"/>
      <c r="K912" s="190"/>
      <c r="L912" s="203"/>
      <c r="M912" s="113">
        <f>IF(MOD(C912,7)&lt;2,0,IF(MOD(C912,7)=6,3,1))</f>
        <v>0</v>
      </c>
      <c r="N912" s="64">
        <f t="shared" si="73"/>
        <v>1</v>
      </c>
      <c r="O912" s="89" t="s">
        <v>76</v>
      </c>
      <c r="P912" s="135"/>
    </row>
    <row r="913" spans="1:16">
      <c r="B913" s="41"/>
      <c r="C913" s="61">
        <f t="shared" si="75"/>
        <v>44711</v>
      </c>
      <c r="D913" s="173" t="s">
        <v>40</v>
      </c>
      <c r="E913" s="167"/>
      <c r="F913" s="121" t="str">
        <f>VLOOKUP(MOD(C913,7),'CALENDAR INFO'!$I$2:$J$8,2)</f>
        <v>MON</v>
      </c>
      <c r="G913" s="214">
        <v>0.83</v>
      </c>
      <c r="H913" s="425">
        <v>0.78</v>
      </c>
      <c r="I913" s="457">
        <f t="shared" si="76"/>
        <v>-4.9999999999999933E-2</v>
      </c>
      <c r="J913" s="152"/>
      <c r="K913" s="182"/>
      <c r="L913" s="201"/>
      <c r="M913" s="117">
        <v>0</v>
      </c>
      <c r="N913" s="64">
        <f t="shared" si="73"/>
        <v>1</v>
      </c>
    </row>
    <row r="914" spans="1:16" ht="15.75" thickBot="1">
      <c r="A914" s="98"/>
      <c r="B914" s="230"/>
      <c r="C914" s="75">
        <f t="shared" si="75"/>
        <v>44712</v>
      </c>
      <c r="D914" s="112"/>
      <c r="E914" s="92"/>
      <c r="F914" s="138" t="str">
        <f>VLOOKUP(MOD(C914,7),'CALENDAR INFO'!$I$2:$J$8,2)</f>
        <v>TUE</v>
      </c>
      <c r="G914" s="215">
        <v>0.83</v>
      </c>
      <c r="H914" s="426">
        <v>0.79</v>
      </c>
      <c r="I914" s="458">
        <f t="shared" si="76"/>
        <v>-3.9999999999999925E-2</v>
      </c>
      <c r="J914" s="437"/>
      <c r="K914" s="184"/>
      <c r="L914" s="205"/>
      <c r="M914" s="113">
        <f t="shared" ref="M914:M930" si="77">IF(MOD(C914,7)&lt;2,0,IF(MOD(C914,7)=6,3,1))</f>
        <v>1</v>
      </c>
      <c r="N914" s="77">
        <f t="shared" si="73"/>
        <v>1.0000219444444445</v>
      </c>
    </row>
    <row r="915" spans="1:16">
      <c r="B915" s="41"/>
      <c r="C915" s="61">
        <f t="shared" si="75"/>
        <v>44713</v>
      </c>
      <c r="E915" s="167" t="s">
        <v>19</v>
      </c>
      <c r="F915" s="121" t="str">
        <f>VLOOKUP(MOD(C915,7),'CALENDAR INFO'!$I$2:$J$8,2)</f>
        <v>WED</v>
      </c>
      <c r="G915" s="214">
        <v>0.83</v>
      </c>
      <c r="H915" s="425">
        <v>0.8</v>
      </c>
      <c r="I915" s="457">
        <f t="shared" si="76"/>
        <v>-2.9999999999999916E-2</v>
      </c>
      <c r="J915" s="436" t="s">
        <v>118</v>
      </c>
      <c r="K915" s="15">
        <f>VLOOKUP(MONTH($C915),'CALENDAR INFO'!$I$12:$J$23,2)</f>
        <v>30</v>
      </c>
      <c r="L915" s="179">
        <f>K915</f>
        <v>30</v>
      </c>
      <c r="M915" s="116">
        <f t="shared" si="77"/>
        <v>1</v>
      </c>
      <c r="N915" s="111">
        <f t="shared" ref="N915:N978" si="78">1+(M915/360)*(MAX(H915,B915)/100)</f>
        <v>1.0000222222222221</v>
      </c>
    </row>
    <row r="916" spans="1:16">
      <c r="B916" s="41"/>
      <c r="C916" s="61">
        <f t="shared" si="75"/>
        <v>44714</v>
      </c>
      <c r="E916" s="170" t="s">
        <v>18</v>
      </c>
      <c r="F916" s="121" t="str">
        <f>VLOOKUP(MOD(C916,7),'CALENDAR INFO'!$I$2:$J$8,2)</f>
        <v>THU</v>
      </c>
      <c r="G916" s="214">
        <v>0.83</v>
      </c>
      <c r="H916" s="425">
        <v>0.79</v>
      </c>
      <c r="I916" s="457">
        <f t="shared" si="76"/>
        <v>-3.9999999999999925E-2</v>
      </c>
      <c r="J916" s="152" t="s">
        <v>151</v>
      </c>
      <c r="K916" s="15">
        <f>ROW($C916)-1</f>
        <v>915</v>
      </c>
      <c r="L916" s="179">
        <f>K916</f>
        <v>915</v>
      </c>
      <c r="M916" s="113">
        <f t="shared" si="77"/>
        <v>1</v>
      </c>
      <c r="N916" s="64">
        <f t="shared" si="78"/>
        <v>1.0000219444444445</v>
      </c>
    </row>
    <row r="917" spans="1:16">
      <c r="B917" s="41"/>
      <c r="C917" s="61">
        <f t="shared" si="75"/>
        <v>44715</v>
      </c>
      <c r="E917" s="170"/>
      <c r="F917" s="121" t="str">
        <f>VLOOKUP(MOD(C917,7),'CALENDAR INFO'!$I$2:$J$8,2)</f>
        <v>FRI</v>
      </c>
      <c r="G917" s="214">
        <v>0.83</v>
      </c>
      <c r="H917" s="425">
        <v>0.78</v>
      </c>
      <c r="I917" s="457">
        <f t="shared" si="76"/>
        <v>-4.9999999999999933E-2</v>
      </c>
      <c r="J917" s="152" t="s">
        <v>152</v>
      </c>
      <c r="K917" s="15">
        <f>K915+K916-1</f>
        <v>944</v>
      </c>
      <c r="L917" s="200">
        <f>K917</f>
        <v>944</v>
      </c>
      <c r="M917" s="113">
        <f t="shared" si="77"/>
        <v>3</v>
      </c>
      <c r="N917" s="64">
        <f t="shared" si="78"/>
        <v>1.000065</v>
      </c>
    </row>
    <row r="918" spans="1:16">
      <c r="B918" s="41"/>
      <c r="C918" s="61">
        <f t="shared" si="75"/>
        <v>44716</v>
      </c>
      <c r="E918" s="170"/>
      <c r="F918" s="121" t="str">
        <f>VLOOKUP(MOD(C918,7),'CALENDAR INFO'!$I$2:$J$8,2)</f>
        <v>SAT</v>
      </c>
      <c r="G918" s="214">
        <v>0.83</v>
      </c>
      <c r="H918" s="425">
        <v>0.78</v>
      </c>
      <c r="I918" s="457">
        <f t="shared" si="76"/>
        <v>-4.9999999999999933E-2</v>
      </c>
      <c r="J918" s="152"/>
      <c r="K918" s="182"/>
      <c r="L918" s="201"/>
      <c r="M918" s="113">
        <f t="shared" si="77"/>
        <v>0</v>
      </c>
      <c r="N918" s="64">
        <f t="shared" si="78"/>
        <v>1</v>
      </c>
    </row>
    <row r="919" spans="1:16">
      <c r="B919" s="41"/>
      <c r="C919" s="61">
        <f t="shared" si="75"/>
        <v>44717</v>
      </c>
      <c r="E919" s="170"/>
      <c r="F919" s="121" t="str">
        <f>VLOOKUP(MOD(C919,7),'CALENDAR INFO'!$I$2:$J$8,2)</f>
        <v>SUN</v>
      </c>
      <c r="G919" s="214">
        <v>0.83</v>
      </c>
      <c r="H919" s="425">
        <v>0.78</v>
      </c>
      <c r="I919" s="457">
        <f t="shared" si="76"/>
        <v>-4.9999999999999933E-2</v>
      </c>
      <c r="J919" s="152" t="s">
        <v>153</v>
      </c>
      <c r="K919" s="182" t="str">
        <f>_xlfn.CONCAT("A",TEXT(K916,0),":","A",TEXT(K917,0))</f>
        <v>A915:A944</v>
      </c>
      <c r="L919" s="201" t="str">
        <f>_xlfn.CONCAT("B",TEXT(L916,0),":","B",TEXT(L917,0))</f>
        <v>B915:B944</v>
      </c>
      <c r="M919" s="113">
        <f t="shared" si="77"/>
        <v>0</v>
      </c>
      <c r="N919" s="64">
        <f t="shared" si="78"/>
        <v>1</v>
      </c>
    </row>
    <row r="920" spans="1:16">
      <c r="B920" s="41"/>
      <c r="C920" s="61">
        <f t="shared" si="75"/>
        <v>44718</v>
      </c>
      <c r="E920" s="170"/>
      <c r="F920" s="121" t="str">
        <f>VLOOKUP(MOD(C920,7),'CALENDAR INFO'!$I$2:$J$8,2)</f>
        <v>MON</v>
      </c>
      <c r="G920" s="214">
        <v>0.83</v>
      </c>
      <c r="H920" s="425">
        <v>0.78</v>
      </c>
      <c r="I920" s="457">
        <f t="shared" si="76"/>
        <v>-4.9999999999999933E-2</v>
      </c>
      <c r="J920" s="152" t="s">
        <v>154</v>
      </c>
      <c r="K920" s="182" t="str">
        <f>_xlfn.CONCAT("F",TEXT(K916,0),":","F",TEXT(K917,0))</f>
        <v>F915:F944</v>
      </c>
      <c r="L920" s="201" t="str">
        <f>_xlfn.CONCAT("G",TEXT(L916,0),":","G",TEXT(L917,0))</f>
        <v>G915:G944</v>
      </c>
      <c r="M920" s="113">
        <f t="shared" si="77"/>
        <v>1</v>
      </c>
      <c r="N920" s="64">
        <f t="shared" si="78"/>
        <v>1.0000216666666666</v>
      </c>
    </row>
    <row r="921" spans="1:16">
      <c r="B921" s="41"/>
      <c r="C921" s="61">
        <f t="shared" si="75"/>
        <v>44719</v>
      </c>
      <c r="E921" s="170"/>
      <c r="F921" s="121" t="str">
        <f>VLOOKUP(MOD(C921,7),'CALENDAR INFO'!$I$2:$J$8,2)</f>
        <v>TUE</v>
      </c>
      <c r="G921" s="214">
        <v>0.83</v>
      </c>
      <c r="H921" s="425">
        <v>0.77</v>
      </c>
      <c r="I921" s="457">
        <f t="shared" si="76"/>
        <v>-5.9999999999999942E-2</v>
      </c>
      <c r="J921" s="152"/>
      <c r="K921" s="152"/>
      <c r="L921" s="202"/>
      <c r="M921" s="113">
        <f t="shared" si="77"/>
        <v>1</v>
      </c>
      <c r="N921" s="64">
        <f t="shared" si="78"/>
        <v>1.0000213888888889</v>
      </c>
    </row>
    <row r="922" spans="1:16">
      <c r="B922" s="41"/>
      <c r="C922" s="61">
        <f t="shared" si="75"/>
        <v>44720</v>
      </c>
      <c r="E922" s="170"/>
      <c r="F922" s="121" t="str">
        <f>VLOOKUP(MOD(C922,7),'CALENDAR INFO'!$I$2:$J$8,2)</f>
        <v>WED</v>
      </c>
      <c r="G922" s="214">
        <v>0.83</v>
      </c>
      <c r="H922" s="425">
        <v>0.76</v>
      </c>
      <c r="I922" s="457">
        <f t="shared" si="76"/>
        <v>-6.9999999999999951E-2</v>
      </c>
      <c r="J922" s="152" t="s">
        <v>155</v>
      </c>
      <c r="K922" s="185">
        <f ca="1">SUM(INDIRECT(K919))</f>
        <v>0</v>
      </c>
      <c r="L922" s="93">
        <f ca="1">SUM(INDIRECT(L919))</f>
        <v>0</v>
      </c>
      <c r="M922" s="113">
        <f t="shared" si="77"/>
        <v>1</v>
      </c>
      <c r="N922" s="64">
        <f t="shared" si="78"/>
        <v>1.000021111111111</v>
      </c>
    </row>
    <row r="923" spans="1:16">
      <c r="B923" s="41"/>
      <c r="C923" s="61">
        <f t="shared" si="75"/>
        <v>44721</v>
      </c>
      <c r="E923" s="170"/>
      <c r="F923" s="121" t="str">
        <f>VLOOKUP(MOD(C923,7),'CALENDAR INFO'!$I$2:$J$8,2)</f>
        <v>THU</v>
      </c>
      <c r="G923" s="214">
        <v>0.83</v>
      </c>
      <c r="H923" s="425">
        <v>0.75</v>
      </c>
      <c r="I923" s="457">
        <f t="shared" si="76"/>
        <v>-7.999999999999996E-2</v>
      </c>
      <c r="J923" s="152" t="s">
        <v>156</v>
      </c>
      <c r="K923" s="207">
        <f ca="1">SUM(INDIRECT(K920))</f>
        <v>0</v>
      </c>
      <c r="L923" s="208">
        <f ca="1">SUM(INDIRECT(L920))</f>
        <v>36.149999999999977</v>
      </c>
      <c r="M923" s="113">
        <f t="shared" si="77"/>
        <v>1</v>
      </c>
      <c r="N923" s="64">
        <f t="shared" si="78"/>
        <v>1.0000208333333334</v>
      </c>
    </row>
    <row r="924" spans="1:16">
      <c r="B924" s="41"/>
      <c r="C924" s="61">
        <f t="shared" si="75"/>
        <v>44722</v>
      </c>
      <c r="E924" s="170"/>
      <c r="F924" s="121" t="str">
        <f>VLOOKUP(MOD(C924,7),'CALENDAR INFO'!$I$2:$J$8,2)</f>
        <v>FRI</v>
      </c>
      <c r="G924" s="214">
        <v>0.83</v>
      </c>
      <c r="H924" s="425">
        <v>0.75</v>
      </c>
      <c r="I924" s="457">
        <f t="shared" si="76"/>
        <v>-7.999999999999996E-2</v>
      </c>
      <c r="J924" s="152" t="s">
        <v>157</v>
      </c>
      <c r="K924" s="178">
        <f ca="1">K922+K923</f>
        <v>0</v>
      </c>
      <c r="L924" s="192">
        <f ca="1">L922+L923</f>
        <v>36.149999999999977</v>
      </c>
      <c r="M924" s="113">
        <f t="shared" si="77"/>
        <v>3</v>
      </c>
      <c r="N924" s="64">
        <f t="shared" si="78"/>
        <v>1.0000625000000001</v>
      </c>
    </row>
    <row r="925" spans="1:16">
      <c r="B925" s="41"/>
      <c r="C925" s="61">
        <f t="shared" si="75"/>
        <v>44723</v>
      </c>
      <c r="E925" s="170"/>
      <c r="F925" s="121" t="str">
        <f>VLOOKUP(MOD(C925,7),'CALENDAR INFO'!$I$2:$J$8,2)</f>
        <v>SAT</v>
      </c>
      <c r="G925" s="214">
        <v>0.83</v>
      </c>
      <c r="H925" s="425">
        <v>0.75</v>
      </c>
      <c r="I925" s="457">
        <f t="shared" si="76"/>
        <v>-7.999999999999996E-2</v>
      </c>
      <c r="J925" s="152"/>
      <c r="K925" s="178"/>
      <c r="L925" s="192"/>
      <c r="M925" s="113">
        <f t="shared" si="77"/>
        <v>0</v>
      </c>
      <c r="N925" s="64">
        <f t="shared" si="78"/>
        <v>1</v>
      </c>
      <c r="O925" s="89" t="s">
        <v>93</v>
      </c>
      <c r="P925" s="90"/>
    </row>
    <row r="926" spans="1:16">
      <c r="B926" s="41"/>
      <c r="C926" s="61">
        <f t="shared" si="75"/>
        <v>44724</v>
      </c>
      <c r="E926" s="170"/>
      <c r="F926" s="121" t="str">
        <f>VLOOKUP(MOD(C926,7),'CALENDAR INFO'!$I$2:$J$8,2)</f>
        <v>SUN</v>
      </c>
      <c r="G926" s="214">
        <v>0.83</v>
      </c>
      <c r="H926" s="425">
        <v>0.75</v>
      </c>
      <c r="I926" s="457">
        <f t="shared" si="76"/>
        <v>-7.999999999999996E-2</v>
      </c>
      <c r="J926" s="152" t="s">
        <v>158</v>
      </c>
      <c r="K926" s="178">
        <f ca="1">K924/K915</f>
        <v>0</v>
      </c>
      <c r="L926" s="192">
        <f ca="1">L924/L915</f>
        <v>1.2049999999999992</v>
      </c>
      <c r="M926" s="113">
        <f t="shared" si="77"/>
        <v>0</v>
      </c>
      <c r="N926" s="64">
        <f t="shared" si="78"/>
        <v>1</v>
      </c>
      <c r="O926" s="89" t="s">
        <v>77</v>
      </c>
      <c r="P926" s="135"/>
    </row>
    <row r="927" spans="1:16">
      <c r="B927" s="41"/>
      <c r="C927" s="61">
        <f t="shared" si="75"/>
        <v>44725</v>
      </c>
      <c r="E927" s="170"/>
      <c r="F927" s="121" t="str">
        <f>VLOOKUP(MOD(C927,7),'CALENDAR INFO'!$I$2:$J$8,2)</f>
        <v>MON</v>
      </c>
      <c r="G927" s="214">
        <v>0.83</v>
      </c>
      <c r="H927" s="425">
        <v>0.73</v>
      </c>
      <c r="I927" s="457">
        <f t="shared" si="76"/>
        <v>-9.9999999999999978E-2</v>
      </c>
      <c r="J927" s="152" t="s">
        <v>159</v>
      </c>
      <c r="K927" s="180">
        <f ca="1">100-K926</f>
        <v>100</v>
      </c>
      <c r="L927" s="193">
        <f ca="1">100-L926</f>
        <v>98.795000000000002</v>
      </c>
      <c r="M927" s="113">
        <f t="shared" si="77"/>
        <v>1</v>
      </c>
      <c r="N927" s="64">
        <f t="shared" si="78"/>
        <v>1.0000202777777778</v>
      </c>
    </row>
    <row r="928" spans="1:16">
      <c r="B928" s="41"/>
      <c r="C928" s="61">
        <f t="shared" si="75"/>
        <v>44726</v>
      </c>
      <c r="D928" s="153" t="s">
        <v>20</v>
      </c>
      <c r="E928" s="170"/>
      <c r="F928" s="121" t="str">
        <f>VLOOKUP(MOD(C928,7),'CALENDAR INFO'!$I$2:$J$8,2)</f>
        <v>TUE</v>
      </c>
      <c r="G928" s="214">
        <v>0.83</v>
      </c>
      <c r="H928" s="425">
        <v>0.69</v>
      </c>
      <c r="I928" s="457">
        <f t="shared" si="76"/>
        <v>-0.14000000000000001</v>
      </c>
      <c r="J928" s="152"/>
      <c r="K928" s="178"/>
      <c r="L928" s="192"/>
      <c r="M928" s="113">
        <f t="shared" si="77"/>
        <v>1</v>
      </c>
      <c r="N928" s="64">
        <f t="shared" si="78"/>
        <v>1.0000191666666667</v>
      </c>
    </row>
    <row r="929" spans="1:16">
      <c r="B929" s="234"/>
      <c r="C929" s="61">
        <f t="shared" si="75"/>
        <v>44727</v>
      </c>
      <c r="D929" s="153" t="s">
        <v>20</v>
      </c>
      <c r="E929" s="170" t="s">
        <v>19</v>
      </c>
      <c r="F929" s="121" t="str">
        <f>VLOOKUP(MOD(C929,7),'CALENDAR INFO'!$I$2:$J$8,2)</f>
        <v>WED</v>
      </c>
      <c r="G929" s="214">
        <v>0.83</v>
      </c>
      <c r="H929" s="425">
        <v>0.7</v>
      </c>
      <c r="I929" s="457">
        <f t="shared" si="76"/>
        <v>-0.13</v>
      </c>
      <c r="J929" s="152"/>
      <c r="K929" s="186"/>
      <c r="L929" s="194"/>
      <c r="M929" s="113">
        <f t="shared" si="77"/>
        <v>1</v>
      </c>
      <c r="N929" s="64">
        <f t="shared" si="78"/>
        <v>1.0000194444444443</v>
      </c>
    </row>
    <row r="930" spans="1:16">
      <c r="A930" s="42"/>
      <c r="B930" s="41"/>
      <c r="C930" s="61">
        <f t="shared" si="75"/>
        <v>44728</v>
      </c>
      <c r="E930" s="167" t="s">
        <v>18</v>
      </c>
      <c r="F930" s="121" t="str">
        <f>VLOOKUP(MOD(C930,7),'CALENDAR INFO'!$I$2:$J$8,2)</f>
        <v>THU</v>
      </c>
      <c r="G930" s="220">
        <v>1.58</v>
      </c>
      <c r="H930" s="432">
        <v>1.45</v>
      </c>
      <c r="I930" s="457">
        <f t="shared" si="76"/>
        <v>-0.13000000000000012</v>
      </c>
      <c r="J930" s="152"/>
      <c r="K930" s="152"/>
      <c r="L930" s="202"/>
      <c r="M930" s="113">
        <f t="shared" si="77"/>
        <v>1</v>
      </c>
      <c r="N930" s="64">
        <f t="shared" si="78"/>
        <v>1.0000402777777777</v>
      </c>
    </row>
    <row r="931" spans="1:16">
      <c r="B931" s="41"/>
      <c r="C931" s="61">
        <f t="shared" si="75"/>
        <v>44729</v>
      </c>
      <c r="E931" s="167"/>
      <c r="F931" s="121" t="str">
        <f>VLOOKUP(MOD(C931,7),'CALENDAR INFO'!$I$2:$J$8,2)</f>
        <v>FRI</v>
      </c>
      <c r="G931" s="214">
        <v>1.58</v>
      </c>
      <c r="H931" s="425">
        <v>1.45</v>
      </c>
      <c r="I931" s="457">
        <f t="shared" si="76"/>
        <v>-0.13000000000000012</v>
      </c>
      <c r="J931" s="152"/>
      <c r="K931" s="152"/>
      <c r="L931" s="202"/>
      <c r="M931" s="117">
        <v>4</v>
      </c>
      <c r="N931" s="64">
        <f t="shared" si="78"/>
        <v>1.0001611111111111</v>
      </c>
    </row>
    <row r="932" spans="1:16">
      <c r="B932" s="41"/>
      <c r="C932" s="61">
        <f t="shared" si="75"/>
        <v>44730</v>
      </c>
      <c r="E932" s="167"/>
      <c r="F932" s="121" t="str">
        <f>VLOOKUP(MOD(C932,7),'CALENDAR INFO'!$I$2:$J$8,2)</f>
        <v>SAT</v>
      </c>
      <c r="G932" s="214">
        <v>1.58</v>
      </c>
      <c r="H932" s="425">
        <v>1.45</v>
      </c>
      <c r="I932" s="457">
        <f t="shared" si="76"/>
        <v>-0.13000000000000012</v>
      </c>
      <c r="J932" s="152"/>
      <c r="K932" s="152"/>
      <c r="L932" s="202"/>
      <c r="M932" s="113">
        <f>IF(MOD(C932,7)&lt;2,0,IF(MOD(C932,7)=6,3,1))</f>
        <v>0</v>
      </c>
      <c r="N932" s="64">
        <f t="shared" si="78"/>
        <v>1</v>
      </c>
    </row>
    <row r="933" spans="1:16">
      <c r="B933" s="41"/>
      <c r="C933" s="61">
        <f t="shared" si="75"/>
        <v>44731</v>
      </c>
      <c r="E933" s="167"/>
      <c r="F933" s="121" t="str">
        <f>VLOOKUP(MOD(C933,7),'CALENDAR INFO'!$I$2:$J$8,2)</f>
        <v>SUN</v>
      </c>
      <c r="G933" s="214">
        <v>1.58</v>
      </c>
      <c r="H933" s="425">
        <v>1.45</v>
      </c>
      <c r="I933" s="457">
        <f t="shared" si="76"/>
        <v>-0.13000000000000012</v>
      </c>
      <c r="J933" s="152"/>
      <c r="K933" s="152"/>
      <c r="L933" s="202"/>
      <c r="M933" s="113">
        <f>IF(MOD(C933,7)&lt;2,0,IF(MOD(C933,7)=6,3,1))</f>
        <v>0</v>
      </c>
      <c r="N933" s="64">
        <f t="shared" si="78"/>
        <v>1</v>
      </c>
    </row>
    <row r="934" spans="1:16">
      <c r="B934" s="41"/>
      <c r="C934" s="61">
        <f t="shared" si="75"/>
        <v>44732</v>
      </c>
      <c r="D934" s="173" t="s">
        <v>127</v>
      </c>
      <c r="E934" s="167"/>
      <c r="F934" s="121" t="str">
        <f>VLOOKUP(MOD(C934,7),'CALENDAR INFO'!$I$2:$J$8,2)</f>
        <v>MON</v>
      </c>
      <c r="G934" s="214">
        <v>1.58</v>
      </c>
      <c r="H934" s="425">
        <v>1.45</v>
      </c>
      <c r="I934" s="457">
        <f t="shared" si="76"/>
        <v>-0.13000000000000012</v>
      </c>
      <c r="J934" s="152"/>
      <c r="K934" s="152"/>
      <c r="L934" s="202"/>
      <c r="M934" s="117">
        <v>0</v>
      </c>
      <c r="N934" s="64">
        <f t="shared" si="78"/>
        <v>1</v>
      </c>
    </row>
    <row r="935" spans="1:16">
      <c r="B935" s="41"/>
      <c r="C935" s="61">
        <f t="shared" si="75"/>
        <v>44733</v>
      </c>
      <c r="E935" s="167"/>
      <c r="F935" s="121" t="str">
        <f>VLOOKUP(MOD(C935,7),'CALENDAR INFO'!$I$2:$J$8,2)</f>
        <v>TUE</v>
      </c>
      <c r="G935" s="214">
        <v>1.58</v>
      </c>
      <c r="H935" s="425">
        <v>1.45</v>
      </c>
      <c r="I935" s="457">
        <f t="shared" si="76"/>
        <v>-0.13000000000000012</v>
      </c>
      <c r="J935" s="152"/>
      <c r="K935" s="152"/>
      <c r="L935" s="202"/>
      <c r="M935" s="113">
        <f t="shared" ref="M935:M944" si="79">IF(MOD(C935,7)&lt;2,0,IF(MOD(C935,7)=6,3,1))</f>
        <v>1</v>
      </c>
      <c r="N935" s="64">
        <f t="shared" si="78"/>
        <v>1.0000402777777777</v>
      </c>
    </row>
    <row r="936" spans="1:16">
      <c r="B936" s="41"/>
      <c r="C936" s="61">
        <f t="shared" si="75"/>
        <v>44734</v>
      </c>
      <c r="E936" s="167"/>
      <c r="F936" s="121" t="str">
        <f>VLOOKUP(MOD(C936,7),'CALENDAR INFO'!$I$2:$J$8,2)</f>
        <v>WED</v>
      </c>
      <c r="G936" s="214">
        <v>1.58</v>
      </c>
      <c r="H936" s="425">
        <v>1.45</v>
      </c>
      <c r="I936" s="457">
        <f t="shared" si="76"/>
        <v>-0.13000000000000012</v>
      </c>
      <c r="J936" s="152"/>
      <c r="K936" s="152"/>
      <c r="L936" s="202"/>
      <c r="M936" s="113">
        <f t="shared" si="79"/>
        <v>1</v>
      </c>
      <c r="N936" s="64">
        <f t="shared" si="78"/>
        <v>1.0000402777777777</v>
      </c>
    </row>
    <row r="937" spans="1:16">
      <c r="B937" s="41"/>
      <c r="C937" s="61">
        <f t="shared" si="75"/>
        <v>44735</v>
      </c>
      <c r="E937" s="167"/>
      <c r="F937" s="121" t="str">
        <f>VLOOKUP(MOD(C937,7),'CALENDAR INFO'!$I$2:$J$8,2)</f>
        <v>THU</v>
      </c>
      <c r="G937" s="214">
        <v>1.58</v>
      </c>
      <c r="H937" s="425">
        <v>1.44</v>
      </c>
      <c r="I937" s="457">
        <f t="shared" si="76"/>
        <v>-0.14000000000000012</v>
      </c>
      <c r="J937" s="152"/>
      <c r="K937" s="152"/>
      <c r="L937" s="202"/>
      <c r="M937" s="113">
        <f t="shared" si="79"/>
        <v>1</v>
      </c>
      <c r="N937" s="64">
        <f t="shared" si="78"/>
        <v>1.00004</v>
      </c>
    </row>
    <row r="938" spans="1:16">
      <c r="B938" s="41"/>
      <c r="C938" s="61">
        <f t="shared" si="75"/>
        <v>44736</v>
      </c>
      <c r="E938" s="167"/>
      <c r="F938" s="121" t="str">
        <f>VLOOKUP(MOD(C938,7),'CALENDAR INFO'!$I$2:$J$8,2)</f>
        <v>FRI</v>
      </c>
      <c r="G938" s="214">
        <v>1.58</v>
      </c>
      <c r="H938" s="425">
        <v>1.46</v>
      </c>
      <c r="I938" s="457">
        <f t="shared" si="76"/>
        <v>-0.12000000000000011</v>
      </c>
      <c r="J938" s="152"/>
      <c r="K938" s="152"/>
      <c r="L938" s="202"/>
      <c r="M938" s="113">
        <f t="shared" si="79"/>
        <v>3</v>
      </c>
      <c r="N938" s="64">
        <f t="shared" si="78"/>
        <v>1.0001216666666666</v>
      </c>
    </row>
    <row r="939" spans="1:16">
      <c r="B939" s="41"/>
      <c r="C939" s="61">
        <f t="shared" si="75"/>
        <v>44737</v>
      </c>
      <c r="E939" s="167"/>
      <c r="F939" s="121" t="str">
        <f>VLOOKUP(MOD(C939,7),'CALENDAR INFO'!$I$2:$J$8,2)</f>
        <v>SAT</v>
      </c>
      <c r="G939" s="214">
        <v>1.58</v>
      </c>
      <c r="H939" s="425">
        <v>1.46</v>
      </c>
      <c r="I939" s="457">
        <f t="shared" si="76"/>
        <v>-0.12000000000000011</v>
      </c>
      <c r="J939" s="152"/>
      <c r="K939" s="182"/>
      <c r="L939" s="201"/>
      <c r="M939" s="113">
        <f t="shared" si="79"/>
        <v>0</v>
      </c>
      <c r="N939" s="64">
        <f t="shared" si="78"/>
        <v>1</v>
      </c>
    </row>
    <row r="940" spans="1:16">
      <c r="B940" s="41"/>
      <c r="C940" s="61">
        <f t="shared" si="75"/>
        <v>44738</v>
      </c>
      <c r="E940" s="167"/>
      <c r="F940" s="121" t="str">
        <f>VLOOKUP(MOD(C940,7),'CALENDAR INFO'!$I$2:$J$8,2)</f>
        <v>SUN</v>
      </c>
      <c r="G940" s="214">
        <v>1.58</v>
      </c>
      <c r="H940" s="425">
        <v>1.46</v>
      </c>
      <c r="I940" s="457">
        <f t="shared" si="76"/>
        <v>-0.12000000000000011</v>
      </c>
      <c r="J940" s="152"/>
      <c r="K940" s="152"/>
      <c r="L940" s="202"/>
      <c r="M940" s="113">
        <f t="shared" si="79"/>
        <v>0</v>
      </c>
      <c r="N940" s="64">
        <f t="shared" si="78"/>
        <v>1</v>
      </c>
      <c r="O940" s="89" t="s">
        <v>93</v>
      </c>
      <c r="P940" s="90"/>
    </row>
    <row r="941" spans="1:16">
      <c r="B941" s="41"/>
      <c r="C941" s="61">
        <f t="shared" si="75"/>
        <v>44739</v>
      </c>
      <c r="E941" s="167"/>
      <c r="F941" s="121" t="str">
        <f>VLOOKUP(MOD(C941,7),'CALENDAR INFO'!$I$2:$J$8,2)</f>
        <v>MON</v>
      </c>
      <c r="G941" s="214">
        <v>1.58</v>
      </c>
      <c r="H941" s="425">
        <v>1.5</v>
      </c>
      <c r="I941" s="457">
        <f t="shared" si="76"/>
        <v>-8.0000000000000071E-2</v>
      </c>
      <c r="J941" s="152"/>
      <c r="K941" s="182"/>
      <c r="L941" s="201"/>
      <c r="M941" s="113">
        <f t="shared" si="79"/>
        <v>1</v>
      </c>
      <c r="N941" s="64">
        <f t="shared" si="78"/>
        <v>1.0000416666666667</v>
      </c>
      <c r="O941" s="89" t="s">
        <v>26</v>
      </c>
      <c r="P941" s="135"/>
    </row>
    <row r="942" spans="1:16">
      <c r="B942" s="41"/>
      <c r="C942" s="61">
        <f t="shared" si="75"/>
        <v>44740</v>
      </c>
      <c r="E942" s="167"/>
      <c r="F942" s="121" t="str">
        <f>VLOOKUP(MOD(C942,7),'CALENDAR INFO'!$I$2:$J$8,2)</f>
        <v>TUE</v>
      </c>
      <c r="G942" s="214">
        <v>1.58</v>
      </c>
      <c r="H942" s="425">
        <v>1.52</v>
      </c>
      <c r="I942" s="457">
        <f t="shared" si="76"/>
        <v>-6.0000000000000053E-2</v>
      </c>
      <c r="J942" s="152"/>
      <c r="K942" s="190"/>
      <c r="L942" s="203"/>
      <c r="M942" s="113">
        <f t="shared" si="79"/>
        <v>1</v>
      </c>
      <c r="N942" s="64">
        <f t="shared" si="78"/>
        <v>1.0000422222222223</v>
      </c>
      <c r="O942" s="89" t="s">
        <v>76</v>
      </c>
      <c r="P942" s="135"/>
    </row>
    <row r="943" spans="1:16">
      <c r="B943" s="41"/>
      <c r="C943" s="61">
        <f t="shared" si="75"/>
        <v>44741</v>
      </c>
      <c r="E943" s="167" t="s">
        <v>19</v>
      </c>
      <c r="F943" s="121" t="str">
        <f>VLOOKUP(MOD(C943,7),'CALENDAR INFO'!$I$2:$J$8,2)</f>
        <v>WED</v>
      </c>
      <c r="G943" s="214">
        <v>1.58</v>
      </c>
      <c r="H943" s="425">
        <v>1.51</v>
      </c>
      <c r="I943" s="457">
        <f t="shared" si="76"/>
        <v>-7.0000000000000062E-2</v>
      </c>
      <c r="J943" s="152"/>
      <c r="K943" s="182"/>
      <c r="L943" s="201"/>
      <c r="M943" s="113">
        <f t="shared" si="79"/>
        <v>1</v>
      </c>
      <c r="N943" s="64">
        <f t="shared" si="78"/>
        <v>1.0000419444444444</v>
      </c>
    </row>
    <row r="944" spans="1:16" ht="15.75" thickBot="1">
      <c r="A944" s="98"/>
      <c r="B944" s="230"/>
      <c r="C944" s="75">
        <f t="shared" si="75"/>
        <v>44742</v>
      </c>
      <c r="D944" s="112"/>
      <c r="E944" s="101" t="s">
        <v>18</v>
      </c>
      <c r="F944" s="138" t="str">
        <f>VLOOKUP(MOD(C944,7),'CALENDAR INFO'!$I$2:$J$8,2)</f>
        <v>THU</v>
      </c>
      <c r="G944" s="215">
        <v>1.58</v>
      </c>
      <c r="H944" s="426">
        <v>1.5</v>
      </c>
      <c r="I944" s="458">
        <f t="shared" si="76"/>
        <v>-8.0000000000000071E-2</v>
      </c>
      <c r="J944" s="437"/>
      <c r="K944" s="184"/>
      <c r="L944" s="205"/>
      <c r="M944" s="114">
        <f t="shared" si="79"/>
        <v>1</v>
      </c>
      <c r="N944" s="292">
        <f t="shared" si="78"/>
        <v>1.0000416666666667</v>
      </c>
    </row>
    <row r="945" spans="2:14">
      <c r="B945" s="41"/>
      <c r="C945" s="61">
        <f t="shared" si="75"/>
        <v>44743</v>
      </c>
      <c r="E945" s="170"/>
      <c r="F945" s="121" t="str">
        <f>VLOOKUP(MOD(C945,7),'CALENDAR INFO'!$I$2:$J$8,2)</f>
        <v>FRI</v>
      </c>
      <c r="G945" s="214">
        <v>1.58</v>
      </c>
      <c r="H945" s="425">
        <v>1.52</v>
      </c>
      <c r="I945" s="457">
        <f t="shared" si="76"/>
        <v>-6.0000000000000053E-2</v>
      </c>
      <c r="J945" s="436" t="s">
        <v>118</v>
      </c>
      <c r="K945" s="15">
        <f>VLOOKUP(MONTH($C945),'CALENDAR INFO'!$I$12:$J$23,2)</f>
        <v>31</v>
      </c>
      <c r="L945" s="179">
        <f>K945</f>
        <v>31</v>
      </c>
      <c r="M945" s="139">
        <v>4</v>
      </c>
      <c r="N945" s="294">
        <f t="shared" si="78"/>
        <v>1.0001688888888889</v>
      </c>
    </row>
    <row r="946" spans="2:14">
      <c r="B946" s="41"/>
      <c r="C946" s="61">
        <f t="shared" si="75"/>
        <v>44744</v>
      </c>
      <c r="E946" s="170"/>
      <c r="F946" s="121" t="str">
        <f>VLOOKUP(MOD(C946,7),'CALENDAR INFO'!$I$2:$J$8,2)</f>
        <v>SAT</v>
      </c>
      <c r="G946" s="214">
        <v>1.58</v>
      </c>
      <c r="H946" s="425">
        <v>1.52</v>
      </c>
      <c r="I946" s="457">
        <f t="shared" si="76"/>
        <v>-6.0000000000000053E-2</v>
      </c>
      <c r="J946" s="152" t="s">
        <v>151</v>
      </c>
      <c r="K946" s="15">
        <f>ROW($C946)-1</f>
        <v>945</v>
      </c>
      <c r="L946" s="179">
        <f>K946</f>
        <v>945</v>
      </c>
      <c r="M946" s="113">
        <f>IF(MOD(C946,7)&lt;2,0,IF(MOD(C946,7)=6,3,1))</f>
        <v>0</v>
      </c>
      <c r="N946" s="64">
        <f t="shared" si="78"/>
        <v>1</v>
      </c>
    </row>
    <row r="947" spans="2:14">
      <c r="B947" s="41"/>
      <c r="C947" s="61">
        <f t="shared" si="75"/>
        <v>44745</v>
      </c>
      <c r="E947" s="170"/>
      <c r="F947" s="121" t="str">
        <f>VLOOKUP(MOD(C947,7),'CALENDAR INFO'!$I$2:$J$8,2)</f>
        <v>SUN</v>
      </c>
      <c r="G947" s="214">
        <v>1.58</v>
      </c>
      <c r="H947" s="425">
        <v>1.52</v>
      </c>
      <c r="I947" s="457">
        <f t="shared" si="76"/>
        <v>-6.0000000000000053E-2</v>
      </c>
      <c r="J947" s="152" t="s">
        <v>152</v>
      </c>
      <c r="K947" s="15">
        <f>K945+K946-1</f>
        <v>975</v>
      </c>
      <c r="L947" s="200">
        <f>K947</f>
        <v>975</v>
      </c>
      <c r="M947" s="113">
        <f>IF(MOD(C947,7)&lt;2,0,IF(MOD(C947,7)=6,3,1))</f>
        <v>0</v>
      </c>
      <c r="N947" s="64">
        <f t="shared" si="78"/>
        <v>1</v>
      </c>
    </row>
    <row r="948" spans="2:14">
      <c r="B948" s="41"/>
      <c r="C948" s="61">
        <f t="shared" si="75"/>
        <v>44746</v>
      </c>
      <c r="D948" s="173" t="s">
        <v>49</v>
      </c>
      <c r="E948" s="170"/>
      <c r="F948" s="121" t="str">
        <f>VLOOKUP(MOD(C948,7),'CALENDAR INFO'!$I$2:$J$8,2)</f>
        <v>MON</v>
      </c>
      <c r="G948" s="214">
        <v>1.58</v>
      </c>
      <c r="H948" s="425">
        <v>1.52</v>
      </c>
      <c r="I948" s="457">
        <f t="shared" si="76"/>
        <v>-6.0000000000000053E-2</v>
      </c>
      <c r="J948" s="152"/>
      <c r="K948" s="182"/>
      <c r="L948" s="201"/>
      <c r="M948" s="117">
        <v>0</v>
      </c>
      <c r="N948" s="64">
        <f t="shared" si="78"/>
        <v>1</v>
      </c>
    </row>
    <row r="949" spans="2:14">
      <c r="B949" s="41"/>
      <c r="C949" s="61">
        <f t="shared" ref="C949:C1012" si="80">C948+1</f>
        <v>44747</v>
      </c>
      <c r="E949" s="170"/>
      <c r="F949" s="121" t="str">
        <f>VLOOKUP(MOD(C949,7),'CALENDAR INFO'!$I$2:$J$8,2)</f>
        <v>TUE</v>
      </c>
      <c r="G949" s="214">
        <v>1.58</v>
      </c>
      <c r="H949" s="425">
        <v>1.54</v>
      </c>
      <c r="I949" s="457">
        <f t="shared" si="76"/>
        <v>-4.0000000000000036E-2</v>
      </c>
      <c r="J949" s="152" t="s">
        <v>153</v>
      </c>
      <c r="K949" s="182" t="str">
        <f>_xlfn.CONCAT("A",TEXT(K946,0),":","A",TEXT(K947,0))</f>
        <v>A945:A975</v>
      </c>
      <c r="L949" s="201" t="str">
        <f>_xlfn.CONCAT("B",TEXT(L946,0),":","B",TEXT(L947,0))</f>
        <v>B945:B975</v>
      </c>
      <c r="M949" s="113">
        <f t="shared" ref="M949:M980" si="81">IF(MOD(C949,7)&lt;2,0,IF(MOD(C949,7)=6,3,1))</f>
        <v>1</v>
      </c>
      <c r="N949" s="64">
        <f t="shared" si="78"/>
        <v>1.0000427777777778</v>
      </c>
    </row>
    <row r="950" spans="2:14">
      <c r="B950" s="41"/>
      <c r="C950" s="61">
        <f t="shared" si="80"/>
        <v>44748</v>
      </c>
      <c r="E950" s="170"/>
      <c r="F950" s="121" t="str">
        <f>VLOOKUP(MOD(C950,7),'CALENDAR INFO'!$I$2:$J$8,2)</f>
        <v>WED</v>
      </c>
      <c r="G950" s="214">
        <v>1.58</v>
      </c>
      <c r="H950" s="425">
        <v>1.54</v>
      </c>
      <c r="I950" s="457">
        <f t="shared" si="76"/>
        <v>-4.0000000000000036E-2</v>
      </c>
      <c r="J950" s="152" t="s">
        <v>154</v>
      </c>
      <c r="K950" s="182" t="str">
        <f>_xlfn.CONCAT("F",TEXT(K946,0),":","F",TEXT(K947,0))</f>
        <v>F945:F975</v>
      </c>
      <c r="L950" s="201" t="str">
        <f>_xlfn.CONCAT("G",TEXT(L946,0),":","G",TEXT(L947,0))</f>
        <v>G945:G975</v>
      </c>
      <c r="M950" s="113">
        <f t="shared" si="81"/>
        <v>1</v>
      </c>
      <c r="N950" s="64">
        <f t="shared" si="78"/>
        <v>1.0000427777777778</v>
      </c>
    </row>
    <row r="951" spans="2:14">
      <c r="B951" s="41"/>
      <c r="C951" s="61">
        <f t="shared" si="80"/>
        <v>44749</v>
      </c>
      <c r="E951" s="170"/>
      <c r="F951" s="121" t="str">
        <f>VLOOKUP(MOD(C951,7),'CALENDAR INFO'!$I$2:$J$8,2)</f>
        <v>THU</v>
      </c>
      <c r="G951" s="214">
        <v>1.58</v>
      </c>
      <c r="H951" s="425">
        <v>1.54</v>
      </c>
      <c r="I951" s="457">
        <f t="shared" si="76"/>
        <v>-4.0000000000000036E-2</v>
      </c>
      <c r="J951" s="152"/>
      <c r="K951" s="152"/>
      <c r="L951" s="202"/>
      <c r="M951" s="113">
        <f t="shared" si="81"/>
        <v>1</v>
      </c>
      <c r="N951" s="64">
        <f t="shared" si="78"/>
        <v>1.0000427777777778</v>
      </c>
    </row>
    <row r="952" spans="2:14">
      <c r="B952" s="41"/>
      <c r="C952" s="61">
        <f t="shared" si="80"/>
        <v>44750</v>
      </c>
      <c r="E952" s="170"/>
      <c r="F952" s="121" t="str">
        <f>VLOOKUP(MOD(C952,7),'CALENDAR INFO'!$I$2:$J$8,2)</f>
        <v>FRI</v>
      </c>
      <c r="G952" s="214">
        <v>1.58</v>
      </c>
      <c r="H952" s="425">
        <v>1.53</v>
      </c>
      <c r="I952" s="457">
        <f t="shared" si="76"/>
        <v>-5.0000000000000044E-2</v>
      </c>
      <c r="J952" s="152" t="s">
        <v>155</v>
      </c>
      <c r="K952" s="185">
        <f ca="1">SUM(INDIRECT(K949))</f>
        <v>0</v>
      </c>
      <c r="L952" s="93">
        <f ca="1">SUM(INDIRECT(L949))</f>
        <v>0</v>
      </c>
      <c r="M952" s="113">
        <f t="shared" si="81"/>
        <v>3</v>
      </c>
      <c r="N952" s="64">
        <f t="shared" si="78"/>
        <v>1.0001275000000001</v>
      </c>
    </row>
    <row r="953" spans="2:14">
      <c r="B953" s="41"/>
      <c r="C953" s="61">
        <f t="shared" si="80"/>
        <v>44751</v>
      </c>
      <c r="E953" s="170"/>
      <c r="F953" s="121" t="str">
        <f>VLOOKUP(MOD(C953,7),'CALENDAR INFO'!$I$2:$J$8,2)</f>
        <v>SAT</v>
      </c>
      <c r="G953" s="214">
        <v>1.58</v>
      </c>
      <c r="H953" s="425">
        <v>1.53</v>
      </c>
      <c r="I953" s="457">
        <f t="shared" si="76"/>
        <v>-5.0000000000000044E-2</v>
      </c>
      <c r="J953" s="152" t="s">
        <v>156</v>
      </c>
      <c r="K953" s="207">
        <f ca="1">SUM(INDIRECT(K950))</f>
        <v>0</v>
      </c>
      <c r="L953" s="208">
        <f ca="1">SUM(INDIRECT(L950))</f>
        <v>51.949999999999974</v>
      </c>
      <c r="M953" s="113">
        <f t="shared" si="81"/>
        <v>0</v>
      </c>
      <c r="N953" s="64">
        <f t="shared" si="78"/>
        <v>1</v>
      </c>
    </row>
    <row r="954" spans="2:14">
      <c r="B954" s="41"/>
      <c r="C954" s="61">
        <f t="shared" si="80"/>
        <v>44752</v>
      </c>
      <c r="E954" s="170"/>
      <c r="F954" s="121" t="str">
        <f>VLOOKUP(MOD(C954,7),'CALENDAR INFO'!$I$2:$J$8,2)</f>
        <v>SUN</v>
      </c>
      <c r="G954" s="214">
        <v>1.58</v>
      </c>
      <c r="H954" s="425">
        <v>1.53</v>
      </c>
      <c r="I954" s="457">
        <f t="shared" si="76"/>
        <v>-5.0000000000000044E-2</v>
      </c>
      <c r="J954" s="152" t="s">
        <v>157</v>
      </c>
      <c r="K954" s="178">
        <f ca="1">K952+K953</f>
        <v>0</v>
      </c>
      <c r="L954" s="192">
        <f ca="1">L952+L953</f>
        <v>51.949999999999974</v>
      </c>
      <c r="M954" s="113">
        <f t="shared" si="81"/>
        <v>0</v>
      </c>
      <c r="N954" s="64">
        <f t="shared" si="78"/>
        <v>1</v>
      </c>
    </row>
    <row r="955" spans="2:14">
      <c r="B955" s="41"/>
      <c r="C955" s="61">
        <f t="shared" si="80"/>
        <v>44753</v>
      </c>
      <c r="E955" s="170"/>
      <c r="F955" s="121" t="str">
        <f>VLOOKUP(MOD(C955,7),'CALENDAR INFO'!$I$2:$J$8,2)</f>
        <v>MON</v>
      </c>
      <c r="G955" s="214">
        <v>1.58</v>
      </c>
      <c r="H955" s="425">
        <v>1.53</v>
      </c>
      <c r="I955" s="457">
        <f t="shared" si="76"/>
        <v>-5.0000000000000044E-2</v>
      </c>
      <c r="J955" s="152"/>
      <c r="K955" s="178"/>
      <c r="L955" s="192"/>
      <c r="M955" s="113">
        <f t="shared" si="81"/>
        <v>1</v>
      </c>
      <c r="N955" s="64">
        <f t="shared" si="78"/>
        <v>1.0000424999999999</v>
      </c>
    </row>
    <row r="956" spans="2:14">
      <c r="B956" s="41"/>
      <c r="C956" s="61">
        <f t="shared" si="80"/>
        <v>44754</v>
      </c>
      <c r="E956" s="170"/>
      <c r="F956" s="121" t="str">
        <f>VLOOKUP(MOD(C956,7),'CALENDAR INFO'!$I$2:$J$8,2)</f>
        <v>TUE</v>
      </c>
      <c r="G956" s="214">
        <v>1.58</v>
      </c>
      <c r="H956" s="425">
        <v>1.54</v>
      </c>
      <c r="I956" s="457">
        <f t="shared" si="76"/>
        <v>-4.0000000000000036E-2</v>
      </c>
      <c r="J956" s="152" t="s">
        <v>158</v>
      </c>
      <c r="K956" s="178">
        <f ca="1">K954/K945</f>
        <v>0</v>
      </c>
      <c r="L956" s="192">
        <f ca="1">L954/L945</f>
        <v>1.6758064516129023</v>
      </c>
      <c r="M956" s="113">
        <f t="shared" si="81"/>
        <v>1</v>
      </c>
      <c r="N956" s="64">
        <f t="shared" si="78"/>
        <v>1.0000427777777778</v>
      </c>
    </row>
    <row r="957" spans="2:14">
      <c r="B957" s="41"/>
      <c r="C957" s="61">
        <f t="shared" si="80"/>
        <v>44755</v>
      </c>
      <c r="E957" s="170" t="s">
        <v>19</v>
      </c>
      <c r="F957" s="121" t="str">
        <f>VLOOKUP(MOD(C957,7),'CALENDAR INFO'!$I$2:$J$8,2)</f>
        <v>WED</v>
      </c>
      <c r="G957" s="214">
        <v>1.58</v>
      </c>
      <c r="H957" s="425">
        <v>1.53</v>
      </c>
      <c r="I957" s="457">
        <f t="shared" si="76"/>
        <v>-5.0000000000000044E-2</v>
      </c>
      <c r="J957" s="152" t="s">
        <v>159</v>
      </c>
      <c r="K957" s="180">
        <f ca="1">100-K956</f>
        <v>100</v>
      </c>
      <c r="L957" s="193">
        <f ca="1">100-L956</f>
        <v>98.3241935483871</v>
      </c>
      <c r="M957" s="113">
        <f t="shared" si="81"/>
        <v>1</v>
      </c>
      <c r="N957" s="64">
        <f t="shared" si="78"/>
        <v>1.0000424999999999</v>
      </c>
    </row>
    <row r="958" spans="2:14">
      <c r="B958" s="41"/>
      <c r="C958" s="61">
        <f t="shared" si="80"/>
        <v>44756</v>
      </c>
      <c r="E958" s="167" t="s">
        <v>18</v>
      </c>
      <c r="F958" s="121" t="str">
        <f>VLOOKUP(MOD(C958,7),'CALENDAR INFO'!$I$2:$J$8,2)</f>
        <v>THU</v>
      </c>
      <c r="G958" s="214">
        <v>1.58</v>
      </c>
      <c r="H958" s="425">
        <v>1.53</v>
      </c>
      <c r="I958" s="457">
        <f t="shared" si="76"/>
        <v>-5.0000000000000044E-2</v>
      </c>
      <c r="J958" s="152"/>
      <c r="K958" s="178"/>
      <c r="L958" s="192"/>
      <c r="M958" s="113">
        <f t="shared" si="81"/>
        <v>1</v>
      </c>
      <c r="N958" s="64">
        <f t="shared" si="78"/>
        <v>1.0000424999999999</v>
      </c>
    </row>
    <row r="959" spans="2:14">
      <c r="B959" s="41"/>
      <c r="C959" s="61">
        <f t="shared" si="80"/>
        <v>44757</v>
      </c>
      <c r="E959" s="167"/>
      <c r="F959" s="121" t="str">
        <f>VLOOKUP(MOD(C959,7),'CALENDAR INFO'!$I$2:$J$8,2)</f>
        <v>FRI</v>
      </c>
      <c r="G959" s="214">
        <v>1.58</v>
      </c>
      <c r="H959" s="425">
        <v>1.54</v>
      </c>
      <c r="I959" s="457">
        <f t="shared" si="76"/>
        <v>-4.0000000000000036E-2</v>
      </c>
      <c r="J959" s="152"/>
      <c r="K959" s="186"/>
      <c r="L959" s="194"/>
      <c r="M959" s="113">
        <f t="shared" si="81"/>
        <v>3</v>
      </c>
      <c r="N959" s="64">
        <f t="shared" si="78"/>
        <v>1.0001283333333333</v>
      </c>
    </row>
    <row r="960" spans="2:14">
      <c r="B960" s="41"/>
      <c r="C960" s="61">
        <f t="shared" si="80"/>
        <v>44758</v>
      </c>
      <c r="E960" s="167"/>
      <c r="F960" s="121" t="str">
        <f>VLOOKUP(MOD(C960,7),'CALENDAR INFO'!$I$2:$J$8,2)</f>
        <v>SAT</v>
      </c>
      <c r="G960" s="214">
        <v>1.58</v>
      </c>
      <c r="H960" s="425">
        <v>1.54</v>
      </c>
      <c r="I960" s="457">
        <f t="shared" si="76"/>
        <v>-4.0000000000000036E-2</v>
      </c>
      <c r="J960" s="152"/>
      <c r="K960" s="152"/>
      <c r="L960" s="202"/>
      <c r="M960" s="113">
        <f t="shared" si="81"/>
        <v>0</v>
      </c>
      <c r="N960" s="64">
        <f t="shared" si="78"/>
        <v>1</v>
      </c>
    </row>
    <row r="961" spans="1:16">
      <c r="B961" s="41"/>
      <c r="C961" s="61">
        <f t="shared" si="80"/>
        <v>44759</v>
      </c>
      <c r="E961" s="167"/>
      <c r="F961" s="121" t="str">
        <f>VLOOKUP(MOD(C961,7),'CALENDAR INFO'!$I$2:$J$8,2)</f>
        <v>SUN</v>
      </c>
      <c r="G961" s="214">
        <v>1.58</v>
      </c>
      <c r="H961" s="425">
        <v>1.54</v>
      </c>
      <c r="I961" s="457">
        <f t="shared" si="76"/>
        <v>-4.0000000000000036E-2</v>
      </c>
      <c r="J961" s="152"/>
      <c r="K961" s="152"/>
      <c r="L961" s="202"/>
      <c r="M961" s="113">
        <f t="shared" si="81"/>
        <v>0</v>
      </c>
      <c r="N961" s="64">
        <f t="shared" si="78"/>
        <v>1</v>
      </c>
    </row>
    <row r="962" spans="1:16">
      <c r="B962" s="41"/>
      <c r="C962" s="61">
        <f t="shared" si="80"/>
        <v>44760</v>
      </c>
      <c r="E962" s="167"/>
      <c r="F962" s="121" t="str">
        <f>VLOOKUP(MOD(C962,7),'CALENDAR INFO'!$I$2:$J$8,2)</f>
        <v>MON</v>
      </c>
      <c r="G962" s="214">
        <v>1.58</v>
      </c>
      <c r="H962" s="425">
        <v>1.54</v>
      </c>
      <c r="I962" s="457">
        <f t="shared" si="76"/>
        <v>-4.0000000000000036E-2</v>
      </c>
      <c r="J962" s="152"/>
      <c r="K962" s="152"/>
      <c r="L962" s="202"/>
      <c r="M962" s="113">
        <f t="shared" si="81"/>
        <v>1</v>
      </c>
      <c r="N962" s="64">
        <f t="shared" si="78"/>
        <v>1.0000427777777778</v>
      </c>
    </row>
    <row r="963" spans="1:16">
      <c r="B963" s="41"/>
      <c r="C963" s="61">
        <f t="shared" si="80"/>
        <v>44761</v>
      </c>
      <c r="E963" s="167"/>
      <c r="F963" s="121" t="str">
        <f>VLOOKUP(MOD(C963,7),'CALENDAR INFO'!$I$2:$J$8,2)</f>
        <v>TUE</v>
      </c>
      <c r="G963" s="214">
        <v>1.58</v>
      </c>
      <c r="H963" s="425">
        <v>1.54</v>
      </c>
      <c r="I963" s="457">
        <f t="shared" ref="I963:I1026" si="82">H963-G963</f>
        <v>-4.0000000000000036E-2</v>
      </c>
      <c r="J963" s="152"/>
      <c r="K963" s="152"/>
      <c r="L963" s="202"/>
      <c r="M963" s="113">
        <f t="shared" si="81"/>
        <v>1</v>
      </c>
      <c r="N963" s="64">
        <f t="shared" si="78"/>
        <v>1.0000427777777778</v>
      </c>
    </row>
    <row r="964" spans="1:16">
      <c r="B964" s="41"/>
      <c r="C964" s="61">
        <f t="shared" si="80"/>
        <v>44762</v>
      </c>
      <c r="E964" s="167"/>
      <c r="F964" s="121" t="str">
        <f>VLOOKUP(MOD(C964,7),'CALENDAR INFO'!$I$2:$J$8,2)</f>
        <v>WED</v>
      </c>
      <c r="G964" s="214">
        <v>1.58</v>
      </c>
      <c r="H964" s="425">
        <v>1.53</v>
      </c>
      <c r="I964" s="457">
        <f t="shared" si="82"/>
        <v>-5.0000000000000044E-2</v>
      </c>
      <c r="J964" s="152"/>
      <c r="K964" s="152"/>
      <c r="L964" s="202"/>
      <c r="M964" s="113">
        <f t="shared" si="81"/>
        <v>1</v>
      </c>
      <c r="N964" s="64">
        <f t="shared" si="78"/>
        <v>1.0000424999999999</v>
      </c>
    </row>
    <row r="965" spans="1:16">
      <c r="B965" s="41"/>
      <c r="C965" s="61">
        <f t="shared" si="80"/>
        <v>44763</v>
      </c>
      <c r="E965" s="167"/>
      <c r="F965" s="121" t="str">
        <f>VLOOKUP(MOD(C965,7),'CALENDAR INFO'!$I$2:$J$8,2)</f>
        <v>THU</v>
      </c>
      <c r="G965" s="214">
        <v>1.58</v>
      </c>
      <c r="H965" s="425">
        <v>1.53</v>
      </c>
      <c r="I965" s="457">
        <f t="shared" si="82"/>
        <v>-5.0000000000000044E-2</v>
      </c>
      <c r="J965" s="152"/>
      <c r="K965" s="152"/>
      <c r="L965" s="202"/>
      <c r="M965" s="113">
        <f t="shared" si="81"/>
        <v>1</v>
      </c>
      <c r="N965" s="64">
        <f t="shared" si="78"/>
        <v>1.0000424999999999</v>
      </c>
    </row>
    <row r="966" spans="1:16">
      <c r="B966" s="41"/>
      <c r="C966" s="61">
        <f t="shared" si="80"/>
        <v>44764</v>
      </c>
      <c r="E966" s="167"/>
      <c r="F966" s="121" t="str">
        <f>VLOOKUP(MOD(C966,7),'CALENDAR INFO'!$I$2:$J$8,2)</f>
        <v>FRI</v>
      </c>
      <c r="G966" s="214">
        <v>1.58</v>
      </c>
      <c r="H966" s="425">
        <v>1.52</v>
      </c>
      <c r="I966" s="457">
        <f t="shared" si="82"/>
        <v>-6.0000000000000053E-2</v>
      </c>
      <c r="J966" s="152"/>
      <c r="K966" s="152"/>
      <c r="L966" s="202"/>
      <c r="M966" s="113">
        <f t="shared" si="81"/>
        <v>3</v>
      </c>
      <c r="N966" s="64">
        <f t="shared" si="78"/>
        <v>1.0001266666666666</v>
      </c>
    </row>
    <row r="967" spans="1:16">
      <c r="B967" s="41"/>
      <c r="C967" s="61">
        <f t="shared" si="80"/>
        <v>44765</v>
      </c>
      <c r="E967" s="167"/>
      <c r="F967" s="121" t="str">
        <f>VLOOKUP(MOD(C967,7),'CALENDAR INFO'!$I$2:$J$8,2)</f>
        <v>SAT</v>
      </c>
      <c r="G967" s="214">
        <v>1.58</v>
      </c>
      <c r="H967" s="425">
        <v>1.52</v>
      </c>
      <c r="I967" s="457">
        <f t="shared" si="82"/>
        <v>-6.0000000000000053E-2</v>
      </c>
      <c r="J967" s="152"/>
      <c r="K967" s="152"/>
      <c r="L967" s="202"/>
      <c r="M967" s="113">
        <f t="shared" si="81"/>
        <v>0</v>
      </c>
      <c r="N967" s="64">
        <f t="shared" si="78"/>
        <v>1</v>
      </c>
    </row>
    <row r="968" spans="1:16">
      <c r="B968" s="41"/>
      <c r="C968" s="61">
        <f t="shared" si="80"/>
        <v>44766</v>
      </c>
      <c r="E968" s="167"/>
      <c r="F968" s="121" t="str">
        <f>VLOOKUP(MOD(C968,7),'CALENDAR INFO'!$I$2:$J$8,2)</f>
        <v>SUN</v>
      </c>
      <c r="G968" s="214">
        <v>1.58</v>
      </c>
      <c r="H968" s="425">
        <v>1.52</v>
      </c>
      <c r="I968" s="457">
        <f t="shared" si="82"/>
        <v>-6.0000000000000053E-2</v>
      </c>
      <c r="J968" s="152"/>
      <c r="K968" s="152"/>
      <c r="L968" s="202"/>
      <c r="M968" s="113">
        <f t="shared" si="81"/>
        <v>0</v>
      </c>
      <c r="N968" s="64">
        <f t="shared" si="78"/>
        <v>1</v>
      </c>
    </row>
    <row r="969" spans="1:16">
      <c r="B969" s="41"/>
      <c r="C969" s="61">
        <f t="shared" si="80"/>
        <v>44767</v>
      </c>
      <c r="E969" s="167"/>
      <c r="F969" s="121" t="str">
        <f>VLOOKUP(MOD(C969,7),'CALENDAR INFO'!$I$2:$J$8,2)</f>
        <v>MON</v>
      </c>
      <c r="G969" s="214">
        <v>1.58</v>
      </c>
      <c r="H969" s="425">
        <v>1.53</v>
      </c>
      <c r="I969" s="457">
        <f t="shared" si="82"/>
        <v>-5.0000000000000044E-2</v>
      </c>
      <c r="J969" s="209"/>
      <c r="K969" s="209"/>
      <c r="L969" s="206"/>
      <c r="M969" s="113">
        <f t="shared" si="81"/>
        <v>1</v>
      </c>
      <c r="N969" s="64">
        <f t="shared" si="78"/>
        <v>1.0000424999999999</v>
      </c>
    </row>
    <row r="970" spans="1:16">
      <c r="B970" s="41"/>
      <c r="C970" s="61">
        <f t="shared" si="80"/>
        <v>44768</v>
      </c>
      <c r="D970" s="153" t="s">
        <v>20</v>
      </c>
      <c r="E970" s="167"/>
      <c r="F970" s="121" t="str">
        <f>VLOOKUP(MOD(C970,7),'CALENDAR INFO'!$I$2:$J$8,2)</f>
        <v>TUE</v>
      </c>
      <c r="G970" s="214">
        <v>1.58</v>
      </c>
      <c r="H970" s="425">
        <v>1.53</v>
      </c>
      <c r="I970" s="457">
        <f t="shared" si="82"/>
        <v>-5.0000000000000044E-2</v>
      </c>
      <c r="J970" s="152"/>
      <c r="K970" s="182"/>
      <c r="L970" s="201"/>
      <c r="M970" s="113">
        <f t="shared" si="81"/>
        <v>1</v>
      </c>
      <c r="N970" s="64">
        <f t="shared" si="78"/>
        <v>1.0000424999999999</v>
      </c>
    </row>
    <row r="971" spans="1:16">
      <c r="B971" s="41"/>
      <c r="C971" s="61">
        <f t="shared" si="80"/>
        <v>44769</v>
      </c>
      <c r="D971" s="153" t="s">
        <v>20</v>
      </c>
      <c r="E971" s="167" t="s">
        <v>19</v>
      </c>
      <c r="F971" s="121" t="str">
        <f>VLOOKUP(MOD(C971,7),'CALENDAR INFO'!$I$2:$J$8,2)</f>
        <v>WED</v>
      </c>
      <c r="G971" s="214">
        <v>1.58</v>
      </c>
      <c r="H971" s="425">
        <v>1.53</v>
      </c>
      <c r="I971" s="457">
        <f t="shared" si="82"/>
        <v>-5.0000000000000044E-2</v>
      </c>
      <c r="J971" s="152"/>
      <c r="K971" s="152"/>
      <c r="L971" s="202"/>
      <c r="M971" s="113">
        <f t="shared" si="81"/>
        <v>1</v>
      </c>
      <c r="N971" s="64">
        <f t="shared" si="78"/>
        <v>1.0000424999999999</v>
      </c>
      <c r="O971" s="89" t="s">
        <v>93</v>
      </c>
      <c r="P971" s="90"/>
    </row>
    <row r="972" spans="1:16">
      <c r="A972" s="42"/>
      <c r="B972" s="41"/>
      <c r="C972" s="61">
        <f t="shared" si="80"/>
        <v>44770</v>
      </c>
      <c r="E972" s="170" t="s">
        <v>18</v>
      </c>
      <c r="F972" s="121" t="str">
        <f>VLOOKUP(MOD(C972,7),'CALENDAR INFO'!$I$2:$J$8,2)</f>
        <v>THU</v>
      </c>
      <c r="G972" s="220">
        <v>2.33</v>
      </c>
      <c r="H972" s="432">
        <v>2.2799999999999998</v>
      </c>
      <c r="I972" s="457">
        <f t="shared" si="82"/>
        <v>-5.0000000000000266E-2</v>
      </c>
      <c r="J972" s="152"/>
      <c r="K972" s="182"/>
      <c r="L972" s="201"/>
      <c r="M972" s="113">
        <f t="shared" si="81"/>
        <v>1</v>
      </c>
      <c r="N972" s="64">
        <f t="shared" si="78"/>
        <v>1.0000633333333333</v>
      </c>
      <c r="O972" s="89" t="s">
        <v>26</v>
      </c>
      <c r="P972" s="135"/>
    </row>
    <row r="973" spans="1:16">
      <c r="B973" s="41"/>
      <c r="C973" s="61">
        <f t="shared" si="80"/>
        <v>44771</v>
      </c>
      <c r="E973" s="170"/>
      <c r="F973" s="121" t="str">
        <f>VLOOKUP(MOD(C973,7),'CALENDAR INFO'!$I$2:$J$8,2)</f>
        <v>FRI</v>
      </c>
      <c r="G973" s="214">
        <v>2.3199999999999998</v>
      </c>
      <c r="H973" s="425">
        <v>2.27</v>
      </c>
      <c r="I973" s="457">
        <f t="shared" si="82"/>
        <v>-4.9999999999999822E-2</v>
      </c>
      <c r="J973" s="152"/>
      <c r="K973" s="182"/>
      <c r="L973" s="201"/>
      <c r="M973" s="113">
        <f t="shared" si="81"/>
        <v>3</v>
      </c>
      <c r="N973" s="64">
        <f t="shared" si="78"/>
        <v>1.0001891666666667</v>
      </c>
      <c r="O973" s="89" t="s">
        <v>76</v>
      </c>
      <c r="P973" s="135"/>
    </row>
    <row r="974" spans="1:16">
      <c r="B974" s="41"/>
      <c r="C974" s="61">
        <f t="shared" si="80"/>
        <v>44772</v>
      </c>
      <c r="E974" s="170"/>
      <c r="F974" s="121" t="str">
        <f>VLOOKUP(MOD(C974,7),'CALENDAR INFO'!$I$2:$J$8,2)</f>
        <v>SAT</v>
      </c>
      <c r="G974" s="214">
        <v>2.3199999999999998</v>
      </c>
      <c r="H974" s="425">
        <v>2.27</v>
      </c>
      <c r="I974" s="457">
        <f t="shared" si="82"/>
        <v>-4.9999999999999822E-2</v>
      </c>
      <c r="J974" s="152"/>
      <c r="K974" s="182"/>
      <c r="L974" s="201"/>
      <c r="M974" s="113">
        <f t="shared" si="81"/>
        <v>0</v>
      </c>
      <c r="N974" s="64">
        <f t="shared" si="78"/>
        <v>1</v>
      </c>
    </row>
    <row r="975" spans="1:16" ht="15.75" thickBot="1">
      <c r="A975" s="98"/>
      <c r="B975" s="230"/>
      <c r="C975" s="75">
        <f t="shared" si="80"/>
        <v>44773</v>
      </c>
      <c r="D975" s="112"/>
      <c r="E975" s="101"/>
      <c r="F975" s="138" t="str">
        <f>VLOOKUP(MOD(C975,7),'CALENDAR INFO'!$I$2:$J$8,2)</f>
        <v>SUN</v>
      </c>
      <c r="G975" s="215">
        <v>2.3199999999999998</v>
      </c>
      <c r="H975" s="426">
        <v>2.27</v>
      </c>
      <c r="I975" s="458">
        <f t="shared" si="82"/>
        <v>-4.9999999999999822E-2</v>
      </c>
      <c r="J975" s="437"/>
      <c r="K975" s="184"/>
      <c r="L975" s="205"/>
      <c r="M975" s="113">
        <f t="shared" si="81"/>
        <v>0</v>
      </c>
      <c r="N975" s="77">
        <f t="shared" si="78"/>
        <v>1</v>
      </c>
    </row>
    <row r="976" spans="1:16">
      <c r="A976" s="140"/>
      <c r="B976" s="41"/>
      <c r="C976" s="61">
        <f t="shared" si="80"/>
        <v>44774</v>
      </c>
      <c r="E976" s="170"/>
      <c r="F976" s="121" t="str">
        <f>VLOOKUP(MOD(C976,7),'CALENDAR INFO'!$I$2:$J$8,2)</f>
        <v>MON</v>
      </c>
      <c r="G976" s="214">
        <v>2.33</v>
      </c>
      <c r="H976" s="425">
        <v>2.2799999999999998</v>
      </c>
      <c r="I976" s="457">
        <f t="shared" si="82"/>
        <v>-5.0000000000000266E-2</v>
      </c>
      <c r="J976" s="436" t="s">
        <v>118</v>
      </c>
      <c r="K976" s="15">
        <f>VLOOKUP(MONTH($C976),'CALENDAR INFO'!$I$12:$J$23,2)</f>
        <v>31</v>
      </c>
      <c r="L976" s="179">
        <f>K976</f>
        <v>31</v>
      </c>
      <c r="M976" s="116">
        <f t="shared" si="81"/>
        <v>1</v>
      </c>
      <c r="N976" s="111">
        <f t="shared" si="78"/>
        <v>1.0000633333333333</v>
      </c>
    </row>
    <row r="977" spans="2:14">
      <c r="B977" s="41"/>
      <c r="C977" s="61">
        <f t="shared" si="80"/>
        <v>44775</v>
      </c>
      <c r="E977" s="170"/>
      <c r="F977" s="121" t="str">
        <f>VLOOKUP(MOD(C977,7),'CALENDAR INFO'!$I$2:$J$8,2)</f>
        <v>TUE</v>
      </c>
      <c r="G977" s="214">
        <v>2.33</v>
      </c>
      <c r="H977" s="425">
        <v>2.2999999999999998</v>
      </c>
      <c r="I977" s="457">
        <f t="shared" si="82"/>
        <v>-3.0000000000000249E-2</v>
      </c>
      <c r="J977" s="152" t="s">
        <v>151</v>
      </c>
      <c r="K977" s="15">
        <f>ROW($C977)-1</f>
        <v>976</v>
      </c>
      <c r="L977" s="179">
        <f>K977</f>
        <v>976</v>
      </c>
      <c r="M977" s="113">
        <f t="shared" si="81"/>
        <v>1</v>
      </c>
      <c r="N977" s="64">
        <f t="shared" si="78"/>
        <v>1.0000638888888889</v>
      </c>
    </row>
    <row r="978" spans="2:14">
      <c r="B978" s="41"/>
      <c r="C978" s="61">
        <f t="shared" si="80"/>
        <v>44776</v>
      </c>
      <c r="E978" s="170"/>
      <c r="F978" s="121" t="str">
        <f>VLOOKUP(MOD(C978,7),'CALENDAR INFO'!$I$2:$J$8,2)</f>
        <v>WED</v>
      </c>
      <c r="G978" s="214">
        <v>2.33</v>
      </c>
      <c r="H978" s="425">
        <v>2.29</v>
      </c>
      <c r="I978" s="457">
        <f t="shared" si="82"/>
        <v>-4.0000000000000036E-2</v>
      </c>
      <c r="J978" s="152" t="s">
        <v>152</v>
      </c>
      <c r="K978" s="15">
        <f>K976+K977-1</f>
        <v>1006</v>
      </c>
      <c r="L978" s="200">
        <f>K978</f>
        <v>1006</v>
      </c>
      <c r="M978" s="113">
        <f t="shared" si="81"/>
        <v>1</v>
      </c>
      <c r="N978" s="64">
        <f t="shared" si="78"/>
        <v>1.0000636111111112</v>
      </c>
    </row>
    <row r="979" spans="2:14">
      <c r="B979" s="41"/>
      <c r="C979" s="61">
        <f t="shared" si="80"/>
        <v>44777</v>
      </c>
      <c r="E979" s="170"/>
      <c r="F979" s="121" t="str">
        <f>VLOOKUP(MOD(C979,7),'CALENDAR INFO'!$I$2:$J$8,2)</f>
        <v>THU</v>
      </c>
      <c r="G979" s="214">
        <v>2.33</v>
      </c>
      <c r="H979" s="425">
        <v>2.29</v>
      </c>
      <c r="I979" s="457">
        <f t="shared" si="82"/>
        <v>-4.0000000000000036E-2</v>
      </c>
      <c r="J979" s="152"/>
      <c r="K979" s="182"/>
      <c r="L979" s="201"/>
      <c r="M979" s="113">
        <f t="shared" si="81"/>
        <v>1</v>
      </c>
      <c r="N979" s="64">
        <f t="shared" ref="N979:N1042" si="83">1+(M979/360)*(MAX(H979,B979)/100)</f>
        <v>1.0000636111111112</v>
      </c>
    </row>
    <row r="980" spans="2:14">
      <c r="B980" s="41"/>
      <c r="C980" s="61">
        <f t="shared" si="80"/>
        <v>44778</v>
      </c>
      <c r="E980" s="170"/>
      <c r="F980" s="121" t="str">
        <f>VLOOKUP(MOD(C980,7),'CALENDAR INFO'!$I$2:$J$8,2)</f>
        <v>FRI</v>
      </c>
      <c r="G980" s="214">
        <v>2.33</v>
      </c>
      <c r="H980" s="425">
        <v>2.2799999999999998</v>
      </c>
      <c r="I980" s="457">
        <f t="shared" si="82"/>
        <v>-5.0000000000000266E-2</v>
      </c>
      <c r="J980" s="152" t="s">
        <v>153</v>
      </c>
      <c r="K980" s="182" t="str">
        <f>_xlfn.CONCAT("A",TEXT(K977,0),":","A",TEXT(K978,0))</f>
        <v>A976:A1006</v>
      </c>
      <c r="L980" s="201" t="str">
        <f>_xlfn.CONCAT("B",TEXT(L977,0),":","B",TEXT(L978,0))</f>
        <v>B976:B1006</v>
      </c>
      <c r="M980" s="113">
        <f t="shared" si="81"/>
        <v>3</v>
      </c>
      <c r="N980" s="64">
        <f t="shared" si="83"/>
        <v>1.0001899999999999</v>
      </c>
    </row>
    <row r="981" spans="2:14">
      <c r="B981" s="41"/>
      <c r="C981" s="61">
        <f t="shared" si="80"/>
        <v>44779</v>
      </c>
      <c r="E981" s="170"/>
      <c r="F981" s="121" t="str">
        <f>VLOOKUP(MOD(C981,7),'CALENDAR INFO'!$I$2:$J$8,2)</f>
        <v>SAT</v>
      </c>
      <c r="G981" s="214">
        <v>2.33</v>
      </c>
      <c r="H981" s="425">
        <v>2.2799999999999998</v>
      </c>
      <c r="I981" s="457">
        <f t="shared" si="82"/>
        <v>-5.0000000000000266E-2</v>
      </c>
      <c r="J981" s="152" t="s">
        <v>154</v>
      </c>
      <c r="K981" s="182" t="str">
        <f>_xlfn.CONCAT("F",TEXT(K977,0),":","F",TEXT(K978,0))</f>
        <v>F976:F1006</v>
      </c>
      <c r="L981" s="201" t="str">
        <f>_xlfn.CONCAT("G",TEXT(L977,0),":","G",TEXT(L978,0))</f>
        <v>G976:G1006</v>
      </c>
      <c r="M981" s="113">
        <f t="shared" ref="M981:M1007" si="84">IF(MOD(C981,7)&lt;2,0,IF(MOD(C981,7)=6,3,1))</f>
        <v>0</v>
      </c>
      <c r="N981" s="64">
        <f t="shared" si="83"/>
        <v>1</v>
      </c>
    </row>
    <row r="982" spans="2:14">
      <c r="B982" s="41"/>
      <c r="C982" s="61">
        <f t="shared" si="80"/>
        <v>44780</v>
      </c>
      <c r="E982" s="170"/>
      <c r="F982" s="121" t="str">
        <f>VLOOKUP(MOD(C982,7),'CALENDAR INFO'!$I$2:$J$8,2)</f>
        <v>SUN</v>
      </c>
      <c r="G982" s="214">
        <v>2.33</v>
      </c>
      <c r="H982" s="425">
        <v>2.2799999999999998</v>
      </c>
      <c r="I982" s="457">
        <f t="shared" si="82"/>
        <v>-5.0000000000000266E-2</v>
      </c>
      <c r="J982" s="152"/>
      <c r="K982" s="152"/>
      <c r="L982" s="202"/>
      <c r="M982" s="113">
        <f t="shared" si="84"/>
        <v>0</v>
      </c>
      <c r="N982" s="64">
        <f t="shared" si="83"/>
        <v>1</v>
      </c>
    </row>
    <row r="983" spans="2:14">
      <c r="B983" s="41"/>
      <c r="C983" s="61">
        <f t="shared" si="80"/>
        <v>44781</v>
      </c>
      <c r="E983" s="170"/>
      <c r="F983" s="121" t="str">
        <f>VLOOKUP(MOD(C983,7),'CALENDAR INFO'!$I$2:$J$8,2)</f>
        <v>MON</v>
      </c>
      <c r="G983" s="214">
        <v>2.33</v>
      </c>
      <c r="H983" s="425">
        <v>2.2799999999999998</v>
      </c>
      <c r="I983" s="457">
        <f t="shared" si="82"/>
        <v>-5.0000000000000266E-2</v>
      </c>
      <c r="J983" s="152" t="s">
        <v>155</v>
      </c>
      <c r="K983" s="185">
        <f ca="1">SUM(INDIRECT(K980))</f>
        <v>0</v>
      </c>
      <c r="L983" s="93">
        <f ca="1">SUM(INDIRECT(L980))</f>
        <v>0</v>
      </c>
      <c r="M983" s="113">
        <f t="shared" si="84"/>
        <v>1</v>
      </c>
      <c r="N983" s="64">
        <f t="shared" si="83"/>
        <v>1.0000633333333333</v>
      </c>
    </row>
    <row r="984" spans="2:14">
      <c r="B984" s="41"/>
      <c r="C984" s="61">
        <f t="shared" si="80"/>
        <v>44782</v>
      </c>
      <c r="E984" s="170"/>
      <c r="F984" s="121" t="str">
        <f>VLOOKUP(MOD(C984,7),'CALENDAR INFO'!$I$2:$J$8,2)</f>
        <v>TUE</v>
      </c>
      <c r="G984" s="214">
        <v>2.33</v>
      </c>
      <c r="H984" s="425">
        <v>2.29</v>
      </c>
      <c r="I984" s="457">
        <f t="shared" si="82"/>
        <v>-4.0000000000000036E-2</v>
      </c>
      <c r="J984" s="152" t="s">
        <v>156</v>
      </c>
      <c r="K984" s="207">
        <f ca="1">SUM(INDIRECT(K981))</f>
        <v>0</v>
      </c>
      <c r="L984" s="208">
        <f ca="1">SUM(INDIRECT(L981))</f>
        <v>72.229999999999961</v>
      </c>
      <c r="M984" s="113">
        <f t="shared" si="84"/>
        <v>1</v>
      </c>
      <c r="N984" s="64">
        <f t="shared" si="83"/>
        <v>1.0000636111111112</v>
      </c>
    </row>
    <row r="985" spans="2:14">
      <c r="B985" s="41"/>
      <c r="C985" s="61">
        <f t="shared" si="80"/>
        <v>44783</v>
      </c>
      <c r="E985" s="170" t="s">
        <v>19</v>
      </c>
      <c r="F985" s="121" t="str">
        <f>VLOOKUP(MOD(C985,7),'CALENDAR INFO'!$I$2:$J$8,2)</f>
        <v>WED</v>
      </c>
      <c r="G985" s="214">
        <v>2.33</v>
      </c>
      <c r="H985" s="425">
        <v>2.2799999999999998</v>
      </c>
      <c r="I985" s="457">
        <f t="shared" si="82"/>
        <v>-5.0000000000000266E-2</v>
      </c>
      <c r="J985" s="152" t="s">
        <v>157</v>
      </c>
      <c r="K985" s="178">
        <f ca="1">K983+K984</f>
        <v>0</v>
      </c>
      <c r="L985" s="192">
        <f ca="1">L983+L984</f>
        <v>72.229999999999961</v>
      </c>
      <c r="M985" s="113">
        <f t="shared" si="84"/>
        <v>1</v>
      </c>
      <c r="N985" s="64">
        <f t="shared" si="83"/>
        <v>1.0000633333333333</v>
      </c>
    </row>
    <row r="986" spans="2:14">
      <c r="B986" s="41"/>
      <c r="C986" s="61">
        <f t="shared" si="80"/>
        <v>44784</v>
      </c>
      <c r="E986" s="167" t="s">
        <v>18</v>
      </c>
      <c r="F986" s="121" t="str">
        <f>VLOOKUP(MOD(C986,7),'CALENDAR INFO'!$I$2:$J$8,2)</f>
        <v>THU</v>
      </c>
      <c r="G986" s="214">
        <v>2.33</v>
      </c>
      <c r="H986" s="425">
        <v>2.2799999999999998</v>
      </c>
      <c r="I986" s="457">
        <f t="shared" si="82"/>
        <v>-5.0000000000000266E-2</v>
      </c>
      <c r="J986" s="152"/>
      <c r="K986" s="178"/>
      <c r="L986" s="192"/>
      <c r="M986" s="113">
        <f t="shared" si="84"/>
        <v>1</v>
      </c>
      <c r="N986" s="64">
        <f t="shared" si="83"/>
        <v>1.0000633333333333</v>
      </c>
    </row>
    <row r="987" spans="2:14">
      <c r="B987" s="41"/>
      <c r="C987" s="61">
        <f t="shared" si="80"/>
        <v>44785</v>
      </c>
      <c r="E987" s="167"/>
      <c r="F987" s="121" t="str">
        <f>VLOOKUP(MOD(C987,7),'CALENDAR INFO'!$I$2:$J$8,2)</f>
        <v>FRI</v>
      </c>
      <c r="G987" s="214">
        <v>2.33</v>
      </c>
      <c r="H987" s="425">
        <v>2.2799999999999998</v>
      </c>
      <c r="I987" s="457">
        <f t="shared" si="82"/>
        <v>-5.0000000000000266E-2</v>
      </c>
      <c r="J987" s="152" t="s">
        <v>158</v>
      </c>
      <c r="K987" s="178">
        <f ca="1">K985/K976</f>
        <v>0</v>
      </c>
      <c r="L987" s="192">
        <f ca="1">L985/L976</f>
        <v>2.3299999999999987</v>
      </c>
      <c r="M987" s="113">
        <f t="shared" si="84"/>
        <v>3</v>
      </c>
      <c r="N987" s="64">
        <f t="shared" si="83"/>
        <v>1.0001899999999999</v>
      </c>
    </row>
    <row r="988" spans="2:14">
      <c r="B988" s="41"/>
      <c r="C988" s="61">
        <f t="shared" si="80"/>
        <v>44786</v>
      </c>
      <c r="E988" s="167"/>
      <c r="F988" s="121" t="str">
        <f>VLOOKUP(MOD(C988,7),'CALENDAR INFO'!$I$2:$J$8,2)</f>
        <v>SAT</v>
      </c>
      <c r="G988" s="214">
        <v>2.33</v>
      </c>
      <c r="H988" s="425">
        <v>2.2799999999999998</v>
      </c>
      <c r="I988" s="457">
        <f t="shared" si="82"/>
        <v>-5.0000000000000266E-2</v>
      </c>
      <c r="J988" s="152" t="s">
        <v>159</v>
      </c>
      <c r="K988" s="180">
        <f ca="1">100-K987</f>
        <v>100</v>
      </c>
      <c r="L988" s="193">
        <f ca="1">100-L987</f>
        <v>97.67</v>
      </c>
      <c r="M988" s="113">
        <f t="shared" si="84"/>
        <v>0</v>
      </c>
      <c r="N988" s="64">
        <f t="shared" si="83"/>
        <v>1</v>
      </c>
    </row>
    <row r="989" spans="2:14">
      <c r="B989" s="41"/>
      <c r="C989" s="61">
        <f t="shared" si="80"/>
        <v>44787</v>
      </c>
      <c r="E989" s="167"/>
      <c r="F989" s="121" t="str">
        <f>VLOOKUP(MOD(C989,7),'CALENDAR INFO'!$I$2:$J$8,2)</f>
        <v>SUN</v>
      </c>
      <c r="G989" s="214">
        <v>2.33</v>
      </c>
      <c r="H989" s="425">
        <v>2.2799999999999998</v>
      </c>
      <c r="I989" s="457">
        <f t="shared" si="82"/>
        <v>-5.0000000000000266E-2</v>
      </c>
      <c r="J989" s="152"/>
      <c r="K989" s="178"/>
      <c r="L989" s="192"/>
      <c r="M989" s="113">
        <f t="shared" si="84"/>
        <v>0</v>
      </c>
      <c r="N989" s="64">
        <f t="shared" si="83"/>
        <v>1</v>
      </c>
    </row>
    <row r="990" spans="2:14">
      <c r="B990" s="41"/>
      <c r="C990" s="61">
        <f t="shared" si="80"/>
        <v>44788</v>
      </c>
      <c r="E990" s="167"/>
      <c r="F990" s="121" t="str">
        <f>VLOOKUP(MOD(C990,7),'CALENDAR INFO'!$I$2:$J$8,2)</f>
        <v>MON</v>
      </c>
      <c r="G990" s="214">
        <v>2.33</v>
      </c>
      <c r="H990" s="425">
        <v>2.29</v>
      </c>
      <c r="I990" s="457">
        <f t="shared" si="82"/>
        <v>-4.0000000000000036E-2</v>
      </c>
      <c r="J990" s="152"/>
      <c r="K990" s="186"/>
      <c r="L990" s="194"/>
      <c r="M990" s="113">
        <f t="shared" si="84"/>
        <v>1</v>
      </c>
      <c r="N990" s="64">
        <f t="shared" si="83"/>
        <v>1.0000636111111112</v>
      </c>
    </row>
    <row r="991" spans="2:14">
      <c r="B991" s="41"/>
      <c r="C991" s="61">
        <f t="shared" si="80"/>
        <v>44789</v>
      </c>
      <c r="E991" s="167"/>
      <c r="F991" s="121" t="str">
        <f>VLOOKUP(MOD(C991,7),'CALENDAR INFO'!$I$2:$J$8,2)</f>
        <v>TUE</v>
      </c>
      <c r="G991" s="214">
        <v>2.33</v>
      </c>
      <c r="H991" s="425">
        <v>2.29</v>
      </c>
      <c r="I991" s="457">
        <f t="shared" si="82"/>
        <v>-4.0000000000000036E-2</v>
      </c>
      <c r="J991" s="152"/>
      <c r="K991" s="152"/>
      <c r="L991" s="202"/>
      <c r="M991" s="113">
        <f t="shared" si="84"/>
        <v>1</v>
      </c>
      <c r="N991" s="64">
        <f t="shared" si="83"/>
        <v>1.0000636111111112</v>
      </c>
    </row>
    <row r="992" spans="2:14">
      <c r="B992" s="41"/>
      <c r="C992" s="61">
        <f t="shared" si="80"/>
        <v>44790</v>
      </c>
      <c r="E992" s="167"/>
      <c r="F992" s="121" t="str">
        <f>VLOOKUP(MOD(C992,7),'CALENDAR INFO'!$I$2:$J$8,2)</f>
        <v>WED</v>
      </c>
      <c r="G992" s="214">
        <v>2.33</v>
      </c>
      <c r="H992" s="425">
        <v>2.29</v>
      </c>
      <c r="I992" s="457">
        <f t="shared" si="82"/>
        <v>-4.0000000000000036E-2</v>
      </c>
      <c r="J992" s="152"/>
      <c r="K992" s="152"/>
      <c r="L992" s="202"/>
      <c r="M992" s="113">
        <f t="shared" si="84"/>
        <v>1</v>
      </c>
      <c r="N992" s="64">
        <f t="shared" si="83"/>
        <v>1.0000636111111112</v>
      </c>
    </row>
    <row r="993" spans="1:16">
      <c r="B993" s="41"/>
      <c r="C993" s="61">
        <f t="shared" si="80"/>
        <v>44791</v>
      </c>
      <c r="E993" s="167"/>
      <c r="F993" s="121" t="str">
        <f>VLOOKUP(MOD(C993,7),'CALENDAR INFO'!$I$2:$J$8,2)</f>
        <v>THU</v>
      </c>
      <c r="G993" s="214">
        <v>2.33</v>
      </c>
      <c r="H993" s="425">
        <v>2.2799999999999998</v>
      </c>
      <c r="I993" s="457">
        <f t="shared" si="82"/>
        <v>-5.0000000000000266E-2</v>
      </c>
      <c r="J993" s="152"/>
      <c r="K993" s="152"/>
      <c r="L993" s="202"/>
      <c r="M993" s="113">
        <f t="shared" si="84"/>
        <v>1</v>
      </c>
      <c r="N993" s="64">
        <f t="shared" si="83"/>
        <v>1.0000633333333333</v>
      </c>
    </row>
    <row r="994" spans="1:16">
      <c r="B994" s="41"/>
      <c r="C994" s="61">
        <f t="shared" si="80"/>
        <v>44792</v>
      </c>
      <c r="E994" s="167"/>
      <c r="F994" s="121" t="str">
        <f>VLOOKUP(MOD(C994,7),'CALENDAR INFO'!$I$2:$J$8,2)</f>
        <v>FRI</v>
      </c>
      <c r="G994" s="214">
        <v>2.33</v>
      </c>
      <c r="H994" s="425">
        <v>2.2799999999999998</v>
      </c>
      <c r="I994" s="457">
        <f t="shared" si="82"/>
        <v>-5.0000000000000266E-2</v>
      </c>
      <c r="J994" s="152"/>
      <c r="K994" s="152"/>
      <c r="L994" s="202"/>
      <c r="M994" s="113">
        <f t="shared" si="84"/>
        <v>3</v>
      </c>
      <c r="N994" s="64">
        <f t="shared" si="83"/>
        <v>1.0001899999999999</v>
      </c>
    </row>
    <row r="995" spans="1:16">
      <c r="B995" s="41"/>
      <c r="C995" s="61">
        <f t="shared" si="80"/>
        <v>44793</v>
      </c>
      <c r="E995" s="167"/>
      <c r="F995" s="121" t="str">
        <f>VLOOKUP(MOD(C995,7),'CALENDAR INFO'!$I$2:$J$8,2)</f>
        <v>SAT</v>
      </c>
      <c r="G995" s="214">
        <v>2.33</v>
      </c>
      <c r="H995" s="425">
        <v>2.2799999999999998</v>
      </c>
      <c r="I995" s="457">
        <f t="shared" si="82"/>
        <v>-5.0000000000000266E-2</v>
      </c>
      <c r="J995" s="152"/>
      <c r="K995" s="152"/>
      <c r="L995" s="202"/>
      <c r="M995" s="113">
        <f t="shared" si="84"/>
        <v>0</v>
      </c>
      <c r="N995" s="64">
        <f t="shared" si="83"/>
        <v>1</v>
      </c>
    </row>
    <row r="996" spans="1:16">
      <c r="B996" s="41"/>
      <c r="C996" s="61">
        <f t="shared" si="80"/>
        <v>44794</v>
      </c>
      <c r="E996" s="167"/>
      <c r="F996" s="121" t="str">
        <f>VLOOKUP(MOD(C996,7),'CALENDAR INFO'!$I$2:$J$8,2)</f>
        <v>SUN</v>
      </c>
      <c r="G996" s="214">
        <v>2.33</v>
      </c>
      <c r="H996" s="425">
        <v>2.2799999999999998</v>
      </c>
      <c r="I996" s="457">
        <f t="shared" si="82"/>
        <v>-5.0000000000000266E-2</v>
      </c>
      <c r="J996" s="152"/>
      <c r="K996" s="152"/>
      <c r="L996" s="202"/>
      <c r="M996" s="113">
        <f t="shared" si="84"/>
        <v>0</v>
      </c>
      <c r="N996" s="64">
        <f t="shared" si="83"/>
        <v>1</v>
      </c>
    </row>
    <row r="997" spans="1:16">
      <c r="B997" s="41"/>
      <c r="C997" s="61">
        <f t="shared" si="80"/>
        <v>44795</v>
      </c>
      <c r="E997" s="167"/>
      <c r="F997" s="121" t="str">
        <f>VLOOKUP(MOD(C997,7),'CALENDAR INFO'!$I$2:$J$8,2)</f>
        <v>MON</v>
      </c>
      <c r="G997" s="214">
        <v>2.33</v>
      </c>
      <c r="H997" s="425">
        <v>2.2799999999999998</v>
      </c>
      <c r="I997" s="457">
        <f t="shared" si="82"/>
        <v>-5.0000000000000266E-2</v>
      </c>
      <c r="J997" s="152"/>
      <c r="K997" s="152"/>
      <c r="L997" s="202"/>
      <c r="M997" s="113">
        <f t="shared" si="84"/>
        <v>1</v>
      </c>
      <c r="N997" s="64">
        <f t="shared" si="83"/>
        <v>1.0000633333333333</v>
      </c>
    </row>
    <row r="998" spans="1:16">
      <c r="B998" s="41"/>
      <c r="C998" s="61">
        <f t="shared" si="80"/>
        <v>44796</v>
      </c>
      <c r="E998" s="167"/>
      <c r="F998" s="121" t="str">
        <f>VLOOKUP(MOD(C998,7),'CALENDAR INFO'!$I$2:$J$8,2)</f>
        <v>TUE</v>
      </c>
      <c r="G998" s="214">
        <v>2.33</v>
      </c>
      <c r="H998" s="425">
        <v>2.27</v>
      </c>
      <c r="I998" s="457">
        <f t="shared" si="82"/>
        <v>-6.0000000000000053E-2</v>
      </c>
      <c r="J998" s="152"/>
      <c r="K998" s="152"/>
      <c r="L998" s="202"/>
      <c r="M998" s="113">
        <f t="shared" si="84"/>
        <v>1</v>
      </c>
      <c r="N998" s="64">
        <f t="shared" si="83"/>
        <v>1.0000630555555556</v>
      </c>
    </row>
    <row r="999" spans="1:16">
      <c r="B999" s="41"/>
      <c r="C999" s="61">
        <f t="shared" si="80"/>
        <v>44797</v>
      </c>
      <c r="E999" s="167" t="s">
        <v>19</v>
      </c>
      <c r="F999" s="121" t="str">
        <f>VLOOKUP(MOD(C999,7),'CALENDAR INFO'!$I$2:$J$8,2)</f>
        <v>WED</v>
      </c>
      <c r="G999" s="214">
        <v>2.33</v>
      </c>
      <c r="H999" s="425">
        <v>2.27</v>
      </c>
      <c r="I999" s="457">
        <f t="shared" si="82"/>
        <v>-6.0000000000000053E-2</v>
      </c>
      <c r="J999" s="152"/>
      <c r="K999" s="152"/>
      <c r="L999" s="202"/>
      <c r="M999" s="113">
        <f t="shared" si="84"/>
        <v>1</v>
      </c>
      <c r="N999" s="64">
        <f t="shared" si="83"/>
        <v>1.0000630555555556</v>
      </c>
    </row>
    <row r="1000" spans="1:16">
      <c r="B1000" s="41"/>
      <c r="C1000" s="61">
        <f t="shared" si="80"/>
        <v>44798</v>
      </c>
      <c r="E1000" s="170" t="s">
        <v>18</v>
      </c>
      <c r="F1000" s="121" t="str">
        <f>VLOOKUP(MOD(C1000,7),'CALENDAR INFO'!$I$2:$J$8,2)</f>
        <v>THU</v>
      </c>
      <c r="G1000" s="214">
        <v>2.33</v>
      </c>
      <c r="H1000" s="425">
        <v>2.2799999999999998</v>
      </c>
      <c r="I1000" s="457">
        <f t="shared" si="82"/>
        <v>-5.0000000000000266E-2</v>
      </c>
      <c r="J1000" s="152"/>
      <c r="K1000" s="152"/>
      <c r="L1000" s="206"/>
      <c r="M1000" s="113">
        <f t="shared" si="84"/>
        <v>1</v>
      </c>
      <c r="N1000" s="64">
        <f t="shared" si="83"/>
        <v>1.0000633333333333</v>
      </c>
    </row>
    <row r="1001" spans="1:16">
      <c r="B1001" s="41"/>
      <c r="C1001" s="61">
        <f t="shared" si="80"/>
        <v>44799</v>
      </c>
      <c r="E1001" s="170"/>
      <c r="F1001" s="121" t="str">
        <f>VLOOKUP(MOD(C1001,7),'CALENDAR INFO'!$I$2:$J$8,2)</f>
        <v>FRI</v>
      </c>
      <c r="G1001" s="214">
        <v>2.33</v>
      </c>
      <c r="H1001" s="425">
        <v>2.2799999999999998</v>
      </c>
      <c r="I1001" s="457">
        <f t="shared" si="82"/>
        <v>-5.0000000000000266E-2</v>
      </c>
      <c r="J1001" s="152"/>
      <c r="K1001" s="182"/>
      <c r="L1001" s="201"/>
      <c r="M1001" s="113">
        <f t="shared" si="84"/>
        <v>3</v>
      </c>
      <c r="N1001" s="64">
        <f t="shared" si="83"/>
        <v>1.0001899999999999</v>
      </c>
    </row>
    <row r="1002" spans="1:16">
      <c r="B1002" s="41"/>
      <c r="C1002" s="61">
        <f t="shared" si="80"/>
        <v>44800</v>
      </c>
      <c r="E1002" s="170"/>
      <c r="F1002" s="121" t="str">
        <f>VLOOKUP(MOD(C1002,7),'CALENDAR INFO'!$I$2:$J$8,2)</f>
        <v>SAT</v>
      </c>
      <c r="G1002" s="214">
        <v>2.33</v>
      </c>
      <c r="H1002" s="425">
        <v>2.2799999999999998</v>
      </c>
      <c r="I1002" s="457">
        <f t="shared" si="82"/>
        <v>-5.0000000000000266E-2</v>
      </c>
      <c r="J1002" s="152"/>
      <c r="K1002" s="152"/>
      <c r="L1002" s="202"/>
      <c r="M1002" s="113">
        <f t="shared" si="84"/>
        <v>0</v>
      </c>
      <c r="N1002" s="64">
        <f t="shared" si="83"/>
        <v>1</v>
      </c>
      <c r="O1002" s="89" t="s">
        <v>93</v>
      </c>
      <c r="P1002" s="90"/>
    </row>
    <row r="1003" spans="1:16">
      <c r="B1003" s="41"/>
      <c r="C1003" s="61">
        <f t="shared" si="80"/>
        <v>44801</v>
      </c>
      <c r="E1003" s="170"/>
      <c r="F1003" s="121" t="str">
        <f>VLOOKUP(MOD(C1003,7),'CALENDAR INFO'!$I$2:$J$8,2)</f>
        <v>SUN</v>
      </c>
      <c r="G1003" s="214">
        <v>2.33</v>
      </c>
      <c r="H1003" s="425">
        <v>2.2799999999999998</v>
      </c>
      <c r="I1003" s="457">
        <f t="shared" si="82"/>
        <v>-5.0000000000000266E-2</v>
      </c>
      <c r="J1003" s="152"/>
      <c r="K1003" s="182"/>
      <c r="L1003" s="201"/>
      <c r="M1003" s="113">
        <f t="shared" si="84"/>
        <v>0</v>
      </c>
      <c r="N1003" s="64">
        <f t="shared" si="83"/>
        <v>1</v>
      </c>
      <c r="O1003" s="89" t="s">
        <v>26</v>
      </c>
      <c r="P1003" s="135"/>
    </row>
    <row r="1004" spans="1:16">
      <c r="B1004" s="41"/>
      <c r="C1004" s="61">
        <f t="shared" si="80"/>
        <v>44802</v>
      </c>
      <c r="E1004" s="170"/>
      <c r="F1004" s="121" t="str">
        <f>VLOOKUP(MOD(C1004,7),'CALENDAR INFO'!$I$2:$J$8,2)</f>
        <v>MON</v>
      </c>
      <c r="G1004" s="214">
        <v>2.33</v>
      </c>
      <c r="H1004" s="425">
        <v>2.2799999999999998</v>
      </c>
      <c r="I1004" s="457">
        <f t="shared" si="82"/>
        <v>-5.0000000000000266E-2</v>
      </c>
      <c r="J1004" s="152"/>
      <c r="K1004" s="182"/>
      <c r="L1004" s="201"/>
      <c r="M1004" s="113">
        <f t="shared" si="84"/>
        <v>1</v>
      </c>
      <c r="N1004" s="64">
        <f t="shared" si="83"/>
        <v>1.0000633333333333</v>
      </c>
      <c r="O1004" s="89" t="s">
        <v>76</v>
      </c>
      <c r="P1004" s="135"/>
    </row>
    <row r="1005" spans="1:16">
      <c r="B1005" s="41"/>
      <c r="C1005" s="61">
        <f t="shared" si="80"/>
        <v>44803</v>
      </c>
      <c r="E1005" s="170"/>
      <c r="F1005" s="121" t="str">
        <f>VLOOKUP(MOD(C1005,7),'CALENDAR INFO'!$I$2:$J$8,2)</f>
        <v>TUE</v>
      </c>
      <c r="G1005" s="214">
        <v>2.33</v>
      </c>
      <c r="H1005" s="425">
        <v>2.29</v>
      </c>
      <c r="I1005" s="457">
        <f t="shared" si="82"/>
        <v>-4.0000000000000036E-2</v>
      </c>
      <c r="J1005" s="152"/>
      <c r="K1005" s="182"/>
      <c r="L1005" s="201"/>
      <c r="M1005" s="113">
        <f t="shared" si="84"/>
        <v>1</v>
      </c>
      <c r="N1005" s="64">
        <f t="shared" si="83"/>
        <v>1.0000636111111112</v>
      </c>
    </row>
    <row r="1006" spans="1:16" ht="15.75" thickBot="1">
      <c r="A1006" s="98"/>
      <c r="B1006" s="230"/>
      <c r="C1006" s="75">
        <f t="shared" si="80"/>
        <v>44804</v>
      </c>
      <c r="D1006" s="112"/>
      <c r="E1006" s="101"/>
      <c r="F1006" s="138" t="str">
        <f>VLOOKUP(MOD(C1006,7),'CALENDAR INFO'!$I$2:$J$8,2)</f>
        <v>WED</v>
      </c>
      <c r="G1006" s="215">
        <v>2.33</v>
      </c>
      <c r="H1006" s="426">
        <v>2.29</v>
      </c>
      <c r="I1006" s="458">
        <f t="shared" si="82"/>
        <v>-4.0000000000000036E-2</v>
      </c>
      <c r="J1006" s="437"/>
      <c r="K1006" s="184"/>
      <c r="L1006" s="205"/>
      <c r="M1006" s="113">
        <f t="shared" si="84"/>
        <v>1</v>
      </c>
      <c r="N1006" s="77">
        <f t="shared" si="83"/>
        <v>1.0000636111111112</v>
      </c>
    </row>
    <row r="1007" spans="1:16">
      <c r="B1007" s="41"/>
      <c r="C1007" s="61">
        <f t="shared" si="80"/>
        <v>44805</v>
      </c>
      <c r="E1007" s="170"/>
      <c r="F1007" s="121" t="str">
        <f>VLOOKUP(MOD(C1007,7),'CALENDAR INFO'!$I$2:$J$8,2)</f>
        <v>THU</v>
      </c>
      <c r="G1007" s="214">
        <v>2.33</v>
      </c>
      <c r="H1007" s="425">
        <v>2.29</v>
      </c>
      <c r="I1007" s="457">
        <f t="shared" si="82"/>
        <v>-4.0000000000000036E-2</v>
      </c>
      <c r="J1007" s="436" t="s">
        <v>118</v>
      </c>
      <c r="K1007" s="15">
        <f>VLOOKUP(MONTH($C1007),'CALENDAR INFO'!$I$12:$J$23,2)</f>
        <v>30</v>
      </c>
      <c r="L1007" s="179">
        <f>K1007</f>
        <v>30</v>
      </c>
      <c r="M1007" s="116">
        <f t="shared" si="84"/>
        <v>1</v>
      </c>
      <c r="N1007" s="111">
        <f t="shared" si="83"/>
        <v>1.0000636111111112</v>
      </c>
    </row>
    <row r="1008" spans="1:16">
      <c r="B1008" s="41"/>
      <c r="C1008" s="61">
        <f t="shared" si="80"/>
        <v>44806</v>
      </c>
      <c r="E1008" s="170"/>
      <c r="F1008" s="121" t="str">
        <f>VLOOKUP(MOD(C1008,7),'CALENDAR INFO'!$I$2:$J$8,2)</f>
        <v>FRI</v>
      </c>
      <c r="G1008" s="214">
        <v>2.33</v>
      </c>
      <c r="H1008" s="425">
        <v>2.29</v>
      </c>
      <c r="I1008" s="457">
        <f t="shared" si="82"/>
        <v>-4.0000000000000036E-2</v>
      </c>
      <c r="J1008" s="152" t="s">
        <v>151</v>
      </c>
      <c r="K1008" s="15">
        <f>ROW($C1008)-1</f>
        <v>1007</v>
      </c>
      <c r="L1008" s="179">
        <f>K1008</f>
        <v>1007</v>
      </c>
      <c r="M1008" s="117">
        <v>4</v>
      </c>
      <c r="N1008" s="64">
        <f t="shared" si="83"/>
        <v>1.0002544444444443</v>
      </c>
    </row>
    <row r="1009" spans="2:14">
      <c r="B1009" s="41"/>
      <c r="C1009" s="61">
        <f t="shared" si="80"/>
        <v>44807</v>
      </c>
      <c r="E1009" s="170"/>
      <c r="F1009" s="121" t="str">
        <f>VLOOKUP(MOD(C1009,7),'CALENDAR INFO'!$I$2:$J$8,2)</f>
        <v>SAT</v>
      </c>
      <c r="G1009" s="214">
        <v>2.33</v>
      </c>
      <c r="H1009" s="425">
        <v>2.29</v>
      </c>
      <c r="I1009" s="457">
        <f t="shared" si="82"/>
        <v>-4.0000000000000036E-2</v>
      </c>
      <c r="J1009" s="152" t="s">
        <v>152</v>
      </c>
      <c r="K1009" s="15">
        <f>K1007+K1008-1</f>
        <v>1036</v>
      </c>
      <c r="L1009" s="200">
        <f>K1009</f>
        <v>1036</v>
      </c>
      <c r="M1009" s="113">
        <f>IF(MOD(C1009,7)&lt;2,0,IF(MOD(C1009,7)=6,3,1))</f>
        <v>0</v>
      </c>
      <c r="N1009" s="64">
        <f t="shared" si="83"/>
        <v>1</v>
      </c>
    </row>
    <row r="1010" spans="2:14">
      <c r="B1010" s="41"/>
      <c r="C1010" s="61">
        <f t="shared" si="80"/>
        <v>44808</v>
      </c>
      <c r="E1010" s="170"/>
      <c r="F1010" s="121" t="str">
        <f>VLOOKUP(MOD(C1010,7),'CALENDAR INFO'!$I$2:$J$8,2)</f>
        <v>SUN</v>
      </c>
      <c r="G1010" s="214">
        <v>2.33</v>
      </c>
      <c r="H1010" s="425">
        <v>2.29</v>
      </c>
      <c r="I1010" s="457">
        <f t="shared" si="82"/>
        <v>-4.0000000000000036E-2</v>
      </c>
      <c r="J1010" s="152"/>
      <c r="K1010" s="182"/>
      <c r="L1010" s="201"/>
      <c r="M1010" s="113">
        <f>IF(MOD(C1010,7)&lt;2,0,IF(MOD(C1010,7)=6,3,1))</f>
        <v>0</v>
      </c>
      <c r="N1010" s="64">
        <f t="shared" si="83"/>
        <v>1</v>
      </c>
    </row>
    <row r="1011" spans="2:14">
      <c r="B1011" s="41"/>
      <c r="C1011" s="61">
        <f t="shared" si="80"/>
        <v>44809</v>
      </c>
      <c r="D1011" s="173" t="s">
        <v>112</v>
      </c>
      <c r="E1011" s="170"/>
      <c r="F1011" s="121" t="str">
        <f>VLOOKUP(MOD(C1011,7),'CALENDAR INFO'!$I$2:$J$8,2)</f>
        <v>MON</v>
      </c>
      <c r="G1011" s="214">
        <v>2.33</v>
      </c>
      <c r="H1011" s="425">
        <v>2.29</v>
      </c>
      <c r="I1011" s="457">
        <f t="shared" si="82"/>
        <v>-4.0000000000000036E-2</v>
      </c>
      <c r="J1011" s="152" t="s">
        <v>153</v>
      </c>
      <c r="K1011" s="182" t="str">
        <f>_xlfn.CONCAT("A",TEXT(K1008,0),":","A",TEXT(K1009,0))</f>
        <v>A1007:A1036</v>
      </c>
      <c r="L1011" s="201" t="str">
        <f>_xlfn.CONCAT("B",TEXT(L1008,0),":","B",TEXT(L1009,0))</f>
        <v>B1007:B1036</v>
      </c>
      <c r="M1011" s="117">
        <v>0</v>
      </c>
      <c r="N1011" s="64">
        <f t="shared" si="83"/>
        <v>1</v>
      </c>
    </row>
    <row r="1012" spans="2:14">
      <c r="B1012" s="41"/>
      <c r="C1012" s="61">
        <f t="shared" si="80"/>
        <v>44810</v>
      </c>
      <c r="E1012" s="170"/>
      <c r="F1012" s="121" t="str">
        <f>VLOOKUP(MOD(C1012,7),'CALENDAR INFO'!$I$2:$J$8,2)</f>
        <v>TUE</v>
      </c>
      <c r="G1012" s="214">
        <v>2.33</v>
      </c>
      <c r="H1012" s="425">
        <v>2.29</v>
      </c>
      <c r="I1012" s="457">
        <f t="shared" si="82"/>
        <v>-4.0000000000000036E-2</v>
      </c>
      <c r="J1012" s="152" t="s">
        <v>154</v>
      </c>
      <c r="K1012" s="182" t="str">
        <f>_xlfn.CONCAT("F",TEXT(K1008,0),":","F",TEXT(K1009,0))</f>
        <v>F1007:F1036</v>
      </c>
      <c r="L1012" s="201" t="str">
        <f>_xlfn.CONCAT("G",TEXT(L1008,0),":","G",TEXT(L1009,0))</f>
        <v>G1007:G1036</v>
      </c>
      <c r="M1012" s="113">
        <f t="shared" ref="M1012:M1042" si="85">IF(MOD(C1012,7)&lt;2,0,IF(MOD(C1012,7)=6,3,1))</f>
        <v>1</v>
      </c>
      <c r="N1012" s="64">
        <f t="shared" si="83"/>
        <v>1.0000636111111112</v>
      </c>
    </row>
    <row r="1013" spans="2:14">
      <c r="B1013" s="41"/>
      <c r="C1013" s="61">
        <f t="shared" ref="C1013:C1076" si="86">C1012+1</f>
        <v>44811</v>
      </c>
      <c r="E1013" s="170" t="s">
        <v>19</v>
      </c>
      <c r="F1013" s="121" t="str">
        <f>VLOOKUP(MOD(C1013,7),'CALENDAR INFO'!$I$2:$J$8,2)</f>
        <v>WED</v>
      </c>
      <c r="G1013" s="214">
        <v>2.33</v>
      </c>
      <c r="H1013" s="425">
        <v>2.2799999999999998</v>
      </c>
      <c r="I1013" s="457">
        <f t="shared" si="82"/>
        <v>-5.0000000000000266E-2</v>
      </c>
      <c r="J1013" s="152"/>
      <c r="K1013" s="152"/>
      <c r="L1013" s="202"/>
      <c r="M1013" s="113">
        <f t="shared" si="85"/>
        <v>1</v>
      </c>
      <c r="N1013" s="64">
        <f t="shared" si="83"/>
        <v>1.0000633333333333</v>
      </c>
    </row>
    <row r="1014" spans="2:14">
      <c r="B1014" s="41"/>
      <c r="C1014" s="61">
        <f t="shared" si="86"/>
        <v>44812</v>
      </c>
      <c r="E1014" s="167" t="s">
        <v>18</v>
      </c>
      <c r="F1014" s="121" t="str">
        <f>VLOOKUP(MOD(C1014,7),'CALENDAR INFO'!$I$2:$J$8,2)</f>
        <v>THU</v>
      </c>
      <c r="G1014" s="214">
        <v>2.33</v>
      </c>
      <c r="H1014" s="425">
        <v>2.2799999999999998</v>
      </c>
      <c r="I1014" s="457">
        <f t="shared" si="82"/>
        <v>-5.0000000000000266E-2</v>
      </c>
      <c r="J1014" s="152" t="s">
        <v>155</v>
      </c>
      <c r="K1014" s="185">
        <f ca="1">SUM(INDIRECT(K1011))</f>
        <v>0</v>
      </c>
      <c r="L1014" s="93">
        <f ca="1">SUM(INDIRECT(L1011))</f>
        <v>0</v>
      </c>
      <c r="M1014" s="113">
        <f t="shared" si="85"/>
        <v>1</v>
      </c>
      <c r="N1014" s="64">
        <f t="shared" si="83"/>
        <v>1.0000633333333333</v>
      </c>
    </row>
    <row r="1015" spans="2:14">
      <c r="B1015" s="41"/>
      <c r="C1015" s="61">
        <f t="shared" si="86"/>
        <v>44813</v>
      </c>
      <c r="E1015" s="167"/>
      <c r="F1015" s="121" t="str">
        <f>VLOOKUP(MOD(C1015,7),'CALENDAR INFO'!$I$2:$J$8,2)</f>
        <v>FRI</v>
      </c>
      <c r="G1015" s="214">
        <v>2.33</v>
      </c>
      <c r="H1015" s="425">
        <v>2.2799999999999998</v>
      </c>
      <c r="I1015" s="457">
        <f t="shared" si="82"/>
        <v>-5.0000000000000266E-2</v>
      </c>
      <c r="J1015" s="152" t="s">
        <v>156</v>
      </c>
      <c r="K1015" s="207">
        <f ca="1">SUM(INDIRECT(K1012))</f>
        <v>0</v>
      </c>
      <c r="L1015" s="208">
        <f ca="1">SUM(INDIRECT(L1012))</f>
        <v>76.649999999999963</v>
      </c>
      <c r="M1015" s="113">
        <f t="shared" si="85"/>
        <v>3</v>
      </c>
      <c r="N1015" s="64">
        <f t="shared" si="83"/>
        <v>1.0001899999999999</v>
      </c>
    </row>
    <row r="1016" spans="2:14">
      <c r="B1016" s="41"/>
      <c r="C1016" s="61">
        <f t="shared" si="86"/>
        <v>44814</v>
      </c>
      <c r="E1016" s="167"/>
      <c r="F1016" s="121" t="str">
        <f>VLOOKUP(MOD(C1016,7),'CALENDAR INFO'!$I$2:$J$8,2)</f>
        <v>SAT</v>
      </c>
      <c r="G1016" s="214">
        <v>2.33</v>
      </c>
      <c r="H1016" s="425">
        <v>2.2799999999999998</v>
      </c>
      <c r="I1016" s="457">
        <f t="shared" si="82"/>
        <v>-5.0000000000000266E-2</v>
      </c>
      <c r="J1016" s="152" t="s">
        <v>157</v>
      </c>
      <c r="K1016" s="178">
        <f ca="1">K1014+K1015</f>
        <v>0</v>
      </c>
      <c r="L1016" s="192">
        <f ca="1">L1014+L1015</f>
        <v>76.649999999999963</v>
      </c>
      <c r="M1016" s="113">
        <f t="shared" si="85"/>
        <v>0</v>
      </c>
      <c r="N1016" s="64">
        <f t="shared" si="83"/>
        <v>1</v>
      </c>
    </row>
    <row r="1017" spans="2:14">
      <c r="B1017" s="41"/>
      <c r="C1017" s="61">
        <f t="shared" si="86"/>
        <v>44815</v>
      </c>
      <c r="E1017" s="167"/>
      <c r="F1017" s="121" t="str">
        <f>VLOOKUP(MOD(C1017,7),'CALENDAR INFO'!$I$2:$J$8,2)</f>
        <v>SUN</v>
      </c>
      <c r="G1017" s="214">
        <v>2.33</v>
      </c>
      <c r="H1017" s="425">
        <v>2.2799999999999998</v>
      </c>
      <c r="I1017" s="457">
        <f t="shared" si="82"/>
        <v>-5.0000000000000266E-2</v>
      </c>
      <c r="J1017" s="152"/>
      <c r="K1017" s="178"/>
      <c r="L1017" s="192"/>
      <c r="M1017" s="113">
        <f t="shared" si="85"/>
        <v>0</v>
      </c>
      <c r="N1017" s="64">
        <f t="shared" si="83"/>
        <v>1</v>
      </c>
    </row>
    <row r="1018" spans="2:14">
      <c r="B1018" s="41"/>
      <c r="C1018" s="61">
        <f t="shared" si="86"/>
        <v>44816</v>
      </c>
      <c r="E1018" s="167"/>
      <c r="F1018" s="121" t="str">
        <f>VLOOKUP(MOD(C1018,7),'CALENDAR INFO'!$I$2:$J$8,2)</f>
        <v>MON</v>
      </c>
      <c r="G1018" s="214">
        <v>2.33</v>
      </c>
      <c r="H1018" s="425">
        <v>2.2799999999999998</v>
      </c>
      <c r="I1018" s="457">
        <f t="shared" si="82"/>
        <v>-5.0000000000000266E-2</v>
      </c>
      <c r="J1018" s="152" t="s">
        <v>158</v>
      </c>
      <c r="K1018" s="178">
        <f ca="1">K1016/K1007</f>
        <v>0</v>
      </c>
      <c r="L1018" s="192">
        <f ca="1">L1016/L1007</f>
        <v>2.5549999999999988</v>
      </c>
      <c r="M1018" s="113">
        <f t="shared" si="85"/>
        <v>1</v>
      </c>
      <c r="N1018" s="64">
        <f t="shared" si="83"/>
        <v>1.0000633333333333</v>
      </c>
    </row>
    <row r="1019" spans="2:14">
      <c r="B1019" s="41"/>
      <c r="C1019" s="61">
        <f t="shared" si="86"/>
        <v>44817</v>
      </c>
      <c r="E1019" s="167"/>
      <c r="F1019" s="121" t="str">
        <f>VLOOKUP(MOD(C1019,7),'CALENDAR INFO'!$I$2:$J$8,2)</f>
        <v>TUE</v>
      </c>
      <c r="G1019" s="214">
        <v>2.33</v>
      </c>
      <c r="H1019" s="425">
        <v>2.2799999999999998</v>
      </c>
      <c r="I1019" s="457">
        <f t="shared" si="82"/>
        <v>-5.0000000000000266E-2</v>
      </c>
      <c r="J1019" s="152" t="s">
        <v>159</v>
      </c>
      <c r="K1019" s="180">
        <f ca="1">100-K1018</f>
        <v>100</v>
      </c>
      <c r="L1019" s="193">
        <f ca="1">100-L1018</f>
        <v>97.445000000000007</v>
      </c>
      <c r="M1019" s="113">
        <f t="shared" si="85"/>
        <v>1</v>
      </c>
      <c r="N1019" s="64">
        <f t="shared" si="83"/>
        <v>1.0000633333333333</v>
      </c>
    </row>
    <row r="1020" spans="2:14">
      <c r="B1020" s="41"/>
      <c r="C1020" s="61">
        <f t="shared" si="86"/>
        <v>44818</v>
      </c>
      <c r="E1020" s="167"/>
      <c r="F1020" s="121" t="str">
        <f>VLOOKUP(MOD(C1020,7),'CALENDAR INFO'!$I$2:$J$8,2)</f>
        <v>WED</v>
      </c>
      <c r="G1020" s="214">
        <v>2.33</v>
      </c>
      <c r="H1020" s="425">
        <v>2.27</v>
      </c>
      <c r="I1020" s="457">
        <f t="shared" si="82"/>
        <v>-6.0000000000000053E-2</v>
      </c>
      <c r="J1020" s="152"/>
      <c r="K1020" s="178"/>
      <c r="L1020" s="192"/>
      <c r="M1020" s="113">
        <f t="shared" si="85"/>
        <v>1</v>
      </c>
      <c r="N1020" s="64">
        <f t="shared" si="83"/>
        <v>1.0000630555555556</v>
      </c>
    </row>
    <row r="1021" spans="2:14">
      <c r="B1021" s="41"/>
      <c r="C1021" s="61">
        <f>C1020+1</f>
        <v>44819</v>
      </c>
      <c r="E1021" s="167"/>
      <c r="F1021" s="121" t="str">
        <f>VLOOKUP(MOD(C1021,7),'CALENDAR INFO'!$I$2:$J$8,2)</f>
        <v>THU</v>
      </c>
      <c r="G1021" s="214">
        <v>2.33</v>
      </c>
      <c r="H1021" s="425">
        <v>2.2799999999999998</v>
      </c>
      <c r="I1021" s="457">
        <f t="shared" si="82"/>
        <v>-5.0000000000000266E-2</v>
      </c>
      <c r="J1021" s="152"/>
      <c r="K1021" s="186"/>
      <c r="L1021" s="194"/>
      <c r="M1021" s="113">
        <f t="shared" si="85"/>
        <v>1</v>
      </c>
      <c r="N1021" s="64">
        <f t="shared" si="83"/>
        <v>1.0000633333333333</v>
      </c>
    </row>
    <row r="1022" spans="2:14">
      <c r="B1022" s="41"/>
      <c r="C1022" s="61">
        <f t="shared" si="86"/>
        <v>44820</v>
      </c>
      <c r="E1022" s="167"/>
      <c r="F1022" s="121" t="str">
        <f>VLOOKUP(MOD(C1022,7),'CALENDAR INFO'!$I$2:$J$8,2)</f>
        <v>FRI</v>
      </c>
      <c r="G1022" s="214">
        <v>2.33</v>
      </c>
      <c r="H1022" s="425">
        <v>2.27</v>
      </c>
      <c r="I1022" s="457">
        <f t="shared" si="82"/>
        <v>-6.0000000000000053E-2</v>
      </c>
      <c r="J1022" s="152"/>
      <c r="K1022" s="182"/>
      <c r="L1022" s="202"/>
      <c r="M1022" s="113">
        <f t="shared" si="85"/>
        <v>3</v>
      </c>
      <c r="N1022" s="64">
        <f t="shared" si="83"/>
        <v>1.0001891666666667</v>
      </c>
    </row>
    <row r="1023" spans="2:14">
      <c r="B1023" s="41"/>
      <c r="C1023" s="61">
        <f t="shared" si="86"/>
        <v>44821</v>
      </c>
      <c r="E1023" s="167"/>
      <c r="F1023" s="121" t="str">
        <f>VLOOKUP(MOD(C1023,7),'CALENDAR INFO'!$I$2:$J$8,2)</f>
        <v>SAT</v>
      </c>
      <c r="G1023" s="214">
        <v>2.33</v>
      </c>
      <c r="H1023" s="425">
        <v>2.27</v>
      </c>
      <c r="I1023" s="457">
        <f t="shared" si="82"/>
        <v>-6.0000000000000053E-2</v>
      </c>
      <c r="J1023" s="152"/>
      <c r="K1023" s="182"/>
      <c r="L1023" s="201"/>
      <c r="M1023" s="113">
        <f t="shared" si="85"/>
        <v>0</v>
      </c>
      <c r="N1023" s="64">
        <f t="shared" si="83"/>
        <v>1</v>
      </c>
    </row>
    <row r="1024" spans="2:14">
      <c r="B1024" s="41"/>
      <c r="C1024" s="61">
        <f t="shared" si="86"/>
        <v>44822</v>
      </c>
      <c r="E1024" s="167"/>
      <c r="F1024" s="121" t="str">
        <f>VLOOKUP(MOD(C1024,7),'CALENDAR INFO'!$I$2:$J$8,2)</f>
        <v>SUN</v>
      </c>
      <c r="G1024" s="214">
        <v>2.33</v>
      </c>
      <c r="H1024" s="425">
        <v>2.27</v>
      </c>
      <c r="I1024" s="457">
        <f t="shared" si="82"/>
        <v>-6.0000000000000053E-2</v>
      </c>
      <c r="J1024" s="152"/>
      <c r="K1024" s="221"/>
      <c r="L1024" s="223"/>
      <c r="M1024" s="113">
        <f t="shared" si="85"/>
        <v>0</v>
      </c>
      <c r="N1024" s="64">
        <f t="shared" si="83"/>
        <v>1</v>
      </c>
    </row>
    <row r="1025" spans="1:16">
      <c r="B1025" s="41"/>
      <c r="C1025" s="61">
        <f t="shared" si="86"/>
        <v>44823</v>
      </c>
      <c r="E1025" s="167"/>
      <c r="F1025" s="121" t="str">
        <f>VLOOKUP(MOD(C1025,7),'CALENDAR INFO'!$I$2:$J$8,2)</f>
        <v>MON</v>
      </c>
      <c r="G1025" s="214">
        <v>2.33</v>
      </c>
      <c r="H1025" s="425">
        <v>2.27</v>
      </c>
      <c r="I1025" s="457">
        <f t="shared" si="82"/>
        <v>-6.0000000000000053E-2</v>
      </c>
      <c r="J1025" s="152"/>
      <c r="K1025" s="182"/>
      <c r="L1025" s="201"/>
      <c r="M1025" s="113">
        <f t="shared" si="85"/>
        <v>1</v>
      </c>
      <c r="N1025" s="64">
        <f t="shared" si="83"/>
        <v>1.0000630555555556</v>
      </c>
    </row>
    <row r="1026" spans="1:16">
      <c r="B1026" s="41"/>
      <c r="C1026" s="61">
        <f t="shared" si="86"/>
        <v>44824</v>
      </c>
      <c r="D1026" s="153" t="s">
        <v>20</v>
      </c>
      <c r="E1026" s="167"/>
      <c r="F1026" s="121" t="str">
        <f>VLOOKUP(MOD(C1026,7),'CALENDAR INFO'!$I$2:$J$8,2)</f>
        <v>TUE</v>
      </c>
      <c r="G1026" s="214">
        <v>2.33</v>
      </c>
      <c r="H1026" s="425">
        <v>2.2599999999999998</v>
      </c>
      <c r="I1026" s="457">
        <f t="shared" si="82"/>
        <v>-7.0000000000000284E-2</v>
      </c>
      <c r="J1026" s="152"/>
      <c r="K1026" s="182"/>
      <c r="L1026" s="201"/>
      <c r="M1026" s="113">
        <f t="shared" si="85"/>
        <v>1</v>
      </c>
      <c r="N1026" s="64">
        <f t="shared" si="83"/>
        <v>1.0000627777777777</v>
      </c>
    </row>
    <row r="1027" spans="1:16">
      <c r="B1027" s="41"/>
      <c r="C1027" s="61">
        <f t="shared" si="86"/>
        <v>44825</v>
      </c>
      <c r="D1027" s="153" t="s">
        <v>20</v>
      </c>
      <c r="E1027" s="167" t="s">
        <v>19</v>
      </c>
      <c r="F1027" s="121" t="str">
        <f>VLOOKUP(MOD(C1027,7),'CALENDAR INFO'!$I$2:$J$8,2)</f>
        <v>WED</v>
      </c>
      <c r="G1027" s="214">
        <v>2.33</v>
      </c>
      <c r="H1027" s="425">
        <v>2.25</v>
      </c>
      <c r="I1027" s="457">
        <f t="shared" ref="I1027:I1090" si="87">H1027-G1027</f>
        <v>-8.0000000000000071E-2</v>
      </c>
      <c r="J1027" s="152"/>
      <c r="K1027" s="182"/>
      <c r="L1027" s="201"/>
      <c r="M1027" s="113">
        <f t="shared" si="85"/>
        <v>1</v>
      </c>
      <c r="N1027" s="64">
        <f t="shared" si="83"/>
        <v>1.0000625000000001</v>
      </c>
    </row>
    <row r="1028" spans="1:16">
      <c r="B1028" s="41"/>
      <c r="C1028" s="61">
        <f t="shared" si="86"/>
        <v>44826</v>
      </c>
      <c r="E1028" s="170" t="s">
        <v>18</v>
      </c>
      <c r="F1028" s="121" t="str">
        <f>VLOOKUP(MOD(C1028,7),'CALENDAR INFO'!$I$2:$J$8,2)</f>
        <v>THU</v>
      </c>
      <c r="G1028" s="220">
        <v>3.08</v>
      </c>
      <c r="H1028" s="432">
        <v>2.99</v>
      </c>
      <c r="I1028" s="457">
        <f t="shared" si="87"/>
        <v>-8.9999999999999858E-2</v>
      </c>
      <c r="J1028" s="152"/>
      <c r="K1028" s="221"/>
      <c r="L1028" s="223"/>
      <c r="M1028" s="113">
        <f t="shared" si="85"/>
        <v>1</v>
      </c>
      <c r="N1028" s="64">
        <f t="shared" si="83"/>
        <v>1.0000830555555555</v>
      </c>
    </row>
    <row r="1029" spans="1:16">
      <c r="B1029" s="41"/>
      <c r="C1029" s="61">
        <f t="shared" si="86"/>
        <v>44827</v>
      </c>
      <c r="E1029" s="170"/>
      <c r="F1029" s="121" t="str">
        <f>VLOOKUP(MOD(C1029,7),'CALENDAR INFO'!$I$2:$J$8,2)</f>
        <v>FRI</v>
      </c>
      <c r="G1029" s="214">
        <v>3.08</v>
      </c>
      <c r="H1029" s="425">
        <v>2.99</v>
      </c>
      <c r="I1029" s="457">
        <f t="shared" si="87"/>
        <v>-8.9999999999999858E-2</v>
      </c>
      <c r="J1029" s="152"/>
      <c r="K1029" s="182"/>
      <c r="L1029" s="192"/>
      <c r="M1029" s="113">
        <f t="shared" si="85"/>
        <v>3</v>
      </c>
      <c r="N1029" s="64">
        <f t="shared" si="83"/>
        <v>1.0002491666666666</v>
      </c>
    </row>
    <row r="1030" spans="1:16">
      <c r="B1030" s="41"/>
      <c r="C1030" s="61">
        <f t="shared" si="86"/>
        <v>44828</v>
      </c>
      <c r="E1030" s="170"/>
      <c r="F1030" s="121" t="str">
        <f>VLOOKUP(MOD(C1030,7),'CALENDAR INFO'!$I$2:$J$8,2)</f>
        <v>SAT</v>
      </c>
      <c r="G1030" s="214">
        <v>3.08</v>
      </c>
      <c r="H1030" s="425">
        <v>2.99</v>
      </c>
      <c r="I1030" s="457">
        <f t="shared" si="87"/>
        <v>-8.9999999999999858E-2</v>
      </c>
      <c r="J1030" s="152"/>
      <c r="K1030" s="152"/>
      <c r="L1030" s="222"/>
      <c r="M1030" s="113">
        <f t="shared" si="85"/>
        <v>0</v>
      </c>
      <c r="N1030" s="64">
        <f t="shared" si="83"/>
        <v>1</v>
      </c>
    </row>
    <row r="1031" spans="1:16">
      <c r="B1031" s="41"/>
      <c r="C1031" s="61">
        <f t="shared" si="86"/>
        <v>44829</v>
      </c>
      <c r="E1031" s="170"/>
      <c r="F1031" s="121" t="str">
        <f>VLOOKUP(MOD(C1031,7),'CALENDAR INFO'!$I$2:$J$8,2)</f>
        <v>SUN</v>
      </c>
      <c r="G1031" s="214">
        <v>3.08</v>
      </c>
      <c r="H1031" s="425">
        <v>2.99</v>
      </c>
      <c r="I1031" s="457">
        <f t="shared" si="87"/>
        <v>-8.9999999999999858E-2</v>
      </c>
      <c r="J1031" s="152"/>
      <c r="K1031" s="249"/>
      <c r="L1031" s="250"/>
      <c r="M1031" s="113">
        <f t="shared" si="85"/>
        <v>0</v>
      </c>
      <c r="N1031" s="64">
        <f t="shared" si="83"/>
        <v>1</v>
      </c>
    </row>
    <row r="1032" spans="1:16">
      <c r="B1032" s="41"/>
      <c r="C1032" s="61">
        <f t="shared" si="86"/>
        <v>44830</v>
      </c>
      <c r="E1032" s="170"/>
      <c r="F1032" s="121" t="str">
        <f>VLOOKUP(MOD(C1032,7),'CALENDAR INFO'!$I$2:$J$8,2)</f>
        <v>MON</v>
      </c>
      <c r="G1032" s="214">
        <v>3.08</v>
      </c>
      <c r="H1032" s="425">
        <v>2.99</v>
      </c>
      <c r="I1032" s="457">
        <f t="shared" si="87"/>
        <v>-8.9999999999999858E-2</v>
      </c>
      <c r="J1032" s="152"/>
      <c r="K1032" s="152"/>
      <c r="L1032" s="201"/>
      <c r="M1032" s="113">
        <f t="shared" si="85"/>
        <v>1</v>
      </c>
      <c r="N1032" s="64">
        <f t="shared" si="83"/>
        <v>1.0000830555555555</v>
      </c>
      <c r="O1032" s="282"/>
      <c r="P1032" s="283"/>
    </row>
    <row r="1033" spans="1:16">
      <c r="B1033" s="41"/>
      <c r="C1033" s="61">
        <f t="shared" si="86"/>
        <v>44831</v>
      </c>
      <c r="E1033" s="170"/>
      <c r="F1033" s="121" t="str">
        <f>VLOOKUP(MOD(C1033,7),'CALENDAR INFO'!$I$2:$J$8,2)</f>
        <v>TUE</v>
      </c>
      <c r="G1033" s="214">
        <v>3.08</v>
      </c>
      <c r="H1033" s="425">
        <v>2.98</v>
      </c>
      <c r="I1033" s="457">
        <f t="shared" si="87"/>
        <v>-0.10000000000000009</v>
      </c>
      <c r="J1033" s="152"/>
      <c r="K1033" s="182"/>
      <c r="L1033" s="201"/>
      <c r="M1033" s="113">
        <f t="shared" si="85"/>
        <v>1</v>
      </c>
      <c r="N1033" s="64">
        <f t="shared" si="83"/>
        <v>1.0000827777777779</v>
      </c>
      <c r="O1033" s="282"/>
      <c r="P1033" s="284"/>
    </row>
    <row r="1034" spans="1:16">
      <c r="B1034" s="41"/>
      <c r="C1034" s="61">
        <f t="shared" si="86"/>
        <v>44832</v>
      </c>
      <c r="E1034" s="170"/>
      <c r="F1034" s="121" t="str">
        <f>VLOOKUP(MOD(C1034,7),'CALENDAR INFO'!$I$2:$J$8,2)</f>
        <v>WED</v>
      </c>
      <c r="G1034" s="214">
        <v>3.08</v>
      </c>
      <c r="H1034" s="425">
        <v>2.98</v>
      </c>
      <c r="I1034" s="457">
        <f t="shared" si="87"/>
        <v>-0.10000000000000009</v>
      </c>
      <c r="J1034" s="152"/>
      <c r="K1034" s="190"/>
      <c r="L1034" s="203"/>
      <c r="M1034" s="113">
        <f t="shared" si="85"/>
        <v>1</v>
      </c>
      <c r="N1034" s="64">
        <f t="shared" si="83"/>
        <v>1.0000827777777779</v>
      </c>
      <c r="O1034" s="282"/>
      <c r="P1034" s="284"/>
    </row>
    <row r="1035" spans="1:16">
      <c r="B1035" s="41"/>
      <c r="C1035" s="61">
        <f t="shared" si="86"/>
        <v>44833</v>
      </c>
      <c r="E1035" s="170"/>
      <c r="F1035" s="121" t="str">
        <f>VLOOKUP(MOD(C1035,7),'CALENDAR INFO'!$I$2:$J$8,2)</f>
        <v>THU</v>
      </c>
      <c r="G1035" s="214">
        <v>3.08</v>
      </c>
      <c r="H1035" s="425">
        <v>2.96</v>
      </c>
      <c r="I1035" s="457">
        <f t="shared" si="87"/>
        <v>-0.12000000000000011</v>
      </c>
      <c r="J1035" s="152"/>
      <c r="K1035" s="182"/>
      <c r="L1035" s="201"/>
      <c r="M1035" s="113">
        <f t="shared" si="85"/>
        <v>1</v>
      </c>
      <c r="N1035" s="64">
        <f t="shared" si="83"/>
        <v>1.0000822222222223</v>
      </c>
    </row>
    <row r="1036" spans="1:16" ht="15.75" thickBot="1">
      <c r="A1036" s="98"/>
      <c r="B1036" s="230"/>
      <c r="C1036" s="75">
        <f t="shared" si="86"/>
        <v>44834</v>
      </c>
      <c r="D1036" s="112"/>
      <c r="E1036" s="101"/>
      <c r="F1036" s="138" t="str">
        <f>VLOOKUP(MOD(C1036,7),'CALENDAR INFO'!$I$2:$J$8,2)</f>
        <v>FRI</v>
      </c>
      <c r="G1036" s="215">
        <v>3.08</v>
      </c>
      <c r="H1036" s="426">
        <v>2.98</v>
      </c>
      <c r="I1036" s="458">
        <f t="shared" si="87"/>
        <v>-0.10000000000000009</v>
      </c>
      <c r="J1036" s="437"/>
      <c r="K1036" s="184"/>
      <c r="L1036" s="205"/>
      <c r="M1036" s="113">
        <f t="shared" si="85"/>
        <v>3</v>
      </c>
      <c r="N1036" s="77">
        <f t="shared" si="83"/>
        <v>1.0002483333333334</v>
      </c>
    </row>
    <row r="1037" spans="1:16">
      <c r="B1037" s="41"/>
      <c r="C1037" s="61">
        <f t="shared" si="86"/>
        <v>44835</v>
      </c>
      <c r="E1037" s="170"/>
      <c r="F1037" s="121" t="str">
        <f>VLOOKUP(MOD(C1037,7),'CALENDAR INFO'!$I$2:$J$8,2)</f>
        <v>SAT</v>
      </c>
      <c r="G1037" s="214">
        <v>3.08</v>
      </c>
      <c r="H1037" s="425">
        <v>2.98</v>
      </c>
      <c r="I1037" s="457">
        <f t="shared" si="87"/>
        <v>-0.10000000000000009</v>
      </c>
      <c r="J1037" s="436" t="s">
        <v>118</v>
      </c>
      <c r="K1037" s="15">
        <f>VLOOKUP(MONTH($C1037),'CALENDAR INFO'!$I$12:$J$23,2)</f>
        <v>31</v>
      </c>
      <c r="L1037" s="179">
        <f>K1037</f>
        <v>31</v>
      </c>
      <c r="M1037" s="116">
        <f t="shared" si="85"/>
        <v>0</v>
      </c>
      <c r="N1037" s="111">
        <f t="shared" si="83"/>
        <v>1</v>
      </c>
    </row>
    <row r="1038" spans="1:16">
      <c r="B1038" s="41"/>
      <c r="C1038" s="61">
        <f t="shared" si="86"/>
        <v>44836</v>
      </c>
      <c r="E1038" s="170"/>
      <c r="F1038" s="121" t="str">
        <f>VLOOKUP(MOD(C1038,7),'CALENDAR INFO'!$I$2:$J$8,2)</f>
        <v>SUN</v>
      </c>
      <c r="G1038" s="214">
        <v>3.08</v>
      </c>
      <c r="H1038" s="425">
        <v>2.98</v>
      </c>
      <c r="I1038" s="457">
        <f t="shared" si="87"/>
        <v>-0.10000000000000009</v>
      </c>
      <c r="J1038" s="152" t="s">
        <v>151</v>
      </c>
      <c r="K1038" s="15">
        <f>ROW($C1038)-1</f>
        <v>1037</v>
      </c>
      <c r="L1038" s="179">
        <f>K1038</f>
        <v>1037</v>
      </c>
      <c r="M1038" s="113">
        <f t="shared" si="85"/>
        <v>0</v>
      </c>
      <c r="N1038" s="64">
        <f t="shared" si="83"/>
        <v>1</v>
      </c>
    </row>
    <row r="1039" spans="1:16">
      <c r="B1039" s="41"/>
      <c r="C1039" s="61">
        <f t="shared" si="86"/>
        <v>44837</v>
      </c>
      <c r="E1039" s="170"/>
      <c r="F1039" s="121" t="str">
        <f>VLOOKUP(MOD(C1039,7),'CALENDAR INFO'!$I$2:$J$8,2)</f>
        <v>MON</v>
      </c>
      <c r="G1039" s="214">
        <v>3.08</v>
      </c>
      <c r="H1039" s="425">
        <v>3</v>
      </c>
      <c r="I1039" s="457">
        <f t="shared" si="87"/>
        <v>-8.0000000000000071E-2</v>
      </c>
      <c r="J1039" s="152" t="s">
        <v>152</v>
      </c>
      <c r="K1039" s="15">
        <f>K1037+K1038-1</f>
        <v>1067</v>
      </c>
      <c r="L1039" s="200">
        <f>K1039</f>
        <v>1067</v>
      </c>
      <c r="M1039" s="113">
        <f t="shared" si="85"/>
        <v>1</v>
      </c>
      <c r="N1039" s="64">
        <f t="shared" si="83"/>
        <v>1.0000833333333334</v>
      </c>
    </row>
    <row r="1040" spans="1:16">
      <c r="B1040" s="41"/>
      <c r="C1040" s="61">
        <f t="shared" si="86"/>
        <v>44838</v>
      </c>
      <c r="E1040" s="170"/>
      <c r="F1040" s="121" t="str">
        <f>VLOOKUP(MOD(C1040,7),'CALENDAR INFO'!$I$2:$J$8,2)</f>
        <v>TUE</v>
      </c>
      <c r="G1040" s="214">
        <v>3.08</v>
      </c>
      <c r="H1040" s="425">
        <v>3.04</v>
      </c>
      <c r="I1040" s="457">
        <f t="shared" si="87"/>
        <v>-4.0000000000000036E-2</v>
      </c>
      <c r="J1040" s="152"/>
      <c r="K1040" s="182"/>
      <c r="L1040" s="201"/>
      <c r="M1040" s="113">
        <f t="shared" si="85"/>
        <v>1</v>
      </c>
      <c r="N1040" s="64">
        <f t="shared" si="83"/>
        <v>1.0000844444444446</v>
      </c>
    </row>
    <row r="1041" spans="2:14">
      <c r="B1041" s="41"/>
      <c r="C1041" s="61">
        <f t="shared" si="86"/>
        <v>44839</v>
      </c>
      <c r="E1041" s="170" t="s">
        <v>19</v>
      </c>
      <c r="F1041" s="121" t="str">
        <f>VLOOKUP(MOD(C1041,7),'CALENDAR INFO'!$I$2:$J$8,2)</f>
        <v>WED</v>
      </c>
      <c r="G1041" s="214">
        <v>3.08</v>
      </c>
      <c r="H1041" s="425">
        <v>3.04</v>
      </c>
      <c r="I1041" s="457">
        <f t="shared" si="87"/>
        <v>-4.0000000000000036E-2</v>
      </c>
      <c r="J1041" s="152" t="s">
        <v>153</v>
      </c>
      <c r="K1041" s="182" t="str">
        <f>_xlfn.CONCAT("A",TEXT(K1038,0),":","A",TEXT(K1039,0))</f>
        <v>A1037:A1067</v>
      </c>
      <c r="L1041" s="201" t="str">
        <f>_xlfn.CONCAT("B",TEXT(L1038,0),":","B",TEXT(L1039,0))</f>
        <v>B1037:B1067</v>
      </c>
      <c r="M1041" s="113">
        <f t="shared" si="85"/>
        <v>1</v>
      </c>
      <c r="N1041" s="64">
        <f t="shared" si="83"/>
        <v>1.0000844444444446</v>
      </c>
    </row>
    <row r="1042" spans="2:14">
      <c r="B1042" s="41"/>
      <c r="C1042" s="61">
        <f t="shared" si="86"/>
        <v>44840</v>
      </c>
      <c r="E1042" s="167" t="s">
        <v>18</v>
      </c>
      <c r="F1042" s="121" t="str">
        <f>VLOOKUP(MOD(C1042,7),'CALENDAR INFO'!$I$2:$J$8,2)</f>
        <v>THU</v>
      </c>
      <c r="G1042" s="214">
        <v>3.08</v>
      </c>
      <c r="H1042" s="425">
        <v>3.05</v>
      </c>
      <c r="I1042" s="457">
        <f t="shared" si="87"/>
        <v>-3.0000000000000249E-2</v>
      </c>
      <c r="J1042" s="152" t="s">
        <v>154</v>
      </c>
      <c r="K1042" s="182" t="str">
        <f>_xlfn.CONCAT("F",TEXT(K1038,0),":","F",TEXT(K1039,0))</f>
        <v>F1037:F1067</v>
      </c>
      <c r="L1042" s="201" t="str">
        <f>_xlfn.CONCAT("G",TEXT(L1038,0),":","G",TEXT(L1039,0))</f>
        <v>G1037:G1067</v>
      </c>
      <c r="M1042" s="113">
        <f t="shared" si="85"/>
        <v>1</v>
      </c>
      <c r="N1042" s="64">
        <f t="shared" si="83"/>
        <v>1.0000847222222222</v>
      </c>
    </row>
    <row r="1043" spans="2:14">
      <c r="B1043" s="41"/>
      <c r="C1043" s="61">
        <f t="shared" si="86"/>
        <v>44841</v>
      </c>
      <c r="E1043" s="167"/>
      <c r="F1043" s="121" t="str">
        <f>VLOOKUP(MOD(C1043,7),'CALENDAR INFO'!$I$2:$J$8,2)</f>
        <v>FRI</v>
      </c>
      <c r="G1043" s="214">
        <v>3.08</v>
      </c>
      <c r="H1043" s="425">
        <v>3.05</v>
      </c>
      <c r="I1043" s="457">
        <f t="shared" si="87"/>
        <v>-3.0000000000000249E-2</v>
      </c>
      <c r="J1043" s="152"/>
      <c r="K1043" s="152"/>
      <c r="L1043" s="202"/>
      <c r="M1043" s="117">
        <v>4</v>
      </c>
      <c r="N1043" s="64">
        <f t="shared" ref="N1043:N1106" si="88">1+(M1043/360)*(MAX(H1043,B1043)/100)</f>
        <v>1.0003388888888889</v>
      </c>
    </row>
    <row r="1044" spans="2:14">
      <c r="B1044" s="41"/>
      <c r="C1044" s="61">
        <f t="shared" si="86"/>
        <v>44842</v>
      </c>
      <c r="E1044" s="167"/>
      <c r="F1044" s="121" t="str">
        <f>VLOOKUP(MOD(C1044,7),'CALENDAR INFO'!$I$2:$J$8,2)</f>
        <v>SAT</v>
      </c>
      <c r="G1044" s="214">
        <v>3.08</v>
      </c>
      <c r="H1044" s="425">
        <v>3.05</v>
      </c>
      <c r="I1044" s="457">
        <f t="shared" si="87"/>
        <v>-3.0000000000000249E-2</v>
      </c>
      <c r="J1044" s="152" t="s">
        <v>155</v>
      </c>
      <c r="K1044" s="185">
        <f ca="1">SUM(INDIRECT(K1041))</f>
        <v>0</v>
      </c>
      <c r="L1044" s="93">
        <f ca="1">SUM(INDIRECT(L1041))</f>
        <v>0</v>
      </c>
      <c r="M1044" s="113">
        <f>IF(MOD(C1044,7)&lt;2,0,IF(MOD(C1044,7)=6,3,1))</f>
        <v>0</v>
      </c>
      <c r="N1044" s="64">
        <f t="shared" si="88"/>
        <v>1</v>
      </c>
    </row>
    <row r="1045" spans="2:14">
      <c r="B1045" s="41"/>
      <c r="C1045" s="61">
        <f t="shared" si="86"/>
        <v>44843</v>
      </c>
      <c r="E1045" s="167"/>
      <c r="F1045" s="121" t="str">
        <f>VLOOKUP(MOD(C1045,7),'CALENDAR INFO'!$I$2:$J$8,2)</f>
        <v>SUN</v>
      </c>
      <c r="G1045" s="214">
        <v>3.08</v>
      </c>
      <c r="H1045" s="425">
        <v>3.05</v>
      </c>
      <c r="I1045" s="457">
        <f t="shared" si="87"/>
        <v>-3.0000000000000249E-2</v>
      </c>
      <c r="J1045" s="152" t="s">
        <v>156</v>
      </c>
      <c r="K1045" s="207">
        <f ca="1">SUM(INDIRECT(K1042))</f>
        <v>0</v>
      </c>
      <c r="L1045" s="208">
        <f ca="1">SUM(INDIRECT(L1042))</f>
        <v>95.479999999999961</v>
      </c>
      <c r="M1045" s="113">
        <f>IF(MOD(C1045,7)&lt;2,0,IF(MOD(C1045,7)=6,3,1))</f>
        <v>0</v>
      </c>
      <c r="N1045" s="64">
        <f t="shared" si="88"/>
        <v>1</v>
      </c>
    </row>
    <row r="1046" spans="2:14">
      <c r="B1046" s="41"/>
      <c r="C1046" s="61">
        <f t="shared" si="86"/>
        <v>44844</v>
      </c>
      <c r="D1046" s="173" t="s">
        <v>108</v>
      </c>
      <c r="E1046" s="167"/>
      <c r="F1046" s="121" t="str">
        <f>VLOOKUP(MOD(C1046,7),'CALENDAR INFO'!$I$2:$J$8,2)</f>
        <v>MON</v>
      </c>
      <c r="G1046" s="214">
        <v>3.08</v>
      </c>
      <c r="H1046" s="425">
        <v>3.05</v>
      </c>
      <c r="I1046" s="457">
        <f t="shared" si="87"/>
        <v>-3.0000000000000249E-2</v>
      </c>
      <c r="J1046" s="152" t="s">
        <v>157</v>
      </c>
      <c r="K1046" s="178">
        <f ca="1">K1044+K1045</f>
        <v>0</v>
      </c>
      <c r="L1046" s="192">
        <f ca="1">L1044+L1045</f>
        <v>95.479999999999961</v>
      </c>
      <c r="M1046" s="117">
        <v>0</v>
      </c>
      <c r="N1046" s="64">
        <f t="shared" si="88"/>
        <v>1</v>
      </c>
    </row>
    <row r="1047" spans="2:14">
      <c r="B1047" s="41"/>
      <c r="C1047" s="61">
        <f t="shared" si="86"/>
        <v>44845</v>
      </c>
      <c r="E1047" s="167"/>
      <c r="F1047" s="121" t="str">
        <f>VLOOKUP(MOD(C1047,7),'CALENDAR INFO'!$I$2:$J$8,2)</f>
        <v>TUE</v>
      </c>
      <c r="G1047" s="214">
        <v>3.08</v>
      </c>
      <c r="H1047" s="425">
        <v>3.05</v>
      </c>
      <c r="I1047" s="457">
        <f t="shared" si="87"/>
        <v>-3.0000000000000249E-2</v>
      </c>
      <c r="J1047" s="152"/>
      <c r="K1047" s="178"/>
      <c r="L1047" s="192"/>
      <c r="M1047" s="113">
        <f t="shared" ref="M1047:M1076" si="89">IF(MOD(C1047,7)&lt;2,0,IF(MOD(C1047,7)=6,3,1))</f>
        <v>1</v>
      </c>
      <c r="N1047" s="64">
        <f t="shared" si="88"/>
        <v>1.0000847222222222</v>
      </c>
    </row>
    <row r="1048" spans="2:14">
      <c r="B1048" s="41"/>
      <c r="C1048" s="61">
        <f t="shared" si="86"/>
        <v>44846</v>
      </c>
      <c r="E1048" s="167"/>
      <c r="F1048" s="121" t="str">
        <f>VLOOKUP(MOD(C1048,7),'CALENDAR INFO'!$I$2:$J$8,2)</f>
        <v>WED</v>
      </c>
      <c r="G1048" s="214">
        <v>3.08</v>
      </c>
      <c r="H1048" s="425">
        <v>3.04</v>
      </c>
      <c r="I1048" s="457">
        <f t="shared" si="87"/>
        <v>-4.0000000000000036E-2</v>
      </c>
      <c r="J1048" s="152" t="s">
        <v>158</v>
      </c>
      <c r="K1048" s="178">
        <f ca="1">K1046/K1037</f>
        <v>0</v>
      </c>
      <c r="L1048" s="192">
        <f ca="1">L1046/L1037</f>
        <v>3.0799999999999987</v>
      </c>
      <c r="M1048" s="113">
        <f t="shared" si="89"/>
        <v>1</v>
      </c>
      <c r="N1048" s="64">
        <f t="shared" si="88"/>
        <v>1.0000844444444446</v>
      </c>
    </row>
    <row r="1049" spans="2:14">
      <c r="B1049" s="41"/>
      <c r="C1049" s="61">
        <f t="shared" si="86"/>
        <v>44847</v>
      </c>
      <c r="E1049" s="167"/>
      <c r="F1049" s="121" t="str">
        <f>VLOOKUP(MOD(C1049,7),'CALENDAR INFO'!$I$2:$J$8,2)</f>
        <v>THU</v>
      </c>
      <c r="G1049" s="214">
        <v>3.08</v>
      </c>
      <c r="H1049" s="425">
        <v>3.04</v>
      </c>
      <c r="I1049" s="457">
        <f t="shared" si="87"/>
        <v>-4.0000000000000036E-2</v>
      </c>
      <c r="J1049" s="152" t="s">
        <v>159</v>
      </c>
      <c r="K1049" s="180">
        <f ca="1">100-K1048</f>
        <v>100</v>
      </c>
      <c r="L1049" s="193">
        <f ca="1">100-L1048</f>
        <v>96.92</v>
      </c>
      <c r="M1049" s="113">
        <f t="shared" si="89"/>
        <v>1</v>
      </c>
      <c r="N1049" s="64">
        <f t="shared" si="88"/>
        <v>1.0000844444444446</v>
      </c>
    </row>
    <row r="1050" spans="2:14">
      <c r="B1050" s="41"/>
      <c r="C1050" s="61">
        <f t="shared" si="86"/>
        <v>44848</v>
      </c>
      <c r="E1050" s="167"/>
      <c r="F1050" s="121" t="str">
        <f>VLOOKUP(MOD(C1050,7),'CALENDAR INFO'!$I$2:$J$8,2)</f>
        <v>FRI</v>
      </c>
      <c r="G1050" s="214">
        <v>3.08</v>
      </c>
      <c r="H1050" s="425">
        <v>3.04</v>
      </c>
      <c r="I1050" s="457">
        <f t="shared" si="87"/>
        <v>-4.0000000000000036E-2</v>
      </c>
      <c r="J1050" s="152"/>
      <c r="K1050" s="178"/>
      <c r="L1050" s="192"/>
      <c r="M1050" s="113">
        <f t="shared" si="89"/>
        <v>3</v>
      </c>
      <c r="N1050" s="64">
        <f t="shared" si="88"/>
        <v>1.0002533333333334</v>
      </c>
    </row>
    <row r="1051" spans="2:14">
      <c r="B1051" s="41"/>
      <c r="C1051" s="61">
        <f t="shared" si="86"/>
        <v>44849</v>
      </c>
      <c r="E1051" s="167"/>
      <c r="F1051" s="121" t="str">
        <f>VLOOKUP(MOD(C1051,7),'CALENDAR INFO'!$I$2:$J$8,2)</f>
        <v>SAT</v>
      </c>
      <c r="G1051" s="214">
        <v>3.08</v>
      </c>
      <c r="H1051" s="425">
        <v>3.04</v>
      </c>
      <c r="I1051" s="457">
        <f t="shared" si="87"/>
        <v>-4.0000000000000036E-2</v>
      </c>
      <c r="J1051" s="152"/>
      <c r="K1051" s="186"/>
      <c r="L1051" s="194"/>
      <c r="M1051" s="113">
        <f t="shared" si="89"/>
        <v>0</v>
      </c>
      <c r="N1051" s="64">
        <f t="shared" si="88"/>
        <v>1</v>
      </c>
    </row>
    <row r="1052" spans="2:14">
      <c r="B1052" s="41"/>
      <c r="C1052" s="61">
        <f t="shared" si="86"/>
        <v>44850</v>
      </c>
      <c r="E1052" s="167"/>
      <c r="F1052" s="121" t="str">
        <f>VLOOKUP(MOD(C1052,7),'CALENDAR INFO'!$I$2:$J$8,2)</f>
        <v>SUN</v>
      </c>
      <c r="G1052" s="214">
        <v>3.08</v>
      </c>
      <c r="H1052" s="425">
        <v>3.04</v>
      </c>
      <c r="I1052" s="457">
        <f t="shared" si="87"/>
        <v>-4.0000000000000036E-2</v>
      </c>
      <c r="J1052" s="152"/>
      <c r="K1052" s="152"/>
      <c r="L1052" s="202"/>
      <c r="M1052" s="113">
        <f t="shared" si="89"/>
        <v>0</v>
      </c>
      <c r="N1052" s="64">
        <f t="shared" si="88"/>
        <v>1</v>
      </c>
    </row>
    <row r="1053" spans="2:14">
      <c r="B1053" s="41"/>
      <c r="C1053" s="61">
        <f t="shared" si="86"/>
        <v>44851</v>
      </c>
      <c r="E1053" s="167"/>
      <c r="F1053" s="121" t="str">
        <f>VLOOKUP(MOD(C1053,7),'CALENDAR INFO'!$I$2:$J$8,2)</f>
        <v>MON</v>
      </c>
      <c r="G1053" s="214">
        <v>3.08</v>
      </c>
      <c r="H1053" s="425">
        <v>3.05</v>
      </c>
      <c r="I1053" s="457">
        <f t="shared" si="87"/>
        <v>-3.0000000000000249E-2</v>
      </c>
      <c r="J1053" s="152"/>
      <c r="K1053" s="182"/>
      <c r="L1053" s="201"/>
      <c r="M1053" s="113">
        <f t="shared" si="89"/>
        <v>1</v>
      </c>
      <c r="N1053" s="64">
        <f t="shared" si="88"/>
        <v>1.0000847222222222</v>
      </c>
    </row>
    <row r="1054" spans="2:14">
      <c r="B1054" s="41"/>
      <c r="C1054" s="61">
        <f t="shared" si="86"/>
        <v>44852</v>
      </c>
      <c r="E1054" s="167"/>
      <c r="F1054" s="121" t="str">
        <f>VLOOKUP(MOD(C1054,7),'CALENDAR INFO'!$I$2:$J$8,2)</f>
        <v>TUE</v>
      </c>
      <c r="G1054" s="214">
        <v>3.08</v>
      </c>
      <c r="H1054" s="425">
        <v>3.04</v>
      </c>
      <c r="I1054" s="457">
        <f t="shared" si="87"/>
        <v>-4.0000000000000036E-2</v>
      </c>
      <c r="J1054" s="152"/>
      <c r="K1054" s="221"/>
      <c r="L1054" s="223"/>
      <c r="M1054" s="113">
        <f t="shared" si="89"/>
        <v>1</v>
      </c>
      <c r="N1054" s="64">
        <f t="shared" si="88"/>
        <v>1.0000844444444446</v>
      </c>
    </row>
    <row r="1055" spans="2:14">
      <c r="B1055" s="41"/>
      <c r="C1055" s="61">
        <f t="shared" si="86"/>
        <v>44853</v>
      </c>
      <c r="E1055" s="167" t="s">
        <v>19</v>
      </c>
      <c r="F1055" s="121" t="str">
        <f>VLOOKUP(MOD(C1055,7),'CALENDAR INFO'!$I$2:$J$8,2)</f>
        <v>WED</v>
      </c>
      <c r="G1055" s="214">
        <v>3.08</v>
      </c>
      <c r="H1055" s="425">
        <v>3.04</v>
      </c>
      <c r="I1055" s="457">
        <f t="shared" si="87"/>
        <v>-4.0000000000000036E-2</v>
      </c>
      <c r="J1055" s="152"/>
      <c r="K1055" s="182"/>
      <c r="L1055" s="201"/>
      <c r="M1055" s="113">
        <f t="shared" si="89"/>
        <v>1</v>
      </c>
      <c r="N1055" s="64">
        <f t="shared" si="88"/>
        <v>1.0000844444444446</v>
      </c>
    </row>
    <row r="1056" spans="2:14">
      <c r="B1056" s="41"/>
      <c r="C1056" s="61">
        <f t="shared" si="86"/>
        <v>44854</v>
      </c>
      <c r="E1056" s="170" t="s">
        <v>18</v>
      </c>
      <c r="F1056" s="121" t="str">
        <f>VLOOKUP(MOD(C1056,7),'CALENDAR INFO'!$I$2:$J$8,2)</f>
        <v>THU</v>
      </c>
      <c r="G1056" s="214">
        <v>3.08</v>
      </c>
      <c r="H1056" s="425">
        <v>3.03</v>
      </c>
      <c r="I1056" s="457">
        <f t="shared" si="87"/>
        <v>-5.0000000000000266E-2</v>
      </c>
      <c r="J1056" s="152"/>
      <c r="K1056" s="182"/>
      <c r="L1056" s="201"/>
      <c r="M1056" s="113">
        <f t="shared" si="89"/>
        <v>1</v>
      </c>
      <c r="N1056" s="64">
        <f t="shared" si="88"/>
        <v>1.0000841666666667</v>
      </c>
    </row>
    <row r="1057" spans="1:16">
      <c r="B1057" s="41"/>
      <c r="C1057" s="61">
        <f t="shared" si="86"/>
        <v>44855</v>
      </c>
      <c r="E1057" s="170"/>
      <c r="F1057" s="121" t="str">
        <f>VLOOKUP(MOD(C1057,7),'CALENDAR INFO'!$I$2:$J$8,2)</f>
        <v>FRI</v>
      </c>
      <c r="G1057" s="214">
        <v>3.08</v>
      </c>
      <c r="H1057" s="425">
        <v>3.02</v>
      </c>
      <c r="I1057" s="457">
        <f t="shared" si="87"/>
        <v>-6.0000000000000053E-2</v>
      </c>
      <c r="J1057" s="152"/>
      <c r="K1057" s="182"/>
      <c r="L1057" s="201"/>
      <c r="M1057" s="113">
        <f t="shared" si="89"/>
        <v>3</v>
      </c>
      <c r="N1057" s="64">
        <f t="shared" si="88"/>
        <v>1.0002516666666668</v>
      </c>
    </row>
    <row r="1058" spans="1:16">
      <c r="B1058" s="41"/>
      <c r="C1058" s="61">
        <f t="shared" si="86"/>
        <v>44856</v>
      </c>
      <c r="E1058" s="170"/>
      <c r="F1058" s="121" t="str">
        <f>VLOOKUP(MOD(C1058,7),'CALENDAR INFO'!$I$2:$J$8,2)</f>
        <v>SAT</v>
      </c>
      <c r="G1058" s="214">
        <v>3.08</v>
      </c>
      <c r="H1058" s="425">
        <v>3.02</v>
      </c>
      <c r="I1058" s="457">
        <f t="shared" si="87"/>
        <v>-6.0000000000000053E-2</v>
      </c>
      <c r="J1058" s="152"/>
      <c r="K1058" s="221"/>
      <c r="L1058" s="223"/>
      <c r="M1058" s="113">
        <f t="shared" si="89"/>
        <v>0</v>
      </c>
      <c r="N1058" s="64">
        <f t="shared" si="88"/>
        <v>1</v>
      </c>
    </row>
    <row r="1059" spans="1:16">
      <c r="B1059" s="41"/>
      <c r="C1059" s="61">
        <f t="shared" si="86"/>
        <v>44857</v>
      </c>
      <c r="E1059" s="170"/>
      <c r="F1059" s="121" t="str">
        <f>VLOOKUP(MOD(C1059,7),'CALENDAR INFO'!$I$2:$J$8,2)</f>
        <v>SUN</v>
      </c>
      <c r="G1059" s="214">
        <v>3.08</v>
      </c>
      <c r="H1059" s="425">
        <v>3.02</v>
      </c>
      <c r="I1059" s="457">
        <f t="shared" si="87"/>
        <v>-6.0000000000000053E-2</v>
      </c>
      <c r="J1059" s="152"/>
      <c r="K1059" s="182"/>
      <c r="L1059" s="192"/>
      <c r="M1059" s="113">
        <f t="shared" si="89"/>
        <v>0</v>
      </c>
      <c r="N1059" s="64">
        <f t="shared" si="88"/>
        <v>1</v>
      </c>
    </row>
    <row r="1060" spans="1:16">
      <c r="B1060" s="41"/>
      <c r="C1060" s="61">
        <f t="shared" si="86"/>
        <v>44858</v>
      </c>
      <c r="E1060" s="170"/>
      <c r="F1060" s="121" t="str">
        <f>VLOOKUP(MOD(C1060,7),'CALENDAR INFO'!$I$2:$J$8,2)</f>
        <v>MON</v>
      </c>
      <c r="G1060" s="214">
        <v>3.08</v>
      </c>
      <c r="H1060" s="425">
        <v>3.01</v>
      </c>
      <c r="I1060" s="457">
        <f t="shared" si="87"/>
        <v>-7.0000000000000284E-2</v>
      </c>
      <c r="J1060" s="152"/>
      <c r="K1060" s="152"/>
      <c r="L1060" s="222"/>
      <c r="M1060" s="113">
        <f t="shared" si="89"/>
        <v>1</v>
      </c>
      <c r="N1060" s="64">
        <f t="shared" si="88"/>
        <v>1.0000836111111111</v>
      </c>
    </row>
    <row r="1061" spans="1:16">
      <c r="B1061" s="41"/>
      <c r="C1061" s="61">
        <f t="shared" si="86"/>
        <v>44859</v>
      </c>
      <c r="E1061" s="170"/>
      <c r="F1061" s="121" t="str">
        <f>VLOOKUP(MOD(C1061,7),'CALENDAR INFO'!$I$2:$J$8,2)</f>
        <v>TUE</v>
      </c>
      <c r="G1061" s="214">
        <v>3.08</v>
      </c>
      <c r="H1061" s="425">
        <v>3.02</v>
      </c>
      <c r="I1061" s="457">
        <f t="shared" si="87"/>
        <v>-6.0000000000000053E-2</v>
      </c>
      <c r="J1061" s="152"/>
      <c r="K1061" s="182"/>
      <c r="L1061" s="201"/>
      <c r="M1061" s="113">
        <f t="shared" si="89"/>
        <v>1</v>
      </c>
      <c r="N1061" s="64">
        <f t="shared" si="88"/>
        <v>1.000083888888889</v>
      </c>
    </row>
    <row r="1062" spans="1:16">
      <c r="B1062" s="41"/>
      <c r="C1062" s="61">
        <f t="shared" si="86"/>
        <v>44860</v>
      </c>
      <c r="E1062" s="170"/>
      <c r="F1062" s="121" t="str">
        <f>VLOOKUP(MOD(C1062,7),'CALENDAR INFO'!$I$2:$J$8,2)</f>
        <v>WED</v>
      </c>
      <c r="G1062" s="214">
        <v>3.08</v>
      </c>
      <c r="H1062" s="425">
        <v>3.03</v>
      </c>
      <c r="I1062" s="457">
        <f t="shared" si="87"/>
        <v>-5.0000000000000266E-2</v>
      </c>
      <c r="J1062" s="152"/>
      <c r="K1062" s="182"/>
      <c r="L1062" s="201"/>
      <c r="M1062" s="113">
        <f t="shared" si="89"/>
        <v>1</v>
      </c>
      <c r="N1062" s="64">
        <f t="shared" si="88"/>
        <v>1.0000841666666667</v>
      </c>
    </row>
    <row r="1063" spans="1:16">
      <c r="B1063" s="41"/>
      <c r="C1063" s="61">
        <f t="shared" si="86"/>
        <v>44861</v>
      </c>
      <c r="E1063" s="170"/>
      <c r="F1063" s="121" t="str">
        <f>VLOOKUP(MOD(C1063,7),'CALENDAR INFO'!$I$2:$J$8,2)</f>
        <v>THU</v>
      </c>
      <c r="G1063" s="214">
        <v>3.08</v>
      </c>
      <c r="H1063" s="425">
        <v>3.04</v>
      </c>
      <c r="I1063" s="457">
        <f t="shared" si="87"/>
        <v>-4.0000000000000036E-2</v>
      </c>
      <c r="J1063" s="152"/>
      <c r="K1063" s="152"/>
      <c r="L1063" s="202"/>
      <c r="M1063" s="113">
        <f t="shared" si="89"/>
        <v>1</v>
      </c>
      <c r="N1063" s="64">
        <f t="shared" si="88"/>
        <v>1.0000844444444446</v>
      </c>
      <c r="O1063" s="282"/>
      <c r="P1063" s="283"/>
    </row>
    <row r="1064" spans="1:16">
      <c r="B1064" s="41"/>
      <c r="C1064" s="61">
        <f t="shared" si="86"/>
        <v>44862</v>
      </c>
      <c r="E1064" s="170"/>
      <c r="F1064" s="121" t="str">
        <f>VLOOKUP(MOD(C1064,7),'CALENDAR INFO'!$I$2:$J$8,2)</f>
        <v>FRI</v>
      </c>
      <c r="G1064" s="214">
        <v>3.08</v>
      </c>
      <c r="H1064" s="425">
        <v>3.05</v>
      </c>
      <c r="I1064" s="457">
        <f t="shared" si="87"/>
        <v>-3.0000000000000249E-2</v>
      </c>
      <c r="J1064" s="152"/>
      <c r="K1064" s="182"/>
      <c r="L1064" s="201"/>
      <c r="M1064" s="113">
        <f t="shared" si="89"/>
        <v>3</v>
      </c>
      <c r="N1064" s="64">
        <f t="shared" si="88"/>
        <v>1.0002541666666667</v>
      </c>
      <c r="O1064" s="282"/>
      <c r="P1064" s="284"/>
    </row>
    <row r="1065" spans="1:16">
      <c r="B1065" s="41"/>
      <c r="C1065" s="61">
        <f t="shared" si="86"/>
        <v>44863</v>
      </c>
      <c r="E1065" s="170"/>
      <c r="F1065" s="121" t="str">
        <f>VLOOKUP(MOD(C1065,7),'CALENDAR INFO'!$I$2:$J$8,2)</f>
        <v>SAT</v>
      </c>
      <c r="G1065" s="214">
        <v>3.08</v>
      </c>
      <c r="H1065" s="425">
        <v>3.05</v>
      </c>
      <c r="I1065" s="457">
        <f t="shared" si="87"/>
        <v>-3.0000000000000249E-2</v>
      </c>
      <c r="J1065" s="152"/>
      <c r="K1065" s="190"/>
      <c r="L1065" s="203"/>
      <c r="M1065" s="113">
        <f t="shared" si="89"/>
        <v>0</v>
      </c>
      <c r="N1065" s="64">
        <f t="shared" si="88"/>
        <v>1</v>
      </c>
      <c r="O1065" s="282"/>
      <c r="P1065" s="284"/>
    </row>
    <row r="1066" spans="1:16">
      <c r="B1066" s="41"/>
      <c r="C1066" s="61">
        <f t="shared" si="86"/>
        <v>44864</v>
      </c>
      <c r="E1066" s="170"/>
      <c r="F1066" s="121" t="str">
        <f>VLOOKUP(MOD(C1066,7),'CALENDAR INFO'!$I$2:$J$8,2)</f>
        <v>SUN</v>
      </c>
      <c r="G1066" s="214">
        <v>3.08</v>
      </c>
      <c r="H1066" s="425">
        <v>3.05</v>
      </c>
      <c r="I1066" s="457">
        <f t="shared" si="87"/>
        <v>-3.0000000000000249E-2</v>
      </c>
      <c r="J1066" s="152"/>
      <c r="K1066" s="182"/>
      <c r="L1066" s="201"/>
      <c r="M1066" s="113">
        <f t="shared" si="89"/>
        <v>0</v>
      </c>
      <c r="N1066" s="64">
        <f t="shared" si="88"/>
        <v>1</v>
      </c>
    </row>
    <row r="1067" spans="1:16" ht="15.75" thickBot="1">
      <c r="A1067" s="98"/>
      <c r="B1067" s="230"/>
      <c r="C1067" s="75">
        <f t="shared" si="86"/>
        <v>44865</v>
      </c>
      <c r="D1067" s="112"/>
      <c r="E1067" s="101"/>
      <c r="F1067" s="138" t="str">
        <f>VLOOKUP(MOD(C1067,7),'CALENDAR INFO'!$I$2:$J$8,2)</f>
        <v>MON</v>
      </c>
      <c r="G1067" s="215">
        <v>3.08</v>
      </c>
      <c r="H1067" s="426">
        <v>3.05</v>
      </c>
      <c r="I1067" s="458">
        <f t="shared" si="87"/>
        <v>-3.0000000000000249E-2</v>
      </c>
      <c r="J1067" s="437"/>
      <c r="K1067" s="184"/>
      <c r="L1067" s="205"/>
      <c r="M1067" s="113">
        <f t="shared" si="89"/>
        <v>1</v>
      </c>
      <c r="N1067" s="77">
        <f t="shared" si="88"/>
        <v>1.0000847222222222</v>
      </c>
    </row>
    <row r="1068" spans="1:16">
      <c r="B1068" s="41"/>
      <c r="C1068" s="61">
        <f t="shared" si="86"/>
        <v>44866</v>
      </c>
      <c r="D1068" s="153" t="s">
        <v>20</v>
      </c>
      <c r="E1068" s="170"/>
      <c r="F1068" s="121" t="str">
        <f>VLOOKUP(MOD(C1068,7),'CALENDAR INFO'!$I$2:$J$8,2)</f>
        <v>TUE</v>
      </c>
      <c r="G1068" s="214">
        <v>3.08</v>
      </c>
      <c r="H1068" s="425">
        <v>3.05</v>
      </c>
      <c r="I1068" s="457">
        <f t="shared" si="87"/>
        <v>-3.0000000000000249E-2</v>
      </c>
      <c r="J1068" s="436" t="s">
        <v>118</v>
      </c>
      <c r="K1068" s="15">
        <f>VLOOKUP(MONTH($C1068),'CALENDAR INFO'!$I$12:$J$23,2)</f>
        <v>30</v>
      </c>
      <c r="L1068" s="179">
        <f>K1068</f>
        <v>30</v>
      </c>
      <c r="M1068" s="116">
        <f t="shared" si="89"/>
        <v>1</v>
      </c>
      <c r="N1068" s="111">
        <f t="shared" si="88"/>
        <v>1.0000847222222222</v>
      </c>
    </row>
    <row r="1069" spans="1:16">
      <c r="B1069" s="41"/>
      <c r="C1069" s="61">
        <f t="shared" si="86"/>
        <v>44867</v>
      </c>
      <c r="D1069" s="153" t="s">
        <v>20</v>
      </c>
      <c r="E1069" s="170" t="s">
        <v>19</v>
      </c>
      <c r="F1069" s="121" t="str">
        <f>VLOOKUP(MOD(C1069,7),'CALENDAR INFO'!$I$2:$J$8,2)</f>
        <v>WED</v>
      </c>
      <c r="G1069" s="214">
        <v>3.08</v>
      </c>
      <c r="H1069" s="425">
        <v>3.05</v>
      </c>
      <c r="I1069" s="457">
        <f t="shared" si="87"/>
        <v>-3.0000000000000249E-2</v>
      </c>
      <c r="J1069" s="152" t="s">
        <v>151</v>
      </c>
      <c r="K1069" s="15">
        <f>ROW($C1069)-1</f>
        <v>1068</v>
      </c>
      <c r="L1069" s="179">
        <f>K1069</f>
        <v>1068</v>
      </c>
      <c r="M1069" s="113">
        <f t="shared" si="89"/>
        <v>1</v>
      </c>
      <c r="N1069" s="64">
        <f t="shared" si="88"/>
        <v>1.0000847222222222</v>
      </c>
    </row>
    <row r="1070" spans="1:16">
      <c r="B1070" s="41"/>
      <c r="C1070" s="61">
        <f t="shared" si="86"/>
        <v>44868</v>
      </c>
      <c r="E1070" s="167" t="s">
        <v>18</v>
      </c>
      <c r="F1070" s="121" t="str">
        <f>VLOOKUP(MOD(C1070,7),'CALENDAR INFO'!$I$2:$J$8,2)</f>
        <v>THU</v>
      </c>
      <c r="G1070" s="214">
        <v>3.83</v>
      </c>
      <c r="H1070" s="425">
        <v>3.8</v>
      </c>
      <c r="I1070" s="457">
        <f t="shared" si="87"/>
        <v>-3.0000000000000249E-2</v>
      </c>
      <c r="J1070" s="152" t="s">
        <v>152</v>
      </c>
      <c r="K1070" s="15">
        <f>K1068+K1069-1</f>
        <v>1097</v>
      </c>
      <c r="L1070" s="200">
        <f>K1070</f>
        <v>1097</v>
      </c>
      <c r="M1070" s="113">
        <f t="shared" si="89"/>
        <v>1</v>
      </c>
      <c r="N1070" s="64">
        <f t="shared" si="88"/>
        <v>1.0001055555555556</v>
      </c>
    </row>
    <row r="1071" spans="1:16">
      <c r="B1071" s="41"/>
      <c r="C1071" s="61">
        <f t="shared" si="86"/>
        <v>44869</v>
      </c>
      <c r="E1071" s="167"/>
      <c r="F1071" s="121" t="str">
        <f>VLOOKUP(MOD(C1071,7),'CALENDAR INFO'!$I$2:$J$8,2)</f>
        <v>FRI</v>
      </c>
      <c r="G1071" s="214">
        <v>3.83</v>
      </c>
      <c r="H1071" s="425">
        <v>3.8</v>
      </c>
      <c r="I1071" s="457">
        <f t="shared" si="87"/>
        <v>-3.0000000000000249E-2</v>
      </c>
      <c r="J1071" s="152"/>
      <c r="K1071" s="182"/>
      <c r="L1071" s="201"/>
      <c r="M1071" s="113">
        <f t="shared" si="89"/>
        <v>3</v>
      </c>
      <c r="N1071" s="64">
        <f t="shared" si="88"/>
        <v>1.0003166666666667</v>
      </c>
    </row>
    <row r="1072" spans="1:16">
      <c r="B1072" s="41"/>
      <c r="C1072" s="61">
        <f t="shared" si="86"/>
        <v>44870</v>
      </c>
      <c r="E1072" s="167"/>
      <c r="F1072" s="121" t="str">
        <f>VLOOKUP(MOD(C1072,7),'CALENDAR INFO'!$I$2:$J$8,2)</f>
        <v>SAT</v>
      </c>
      <c r="G1072" s="214">
        <v>3.83</v>
      </c>
      <c r="H1072" s="425">
        <v>3.8</v>
      </c>
      <c r="I1072" s="457">
        <f t="shared" si="87"/>
        <v>-3.0000000000000249E-2</v>
      </c>
      <c r="J1072" s="152" t="s">
        <v>153</v>
      </c>
      <c r="K1072" s="182" t="str">
        <f>_xlfn.CONCAT("A",TEXT(K1069,0),":","A",TEXT(K1070,0))</f>
        <v>A1068:A1097</v>
      </c>
      <c r="L1072" s="201" t="str">
        <f>_xlfn.CONCAT("B",TEXT(L1069,0),":","B",TEXT(L1070,0))</f>
        <v>B1068:B1097</v>
      </c>
      <c r="M1072" s="113">
        <f t="shared" si="89"/>
        <v>0</v>
      </c>
      <c r="N1072" s="64">
        <f t="shared" si="88"/>
        <v>1</v>
      </c>
    </row>
    <row r="1073" spans="2:14">
      <c r="B1073" s="41"/>
      <c r="C1073" s="61">
        <f t="shared" si="86"/>
        <v>44871</v>
      </c>
      <c r="E1073" s="167"/>
      <c r="F1073" s="121" t="str">
        <f>VLOOKUP(MOD(C1073,7),'CALENDAR INFO'!$I$2:$J$8,2)</f>
        <v>SUN</v>
      </c>
      <c r="G1073" s="214">
        <v>3.83</v>
      </c>
      <c r="H1073" s="425">
        <v>3.8</v>
      </c>
      <c r="I1073" s="457">
        <f t="shared" si="87"/>
        <v>-3.0000000000000249E-2</v>
      </c>
      <c r="J1073" s="152" t="s">
        <v>154</v>
      </c>
      <c r="K1073" s="182" t="str">
        <f>_xlfn.CONCAT("F",TEXT(K1069,0),":","F",TEXT(K1070,0))</f>
        <v>F1068:F1097</v>
      </c>
      <c r="L1073" s="201" t="str">
        <f>_xlfn.CONCAT("G",TEXT(L1069,0),":","G",TEXT(L1070,0))</f>
        <v>G1068:G1097</v>
      </c>
      <c r="M1073" s="113">
        <f t="shared" si="89"/>
        <v>0</v>
      </c>
      <c r="N1073" s="64">
        <f t="shared" si="88"/>
        <v>1</v>
      </c>
    </row>
    <row r="1074" spans="2:14">
      <c r="B1074" s="41"/>
      <c r="C1074" s="61">
        <f t="shared" si="86"/>
        <v>44872</v>
      </c>
      <c r="E1074" s="167"/>
      <c r="F1074" s="121" t="str">
        <f>VLOOKUP(MOD(C1074,7),'CALENDAR INFO'!$I$2:$J$8,2)</f>
        <v>MON</v>
      </c>
      <c r="G1074" s="214">
        <v>3.83</v>
      </c>
      <c r="H1074" s="425">
        <v>3.78</v>
      </c>
      <c r="I1074" s="457">
        <f t="shared" si="87"/>
        <v>-5.0000000000000266E-2</v>
      </c>
      <c r="J1074" s="152"/>
      <c r="K1074" s="152"/>
      <c r="L1074" s="202"/>
      <c r="M1074" s="113">
        <f t="shared" si="89"/>
        <v>1</v>
      </c>
      <c r="N1074" s="64">
        <f t="shared" si="88"/>
        <v>1.000105</v>
      </c>
    </row>
    <row r="1075" spans="2:14">
      <c r="B1075" s="41"/>
      <c r="C1075" s="61">
        <f t="shared" si="86"/>
        <v>44873</v>
      </c>
      <c r="E1075" s="167"/>
      <c r="F1075" s="121" t="str">
        <f>VLOOKUP(MOD(C1075,7),'CALENDAR INFO'!$I$2:$J$8,2)</f>
        <v>TUE</v>
      </c>
      <c r="G1075" s="214">
        <v>3.83</v>
      </c>
      <c r="H1075" s="425">
        <v>3.78</v>
      </c>
      <c r="I1075" s="457">
        <f t="shared" si="87"/>
        <v>-5.0000000000000266E-2</v>
      </c>
      <c r="J1075" s="152" t="s">
        <v>155</v>
      </c>
      <c r="K1075" s="185">
        <f ca="1">SUM(INDIRECT(K1072))</f>
        <v>0</v>
      </c>
      <c r="L1075" s="93">
        <f ca="1">SUM(INDIRECT(L1072))</f>
        <v>0</v>
      </c>
      <c r="M1075" s="113">
        <f t="shared" si="89"/>
        <v>1</v>
      </c>
      <c r="N1075" s="64">
        <f t="shared" si="88"/>
        <v>1.000105</v>
      </c>
    </row>
    <row r="1076" spans="2:14">
      <c r="B1076" s="41"/>
      <c r="C1076" s="61">
        <f t="shared" si="86"/>
        <v>44874</v>
      </c>
      <c r="E1076" s="167"/>
      <c r="F1076" s="121" t="str">
        <f>VLOOKUP(MOD(C1076,7),'CALENDAR INFO'!$I$2:$J$8,2)</f>
        <v>WED</v>
      </c>
      <c r="G1076" s="214">
        <v>3.83</v>
      </c>
      <c r="H1076" s="425">
        <v>3.78</v>
      </c>
      <c r="I1076" s="457">
        <f t="shared" si="87"/>
        <v>-5.0000000000000266E-2</v>
      </c>
      <c r="J1076" s="152" t="s">
        <v>156</v>
      </c>
      <c r="K1076" s="207">
        <f ca="1">SUM(INDIRECT(K1073))</f>
        <v>0</v>
      </c>
      <c r="L1076" s="208">
        <f ca="1">SUM(INDIRECT(L1073))</f>
        <v>113.39999999999996</v>
      </c>
      <c r="M1076" s="113">
        <f t="shared" si="89"/>
        <v>1</v>
      </c>
      <c r="N1076" s="64">
        <f t="shared" si="88"/>
        <v>1.000105</v>
      </c>
    </row>
    <row r="1077" spans="2:14">
      <c r="B1077" s="41"/>
      <c r="C1077" s="61">
        <f t="shared" ref="C1077:C1140" si="90">C1076+1</f>
        <v>44875</v>
      </c>
      <c r="E1077" s="167"/>
      <c r="F1077" s="121" t="str">
        <f>VLOOKUP(MOD(C1077,7),'CALENDAR INFO'!$I$2:$J$8,2)</f>
        <v>THU</v>
      </c>
      <c r="G1077" s="214">
        <v>3.83</v>
      </c>
      <c r="H1077" s="425">
        <v>3.78</v>
      </c>
      <c r="I1077" s="457">
        <f t="shared" si="87"/>
        <v>-5.0000000000000266E-2</v>
      </c>
      <c r="J1077" s="152" t="s">
        <v>157</v>
      </c>
      <c r="K1077" s="178">
        <f ca="1">K1075+K1076</f>
        <v>0</v>
      </c>
      <c r="L1077" s="192">
        <f ca="1">L1075+L1076</f>
        <v>113.39999999999996</v>
      </c>
      <c r="M1077" s="117">
        <v>4</v>
      </c>
      <c r="N1077" s="64">
        <f t="shared" si="88"/>
        <v>1.0004200000000001</v>
      </c>
    </row>
    <row r="1078" spans="2:14">
      <c r="B1078" s="41"/>
      <c r="C1078" s="61">
        <f t="shared" si="90"/>
        <v>44876</v>
      </c>
      <c r="D1078" s="173" t="s">
        <v>109</v>
      </c>
      <c r="E1078" s="167"/>
      <c r="F1078" s="121" t="str">
        <f>VLOOKUP(MOD(C1078,7),'CALENDAR INFO'!$I$2:$J$8,2)</f>
        <v>FRI</v>
      </c>
      <c r="G1078" s="214">
        <v>3.83</v>
      </c>
      <c r="H1078" s="425">
        <v>3.78</v>
      </c>
      <c r="I1078" s="457">
        <f t="shared" si="87"/>
        <v>-5.0000000000000266E-2</v>
      </c>
      <c r="J1078" s="152"/>
      <c r="K1078" s="178"/>
      <c r="L1078" s="192"/>
      <c r="M1078" s="117">
        <v>0</v>
      </c>
      <c r="N1078" s="64">
        <f t="shared" si="88"/>
        <v>1</v>
      </c>
    </row>
    <row r="1079" spans="2:14">
      <c r="B1079" s="41"/>
      <c r="C1079" s="61">
        <f t="shared" si="90"/>
        <v>44877</v>
      </c>
      <c r="E1079" s="167"/>
      <c r="F1079" s="121" t="str">
        <f>VLOOKUP(MOD(C1079,7),'CALENDAR INFO'!$I$2:$J$8,2)</f>
        <v>SAT</v>
      </c>
      <c r="G1079" s="214">
        <v>3.83</v>
      </c>
      <c r="H1079" s="425">
        <v>3.78</v>
      </c>
      <c r="I1079" s="457">
        <f t="shared" si="87"/>
        <v>-5.0000000000000266E-2</v>
      </c>
      <c r="J1079" s="152" t="s">
        <v>158</v>
      </c>
      <c r="K1079" s="178">
        <f ca="1">K1077/K1068</f>
        <v>0</v>
      </c>
      <c r="L1079" s="192">
        <f ca="1">L1077/L1068</f>
        <v>3.7799999999999989</v>
      </c>
      <c r="M1079" s="113">
        <f t="shared" ref="M1079:M1089" si="91">IF(MOD(C1079,7)&lt;2,0,IF(MOD(C1079,7)=6,3,1))</f>
        <v>0</v>
      </c>
      <c r="N1079" s="64">
        <f t="shared" si="88"/>
        <v>1</v>
      </c>
    </row>
    <row r="1080" spans="2:14">
      <c r="B1080" s="41"/>
      <c r="C1080" s="61">
        <f t="shared" si="90"/>
        <v>44878</v>
      </c>
      <c r="E1080" s="167"/>
      <c r="F1080" s="121" t="str">
        <f>VLOOKUP(MOD(C1080,7),'CALENDAR INFO'!$I$2:$J$8,2)</f>
        <v>SUN</v>
      </c>
      <c r="G1080" s="214">
        <v>3.83</v>
      </c>
      <c r="H1080" s="425">
        <v>3.78</v>
      </c>
      <c r="I1080" s="457">
        <f t="shared" si="87"/>
        <v>-5.0000000000000266E-2</v>
      </c>
      <c r="J1080" s="152" t="s">
        <v>159</v>
      </c>
      <c r="K1080" s="180">
        <f ca="1">100-K1079</f>
        <v>100</v>
      </c>
      <c r="L1080" s="193">
        <f ca="1">100-L1079</f>
        <v>96.22</v>
      </c>
      <c r="M1080" s="113">
        <f t="shared" si="91"/>
        <v>0</v>
      </c>
      <c r="N1080" s="64">
        <f t="shared" si="88"/>
        <v>1</v>
      </c>
    </row>
    <row r="1081" spans="2:14">
      <c r="B1081" s="41"/>
      <c r="C1081" s="61">
        <f t="shared" si="90"/>
        <v>44879</v>
      </c>
      <c r="E1081" s="167"/>
      <c r="F1081" s="121" t="str">
        <f>VLOOKUP(MOD(C1081,7),'CALENDAR INFO'!$I$2:$J$8,2)</f>
        <v>MON</v>
      </c>
      <c r="G1081" s="214">
        <v>3.83</v>
      </c>
      <c r="H1081" s="425">
        <v>3.79</v>
      </c>
      <c r="I1081" s="457">
        <f t="shared" si="87"/>
        <v>-4.0000000000000036E-2</v>
      </c>
      <c r="J1081" s="152"/>
      <c r="K1081" s="178"/>
      <c r="L1081" s="192"/>
      <c r="M1081" s="113">
        <f t="shared" si="91"/>
        <v>1</v>
      </c>
      <c r="N1081" s="64">
        <f t="shared" si="88"/>
        <v>1.0001052777777777</v>
      </c>
    </row>
    <row r="1082" spans="2:14">
      <c r="B1082" s="41"/>
      <c r="C1082" s="61">
        <f t="shared" si="90"/>
        <v>44880</v>
      </c>
      <c r="E1082" s="167"/>
      <c r="F1082" s="121" t="str">
        <f>VLOOKUP(MOD(C1082,7),'CALENDAR INFO'!$I$2:$J$8,2)</f>
        <v>TUE</v>
      </c>
      <c r="G1082" s="214">
        <v>3.83</v>
      </c>
      <c r="H1082" s="425">
        <v>3.8</v>
      </c>
      <c r="I1082" s="457">
        <f t="shared" si="87"/>
        <v>-3.0000000000000249E-2</v>
      </c>
      <c r="J1082" s="152"/>
      <c r="K1082" s="186"/>
      <c r="L1082" s="194"/>
      <c r="M1082" s="113">
        <f t="shared" si="91"/>
        <v>1</v>
      </c>
      <c r="N1082" s="64">
        <f t="shared" si="88"/>
        <v>1.0001055555555556</v>
      </c>
    </row>
    <row r="1083" spans="2:14">
      <c r="B1083" s="41"/>
      <c r="C1083" s="61">
        <f t="shared" si="90"/>
        <v>44881</v>
      </c>
      <c r="E1083" s="167" t="s">
        <v>19</v>
      </c>
      <c r="F1083" s="121" t="str">
        <f>VLOOKUP(MOD(C1083,7),'CALENDAR INFO'!$I$2:$J$8,2)</f>
        <v>WED</v>
      </c>
      <c r="G1083" s="214">
        <v>3.83</v>
      </c>
      <c r="H1083" s="425">
        <v>3.81</v>
      </c>
      <c r="I1083" s="457">
        <f t="shared" si="87"/>
        <v>-2.0000000000000018E-2</v>
      </c>
      <c r="J1083" s="152"/>
      <c r="K1083" s="152"/>
      <c r="L1083" s="202"/>
      <c r="M1083" s="113">
        <f t="shared" si="91"/>
        <v>1</v>
      </c>
      <c r="N1083" s="64">
        <f t="shared" si="88"/>
        <v>1.0001058333333332</v>
      </c>
    </row>
    <row r="1084" spans="2:14">
      <c r="B1084" s="41"/>
      <c r="C1084" s="61">
        <f t="shared" si="90"/>
        <v>44882</v>
      </c>
      <c r="E1084" s="170" t="s">
        <v>18</v>
      </c>
      <c r="F1084" s="121" t="str">
        <f>VLOOKUP(MOD(C1084,7),'CALENDAR INFO'!$I$2:$J$8,2)</f>
        <v>THU</v>
      </c>
      <c r="G1084" s="214">
        <v>3.83</v>
      </c>
      <c r="H1084" s="425">
        <v>3.8</v>
      </c>
      <c r="I1084" s="457">
        <f t="shared" si="87"/>
        <v>-3.0000000000000249E-2</v>
      </c>
      <c r="J1084" s="152"/>
      <c r="K1084" s="182"/>
      <c r="L1084" s="201"/>
      <c r="M1084" s="113">
        <f t="shared" si="91"/>
        <v>1</v>
      </c>
      <c r="N1084" s="64">
        <f t="shared" si="88"/>
        <v>1.0001055555555556</v>
      </c>
    </row>
    <row r="1085" spans="2:14">
      <c r="B1085" s="41"/>
      <c r="C1085" s="61">
        <f t="shared" si="90"/>
        <v>44883</v>
      </c>
      <c r="E1085" s="170"/>
      <c r="F1085" s="121" t="str">
        <f>VLOOKUP(MOD(C1085,7),'CALENDAR INFO'!$I$2:$J$8,2)</f>
        <v>FRI</v>
      </c>
      <c r="G1085" s="214">
        <v>3.83</v>
      </c>
      <c r="H1085" s="425">
        <v>3.8</v>
      </c>
      <c r="I1085" s="457">
        <f t="shared" si="87"/>
        <v>-3.0000000000000249E-2</v>
      </c>
      <c r="J1085" s="152"/>
      <c r="K1085" s="221"/>
      <c r="L1085" s="223"/>
      <c r="M1085" s="113">
        <f t="shared" si="91"/>
        <v>3</v>
      </c>
      <c r="N1085" s="64">
        <f t="shared" si="88"/>
        <v>1.0003166666666667</v>
      </c>
    </row>
    <row r="1086" spans="2:14">
      <c r="B1086" s="41"/>
      <c r="C1086" s="61">
        <f t="shared" si="90"/>
        <v>44884</v>
      </c>
      <c r="E1086" s="170"/>
      <c r="F1086" s="121" t="str">
        <f>VLOOKUP(MOD(C1086,7),'CALENDAR INFO'!$I$2:$J$8,2)</f>
        <v>SAT</v>
      </c>
      <c r="G1086" s="214">
        <v>3.83</v>
      </c>
      <c r="H1086" s="425">
        <v>3.8</v>
      </c>
      <c r="I1086" s="457">
        <f t="shared" si="87"/>
        <v>-3.0000000000000249E-2</v>
      </c>
      <c r="J1086" s="152"/>
      <c r="K1086" s="182"/>
      <c r="L1086" s="201"/>
      <c r="M1086" s="113">
        <f t="shared" si="91"/>
        <v>0</v>
      </c>
      <c r="N1086" s="64">
        <f t="shared" si="88"/>
        <v>1</v>
      </c>
    </row>
    <row r="1087" spans="2:14">
      <c r="B1087" s="41"/>
      <c r="C1087" s="61">
        <f t="shared" si="90"/>
        <v>44885</v>
      </c>
      <c r="E1087" s="170"/>
      <c r="F1087" s="121" t="str">
        <f>VLOOKUP(MOD(C1087,7),'CALENDAR INFO'!$I$2:$J$8,2)</f>
        <v>SUN</v>
      </c>
      <c r="G1087" s="214">
        <v>3.83</v>
      </c>
      <c r="H1087" s="425">
        <v>3.8</v>
      </c>
      <c r="I1087" s="457">
        <f t="shared" si="87"/>
        <v>-3.0000000000000249E-2</v>
      </c>
      <c r="J1087" s="152"/>
      <c r="K1087" s="182"/>
      <c r="L1087" s="201"/>
      <c r="M1087" s="113">
        <f t="shared" si="91"/>
        <v>0</v>
      </c>
      <c r="N1087" s="64">
        <f t="shared" si="88"/>
        <v>1</v>
      </c>
    </row>
    <row r="1088" spans="2:14">
      <c r="B1088" s="41"/>
      <c r="C1088" s="61">
        <f t="shared" si="90"/>
        <v>44886</v>
      </c>
      <c r="E1088" s="170"/>
      <c r="F1088" s="121" t="str">
        <f>VLOOKUP(MOD(C1088,7),'CALENDAR INFO'!$I$2:$J$8,2)</f>
        <v>MON</v>
      </c>
      <c r="G1088" s="214">
        <v>3.83</v>
      </c>
      <c r="H1088" s="425">
        <v>3.8</v>
      </c>
      <c r="I1088" s="457">
        <f t="shared" si="87"/>
        <v>-3.0000000000000249E-2</v>
      </c>
      <c r="J1088" s="152"/>
      <c r="K1088" s="182"/>
      <c r="L1088" s="201"/>
      <c r="M1088" s="113">
        <f t="shared" si="91"/>
        <v>1</v>
      </c>
      <c r="N1088" s="64">
        <f t="shared" si="88"/>
        <v>1.0001055555555556</v>
      </c>
    </row>
    <row r="1089" spans="1:16">
      <c r="B1089" s="41"/>
      <c r="C1089" s="61">
        <f t="shared" si="90"/>
        <v>44887</v>
      </c>
      <c r="E1089" s="170"/>
      <c r="F1089" s="121" t="str">
        <f>VLOOKUP(MOD(C1089,7),'CALENDAR INFO'!$I$2:$J$8,2)</f>
        <v>TUE</v>
      </c>
      <c r="G1089" s="214">
        <v>3.83</v>
      </c>
      <c r="H1089" s="425">
        <v>3.8</v>
      </c>
      <c r="I1089" s="457">
        <f t="shared" si="87"/>
        <v>-3.0000000000000249E-2</v>
      </c>
      <c r="J1089" s="152"/>
      <c r="K1089" s="221"/>
      <c r="L1089" s="223"/>
      <c r="M1089" s="113">
        <f t="shared" si="91"/>
        <v>1</v>
      </c>
      <c r="N1089" s="64">
        <f t="shared" si="88"/>
        <v>1.0001055555555556</v>
      </c>
    </row>
    <row r="1090" spans="1:16">
      <c r="B1090" s="41"/>
      <c r="C1090" s="61">
        <f t="shared" si="90"/>
        <v>44888</v>
      </c>
      <c r="E1090" s="170"/>
      <c r="F1090" s="121" t="str">
        <f>VLOOKUP(MOD(C1090,7),'CALENDAR INFO'!$I$2:$J$8,2)</f>
        <v>WED</v>
      </c>
      <c r="G1090" s="214">
        <v>3.83</v>
      </c>
      <c r="H1090" s="425">
        <v>3.79</v>
      </c>
      <c r="I1090" s="457">
        <f t="shared" si="87"/>
        <v>-4.0000000000000036E-2</v>
      </c>
      <c r="J1090" s="152"/>
      <c r="K1090" s="182"/>
      <c r="L1090" s="192"/>
      <c r="M1090" s="117">
        <v>2</v>
      </c>
      <c r="N1090" s="64">
        <f t="shared" si="88"/>
        <v>1.0002105555555556</v>
      </c>
    </row>
    <row r="1091" spans="1:16">
      <c r="B1091" s="41"/>
      <c r="C1091" s="61">
        <f t="shared" si="90"/>
        <v>44889</v>
      </c>
      <c r="D1091" s="173" t="s">
        <v>60</v>
      </c>
      <c r="E1091" s="170"/>
      <c r="F1091" s="121" t="str">
        <f>VLOOKUP(MOD(C1091,7),'CALENDAR INFO'!$I$2:$J$8,2)</f>
        <v>THU</v>
      </c>
      <c r="G1091" s="214">
        <v>3.83</v>
      </c>
      <c r="H1091" s="425">
        <v>3.79</v>
      </c>
      <c r="I1091" s="457">
        <f t="shared" ref="I1091:I1154" si="92">H1091-G1091</f>
        <v>-4.0000000000000036E-2</v>
      </c>
      <c r="J1091" s="152"/>
      <c r="K1091" s="152"/>
      <c r="L1091" s="222"/>
      <c r="M1091" s="117">
        <v>0</v>
      </c>
      <c r="N1091" s="64">
        <f t="shared" si="88"/>
        <v>1</v>
      </c>
    </row>
    <row r="1092" spans="1:16">
      <c r="B1092" s="41"/>
      <c r="C1092" s="61">
        <f t="shared" si="90"/>
        <v>44890</v>
      </c>
      <c r="E1092" s="170"/>
      <c r="F1092" s="121" t="str">
        <f>VLOOKUP(MOD(C1092,7),'CALENDAR INFO'!$I$2:$J$8,2)</f>
        <v>FRI</v>
      </c>
      <c r="G1092" s="214">
        <v>3.83</v>
      </c>
      <c r="H1092" s="425">
        <v>3.8</v>
      </c>
      <c r="I1092" s="457">
        <f t="shared" si="92"/>
        <v>-3.0000000000000249E-2</v>
      </c>
      <c r="J1092" s="152"/>
      <c r="K1092" s="182"/>
      <c r="L1092" s="201"/>
      <c r="M1092" s="113">
        <f t="shared" ref="M1092:M1119" si="93">IF(MOD(C1092,7)&lt;2,0,IF(MOD(C1092,7)=6,3,1))</f>
        <v>3</v>
      </c>
      <c r="N1092" s="64">
        <f t="shared" si="88"/>
        <v>1.0003166666666667</v>
      </c>
    </row>
    <row r="1093" spans="1:16">
      <c r="B1093" s="41"/>
      <c r="C1093" s="61">
        <f t="shared" si="90"/>
        <v>44891</v>
      </c>
      <c r="E1093" s="170"/>
      <c r="F1093" s="121" t="str">
        <f>VLOOKUP(MOD(C1093,7),'CALENDAR INFO'!$I$2:$J$8,2)</f>
        <v>SAT</v>
      </c>
      <c r="G1093" s="214">
        <v>3.83</v>
      </c>
      <c r="H1093" s="425">
        <v>3.8</v>
      </c>
      <c r="I1093" s="457">
        <f t="shared" si="92"/>
        <v>-3.0000000000000249E-2</v>
      </c>
      <c r="J1093" s="152"/>
      <c r="K1093" s="152"/>
      <c r="L1093" s="202"/>
      <c r="M1093" s="113">
        <f t="shared" si="93"/>
        <v>0</v>
      </c>
      <c r="N1093" s="64">
        <f t="shared" si="88"/>
        <v>1</v>
      </c>
      <c r="O1093" s="282"/>
      <c r="P1093" s="283"/>
    </row>
    <row r="1094" spans="1:16">
      <c r="B1094" s="41"/>
      <c r="C1094" s="61">
        <f t="shared" si="90"/>
        <v>44892</v>
      </c>
      <c r="E1094" s="170"/>
      <c r="F1094" s="121" t="str">
        <f>VLOOKUP(MOD(C1094,7),'CALENDAR INFO'!$I$2:$J$8,2)</f>
        <v>SUN</v>
      </c>
      <c r="G1094" s="214">
        <v>3.83</v>
      </c>
      <c r="H1094" s="425">
        <v>3.8</v>
      </c>
      <c r="I1094" s="457">
        <f t="shared" si="92"/>
        <v>-3.0000000000000249E-2</v>
      </c>
      <c r="J1094" s="152"/>
      <c r="K1094" s="182"/>
      <c r="L1094" s="201"/>
      <c r="M1094" s="113">
        <f t="shared" si="93"/>
        <v>0</v>
      </c>
      <c r="N1094" s="64">
        <f t="shared" si="88"/>
        <v>1</v>
      </c>
      <c r="O1094" s="282"/>
      <c r="P1094" s="284"/>
    </row>
    <row r="1095" spans="1:16">
      <c r="B1095" s="41"/>
      <c r="C1095" s="61">
        <f t="shared" si="90"/>
        <v>44893</v>
      </c>
      <c r="E1095" s="170"/>
      <c r="F1095" s="121" t="str">
        <f>VLOOKUP(MOD(C1095,7),'CALENDAR INFO'!$I$2:$J$8,2)</f>
        <v>MON</v>
      </c>
      <c r="G1095" s="214">
        <v>3.83</v>
      </c>
      <c r="H1095" s="425">
        <v>3.8</v>
      </c>
      <c r="I1095" s="457">
        <f t="shared" si="92"/>
        <v>-3.0000000000000249E-2</v>
      </c>
      <c r="J1095" s="152"/>
      <c r="K1095" s="190"/>
      <c r="L1095" s="203"/>
      <c r="M1095" s="113">
        <f t="shared" si="93"/>
        <v>1</v>
      </c>
      <c r="N1095" s="64">
        <f t="shared" si="88"/>
        <v>1.0001055555555556</v>
      </c>
      <c r="O1095" s="282"/>
      <c r="P1095" s="284"/>
    </row>
    <row r="1096" spans="1:16">
      <c r="B1096" s="41"/>
      <c r="C1096" s="61">
        <f t="shared" si="90"/>
        <v>44894</v>
      </c>
      <c r="E1096" s="170"/>
      <c r="F1096" s="121" t="str">
        <f>VLOOKUP(MOD(C1096,7),'CALENDAR INFO'!$I$2:$J$8,2)</f>
        <v>TUE</v>
      </c>
      <c r="G1096" s="214">
        <v>3.83</v>
      </c>
      <c r="H1096" s="425">
        <v>3.81</v>
      </c>
      <c r="I1096" s="457">
        <f t="shared" si="92"/>
        <v>-2.0000000000000018E-2</v>
      </c>
      <c r="J1096" s="152"/>
      <c r="K1096" s="182"/>
      <c r="L1096" s="201"/>
      <c r="M1096" s="113">
        <f t="shared" si="93"/>
        <v>1</v>
      </c>
      <c r="N1096" s="64">
        <f t="shared" si="88"/>
        <v>1.0001058333333332</v>
      </c>
    </row>
    <row r="1097" spans="1:16" ht="15.75" thickBot="1">
      <c r="A1097" s="98"/>
      <c r="B1097" s="230"/>
      <c r="C1097" s="75">
        <f t="shared" si="90"/>
        <v>44895</v>
      </c>
      <c r="D1097" s="112"/>
      <c r="E1097" s="101" t="s">
        <v>19</v>
      </c>
      <c r="F1097" s="138" t="str">
        <f>VLOOKUP(MOD(C1097,7),'CALENDAR INFO'!$I$2:$J$8,2)</f>
        <v>WED</v>
      </c>
      <c r="G1097" s="215">
        <v>3.83</v>
      </c>
      <c r="H1097" s="426">
        <v>3.82</v>
      </c>
      <c r="I1097" s="458">
        <f t="shared" si="92"/>
        <v>-1.0000000000000231E-2</v>
      </c>
      <c r="J1097" s="437"/>
      <c r="K1097" s="184"/>
      <c r="L1097" s="205"/>
      <c r="M1097" s="113">
        <f t="shared" si="93"/>
        <v>1</v>
      </c>
      <c r="N1097" s="77">
        <f t="shared" si="88"/>
        <v>1.0001061111111111</v>
      </c>
    </row>
    <row r="1098" spans="1:16">
      <c r="B1098" s="41"/>
      <c r="C1098" s="61">
        <f t="shared" si="90"/>
        <v>44896</v>
      </c>
      <c r="E1098" s="167" t="s">
        <v>18</v>
      </c>
      <c r="F1098" s="121" t="str">
        <f>VLOOKUP(MOD(C1098,7),'CALENDAR INFO'!$I$2:$J$8,2)</f>
        <v>THU</v>
      </c>
      <c r="G1098" s="214">
        <v>3.83</v>
      </c>
      <c r="H1098" s="425">
        <v>3.82</v>
      </c>
      <c r="I1098" s="457">
        <f t="shared" si="92"/>
        <v>-1.0000000000000231E-2</v>
      </c>
      <c r="J1098" s="436" t="s">
        <v>118</v>
      </c>
      <c r="K1098" s="15">
        <f>VLOOKUP(MONTH($C1098),'CALENDAR INFO'!$I$12:$J$23,2)</f>
        <v>31</v>
      </c>
      <c r="L1098" s="179">
        <f>K1098</f>
        <v>31</v>
      </c>
      <c r="M1098" s="116">
        <f t="shared" si="93"/>
        <v>1</v>
      </c>
      <c r="N1098" s="111">
        <f t="shared" si="88"/>
        <v>1.0001061111111111</v>
      </c>
    </row>
    <row r="1099" spans="1:16">
      <c r="B1099" s="41"/>
      <c r="C1099" s="61">
        <f t="shared" si="90"/>
        <v>44897</v>
      </c>
      <c r="E1099" s="167"/>
      <c r="F1099" s="121" t="str">
        <f>VLOOKUP(MOD(C1099,7),'CALENDAR INFO'!$I$2:$J$8,2)</f>
        <v>FRI</v>
      </c>
      <c r="G1099" s="214">
        <v>3.83</v>
      </c>
      <c r="H1099" s="425">
        <v>3.81</v>
      </c>
      <c r="I1099" s="457">
        <f t="shared" si="92"/>
        <v>-2.0000000000000018E-2</v>
      </c>
      <c r="J1099" s="152" t="s">
        <v>151</v>
      </c>
      <c r="K1099" s="15">
        <f>ROW($C1099)-1</f>
        <v>1098</v>
      </c>
      <c r="L1099" s="179">
        <f>K1099</f>
        <v>1098</v>
      </c>
      <c r="M1099" s="113">
        <f t="shared" si="93"/>
        <v>3</v>
      </c>
      <c r="N1099" s="64">
        <f t="shared" si="88"/>
        <v>1.0003175</v>
      </c>
    </row>
    <row r="1100" spans="1:16">
      <c r="B1100" s="41"/>
      <c r="C1100" s="61">
        <f t="shared" si="90"/>
        <v>44898</v>
      </c>
      <c r="E1100" s="167"/>
      <c r="F1100" s="121" t="str">
        <f>VLOOKUP(MOD(C1100,7),'CALENDAR INFO'!$I$2:$J$8,2)</f>
        <v>SAT</v>
      </c>
      <c r="G1100" s="214">
        <v>3.83</v>
      </c>
      <c r="H1100" s="425">
        <v>3.81</v>
      </c>
      <c r="I1100" s="457">
        <f t="shared" si="92"/>
        <v>-2.0000000000000018E-2</v>
      </c>
      <c r="J1100" s="152" t="s">
        <v>152</v>
      </c>
      <c r="K1100" s="15">
        <f>K1098+K1099-1</f>
        <v>1128</v>
      </c>
      <c r="L1100" s="200">
        <f>K1100</f>
        <v>1128</v>
      </c>
      <c r="M1100" s="113">
        <f t="shared" si="93"/>
        <v>0</v>
      </c>
      <c r="N1100" s="64">
        <f t="shared" si="88"/>
        <v>1</v>
      </c>
    </row>
    <row r="1101" spans="1:16">
      <c r="B1101" s="41"/>
      <c r="C1101" s="61">
        <f t="shared" si="90"/>
        <v>44899</v>
      </c>
      <c r="E1101" s="167"/>
      <c r="F1101" s="121" t="str">
        <f>VLOOKUP(MOD(C1101,7),'CALENDAR INFO'!$I$2:$J$8,2)</f>
        <v>SUN</v>
      </c>
      <c r="G1101" s="214">
        <v>3.83</v>
      </c>
      <c r="H1101" s="425">
        <v>3.81</v>
      </c>
      <c r="I1101" s="457">
        <f t="shared" si="92"/>
        <v>-2.0000000000000018E-2</v>
      </c>
      <c r="J1101" s="152"/>
      <c r="K1101" s="182"/>
      <c r="L1101" s="201"/>
      <c r="M1101" s="113">
        <f t="shared" si="93"/>
        <v>0</v>
      </c>
      <c r="N1101" s="64">
        <f t="shared" si="88"/>
        <v>1</v>
      </c>
    </row>
    <row r="1102" spans="1:16">
      <c r="B1102" s="41"/>
      <c r="C1102" s="61">
        <f t="shared" si="90"/>
        <v>44900</v>
      </c>
      <c r="E1102" s="167"/>
      <c r="F1102" s="121" t="str">
        <f>VLOOKUP(MOD(C1102,7),'CALENDAR INFO'!$I$2:$J$8,2)</f>
        <v>MON</v>
      </c>
      <c r="G1102" s="214">
        <v>3.83</v>
      </c>
      <c r="H1102" s="425">
        <v>3.81</v>
      </c>
      <c r="I1102" s="457">
        <f t="shared" si="92"/>
        <v>-2.0000000000000018E-2</v>
      </c>
      <c r="J1102" s="152" t="s">
        <v>153</v>
      </c>
      <c r="K1102" s="182" t="str">
        <f>_xlfn.CONCAT("A",TEXT(K1099,0),":","A",TEXT(K1100,0))</f>
        <v>A1098:A1128</v>
      </c>
      <c r="L1102" s="201" t="str">
        <f>_xlfn.CONCAT("B",TEXT(L1099,0),":","B",TEXT(L1100,0))</f>
        <v>B1098:B1128</v>
      </c>
      <c r="M1102" s="113">
        <f t="shared" si="93"/>
        <v>1</v>
      </c>
      <c r="N1102" s="64">
        <f t="shared" si="88"/>
        <v>1.0001058333333332</v>
      </c>
    </row>
    <row r="1103" spans="1:16">
      <c r="B1103" s="41"/>
      <c r="C1103" s="61">
        <f t="shared" si="90"/>
        <v>44901</v>
      </c>
      <c r="E1103" s="167"/>
      <c r="F1103" s="121" t="str">
        <f>VLOOKUP(MOD(C1103,7),'CALENDAR INFO'!$I$2:$J$8,2)</f>
        <v>TUE</v>
      </c>
      <c r="G1103" s="214">
        <v>3.83</v>
      </c>
      <c r="H1103" s="425">
        <v>3.8</v>
      </c>
      <c r="I1103" s="457">
        <f t="shared" si="92"/>
        <v>-3.0000000000000249E-2</v>
      </c>
      <c r="J1103" s="152" t="s">
        <v>154</v>
      </c>
      <c r="K1103" s="182" t="str">
        <f>_xlfn.CONCAT("F",TEXT(K1099,0),":","F",TEXT(K1100,0))</f>
        <v>F1098:F1128</v>
      </c>
      <c r="L1103" s="201" t="str">
        <f>_xlfn.CONCAT("G",TEXT(L1099,0),":","G",TEXT(L1100,0))</f>
        <v>G1098:G1128</v>
      </c>
      <c r="M1103" s="113">
        <f t="shared" si="93"/>
        <v>1</v>
      </c>
      <c r="N1103" s="64">
        <f t="shared" si="88"/>
        <v>1.0001055555555556</v>
      </c>
    </row>
    <row r="1104" spans="1:16">
      <c r="B1104" s="41"/>
      <c r="C1104" s="61">
        <f t="shared" si="90"/>
        <v>44902</v>
      </c>
      <c r="E1104" s="167"/>
      <c r="F1104" s="121" t="str">
        <f>VLOOKUP(MOD(C1104,7),'CALENDAR INFO'!$I$2:$J$8,2)</f>
        <v>WED</v>
      </c>
      <c r="G1104" s="214">
        <v>3.83</v>
      </c>
      <c r="H1104" s="425">
        <v>3.8</v>
      </c>
      <c r="I1104" s="457">
        <f t="shared" si="92"/>
        <v>-3.0000000000000249E-2</v>
      </c>
      <c r="J1104" s="152"/>
      <c r="K1104" s="152"/>
      <c r="L1104" s="202"/>
      <c r="M1104" s="113">
        <f t="shared" si="93"/>
        <v>1</v>
      </c>
      <c r="N1104" s="64">
        <f t="shared" si="88"/>
        <v>1.0001055555555556</v>
      </c>
    </row>
    <row r="1105" spans="2:16">
      <c r="B1105" s="41"/>
      <c r="C1105" s="61">
        <f t="shared" si="90"/>
        <v>44903</v>
      </c>
      <c r="E1105" s="167"/>
      <c r="F1105" s="121" t="str">
        <f>VLOOKUP(MOD(C1105,7),'CALENDAR INFO'!$I$2:$J$8,2)</f>
        <v>THU</v>
      </c>
      <c r="G1105" s="214">
        <v>3.83</v>
      </c>
      <c r="H1105" s="425">
        <v>3.8</v>
      </c>
      <c r="I1105" s="457">
        <f t="shared" si="92"/>
        <v>-3.0000000000000249E-2</v>
      </c>
      <c r="J1105" s="152" t="s">
        <v>155</v>
      </c>
      <c r="K1105" s="185">
        <f ca="1">SUM(INDIRECT(K1102))</f>
        <v>0</v>
      </c>
      <c r="L1105" s="93">
        <f ca="1">SUM(INDIRECT(L1102))</f>
        <v>0</v>
      </c>
      <c r="M1105" s="113">
        <f t="shared" si="93"/>
        <v>1</v>
      </c>
      <c r="N1105" s="64">
        <f t="shared" si="88"/>
        <v>1.0001055555555556</v>
      </c>
    </row>
    <row r="1106" spans="2:16">
      <c r="B1106" s="41"/>
      <c r="C1106" s="61">
        <f t="shared" si="90"/>
        <v>44904</v>
      </c>
      <c r="E1106" s="167"/>
      <c r="F1106" s="121" t="str">
        <f>VLOOKUP(MOD(C1106,7),'CALENDAR INFO'!$I$2:$J$8,2)</f>
        <v>FRI</v>
      </c>
      <c r="G1106" s="214">
        <v>3.83</v>
      </c>
      <c r="H1106" s="425">
        <v>3.8</v>
      </c>
      <c r="I1106" s="457">
        <f t="shared" si="92"/>
        <v>-3.0000000000000249E-2</v>
      </c>
      <c r="J1106" s="152" t="s">
        <v>156</v>
      </c>
      <c r="K1106" s="207">
        <f ca="1">SUM(INDIRECT(K1103))</f>
        <v>0</v>
      </c>
      <c r="L1106" s="208">
        <f ca="1">SUM(INDIRECT(L1103))</f>
        <v>127.22999999999996</v>
      </c>
      <c r="M1106" s="113">
        <f t="shared" si="93"/>
        <v>3</v>
      </c>
      <c r="N1106" s="64">
        <f t="shared" si="88"/>
        <v>1.0003166666666667</v>
      </c>
    </row>
    <row r="1107" spans="2:16">
      <c r="B1107" s="41"/>
      <c r="C1107" s="61">
        <f t="shared" si="90"/>
        <v>44905</v>
      </c>
      <c r="E1107" s="167"/>
      <c r="F1107" s="121" t="str">
        <f>VLOOKUP(MOD(C1107,7),'CALENDAR INFO'!$I$2:$J$8,2)</f>
        <v>SAT</v>
      </c>
      <c r="G1107" s="214">
        <v>3.83</v>
      </c>
      <c r="H1107" s="425">
        <v>3.8</v>
      </c>
      <c r="I1107" s="457">
        <f t="shared" si="92"/>
        <v>-3.0000000000000249E-2</v>
      </c>
      <c r="J1107" s="152" t="s">
        <v>157</v>
      </c>
      <c r="K1107" s="178">
        <f ca="1">K1105+K1106</f>
        <v>0</v>
      </c>
      <c r="L1107" s="192">
        <f ca="1">L1105+L1106</f>
        <v>127.22999999999996</v>
      </c>
      <c r="M1107" s="113">
        <f t="shared" si="93"/>
        <v>0</v>
      </c>
      <c r="N1107" s="64">
        <f t="shared" ref="N1107:N1170" si="94">1+(M1107/360)*(MAX(H1107,B1107)/100)</f>
        <v>1</v>
      </c>
    </row>
    <row r="1108" spans="2:16">
      <c r="B1108" s="41"/>
      <c r="C1108" s="61">
        <f t="shared" si="90"/>
        <v>44906</v>
      </c>
      <c r="E1108" s="167"/>
      <c r="F1108" s="121" t="str">
        <f>VLOOKUP(MOD(C1108,7),'CALENDAR INFO'!$I$2:$J$8,2)</f>
        <v>SUN</v>
      </c>
      <c r="G1108" s="214">
        <v>3.83</v>
      </c>
      <c r="H1108" s="425">
        <v>3.8</v>
      </c>
      <c r="I1108" s="457">
        <f t="shared" si="92"/>
        <v>-3.0000000000000249E-2</v>
      </c>
      <c r="J1108" s="152"/>
      <c r="K1108" s="178"/>
      <c r="L1108" s="192"/>
      <c r="M1108" s="113">
        <f t="shared" si="93"/>
        <v>0</v>
      </c>
      <c r="N1108" s="64">
        <f t="shared" si="94"/>
        <v>1</v>
      </c>
    </row>
    <row r="1109" spans="2:16">
      <c r="B1109" s="41"/>
      <c r="C1109" s="61">
        <f t="shared" si="90"/>
        <v>44907</v>
      </c>
      <c r="E1109" s="167"/>
      <c r="F1109" s="121" t="str">
        <f>VLOOKUP(MOD(C1109,7),'CALENDAR INFO'!$I$2:$J$8,2)</f>
        <v>MON</v>
      </c>
      <c r="G1109" s="214">
        <v>3.83</v>
      </c>
      <c r="H1109" s="425">
        <v>3.8</v>
      </c>
      <c r="I1109" s="457">
        <f t="shared" si="92"/>
        <v>-3.0000000000000249E-2</v>
      </c>
      <c r="J1109" s="152" t="s">
        <v>158</v>
      </c>
      <c r="K1109" s="178">
        <f ca="1">K1107/K1098</f>
        <v>0</v>
      </c>
      <c r="L1109" s="192">
        <f ca="1">L1107/L1098</f>
        <v>4.1041935483870953</v>
      </c>
      <c r="M1109" s="113">
        <f t="shared" si="93"/>
        <v>1</v>
      </c>
      <c r="N1109" s="64">
        <f t="shared" si="94"/>
        <v>1.0001055555555556</v>
      </c>
    </row>
    <row r="1110" spans="2:16">
      <c r="B1110" s="41"/>
      <c r="C1110" s="61">
        <f t="shared" si="90"/>
        <v>44908</v>
      </c>
      <c r="D1110" s="153" t="s">
        <v>20</v>
      </c>
      <c r="E1110" s="167"/>
      <c r="F1110" s="121" t="str">
        <f>VLOOKUP(MOD(C1110,7),'CALENDAR INFO'!$I$2:$J$8,2)</f>
        <v>TUE</v>
      </c>
      <c r="G1110" s="214">
        <v>3.83</v>
      </c>
      <c r="H1110" s="425">
        <v>3.8</v>
      </c>
      <c r="I1110" s="457">
        <f t="shared" si="92"/>
        <v>-3.0000000000000249E-2</v>
      </c>
      <c r="J1110" s="152" t="s">
        <v>159</v>
      </c>
      <c r="K1110" s="180">
        <f ca="1">100-K1109</f>
        <v>100</v>
      </c>
      <c r="L1110" s="193">
        <f ca="1">100-L1109</f>
        <v>95.895806451612899</v>
      </c>
      <c r="M1110" s="113">
        <f t="shared" si="93"/>
        <v>1</v>
      </c>
      <c r="N1110" s="64">
        <f t="shared" si="94"/>
        <v>1.0001055555555556</v>
      </c>
    </row>
    <row r="1111" spans="2:16">
      <c r="B1111" s="41"/>
      <c r="C1111" s="61">
        <f t="shared" si="90"/>
        <v>44909</v>
      </c>
      <c r="D1111" s="153" t="s">
        <v>20</v>
      </c>
      <c r="E1111" s="167" t="s">
        <v>19</v>
      </c>
      <c r="F1111" s="121" t="str">
        <f>VLOOKUP(MOD(C1111,7),'CALENDAR INFO'!$I$2:$J$8,2)</f>
        <v>WED</v>
      </c>
      <c r="G1111" s="214">
        <v>3.83</v>
      </c>
      <c r="H1111" s="425">
        <v>3.8</v>
      </c>
      <c r="I1111" s="457">
        <f t="shared" si="92"/>
        <v>-3.0000000000000249E-2</v>
      </c>
      <c r="J1111" s="152"/>
      <c r="K1111" s="178"/>
      <c r="L1111" s="192"/>
      <c r="M1111" s="113">
        <f t="shared" si="93"/>
        <v>1</v>
      </c>
      <c r="N1111" s="64">
        <f t="shared" si="94"/>
        <v>1.0001055555555556</v>
      </c>
    </row>
    <row r="1112" spans="2:16">
      <c r="B1112" s="41"/>
      <c r="C1112" s="61">
        <f t="shared" si="90"/>
        <v>44910</v>
      </c>
      <c r="E1112" s="170" t="s">
        <v>18</v>
      </c>
      <c r="F1112" s="121" t="str">
        <f>VLOOKUP(MOD(C1112,7),'CALENDAR INFO'!$I$2:$J$8,2)</f>
        <v>THU</v>
      </c>
      <c r="G1112" s="214">
        <v>4.33</v>
      </c>
      <c r="H1112" s="425">
        <v>4.32</v>
      </c>
      <c r="I1112" s="457">
        <f t="shared" si="92"/>
        <v>-9.9999999999997868E-3</v>
      </c>
      <c r="J1112" s="152"/>
      <c r="K1112" s="186"/>
      <c r="L1112" s="194"/>
      <c r="M1112" s="113">
        <f t="shared" si="93"/>
        <v>1</v>
      </c>
      <c r="N1112" s="64">
        <f t="shared" si="94"/>
        <v>1.0001199999999999</v>
      </c>
    </row>
    <row r="1113" spans="2:16">
      <c r="B1113" s="41"/>
      <c r="C1113" s="61">
        <f t="shared" si="90"/>
        <v>44911</v>
      </c>
      <c r="E1113" s="170"/>
      <c r="F1113" s="121" t="str">
        <f>VLOOKUP(MOD(C1113,7),'CALENDAR INFO'!$I$2:$J$8,2)</f>
        <v>FRI</v>
      </c>
      <c r="G1113" s="214">
        <v>4.33</v>
      </c>
      <c r="H1113" s="425">
        <v>4.32</v>
      </c>
      <c r="I1113" s="457">
        <f t="shared" si="92"/>
        <v>-9.9999999999997868E-3</v>
      </c>
      <c r="J1113" s="152"/>
      <c r="K1113" s="152"/>
      <c r="L1113" s="202"/>
      <c r="M1113" s="113">
        <f t="shared" si="93"/>
        <v>3</v>
      </c>
      <c r="N1113" s="64">
        <f t="shared" si="94"/>
        <v>1.0003599999999999</v>
      </c>
    </row>
    <row r="1114" spans="2:16">
      <c r="B1114" s="41"/>
      <c r="C1114" s="61">
        <f t="shared" si="90"/>
        <v>44912</v>
      </c>
      <c r="E1114" s="170"/>
      <c r="F1114" s="121" t="str">
        <f>VLOOKUP(MOD(C1114,7),'CALENDAR INFO'!$I$2:$J$8,2)</f>
        <v>SAT</v>
      </c>
      <c r="G1114" s="214">
        <v>4.33</v>
      </c>
      <c r="H1114" s="425">
        <v>4.32</v>
      </c>
      <c r="I1114" s="457">
        <f t="shared" si="92"/>
        <v>-9.9999999999997868E-3</v>
      </c>
      <c r="J1114" s="152"/>
      <c r="K1114" s="182"/>
      <c r="L1114" s="201"/>
      <c r="M1114" s="113">
        <f t="shared" si="93"/>
        <v>0</v>
      </c>
      <c r="N1114" s="64">
        <f t="shared" si="94"/>
        <v>1</v>
      </c>
      <c r="O1114" s="282"/>
      <c r="P1114" s="283"/>
    </row>
    <row r="1115" spans="2:16">
      <c r="B1115" s="41"/>
      <c r="C1115" s="61">
        <f t="shared" si="90"/>
        <v>44913</v>
      </c>
      <c r="E1115" s="170"/>
      <c r="F1115" s="121" t="str">
        <f>VLOOKUP(MOD(C1115,7),'CALENDAR INFO'!$I$2:$J$8,2)</f>
        <v>SUN</v>
      </c>
      <c r="G1115" s="214">
        <v>4.33</v>
      </c>
      <c r="H1115" s="425">
        <v>4.32</v>
      </c>
      <c r="I1115" s="457">
        <f t="shared" si="92"/>
        <v>-9.9999999999997868E-3</v>
      </c>
      <c r="J1115" s="152"/>
      <c r="K1115" s="221"/>
      <c r="L1115" s="223"/>
      <c r="M1115" s="113">
        <f t="shared" si="93"/>
        <v>0</v>
      </c>
      <c r="N1115" s="64">
        <f t="shared" si="94"/>
        <v>1</v>
      </c>
      <c r="O1115" s="282"/>
      <c r="P1115" s="284"/>
    </row>
    <row r="1116" spans="2:16">
      <c r="B1116" s="41"/>
      <c r="C1116" s="61">
        <f t="shared" si="90"/>
        <v>44914</v>
      </c>
      <c r="E1116" s="170"/>
      <c r="F1116" s="121" t="str">
        <f>VLOOKUP(MOD(C1116,7),'CALENDAR INFO'!$I$2:$J$8,2)</f>
        <v>MON</v>
      </c>
      <c r="G1116" s="214">
        <v>4.33</v>
      </c>
      <c r="H1116" s="425">
        <v>4.3</v>
      </c>
      <c r="I1116" s="457">
        <f t="shared" si="92"/>
        <v>-3.0000000000000249E-2</v>
      </c>
      <c r="J1116" s="152"/>
      <c r="K1116" s="182"/>
      <c r="L1116" s="201"/>
      <c r="M1116" s="113">
        <f t="shared" si="93"/>
        <v>1</v>
      </c>
      <c r="N1116" s="64">
        <f t="shared" si="94"/>
        <v>1.0001194444444443</v>
      </c>
    </row>
    <row r="1117" spans="2:16">
      <c r="B1117" s="41"/>
      <c r="C1117" s="61">
        <f t="shared" si="90"/>
        <v>44915</v>
      </c>
      <c r="E1117" s="170"/>
      <c r="F1117" s="121" t="str">
        <f>VLOOKUP(MOD(C1117,7),'CALENDAR INFO'!$I$2:$J$8,2)</f>
        <v>TUE</v>
      </c>
      <c r="G1117" s="214">
        <v>4.33</v>
      </c>
      <c r="H1117" s="425">
        <v>4.3</v>
      </c>
      <c r="I1117" s="457">
        <f t="shared" si="92"/>
        <v>-3.0000000000000249E-2</v>
      </c>
      <c r="J1117" s="152"/>
      <c r="K1117" s="182"/>
      <c r="L1117" s="201"/>
      <c r="M1117" s="113">
        <f t="shared" si="93"/>
        <v>1</v>
      </c>
      <c r="N1117" s="64">
        <f t="shared" si="94"/>
        <v>1.0001194444444443</v>
      </c>
    </row>
    <row r="1118" spans="2:16">
      <c r="B1118" s="41"/>
      <c r="C1118" s="61">
        <f t="shared" si="90"/>
        <v>44916</v>
      </c>
      <c r="E1118" s="170"/>
      <c r="F1118" s="121" t="str">
        <f>VLOOKUP(MOD(C1118,7),'CALENDAR INFO'!$I$2:$J$8,2)</f>
        <v>WED</v>
      </c>
      <c r="G1118" s="214">
        <v>4.33</v>
      </c>
      <c r="H1118" s="425">
        <v>4.3</v>
      </c>
      <c r="I1118" s="457">
        <f t="shared" si="92"/>
        <v>-3.0000000000000249E-2</v>
      </c>
      <c r="J1118" s="152"/>
      <c r="K1118" s="182"/>
      <c r="L1118" s="201"/>
      <c r="M1118" s="113">
        <f t="shared" si="93"/>
        <v>1</v>
      </c>
      <c r="N1118" s="64">
        <f t="shared" si="94"/>
        <v>1.0001194444444443</v>
      </c>
    </row>
    <row r="1119" spans="2:16">
      <c r="B1119" s="41"/>
      <c r="C1119" s="61">
        <f t="shared" si="90"/>
        <v>44917</v>
      </c>
      <c r="E1119" s="170"/>
      <c r="F1119" s="121" t="str">
        <f>VLOOKUP(MOD(C1119,7),'CALENDAR INFO'!$I$2:$J$8,2)</f>
        <v>THU</v>
      </c>
      <c r="G1119" s="214">
        <v>4.33</v>
      </c>
      <c r="H1119" s="425">
        <v>4.3</v>
      </c>
      <c r="I1119" s="457">
        <f t="shared" si="92"/>
        <v>-3.0000000000000249E-2</v>
      </c>
      <c r="J1119" s="152"/>
      <c r="K1119" s="221"/>
      <c r="L1119" s="223"/>
      <c r="M1119" s="113">
        <f t="shared" si="93"/>
        <v>1</v>
      </c>
      <c r="N1119" s="64">
        <f t="shared" si="94"/>
        <v>1.0001194444444443</v>
      </c>
    </row>
    <row r="1120" spans="2:16">
      <c r="B1120" s="41"/>
      <c r="C1120" s="61">
        <f t="shared" si="90"/>
        <v>44918</v>
      </c>
      <c r="E1120" s="170"/>
      <c r="F1120" s="121" t="str">
        <f>VLOOKUP(MOD(C1120,7),'CALENDAR INFO'!$I$2:$J$8,2)</f>
        <v>FRI</v>
      </c>
      <c r="G1120" s="214">
        <v>4.33</v>
      </c>
      <c r="H1120" s="425">
        <v>4.3</v>
      </c>
      <c r="I1120" s="457">
        <f t="shared" si="92"/>
        <v>-3.0000000000000249E-2</v>
      </c>
      <c r="J1120" s="152"/>
      <c r="K1120" s="182"/>
      <c r="L1120" s="192"/>
      <c r="M1120" s="117">
        <v>4</v>
      </c>
      <c r="N1120" s="64">
        <f t="shared" si="94"/>
        <v>1.0004777777777778</v>
      </c>
    </row>
    <row r="1121" spans="1:16">
      <c r="B1121" s="41"/>
      <c r="C1121" s="61">
        <f t="shared" si="90"/>
        <v>44919</v>
      </c>
      <c r="E1121" s="170"/>
      <c r="F1121" s="121" t="str">
        <f>VLOOKUP(MOD(C1121,7),'CALENDAR INFO'!$I$2:$J$8,2)</f>
        <v>SAT</v>
      </c>
      <c r="G1121" s="214">
        <v>4.33</v>
      </c>
      <c r="H1121" s="425">
        <v>4.3</v>
      </c>
      <c r="I1121" s="457">
        <f t="shared" si="92"/>
        <v>-3.0000000000000249E-2</v>
      </c>
      <c r="J1121" s="152"/>
      <c r="K1121" s="152"/>
      <c r="L1121" s="222"/>
      <c r="M1121" s="113">
        <f>IF(MOD(C1121,7)&lt;2,0,IF(MOD(C1121,7)=6,3,1))</f>
        <v>0</v>
      </c>
      <c r="N1121" s="64">
        <f t="shared" si="94"/>
        <v>1</v>
      </c>
    </row>
    <row r="1122" spans="1:16">
      <c r="B1122" s="41"/>
      <c r="C1122" s="61">
        <f t="shared" si="90"/>
        <v>44920</v>
      </c>
      <c r="E1122" s="170"/>
      <c r="F1122" s="121" t="str">
        <f>VLOOKUP(MOD(C1122,7),'CALENDAR INFO'!$I$2:$J$8,2)</f>
        <v>SUN</v>
      </c>
      <c r="G1122" s="214">
        <v>4.33</v>
      </c>
      <c r="H1122" s="425">
        <v>4.3</v>
      </c>
      <c r="I1122" s="457">
        <f t="shared" si="92"/>
        <v>-3.0000000000000249E-2</v>
      </c>
      <c r="J1122" s="152"/>
      <c r="K1122" s="182"/>
      <c r="L1122" s="201"/>
      <c r="M1122" s="113">
        <f>IF(MOD(C1122,7)&lt;2,0,IF(MOD(C1122,7)=6,3,1))</f>
        <v>0</v>
      </c>
      <c r="N1122" s="64">
        <f t="shared" si="94"/>
        <v>1</v>
      </c>
    </row>
    <row r="1123" spans="1:16">
      <c r="B1123" s="41"/>
      <c r="C1123" s="61">
        <f t="shared" si="90"/>
        <v>44921</v>
      </c>
      <c r="D1123" s="173" t="s">
        <v>111</v>
      </c>
      <c r="E1123" s="170"/>
      <c r="F1123" s="121" t="str">
        <f>VLOOKUP(MOD(C1123,7),'CALENDAR INFO'!$I$2:$J$8,2)</f>
        <v>MON</v>
      </c>
      <c r="G1123" s="214">
        <v>4.33</v>
      </c>
      <c r="H1123" s="425">
        <v>4.3</v>
      </c>
      <c r="I1123" s="457">
        <f t="shared" si="92"/>
        <v>-3.0000000000000249E-2</v>
      </c>
      <c r="J1123" s="152"/>
      <c r="K1123" s="182"/>
      <c r="L1123" s="201"/>
      <c r="M1123" s="117">
        <v>0</v>
      </c>
      <c r="N1123" s="64">
        <f t="shared" si="94"/>
        <v>1</v>
      </c>
    </row>
    <row r="1124" spans="1:16">
      <c r="B1124" s="41"/>
      <c r="C1124" s="61">
        <f t="shared" si="90"/>
        <v>44922</v>
      </c>
      <c r="E1124" s="170"/>
      <c r="F1124" s="121" t="str">
        <f>VLOOKUP(MOD(C1124,7),'CALENDAR INFO'!$I$2:$J$8,2)</f>
        <v>TUE</v>
      </c>
      <c r="G1124" s="214">
        <v>4.33</v>
      </c>
      <c r="H1124" s="425">
        <v>4.3</v>
      </c>
      <c r="I1124" s="457">
        <f t="shared" si="92"/>
        <v>-3.0000000000000249E-2</v>
      </c>
      <c r="J1124" s="152"/>
      <c r="K1124" s="152"/>
      <c r="L1124" s="202"/>
      <c r="M1124" s="113">
        <f>IF(MOD(C1124,7)&lt;2,0,IF(MOD(C1124,7)=6,3,1))</f>
        <v>1</v>
      </c>
      <c r="N1124" s="64">
        <f t="shared" si="94"/>
        <v>1.0001194444444443</v>
      </c>
      <c r="O1124" s="282"/>
      <c r="P1124" s="283"/>
    </row>
    <row r="1125" spans="1:16">
      <c r="B1125" s="41"/>
      <c r="C1125" s="61">
        <f t="shared" si="90"/>
        <v>44923</v>
      </c>
      <c r="E1125" s="170" t="s">
        <v>19</v>
      </c>
      <c r="F1125" s="121" t="str">
        <f>VLOOKUP(MOD(C1125,7),'CALENDAR INFO'!$I$2:$J$8,2)</f>
        <v>WED</v>
      </c>
      <c r="G1125" s="214">
        <v>4.33</v>
      </c>
      <c r="H1125" s="425">
        <v>4.3</v>
      </c>
      <c r="I1125" s="457">
        <f t="shared" si="92"/>
        <v>-3.0000000000000249E-2</v>
      </c>
      <c r="J1125" s="152"/>
      <c r="K1125" s="182"/>
      <c r="L1125" s="201"/>
      <c r="M1125" s="113">
        <f>IF(MOD(C1125,7)&lt;2,0,IF(MOD(C1125,7)=6,3,1))</f>
        <v>1</v>
      </c>
      <c r="N1125" s="64">
        <f t="shared" si="94"/>
        <v>1.0001194444444443</v>
      </c>
      <c r="O1125" s="282"/>
      <c r="P1125" s="284"/>
    </row>
    <row r="1126" spans="1:16">
      <c r="B1126" s="41"/>
      <c r="C1126" s="61">
        <f t="shared" si="90"/>
        <v>44924</v>
      </c>
      <c r="E1126" s="167" t="s">
        <v>18</v>
      </c>
      <c r="F1126" s="121" t="str">
        <f>VLOOKUP(MOD(C1126,7),'CALENDAR INFO'!$I$2:$J$8,2)</f>
        <v>THU</v>
      </c>
      <c r="G1126" s="214">
        <v>4.33</v>
      </c>
      <c r="H1126" s="425">
        <v>4.3</v>
      </c>
      <c r="I1126" s="457">
        <f t="shared" si="92"/>
        <v>-3.0000000000000249E-2</v>
      </c>
      <c r="J1126" s="152"/>
      <c r="K1126" s="190"/>
      <c r="L1126" s="203"/>
      <c r="M1126" s="113">
        <f>IF(MOD(C1126,7)&lt;2,0,IF(MOD(C1126,7)=6,3,1))</f>
        <v>1</v>
      </c>
      <c r="N1126" s="64">
        <f t="shared" si="94"/>
        <v>1.0001194444444443</v>
      </c>
      <c r="O1126" s="282"/>
      <c r="P1126" s="284"/>
    </row>
    <row r="1127" spans="1:16">
      <c r="B1127" s="41"/>
      <c r="C1127" s="61">
        <f t="shared" si="90"/>
        <v>44925</v>
      </c>
      <c r="E1127" s="167"/>
      <c r="F1127" s="121" t="str">
        <f>VLOOKUP(MOD(C1127,7),'CALENDAR INFO'!$I$2:$J$8,2)</f>
        <v>FRI</v>
      </c>
      <c r="G1127" s="214">
        <v>4.33</v>
      </c>
      <c r="H1127" s="425">
        <v>4.3</v>
      </c>
      <c r="I1127" s="457">
        <f t="shared" si="92"/>
        <v>-3.0000000000000249E-2</v>
      </c>
      <c r="J1127" s="152"/>
      <c r="K1127" s="182"/>
      <c r="L1127" s="201"/>
      <c r="M1127" s="117">
        <v>4</v>
      </c>
      <c r="N1127" s="64">
        <f t="shared" si="94"/>
        <v>1.0004777777777778</v>
      </c>
    </row>
    <row r="1128" spans="1:16" ht="15.75" thickBot="1">
      <c r="A1128" s="98"/>
      <c r="B1128" s="230"/>
      <c r="C1128" s="75">
        <f t="shared" si="90"/>
        <v>44926</v>
      </c>
      <c r="D1128" s="112"/>
      <c r="E1128" s="92"/>
      <c r="F1128" s="138" t="str">
        <f>VLOOKUP(MOD(C1128,7),'CALENDAR INFO'!$I$2:$J$8,2)</f>
        <v>SAT</v>
      </c>
      <c r="G1128" s="215">
        <v>4.33</v>
      </c>
      <c r="H1128" s="426">
        <v>4.3</v>
      </c>
      <c r="I1128" s="458">
        <f t="shared" si="92"/>
        <v>-3.0000000000000249E-2</v>
      </c>
      <c r="J1128" s="437"/>
      <c r="K1128" s="184"/>
      <c r="L1128" s="205"/>
      <c r="M1128" s="113">
        <f>IF(MOD(C1128,7)&lt;2,0,IF(MOD(C1128,7)=6,3,1))</f>
        <v>0</v>
      </c>
      <c r="N1128" s="77">
        <f t="shared" si="94"/>
        <v>1</v>
      </c>
    </row>
    <row r="1129" spans="1:16">
      <c r="B1129" s="41"/>
      <c r="C1129" s="109">
        <f t="shared" si="90"/>
        <v>44927</v>
      </c>
      <c r="D1129" s="108"/>
      <c r="E1129" s="107"/>
      <c r="F1129" s="105" t="str">
        <f>VLOOKUP(MOD(C1129,7),'CALENDAR INFO'!$I$2:$J$8,2)</f>
        <v>SUN</v>
      </c>
      <c r="G1129" s="214">
        <v>4.33</v>
      </c>
      <c r="H1129" s="425">
        <v>4.3</v>
      </c>
      <c r="I1129" s="457">
        <f t="shared" si="92"/>
        <v>-3.0000000000000249E-2</v>
      </c>
      <c r="J1129" s="436" t="s">
        <v>118</v>
      </c>
      <c r="K1129" s="15">
        <f>VLOOKUP(MONTH($C1129),'CALENDAR INFO'!$I$12:$J$23,2)</f>
        <v>31</v>
      </c>
      <c r="L1129" s="179">
        <f>K1129</f>
        <v>31</v>
      </c>
      <c r="M1129" s="116">
        <f>IF(MOD(C1129,7)&lt;2,0,IF(MOD(C1129,7)=6,3,1))</f>
        <v>0</v>
      </c>
      <c r="N1129" s="111">
        <f t="shared" si="94"/>
        <v>1</v>
      </c>
    </row>
    <row r="1130" spans="1:16">
      <c r="B1130" s="41"/>
      <c r="C1130" s="103">
        <f t="shared" si="90"/>
        <v>44928</v>
      </c>
      <c r="D1130" s="173" t="s">
        <v>165</v>
      </c>
      <c r="E1130" s="167"/>
      <c r="F1130" s="58" t="str">
        <f>VLOOKUP(MOD(C1130,7),'CALENDAR INFO'!$I$2:$J$8,2)</f>
        <v>MON</v>
      </c>
      <c r="G1130" s="214">
        <v>4.33</v>
      </c>
      <c r="H1130" s="425">
        <v>4.3</v>
      </c>
      <c r="I1130" s="457">
        <f t="shared" si="92"/>
        <v>-3.0000000000000249E-2</v>
      </c>
      <c r="J1130" s="152" t="s">
        <v>151</v>
      </c>
      <c r="K1130" s="15">
        <f>ROW($C1130)-1</f>
        <v>1129</v>
      </c>
      <c r="L1130" s="179">
        <f>K1130</f>
        <v>1129</v>
      </c>
      <c r="M1130" s="117">
        <v>0</v>
      </c>
      <c r="N1130" s="64">
        <f t="shared" si="94"/>
        <v>1</v>
      </c>
    </row>
    <row r="1131" spans="1:16">
      <c r="B1131" s="41"/>
      <c r="C1131" s="103">
        <f t="shared" si="90"/>
        <v>44929</v>
      </c>
      <c r="E1131" s="167"/>
      <c r="F1131" s="58" t="str">
        <f>VLOOKUP(MOD(C1131,7),'CALENDAR INFO'!$I$2:$J$8,2)</f>
        <v>TUE</v>
      </c>
      <c r="G1131" s="214">
        <v>4.33</v>
      </c>
      <c r="H1131" s="425">
        <v>4.3099999999999996</v>
      </c>
      <c r="I1131" s="457">
        <f t="shared" si="92"/>
        <v>-2.0000000000000462E-2</v>
      </c>
      <c r="J1131" s="152" t="s">
        <v>152</v>
      </c>
      <c r="K1131" s="15">
        <f>K1129+K1130-1</f>
        <v>1159</v>
      </c>
      <c r="L1131" s="200">
        <f>K1131</f>
        <v>1159</v>
      </c>
      <c r="M1131" s="210">
        <f t="shared" ref="M1131:M1140" si="95">IF(MOD(C1131,7)&lt;2,0,IF(MOD(C1131,7)=6,3,1))</f>
        <v>1</v>
      </c>
      <c r="N1131" s="64">
        <f t="shared" si="94"/>
        <v>1.0001197222222222</v>
      </c>
    </row>
    <row r="1132" spans="1:16">
      <c r="B1132" s="41"/>
      <c r="C1132" s="103">
        <f t="shared" si="90"/>
        <v>44930</v>
      </c>
      <c r="E1132" s="167"/>
      <c r="F1132" s="58" t="str">
        <f>VLOOKUP(MOD(C1132,7),'CALENDAR INFO'!$I$2:$J$8,2)</f>
        <v>WED</v>
      </c>
      <c r="G1132" s="214">
        <v>4.33</v>
      </c>
      <c r="H1132" s="425">
        <v>4.3</v>
      </c>
      <c r="I1132" s="457">
        <f t="shared" si="92"/>
        <v>-3.0000000000000249E-2</v>
      </c>
      <c r="J1132" s="152"/>
      <c r="K1132" s="182"/>
      <c r="L1132" s="201"/>
      <c r="M1132" s="210">
        <f t="shared" si="95"/>
        <v>1</v>
      </c>
      <c r="N1132" s="64">
        <f t="shared" si="94"/>
        <v>1.0001194444444443</v>
      </c>
    </row>
    <row r="1133" spans="1:16">
      <c r="B1133" s="41"/>
      <c r="C1133" s="103">
        <f t="shared" si="90"/>
        <v>44931</v>
      </c>
      <c r="E1133" s="167"/>
      <c r="F1133" s="58" t="str">
        <f>VLOOKUP(MOD(C1133,7),'CALENDAR INFO'!$I$2:$J$8,2)</f>
        <v>THU</v>
      </c>
      <c r="G1133" s="214">
        <v>4.33</v>
      </c>
      <c r="H1133" s="425">
        <v>4.3099999999999996</v>
      </c>
      <c r="I1133" s="457">
        <f t="shared" si="92"/>
        <v>-2.0000000000000462E-2</v>
      </c>
      <c r="J1133" s="152" t="s">
        <v>153</v>
      </c>
      <c r="K1133" s="182" t="str">
        <f>_xlfn.CONCAT("A",TEXT(K1130,0),":","A",TEXT(K1131,0))</f>
        <v>A1129:A1159</v>
      </c>
      <c r="L1133" s="201" t="str">
        <f>_xlfn.CONCAT("B",TEXT(L1130,0),":","B",TEXT(L1131,0))</f>
        <v>B1129:B1159</v>
      </c>
      <c r="M1133" s="210">
        <f t="shared" si="95"/>
        <v>1</v>
      </c>
      <c r="N1133" s="64">
        <f t="shared" si="94"/>
        <v>1.0001197222222222</v>
      </c>
    </row>
    <row r="1134" spans="1:16">
      <c r="B1134" s="41"/>
      <c r="C1134" s="103">
        <f t="shared" si="90"/>
        <v>44932</v>
      </c>
      <c r="E1134" s="167"/>
      <c r="F1134" s="58" t="str">
        <f>VLOOKUP(MOD(C1134,7),'CALENDAR INFO'!$I$2:$J$8,2)</f>
        <v>FRI</v>
      </c>
      <c r="G1134" s="214">
        <v>4.33</v>
      </c>
      <c r="H1134" s="425">
        <v>4.3099999999999996</v>
      </c>
      <c r="I1134" s="457">
        <f t="shared" si="92"/>
        <v>-2.0000000000000462E-2</v>
      </c>
      <c r="J1134" s="152" t="s">
        <v>154</v>
      </c>
      <c r="K1134" s="182" t="str">
        <f>_xlfn.CONCAT("F",TEXT(K1130,0),":","F",TEXT(K1131,0))</f>
        <v>F1129:F1159</v>
      </c>
      <c r="L1134" s="201" t="str">
        <f>_xlfn.CONCAT("G",TEXT(L1130,0),":","G",TEXT(L1131,0))</f>
        <v>G1129:G1159</v>
      </c>
      <c r="M1134" s="210">
        <f t="shared" si="95"/>
        <v>3</v>
      </c>
      <c r="N1134" s="64">
        <f t="shared" si="94"/>
        <v>1.0003591666666667</v>
      </c>
    </row>
    <row r="1135" spans="1:16">
      <c r="B1135" s="41"/>
      <c r="C1135" s="103">
        <f t="shared" si="90"/>
        <v>44933</v>
      </c>
      <c r="E1135" s="167"/>
      <c r="F1135" s="58" t="str">
        <f>VLOOKUP(MOD(C1135,7),'CALENDAR INFO'!$I$2:$J$8,2)</f>
        <v>SAT</v>
      </c>
      <c r="G1135" s="214">
        <v>4.33</v>
      </c>
      <c r="H1135" s="425">
        <v>4.3099999999999996</v>
      </c>
      <c r="I1135" s="457">
        <f t="shared" si="92"/>
        <v>-2.0000000000000462E-2</v>
      </c>
      <c r="J1135" s="152"/>
      <c r="K1135" s="152"/>
      <c r="L1135" s="202"/>
      <c r="M1135" s="210">
        <f t="shared" si="95"/>
        <v>0</v>
      </c>
      <c r="N1135" s="64">
        <f t="shared" si="94"/>
        <v>1</v>
      </c>
    </row>
    <row r="1136" spans="1:16">
      <c r="B1136" s="41"/>
      <c r="C1136" s="103">
        <f t="shared" si="90"/>
        <v>44934</v>
      </c>
      <c r="E1136" s="167"/>
      <c r="F1136" s="58" t="str">
        <f>VLOOKUP(MOD(C1136,7),'CALENDAR INFO'!$I$2:$J$8,2)</f>
        <v>SUN</v>
      </c>
      <c r="G1136" s="214">
        <v>4.33</v>
      </c>
      <c r="H1136" s="425">
        <v>4.3099999999999996</v>
      </c>
      <c r="I1136" s="457">
        <f t="shared" si="92"/>
        <v>-2.0000000000000462E-2</v>
      </c>
      <c r="J1136" s="152" t="s">
        <v>155</v>
      </c>
      <c r="K1136" s="185">
        <f ca="1">SUM(INDIRECT(K1133))</f>
        <v>0</v>
      </c>
      <c r="L1136" s="93">
        <f ca="1">SUM(INDIRECT(L1133))</f>
        <v>0</v>
      </c>
      <c r="M1136" s="210">
        <f t="shared" si="95"/>
        <v>0</v>
      </c>
      <c r="N1136" s="64">
        <f t="shared" si="94"/>
        <v>1</v>
      </c>
    </row>
    <row r="1137" spans="2:14">
      <c r="B1137" s="41"/>
      <c r="C1137" s="103">
        <f t="shared" si="90"/>
        <v>44935</v>
      </c>
      <c r="E1137" s="167"/>
      <c r="F1137" s="58" t="str">
        <f>VLOOKUP(MOD(C1137,7),'CALENDAR INFO'!$I$2:$J$8,2)</f>
        <v>MON</v>
      </c>
      <c r="G1137" s="214">
        <v>4.33</v>
      </c>
      <c r="H1137" s="425">
        <v>4.3099999999999996</v>
      </c>
      <c r="I1137" s="457">
        <f t="shared" si="92"/>
        <v>-2.0000000000000462E-2</v>
      </c>
      <c r="J1137" s="152" t="s">
        <v>156</v>
      </c>
      <c r="K1137" s="207">
        <f ca="1">SUM(INDIRECT(K1134))</f>
        <v>0</v>
      </c>
      <c r="L1137" s="208">
        <f ca="1">SUM(INDIRECT(L1134))</f>
        <v>134.22999999999999</v>
      </c>
      <c r="M1137" s="210">
        <f t="shared" si="95"/>
        <v>1</v>
      </c>
      <c r="N1137" s="64">
        <f t="shared" si="94"/>
        <v>1.0001197222222222</v>
      </c>
    </row>
    <row r="1138" spans="2:14">
      <c r="B1138" s="41"/>
      <c r="C1138" s="103">
        <f t="shared" si="90"/>
        <v>44936</v>
      </c>
      <c r="E1138" s="167"/>
      <c r="F1138" s="58" t="str">
        <f>VLOOKUP(MOD(C1138,7),'CALENDAR INFO'!$I$2:$J$8,2)</f>
        <v>TUE</v>
      </c>
      <c r="G1138" s="214">
        <v>4.33</v>
      </c>
      <c r="H1138" s="425">
        <v>4.3099999999999996</v>
      </c>
      <c r="I1138" s="457">
        <f t="shared" si="92"/>
        <v>-2.0000000000000462E-2</v>
      </c>
      <c r="J1138" s="152" t="s">
        <v>157</v>
      </c>
      <c r="K1138" s="178">
        <f ca="1">K1136+K1137</f>
        <v>0</v>
      </c>
      <c r="L1138" s="192">
        <f ca="1">L1136+L1137</f>
        <v>134.22999999999999</v>
      </c>
      <c r="M1138" s="210">
        <f t="shared" si="95"/>
        <v>1</v>
      </c>
      <c r="N1138" s="64">
        <f t="shared" si="94"/>
        <v>1.0001197222222222</v>
      </c>
    </row>
    <row r="1139" spans="2:14">
      <c r="B1139" s="41"/>
      <c r="C1139" s="103">
        <f t="shared" si="90"/>
        <v>44937</v>
      </c>
      <c r="E1139" s="167" t="s">
        <v>19</v>
      </c>
      <c r="F1139" s="58" t="str">
        <f>VLOOKUP(MOD(C1139,7),'CALENDAR INFO'!$I$2:$J$8,2)</f>
        <v>WED</v>
      </c>
      <c r="G1139" s="214">
        <v>4.33</v>
      </c>
      <c r="H1139" s="425">
        <v>4.3</v>
      </c>
      <c r="I1139" s="457">
        <f t="shared" si="92"/>
        <v>-3.0000000000000249E-2</v>
      </c>
      <c r="J1139" s="152"/>
      <c r="K1139" s="178"/>
      <c r="L1139" s="192"/>
      <c r="M1139" s="210">
        <f t="shared" si="95"/>
        <v>1</v>
      </c>
      <c r="N1139" s="64">
        <f t="shared" si="94"/>
        <v>1.0001194444444443</v>
      </c>
    </row>
    <row r="1140" spans="2:14">
      <c r="B1140" s="41"/>
      <c r="C1140" s="103">
        <f t="shared" si="90"/>
        <v>44938</v>
      </c>
      <c r="E1140" s="170" t="s">
        <v>18</v>
      </c>
      <c r="F1140" s="58" t="str">
        <f>VLOOKUP(MOD(C1140,7),'CALENDAR INFO'!$I$2:$J$8,2)</f>
        <v>THU</v>
      </c>
      <c r="G1140" s="214">
        <v>4.33</v>
      </c>
      <c r="H1140" s="425">
        <v>4.3</v>
      </c>
      <c r="I1140" s="457">
        <f t="shared" si="92"/>
        <v>-3.0000000000000249E-2</v>
      </c>
      <c r="J1140" s="152" t="s">
        <v>158</v>
      </c>
      <c r="K1140" s="178">
        <f ca="1">K1138/K1129</f>
        <v>0</v>
      </c>
      <c r="L1140" s="192">
        <f ca="1">L1138/L1129</f>
        <v>4.33</v>
      </c>
      <c r="M1140" s="210">
        <f t="shared" si="95"/>
        <v>1</v>
      </c>
      <c r="N1140" s="64">
        <f t="shared" si="94"/>
        <v>1.0001194444444443</v>
      </c>
    </row>
    <row r="1141" spans="2:14">
      <c r="B1141" s="41"/>
      <c r="C1141" s="103">
        <f t="shared" ref="C1141:C1204" si="96">C1140+1</f>
        <v>44939</v>
      </c>
      <c r="E1141" s="170"/>
      <c r="F1141" s="58" t="str">
        <f>VLOOKUP(MOD(C1141,7),'CALENDAR INFO'!$I$2:$J$8,2)</f>
        <v>FRI</v>
      </c>
      <c r="G1141" s="214">
        <v>4.33</v>
      </c>
      <c r="H1141" s="425">
        <v>4.3</v>
      </c>
      <c r="I1141" s="457">
        <f t="shared" si="92"/>
        <v>-3.0000000000000249E-2</v>
      </c>
      <c r="J1141" s="152" t="s">
        <v>159</v>
      </c>
      <c r="K1141" s="180">
        <f ca="1">100-K1140</f>
        <v>100</v>
      </c>
      <c r="L1141" s="193">
        <f ca="1">100-L1140</f>
        <v>95.67</v>
      </c>
      <c r="M1141" s="117">
        <v>4</v>
      </c>
      <c r="N1141" s="64">
        <f t="shared" si="94"/>
        <v>1.0004777777777778</v>
      </c>
    </row>
    <row r="1142" spans="2:14">
      <c r="B1142" s="41"/>
      <c r="C1142" s="103">
        <f t="shared" si="96"/>
        <v>44940</v>
      </c>
      <c r="E1142" s="170"/>
      <c r="F1142" s="58" t="str">
        <f>VLOOKUP(MOD(C1142,7),'CALENDAR INFO'!$I$2:$J$8,2)</f>
        <v>SAT</v>
      </c>
      <c r="G1142" s="214">
        <v>4.33</v>
      </c>
      <c r="H1142" s="425">
        <v>4.3</v>
      </c>
      <c r="I1142" s="457">
        <f t="shared" si="92"/>
        <v>-3.0000000000000249E-2</v>
      </c>
      <c r="J1142" s="152"/>
      <c r="K1142" s="178"/>
      <c r="L1142" s="192"/>
      <c r="M1142" s="210">
        <f>IF(MOD(C1142,7)&lt;2,0,IF(MOD(C1142,7)=6,3,1))</f>
        <v>0</v>
      </c>
      <c r="N1142" s="64">
        <f t="shared" si="94"/>
        <v>1</v>
      </c>
    </row>
    <row r="1143" spans="2:14">
      <c r="B1143" s="41"/>
      <c r="C1143" s="103">
        <f t="shared" si="96"/>
        <v>44941</v>
      </c>
      <c r="E1143" s="170"/>
      <c r="F1143" s="58" t="str">
        <f>VLOOKUP(MOD(C1143,7),'CALENDAR INFO'!$I$2:$J$8,2)</f>
        <v>SUN</v>
      </c>
      <c r="G1143" s="214">
        <v>4.33</v>
      </c>
      <c r="H1143" s="425">
        <v>4.3</v>
      </c>
      <c r="I1143" s="457">
        <f t="shared" si="92"/>
        <v>-3.0000000000000249E-2</v>
      </c>
      <c r="J1143" s="152"/>
      <c r="K1143" s="186"/>
      <c r="L1143" s="194"/>
      <c r="M1143" s="210">
        <f>IF(MOD(C1143,7)&lt;2,0,IF(MOD(C1143,7)=6,3,1))</f>
        <v>0</v>
      </c>
      <c r="N1143" s="64">
        <f t="shared" si="94"/>
        <v>1</v>
      </c>
    </row>
    <row r="1144" spans="2:14">
      <c r="B1144" s="41"/>
      <c r="C1144" s="103">
        <f t="shared" si="96"/>
        <v>44942</v>
      </c>
      <c r="D1144" s="173" t="s">
        <v>103</v>
      </c>
      <c r="E1144" s="170"/>
      <c r="F1144" s="58" t="str">
        <f>VLOOKUP(MOD(C1144,7),'CALENDAR INFO'!$I$2:$J$8,2)</f>
        <v>MON</v>
      </c>
      <c r="G1144" s="214">
        <v>4.33</v>
      </c>
      <c r="H1144" s="425">
        <v>4.3</v>
      </c>
      <c r="I1144" s="457">
        <f t="shared" si="92"/>
        <v>-3.0000000000000249E-2</v>
      </c>
      <c r="J1144" s="152"/>
      <c r="K1144" s="152"/>
      <c r="L1144" s="202"/>
      <c r="M1144" s="117">
        <v>0</v>
      </c>
      <c r="N1144" s="64">
        <f t="shared" si="94"/>
        <v>1</v>
      </c>
    </row>
    <row r="1145" spans="2:14">
      <c r="B1145" s="41"/>
      <c r="C1145" s="103">
        <f t="shared" si="96"/>
        <v>44943</v>
      </c>
      <c r="E1145" s="170"/>
      <c r="F1145" s="58" t="str">
        <f>VLOOKUP(MOD(C1145,7),'CALENDAR INFO'!$I$2:$J$8,2)</f>
        <v>TUE</v>
      </c>
      <c r="G1145" s="214">
        <v>4.33</v>
      </c>
      <c r="H1145" s="425">
        <v>4.3099999999999996</v>
      </c>
      <c r="I1145" s="457">
        <f t="shared" si="92"/>
        <v>-2.0000000000000462E-2</v>
      </c>
      <c r="J1145" s="152"/>
      <c r="K1145" s="182"/>
      <c r="L1145" s="201"/>
      <c r="M1145" s="210">
        <f t="shared" ref="M1145:M1175" si="97">IF(MOD(C1145,7)&lt;2,0,IF(MOD(C1145,7)=6,3,1))</f>
        <v>1</v>
      </c>
      <c r="N1145" s="64">
        <f t="shared" si="94"/>
        <v>1.0001197222222222</v>
      </c>
    </row>
    <row r="1146" spans="2:14">
      <c r="B1146" s="41"/>
      <c r="C1146" s="103">
        <f t="shared" si="96"/>
        <v>44944</v>
      </c>
      <c r="E1146" s="170"/>
      <c r="F1146" s="58" t="str">
        <f>VLOOKUP(MOD(C1146,7),'CALENDAR INFO'!$I$2:$J$8,2)</f>
        <v>WED</v>
      </c>
      <c r="G1146" s="214">
        <v>4.33</v>
      </c>
      <c r="H1146" s="425">
        <v>4.3</v>
      </c>
      <c r="I1146" s="457">
        <f t="shared" si="92"/>
        <v>-3.0000000000000249E-2</v>
      </c>
      <c r="J1146" s="152"/>
      <c r="K1146" s="221"/>
      <c r="L1146" s="223"/>
      <c r="M1146" s="210">
        <f t="shared" si="97"/>
        <v>1</v>
      </c>
      <c r="N1146" s="64">
        <f t="shared" si="94"/>
        <v>1.0001194444444443</v>
      </c>
    </row>
    <row r="1147" spans="2:14">
      <c r="B1147" s="41"/>
      <c r="C1147" s="103">
        <f t="shared" si="96"/>
        <v>44945</v>
      </c>
      <c r="E1147" s="170"/>
      <c r="F1147" s="58" t="str">
        <f>VLOOKUP(MOD(C1147,7),'CALENDAR INFO'!$I$2:$J$8,2)</f>
        <v>THU</v>
      </c>
      <c r="G1147" s="214">
        <v>4.33</v>
      </c>
      <c r="H1147" s="425">
        <v>4.3099999999999996</v>
      </c>
      <c r="I1147" s="457">
        <f t="shared" si="92"/>
        <v>-2.0000000000000462E-2</v>
      </c>
      <c r="J1147" s="152"/>
      <c r="K1147" s="182"/>
      <c r="L1147" s="201"/>
      <c r="M1147" s="210">
        <f t="shared" si="97"/>
        <v>1</v>
      </c>
      <c r="N1147" s="64">
        <f t="shared" si="94"/>
        <v>1.0001197222222222</v>
      </c>
    </row>
    <row r="1148" spans="2:14">
      <c r="B1148" s="41"/>
      <c r="C1148" s="103">
        <f t="shared" si="96"/>
        <v>44946</v>
      </c>
      <c r="E1148" s="170"/>
      <c r="F1148" s="58" t="str">
        <f>VLOOKUP(MOD(C1148,7),'CALENDAR INFO'!$I$2:$J$8,2)</f>
        <v>FRI</v>
      </c>
      <c r="G1148" s="214">
        <v>4.33</v>
      </c>
      <c r="H1148" s="425">
        <v>4.3</v>
      </c>
      <c r="I1148" s="457">
        <f t="shared" si="92"/>
        <v>-3.0000000000000249E-2</v>
      </c>
      <c r="J1148" s="152"/>
      <c r="K1148" s="182"/>
      <c r="L1148" s="201"/>
      <c r="M1148" s="210">
        <f t="shared" si="97"/>
        <v>3</v>
      </c>
      <c r="N1148" s="64">
        <f t="shared" si="94"/>
        <v>1.0003583333333332</v>
      </c>
    </row>
    <row r="1149" spans="2:14">
      <c r="B1149" s="41"/>
      <c r="C1149" s="103">
        <f t="shared" si="96"/>
        <v>44947</v>
      </c>
      <c r="E1149" s="170"/>
      <c r="F1149" s="58" t="str">
        <f>VLOOKUP(MOD(C1149,7),'CALENDAR INFO'!$I$2:$J$8,2)</f>
        <v>SAT</v>
      </c>
      <c r="G1149" s="214">
        <v>4.33</v>
      </c>
      <c r="H1149" s="425">
        <v>4.3</v>
      </c>
      <c r="I1149" s="457">
        <f t="shared" si="92"/>
        <v>-3.0000000000000249E-2</v>
      </c>
      <c r="J1149" s="152"/>
      <c r="K1149" s="182"/>
      <c r="L1149" s="201"/>
      <c r="M1149" s="210">
        <f t="shared" si="97"/>
        <v>0</v>
      </c>
      <c r="N1149" s="64">
        <f t="shared" si="94"/>
        <v>1</v>
      </c>
    </row>
    <row r="1150" spans="2:14">
      <c r="B1150" s="41"/>
      <c r="C1150" s="103">
        <f t="shared" si="96"/>
        <v>44948</v>
      </c>
      <c r="E1150" s="170"/>
      <c r="F1150" s="58" t="str">
        <f>VLOOKUP(MOD(C1150,7),'CALENDAR INFO'!$I$2:$J$8,2)</f>
        <v>SUN</v>
      </c>
      <c r="G1150" s="214">
        <v>4.33</v>
      </c>
      <c r="H1150" s="425">
        <v>4.3</v>
      </c>
      <c r="I1150" s="457">
        <f t="shared" si="92"/>
        <v>-3.0000000000000249E-2</v>
      </c>
      <c r="J1150" s="152"/>
      <c r="K1150" s="221"/>
      <c r="L1150" s="223"/>
      <c r="M1150" s="210">
        <f t="shared" si="97"/>
        <v>0</v>
      </c>
      <c r="N1150" s="64">
        <f t="shared" si="94"/>
        <v>1</v>
      </c>
    </row>
    <row r="1151" spans="2:14">
      <c r="B1151" s="41"/>
      <c r="C1151" s="103">
        <f t="shared" si="96"/>
        <v>44949</v>
      </c>
      <c r="E1151" s="170"/>
      <c r="F1151" s="58" t="str">
        <f>VLOOKUP(MOD(C1151,7),'CALENDAR INFO'!$I$2:$J$8,2)</f>
        <v>MON</v>
      </c>
      <c r="G1151" s="214">
        <v>4.33</v>
      </c>
      <c r="H1151" s="425">
        <v>4.3</v>
      </c>
      <c r="I1151" s="457">
        <f t="shared" si="92"/>
        <v>-3.0000000000000249E-2</v>
      </c>
      <c r="J1151" s="152"/>
      <c r="K1151" s="182"/>
      <c r="L1151" s="192"/>
      <c r="M1151" s="210">
        <f t="shared" si="97"/>
        <v>1</v>
      </c>
      <c r="N1151" s="64">
        <f t="shared" si="94"/>
        <v>1.0001194444444443</v>
      </c>
    </row>
    <row r="1152" spans="2:14">
      <c r="B1152" s="41"/>
      <c r="C1152" s="103">
        <f t="shared" si="96"/>
        <v>44950</v>
      </c>
      <c r="E1152" s="170"/>
      <c r="F1152" s="58" t="str">
        <f>VLOOKUP(MOD(C1152,7),'CALENDAR INFO'!$I$2:$J$8,2)</f>
        <v>TUE</v>
      </c>
      <c r="G1152" s="214">
        <v>4.33</v>
      </c>
      <c r="H1152" s="425">
        <v>4.3</v>
      </c>
      <c r="I1152" s="457">
        <f t="shared" si="92"/>
        <v>-3.0000000000000249E-2</v>
      </c>
      <c r="J1152" s="152"/>
      <c r="K1152" s="152"/>
      <c r="L1152" s="222"/>
      <c r="M1152" s="210">
        <f t="shared" si="97"/>
        <v>1</v>
      </c>
      <c r="N1152" s="64">
        <f t="shared" si="94"/>
        <v>1.0001194444444443</v>
      </c>
    </row>
    <row r="1153" spans="1:16">
      <c r="B1153" s="41"/>
      <c r="C1153" s="103">
        <f t="shared" si="96"/>
        <v>44951</v>
      </c>
      <c r="E1153" s="170" t="s">
        <v>19</v>
      </c>
      <c r="F1153" s="58" t="str">
        <f>VLOOKUP(MOD(C1153,7),'CALENDAR INFO'!$I$2:$J$8,2)</f>
        <v>WED</v>
      </c>
      <c r="G1153" s="214">
        <v>4.33</v>
      </c>
      <c r="H1153" s="425">
        <v>4.3099999999999996</v>
      </c>
      <c r="I1153" s="457">
        <f t="shared" si="92"/>
        <v>-2.0000000000000462E-2</v>
      </c>
      <c r="J1153" s="152"/>
      <c r="K1153" s="152"/>
      <c r="L1153" s="202"/>
      <c r="M1153" s="210">
        <f t="shared" si="97"/>
        <v>1</v>
      </c>
      <c r="N1153" s="64">
        <f t="shared" si="94"/>
        <v>1.0001197222222222</v>
      </c>
    </row>
    <row r="1154" spans="1:16">
      <c r="B1154" s="41"/>
      <c r="C1154" s="103">
        <f t="shared" si="96"/>
        <v>44952</v>
      </c>
      <c r="E1154" s="167" t="s">
        <v>18</v>
      </c>
      <c r="F1154" s="58" t="str">
        <f>VLOOKUP(MOD(C1154,7),'CALENDAR INFO'!$I$2:$J$8,2)</f>
        <v>THU</v>
      </c>
      <c r="G1154" s="214">
        <v>4.33</v>
      </c>
      <c r="H1154" s="425">
        <v>4.3</v>
      </c>
      <c r="I1154" s="457">
        <f t="shared" si="92"/>
        <v>-3.0000000000000249E-2</v>
      </c>
      <c r="J1154" s="152"/>
      <c r="K1154" s="182"/>
      <c r="L1154" s="201"/>
      <c r="M1154" s="210">
        <f t="shared" si="97"/>
        <v>1</v>
      </c>
      <c r="N1154" s="64">
        <f t="shared" si="94"/>
        <v>1.0001194444444443</v>
      </c>
    </row>
    <row r="1155" spans="1:16">
      <c r="B1155" s="41"/>
      <c r="C1155" s="103">
        <f t="shared" si="96"/>
        <v>44953</v>
      </c>
      <c r="E1155" s="167"/>
      <c r="F1155" s="58" t="str">
        <f>VLOOKUP(MOD(C1155,7),'CALENDAR INFO'!$I$2:$J$8,2)</f>
        <v>FRI</v>
      </c>
      <c r="G1155" s="214">
        <v>4.33</v>
      </c>
      <c r="H1155" s="425">
        <v>4.3</v>
      </c>
      <c r="I1155" s="457">
        <f t="shared" ref="I1155:I1218" si="98">H1155-G1155</f>
        <v>-3.0000000000000249E-2</v>
      </c>
      <c r="J1155" s="152"/>
      <c r="K1155" s="152"/>
      <c r="L1155" s="202"/>
      <c r="M1155" s="210">
        <f t="shared" si="97"/>
        <v>3</v>
      </c>
      <c r="N1155" s="64">
        <f t="shared" si="94"/>
        <v>1.0003583333333332</v>
      </c>
      <c r="O1155" s="282"/>
      <c r="P1155" s="283"/>
    </row>
    <row r="1156" spans="1:16">
      <c r="B1156" s="41"/>
      <c r="C1156" s="103">
        <f t="shared" si="96"/>
        <v>44954</v>
      </c>
      <c r="E1156" s="167"/>
      <c r="F1156" s="58" t="str">
        <f>VLOOKUP(MOD(C1156,7),'CALENDAR INFO'!$I$2:$J$8,2)</f>
        <v>SAT</v>
      </c>
      <c r="G1156" s="214">
        <v>4.33</v>
      </c>
      <c r="H1156" s="425">
        <v>4.3</v>
      </c>
      <c r="I1156" s="457">
        <f t="shared" si="98"/>
        <v>-3.0000000000000249E-2</v>
      </c>
      <c r="J1156" s="152"/>
      <c r="K1156" s="182"/>
      <c r="L1156" s="201"/>
      <c r="M1156" s="210">
        <f t="shared" si="97"/>
        <v>0</v>
      </c>
      <c r="N1156" s="64">
        <f t="shared" si="94"/>
        <v>1</v>
      </c>
      <c r="O1156" s="282"/>
      <c r="P1156" s="284"/>
    </row>
    <row r="1157" spans="1:16">
      <c r="B1157" s="41"/>
      <c r="C1157" s="103">
        <f t="shared" si="96"/>
        <v>44955</v>
      </c>
      <c r="E1157" s="167"/>
      <c r="F1157" s="58" t="str">
        <f>VLOOKUP(MOD(C1157,7),'CALENDAR INFO'!$I$2:$J$8,2)</f>
        <v>SUN</v>
      </c>
      <c r="G1157" s="214">
        <v>4.33</v>
      </c>
      <c r="H1157" s="425">
        <v>4.3</v>
      </c>
      <c r="I1157" s="457">
        <f t="shared" si="98"/>
        <v>-3.0000000000000249E-2</v>
      </c>
      <c r="J1157" s="152"/>
      <c r="K1157" s="190"/>
      <c r="L1157" s="203"/>
      <c r="M1157" s="210">
        <f t="shared" si="97"/>
        <v>0</v>
      </c>
      <c r="N1157" s="64">
        <f t="shared" si="94"/>
        <v>1</v>
      </c>
      <c r="O1157" s="282"/>
      <c r="P1157" s="284"/>
    </row>
    <row r="1158" spans="1:16">
      <c r="B1158" s="41"/>
      <c r="C1158" s="103">
        <f t="shared" si="96"/>
        <v>44956</v>
      </c>
      <c r="E1158" s="167"/>
      <c r="F1158" s="58" t="str">
        <f>VLOOKUP(MOD(C1158,7),'CALENDAR INFO'!$I$2:$J$8,2)</f>
        <v>MON</v>
      </c>
      <c r="G1158" s="214">
        <v>4.33</v>
      </c>
      <c r="H1158" s="425">
        <v>4.3</v>
      </c>
      <c r="I1158" s="457">
        <f t="shared" si="98"/>
        <v>-3.0000000000000249E-2</v>
      </c>
      <c r="J1158" s="152"/>
      <c r="K1158" s="182"/>
      <c r="L1158" s="201"/>
      <c r="M1158" s="210">
        <f t="shared" si="97"/>
        <v>1</v>
      </c>
      <c r="N1158" s="64">
        <f t="shared" si="94"/>
        <v>1.0001194444444443</v>
      </c>
    </row>
    <row r="1159" spans="1:16" ht="15.75" thickBot="1">
      <c r="A1159" s="98"/>
      <c r="B1159" s="230"/>
      <c r="C1159" s="104">
        <f t="shared" si="96"/>
        <v>44957</v>
      </c>
      <c r="D1159" s="248" t="s">
        <v>20</v>
      </c>
      <c r="E1159" s="92"/>
      <c r="F1159" s="71" t="str">
        <f>VLOOKUP(MOD(C1159,7),'CALENDAR INFO'!$I$2:$J$8,2)</f>
        <v>TUE</v>
      </c>
      <c r="G1159" s="215">
        <v>4.33</v>
      </c>
      <c r="H1159" s="426">
        <v>4.3099999999999996</v>
      </c>
      <c r="I1159" s="458">
        <f t="shared" si="98"/>
        <v>-2.0000000000000462E-2</v>
      </c>
      <c r="J1159" s="437"/>
      <c r="K1159" s="191"/>
      <c r="L1159" s="204"/>
      <c r="M1159" s="113">
        <f t="shared" si="97"/>
        <v>1</v>
      </c>
      <c r="N1159" s="77">
        <f t="shared" si="94"/>
        <v>1.0001197222222222</v>
      </c>
    </row>
    <row r="1160" spans="1:16">
      <c r="B1160" s="41"/>
      <c r="C1160" s="103">
        <f t="shared" si="96"/>
        <v>44958</v>
      </c>
      <c r="D1160" s="247" t="s">
        <v>20</v>
      </c>
      <c r="E1160" s="167"/>
      <c r="F1160" s="58" t="str">
        <f>VLOOKUP(MOD(C1160,7),'CALENDAR INFO'!$I$2:$J$8,2)</f>
        <v>WED</v>
      </c>
      <c r="G1160" s="214">
        <v>4.33</v>
      </c>
      <c r="H1160" s="425">
        <v>4.3099999999999996</v>
      </c>
      <c r="I1160" s="457">
        <f t="shared" si="98"/>
        <v>-2.0000000000000462E-2</v>
      </c>
      <c r="J1160" s="436" t="s">
        <v>118</v>
      </c>
      <c r="K1160" s="15">
        <f>VLOOKUP(MONTH($C1160),'CALENDAR INFO'!$I$12:$J$23,2)</f>
        <v>28</v>
      </c>
      <c r="L1160" s="179">
        <f>K1160</f>
        <v>28</v>
      </c>
      <c r="M1160" s="116">
        <f t="shared" si="97"/>
        <v>1</v>
      </c>
      <c r="N1160" s="111">
        <f t="shared" si="94"/>
        <v>1.0001197222222222</v>
      </c>
    </row>
    <row r="1161" spans="1:16">
      <c r="B1161" s="41"/>
      <c r="C1161" s="103">
        <f t="shared" si="96"/>
        <v>44959</v>
      </c>
      <c r="E1161" s="167"/>
      <c r="F1161" s="58" t="str">
        <f>VLOOKUP(MOD(C1161,7),'CALENDAR INFO'!$I$2:$J$8,2)</f>
        <v>THU</v>
      </c>
      <c r="G1161" s="214">
        <v>4.58</v>
      </c>
      <c r="H1161" s="425">
        <v>4.5599999999999996</v>
      </c>
      <c r="I1161" s="457">
        <f t="shared" si="98"/>
        <v>-2.0000000000000462E-2</v>
      </c>
      <c r="J1161" s="152" t="s">
        <v>151</v>
      </c>
      <c r="K1161" s="15">
        <f>ROW($C1161)-1</f>
        <v>1160</v>
      </c>
      <c r="L1161" s="179">
        <f>K1161</f>
        <v>1160</v>
      </c>
      <c r="M1161" s="210">
        <f t="shared" si="97"/>
        <v>1</v>
      </c>
      <c r="N1161" s="64">
        <f t="shared" si="94"/>
        <v>1.0001266666666666</v>
      </c>
    </row>
    <row r="1162" spans="1:16">
      <c r="B1162" s="41"/>
      <c r="C1162" s="103">
        <f t="shared" si="96"/>
        <v>44960</v>
      </c>
      <c r="E1162" s="167"/>
      <c r="F1162" s="58" t="str">
        <f>VLOOKUP(MOD(C1162,7),'CALENDAR INFO'!$I$2:$J$8,2)</f>
        <v>FRI</v>
      </c>
      <c r="G1162" s="214">
        <v>4.58</v>
      </c>
      <c r="H1162" s="425">
        <v>4.55</v>
      </c>
      <c r="I1162" s="457">
        <f t="shared" si="98"/>
        <v>-3.0000000000000249E-2</v>
      </c>
      <c r="J1162" s="152" t="s">
        <v>152</v>
      </c>
      <c r="K1162" s="15">
        <f>K1160+K1161-1</f>
        <v>1187</v>
      </c>
      <c r="L1162" s="200">
        <f>K1162</f>
        <v>1187</v>
      </c>
      <c r="M1162" s="210">
        <f t="shared" si="97"/>
        <v>3</v>
      </c>
      <c r="N1162" s="64">
        <f t="shared" si="94"/>
        <v>1.0003791666666666</v>
      </c>
    </row>
    <row r="1163" spans="1:16">
      <c r="B1163" s="41"/>
      <c r="C1163" s="103">
        <f t="shared" si="96"/>
        <v>44961</v>
      </c>
      <c r="E1163" s="167"/>
      <c r="F1163" s="58" t="str">
        <f>VLOOKUP(MOD(C1163,7),'CALENDAR INFO'!$I$2:$J$8,2)</f>
        <v>SAT</v>
      </c>
      <c r="G1163" s="214">
        <v>4.58</v>
      </c>
      <c r="H1163" s="425">
        <v>4.55</v>
      </c>
      <c r="I1163" s="457">
        <f t="shared" si="98"/>
        <v>-3.0000000000000249E-2</v>
      </c>
      <c r="J1163" s="152"/>
      <c r="K1163" s="182"/>
      <c r="L1163" s="201"/>
      <c r="M1163" s="210">
        <f t="shared" si="97"/>
        <v>0</v>
      </c>
      <c r="N1163" s="64">
        <f t="shared" si="94"/>
        <v>1</v>
      </c>
    </row>
    <row r="1164" spans="1:16">
      <c r="B1164" s="41"/>
      <c r="C1164" s="103">
        <f t="shared" si="96"/>
        <v>44962</v>
      </c>
      <c r="E1164" s="167"/>
      <c r="F1164" s="58" t="str">
        <f>VLOOKUP(MOD(C1164,7),'CALENDAR INFO'!$I$2:$J$8,2)</f>
        <v>SUN</v>
      </c>
      <c r="G1164" s="214">
        <v>4.58</v>
      </c>
      <c r="H1164" s="425">
        <v>4.55</v>
      </c>
      <c r="I1164" s="457">
        <f t="shared" si="98"/>
        <v>-3.0000000000000249E-2</v>
      </c>
      <c r="J1164" s="152" t="s">
        <v>153</v>
      </c>
      <c r="K1164" s="182" t="str">
        <f>_xlfn.CONCAT("A",TEXT(K1161,0),":","A",TEXT(K1162,0))</f>
        <v>A1160:A1187</v>
      </c>
      <c r="L1164" s="201" t="str">
        <f>_xlfn.CONCAT("B",TEXT(L1161,0),":","B",TEXT(L1162,0))</f>
        <v>B1160:B1187</v>
      </c>
      <c r="M1164" s="210">
        <f t="shared" si="97"/>
        <v>0</v>
      </c>
      <c r="N1164" s="64">
        <f t="shared" si="94"/>
        <v>1</v>
      </c>
    </row>
    <row r="1165" spans="1:16">
      <c r="B1165" s="41"/>
      <c r="C1165" s="103">
        <f t="shared" si="96"/>
        <v>44963</v>
      </c>
      <c r="E1165" s="167"/>
      <c r="F1165" s="58" t="str">
        <f>VLOOKUP(MOD(C1165,7),'CALENDAR INFO'!$I$2:$J$8,2)</f>
        <v>MON</v>
      </c>
      <c r="G1165" s="214">
        <v>4.58</v>
      </c>
      <c r="H1165" s="425">
        <v>4.55</v>
      </c>
      <c r="I1165" s="457">
        <f t="shared" si="98"/>
        <v>-3.0000000000000249E-2</v>
      </c>
      <c r="J1165" s="152" t="s">
        <v>154</v>
      </c>
      <c r="K1165" s="182" t="str">
        <f>_xlfn.CONCAT("F",TEXT(K1161,0),":","F",TEXT(K1162,0))</f>
        <v>F1160:F1187</v>
      </c>
      <c r="L1165" s="201" t="str">
        <f>_xlfn.CONCAT("G",TEXT(L1161,0),":","G",TEXT(L1162,0))</f>
        <v>G1160:G1187</v>
      </c>
      <c r="M1165" s="210">
        <f t="shared" si="97"/>
        <v>1</v>
      </c>
      <c r="N1165" s="64">
        <f t="shared" si="94"/>
        <v>1.0001263888888889</v>
      </c>
    </row>
    <row r="1166" spans="1:16">
      <c r="B1166" s="41"/>
      <c r="C1166" s="103">
        <f t="shared" si="96"/>
        <v>44964</v>
      </c>
      <c r="E1166" s="167"/>
      <c r="F1166" s="58" t="str">
        <f>VLOOKUP(MOD(C1166,7),'CALENDAR INFO'!$I$2:$J$8,2)</f>
        <v>TUE</v>
      </c>
      <c r="G1166" s="214">
        <v>4.58</v>
      </c>
      <c r="H1166" s="425">
        <v>4.55</v>
      </c>
      <c r="I1166" s="457">
        <f t="shared" si="98"/>
        <v>-3.0000000000000249E-2</v>
      </c>
      <c r="J1166" s="152"/>
      <c r="K1166" s="152"/>
      <c r="L1166" s="202"/>
      <c r="M1166" s="210">
        <f t="shared" si="97"/>
        <v>1</v>
      </c>
      <c r="N1166" s="64">
        <f t="shared" si="94"/>
        <v>1.0001263888888889</v>
      </c>
    </row>
    <row r="1167" spans="1:16">
      <c r="B1167" s="41"/>
      <c r="C1167" s="103">
        <f t="shared" si="96"/>
        <v>44965</v>
      </c>
      <c r="E1167" s="167" t="s">
        <v>19</v>
      </c>
      <c r="F1167" s="58" t="str">
        <f>VLOOKUP(MOD(C1167,7),'CALENDAR INFO'!$I$2:$J$8,2)</f>
        <v>WED</v>
      </c>
      <c r="G1167" s="214">
        <v>4.58</v>
      </c>
      <c r="H1167" s="425">
        <v>4.55</v>
      </c>
      <c r="I1167" s="457">
        <f t="shared" si="98"/>
        <v>-3.0000000000000249E-2</v>
      </c>
      <c r="J1167" s="152" t="s">
        <v>155</v>
      </c>
      <c r="K1167" s="185">
        <f ca="1">SUM(INDIRECT(K1164))</f>
        <v>0</v>
      </c>
      <c r="L1167" s="93">
        <f ca="1">SUM(INDIRECT(L1164))</f>
        <v>0</v>
      </c>
      <c r="M1167" s="210">
        <f t="shared" si="97"/>
        <v>1</v>
      </c>
      <c r="N1167" s="64">
        <f t="shared" si="94"/>
        <v>1.0001263888888889</v>
      </c>
    </row>
    <row r="1168" spans="1:16">
      <c r="B1168" s="41"/>
      <c r="C1168" s="103">
        <f t="shared" si="96"/>
        <v>44966</v>
      </c>
      <c r="E1168" s="170" t="s">
        <v>18</v>
      </c>
      <c r="F1168" s="58" t="str">
        <f>VLOOKUP(MOD(C1168,7),'CALENDAR INFO'!$I$2:$J$8,2)</f>
        <v>THU</v>
      </c>
      <c r="G1168" s="214">
        <v>4.57</v>
      </c>
      <c r="H1168" s="425">
        <v>4.55</v>
      </c>
      <c r="I1168" s="457">
        <f t="shared" si="98"/>
        <v>-2.0000000000000462E-2</v>
      </c>
      <c r="J1168" s="152" t="s">
        <v>156</v>
      </c>
      <c r="K1168" s="207">
        <f ca="1">SUM(INDIRECT(K1165))</f>
        <v>0</v>
      </c>
      <c r="L1168" s="208">
        <f ca="1">SUM(INDIRECT(L1165))</f>
        <v>127.95999999999995</v>
      </c>
      <c r="M1168" s="210">
        <f t="shared" si="97"/>
        <v>1</v>
      </c>
      <c r="N1168" s="64">
        <f t="shared" si="94"/>
        <v>1.0001263888888889</v>
      </c>
    </row>
    <row r="1169" spans="2:22">
      <c r="B1169" s="41"/>
      <c r="C1169" s="103">
        <f t="shared" si="96"/>
        <v>44967</v>
      </c>
      <c r="E1169" s="170"/>
      <c r="F1169" s="58" t="str">
        <f>VLOOKUP(MOD(C1169,7),'CALENDAR INFO'!$I$2:$J$8,2)</f>
        <v>FRI</v>
      </c>
      <c r="G1169" s="214">
        <v>4.58</v>
      </c>
      <c r="H1169" s="425">
        <v>4.55</v>
      </c>
      <c r="I1169" s="457">
        <f t="shared" si="98"/>
        <v>-3.0000000000000249E-2</v>
      </c>
      <c r="J1169" s="152" t="s">
        <v>157</v>
      </c>
      <c r="K1169" s="178">
        <f ca="1">K1167+K1168</f>
        <v>0</v>
      </c>
      <c r="L1169" s="192">
        <f ca="1">L1167+L1168</f>
        <v>127.95999999999995</v>
      </c>
      <c r="M1169" s="210">
        <f t="shared" si="97"/>
        <v>3</v>
      </c>
      <c r="N1169" s="64">
        <f t="shared" si="94"/>
        <v>1.0003791666666666</v>
      </c>
    </row>
    <row r="1170" spans="2:22">
      <c r="B1170" s="41"/>
      <c r="C1170" s="103">
        <f t="shared" si="96"/>
        <v>44968</v>
      </c>
      <c r="E1170" s="170"/>
      <c r="F1170" s="58" t="str">
        <f>VLOOKUP(MOD(C1170,7),'CALENDAR INFO'!$I$2:$J$8,2)</f>
        <v>SAT</v>
      </c>
      <c r="G1170" s="214">
        <v>4.58</v>
      </c>
      <c r="H1170" s="425">
        <v>4.55</v>
      </c>
      <c r="I1170" s="457">
        <f t="shared" si="98"/>
        <v>-3.0000000000000249E-2</v>
      </c>
      <c r="J1170" s="152"/>
      <c r="K1170" s="178"/>
      <c r="L1170" s="192"/>
      <c r="M1170" s="210">
        <f t="shared" si="97"/>
        <v>0</v>
      </c>
      <c r="N1170" s="64">
        <f t="shared" si="94"/>
        <v>1</v>
      </c>
    </row>
    <row r="1171" spans="2:22">
      <c r="B1171" s="41"/>
      <c r="C1171" s="103">
        <f t="shared" si="96"/>
        <v>44969</v>
      </c>
      <c r="E1171" s="170"/>
      <c r="F1171" s="58" t="str">
        <f>VLOOKUP(MOD(C1171,7),'CALENDAR INFO'!$I$2:$J$8,2)</f>
        <v>SUN</v>
      </c>
      <c r="G1171" s="214">
        <v>4.58</v>
      </c>
      <c r="H1171" s="425">
        <v>4.55</v>
      </c>
      <c r="I1171" s="457">
        <f t="shared" si="98"/>
        <v>-3.0000000000000249E-2</v>
      </c>
      <c r="J1171" s="152" t="s">
        <v>158</v>
      </c>
      <c r="K1171" s="178">
        <f ca="1">K1169/K1160</f>
        <v>0</v>
      </c>
      <c r="L1171" s="192">
        <f ca="1">L1169/L1160</f>
        <v>4.5699999999999985</v>
      </c>
      <c r="M1171" s="210">
        <f t="shared" si="97"/>
        <v>0</v>
      </c>
      <c r="N1171" s="64">
        <f t="shared" ref="N1171:N1234" si="99">1+(M1171/360)*(MAX(H1171,B1171)/100)</f>
        <v>1</v>
      </c>
    </row>
    <row r="1172" spans="2:22">
      <c r="B1172" s="41"/>
      <c r="C1172" s="103">
        <f t="shared" si="96"/>
        <v>44970</v>
      </c>
      <c r="E1172" s="170"/>
      <c r="F1172" s="58" t="str">
        <f>VLOOKUP(MOD(C1172,7),'CALENDAR INFO'!$I$2:$J$8,2)</f>
        <v>MON</v>
      </c>
      <c r="G1172" s="214">
        <v>4.58</v>
      </c>
      <c r="H1172" s="425">
        <v>4.55</v>
      </c>
      <c r="I1172" s="457">
        <f t="shared" si="98"/>
        <v>-3.0000000000000249E-2</v>
      </c>
      <c r="J1172" s="152" t="s">
        <v>159</v>
      </c>
      <c r="K1172" s="180">
        <f ca="1">100-K1171</f>
        <v>100</v>
      </c>
      <c r="L1172" s="193">
        <f ca="1">100-L1171</f>
        <v>95.43</v>
      </c>
      <c r="M1172" s="210">
        <f t="shared" si="97"/>
        <v>1</v>
      </c>
      <c r="N1172" s="64">
        <f t="shared" si="99"/>
        <v>1.0001263888888889</v>
      </c>
    </row>
    <row r="1173" spans="2:22">
      <c r="B1173" s="41"/>
      <c r="C1173" s="103">
        <f t="shared" si="96"/>
        <v>44971</v>
      </c>
      <c r="E1173" s="170"/>
      <c r="F1173" s="58" t="str">
        <f>VLOOKUP(MOD(C1173,7),'CALENDAR INFO'!$I$2:$J$8,2)</f>
        <v>TUE</v>
      </c>
      <c r="G1173" s="214">
        <v>4.58</v>
      </c>
      <c r="H1173" s="425">
        <v>4.55</v>
      </c>
      <c r="I1173" s="457">
        <f t="shared" si="98"/>
        <v>-3.0000000000000249E-2</v>
      </c>
      <c r="J1173" s="152"/>
      <c r="K1173" s="178"/>
      <c r="L1173" s="192"/>
      <c r="M1173" s="210">
        <f t="shared" si="97"/>
        <v>1</v>
      </c>
      <c r="N1173" s="64">
        <f t="shared" si="99"/>
        <v>1.0001263888888889</v>
      </c>
      <c r="V1173" s="136"/>
    </row>
    <row r="1174" spans="2:22">
      <c r="B1174" s="41"/>
      <c r="C1174" s="103">
        <f t="shared" si="96"/>
        <v>44972</v>
      </c>
      <c r="E1174" s="170"/>
      <c r="F1174" s="58" t="str">
        <f>VLOOKUP(MOD(C1174,7),'CALENDAR INFO'!$I$2:$J$8,2)</f>
        <v>WED</v>
      </c>
      <c r="G1174" s="214">
        <v>4.58</v>
      </c>
      <c r="H1174" s="425">
        <v>4.55</v>
      </c>
      <c r="I1174" s="457">
        <f t="shared" si="98"/>
        <v>-3.0000000000000249E-2</v>
      </c>
      <c r="J1174" s="152"/>
      <c r="K1174" s="186"/>
      <c r="L1174" s="194"/>
      <c r="M1174" s="210">
        <f t="shared" si="97"/>
        <v>1</v>
      </c>
      <c r="N1174" s="64">
        <f t="shared" si="99"/>
        <v>1.0001263888888889</v>
      </c>
      <c r="V1174" s="136"/>
    </row>
    <row r="1175" spans="2:22">
      <c r="B1175" s="41"/>
      <c r="C1175" s="103">
        <f t="shared" si="96"/>
        <v>44973</v>
      </c>
      <c r="E1175" s="170"/>
      <c r="F1175" s="58" t="str">
        <f>VLOOKUP(MOD(C1175,7),'CALENDAR INFO'!$I$2:$J$8,2)</f>
        <v>THU</v>
      </c>
      <c r="G1175" s="214">
        <v>4.58</v>
      </c>
      <c r="H1175" s="425">
        <v>4.55</v>
      </c>
      <c r="I1175" s="457">
        <f t="shared" si="98"/>
        <v>-3.0000000000000249E-2</v>
      </c>
      <c r="J1175" s="152"/>
      <c r="K1175" s="152"/>
      <c r="L1175" s="202"/>
      <c r="M1175" s="210">
        <f t="shared" si="97"/>
        <v>1</v>
      </c>
      <c r="N1175" s="64">
        <f t="shared" si="99"/>
        <v>1.0001263888888889</v>
      </c>
      <c r="V1175" s="136"/>
    </row>
    <row r="1176" spans="2:22">
      <c r="B1176" s="41"/>
      <c r="C1176" s="103">
        <f t="shared" si="96"/>
        <v>44974</v>
      </c>
      <c r="E1176" s="170"/>
      <c r="F1176" s="58" t="str">
        <f>VLOOKUP(MOD(C1176,7),'CALENDAR INFO'!$I$2:$J$8,2)</f>
        <v>FRI</v>
      </c>
      <c r="G1176" s="214">
        <v>4.58</v>
      </c>
      <c r="H1176" s="425">
        <v>4.55</v>
      </c>
      <c r="I1176" s="457">
        <f t="shared" si="98"/>
        <v>-3.0000000000000249E-2</v>
      </c>
      <c r="J1176" s="152"/>
      <c r="K1176" s="182"/>
      <c r="L1176" s="201"/>
      <c r="M1176" s="117">
        <v>4</v>
      </c>
      <c r="N1176" s="64">
        <f t="shared" si="99"/>
        <v>1.0005055555555555</v>
      </c>
      <c r="V1176" s="136"/>
    </row>
    <row r="1177" spans="2:22">
      <c r="B1177" s="41"/>
      <c r="C1177" s="103">
        <f t="shared" si="96"/>
        <v>44975</v>
      </c>
      <c r="E1177" s="170"/>
      <c r="F1177" s="58" t="str">
        <f>VLOOKUP(MOD(C1177,7),'CALENDAR INFO'!$I$2:$J$8,2)</f>
        <v>SAT</v>
      </c>
      <c r="G1177" s="214">
        <v>4.58</v>
      </c>
      <c r="H1177" s="425">
        <v>4.55</v>
      </c>
      <c r="I1177" s="457">
        <f t="shared" si="98"/>
        <v>-3.0000000000000249E-2</v>
      </c>
      <c r="J1177" s="152"/>
      <c r="K1177" s="221"/>
      <c r="L1177" s="223"/>
      <c r="M1177" s="210">
        <f>IF(MOD(C1177,7)&lt;2,0,IF(MOD(C1177,7)=6,3,1))</f>
        <v>0</v>
      </c>
      <c r="N1177" s="64">
        <f t="shared" si="99"/>
        <v>1</v>
      </c>
      <c r="V1177" s="136"/>
    </row>
    <row r="1178" spans="2:22">
      <c r="B1178" s="41"/>
      <c r="C1178" s="103">
        <f t="shared" si="96"/>
        <v>44976</v>
      </c>
      <c r="E1178" s="170"/>
      <c r="F1178" s="58" t="str">
        <f>VLOOKUP(MOD(C1178,7),'CALENDAR INFO'!$I$2:$J$8,2)</f>
        <v>SUN</v>
      </c>
      <c r="G1178" s="214">
        <v>4.58</v>
      </c>
      <c r="H1178" s="425">
        <v>4.55</v>
      </c>
      <c r="I1178" s="457">
        <f t="shared" si="98"/>
        <v>-3.0000000000000249E-2</v>
      </c>
      <c r="J1178" s="152"/>
      <c r="K1178" s="182"/>
      <c r="L1178" s="201"/>
      <c r="M1178" s="210">
        <f>IF(MOD(C1178,7)&lt;2,0,IF(MOD(C1178,7)=6,3,1))</f>
        <v>0</v>
      </c>
      <c r="N1178" s="64">
        <f t="shared" si="99"/>
        <v>1</v>
      </c>
      <c r="V1178" s="136"/>
    </row>
    <row r="1179" spans="2:22">
      <c r="B1179" s="41"/>
      <c r="C1179" s="103">
        <f t="shared" si="96"/>
        <v>44977</v>
      </c>
      <c r="D1179" s="173" t="s">
        <v>39</v>
      </c>
      <c r="E1179" s="170"/>
      <c r="F1179" s="58" t="str">
        <f>VLOOKUP(MOD(C1179,7),'CALENDAR INFO'!$I$2:$J$8,2)</f>
        <v>MON</v>
      </c>
      <c r="G1179" s="214">
        <v>4.58</v>
      </c>
      <c r="H1179" s="425">
        <v>4.55</v>
      </c>
      <c r="I1179" s="457">
        <f t="shared" si="98"/>
        <v>-3.0000000000000249E-2</v>
      </c>
      <c r="J1179" s="152"/>
      <c r="K1179" s="182"/>
      <c r="L1179" s="201"/>
      <c r="M1179" s="117">
        <v>0</v>
      </c>
      <c r="N1179" s="64">
        <f t="shared" si="99"/>
        <v>1</v>
      </c>
      <c r="V1179" s="136"/>
    </row>
    <row r="1180" spans="2:22">
      <c r="B1180" s="41"/>
      <c r="C1180" s="103">
        <f t="shared" si="96"/>
        <v>44978</v>
      </c>
      <c r="E1180" s="170"/>
      <c r="F1180" s="58" t="str">
        <f>VLOOKUP(MOD(C1180,7),'CALENDAR INFO'!$I$2:$J$8,2)</f>
        <v>TUE</v>
      </c>
      <c r="G1180" s="214">
        <v>4.58</v>
      </c>
      <c r="H1180" s="425">
        <v>4.55</v>
      </c>
      <c r="I1180" s="457">
        <f t="shared" si="98"/>
        <v>-3.0000000000000249E-2</v>
      </c>
      <c r="J1180" s="152"/>
      <c r="K1180" s="182"/>
      <c r="L1180" s="201"/>
      <c r="M1180" s="210">
        <f t="shared" ref="M1180:M1211" si="100">IF(MOD(C1180,7)&lt;2,0,IF(MOD(C1180,7)=6,3,1))</f>
        <v>1</v>
      </c>
      <c r="N1180" s="64">
        <f t="shared" si="99"/>
        <v>1.0001263888888889</v>
      </c>
      <c r="V1180" s="136"/>
    </row>
    <row r="1181" spans="2:22">
      <c r="B1181" s="41"/>
      <c r="C1181" s="103">
        <f t="shared" si="96"/>
        <v>44979</v>
      </c>
      <c r="E1181" s="170" t="s">
        <v>19</v>
      </c>
      <c r="F1181" s="58" t="str">
        <f>VLOOKUP(MOD(C1181,7),'CALENDAR INFO'!$I$2:$J$8,2)</f>
        <v>WED</v>
      </c>
      <c r="G1181" s="214">
        <v>4.58</v>
      </c>
      <c r="H1181" s="425">
        <v>4.55</v>
      </c>
      <c r="I1181" s="457">
        <f t="shared" si="98"/>
        <v>-3.0000000000000249E-2</v>
      </c>
      <c r="J1181" s="152"/>
      <c r="K1181" s="221"/>
      <c r="L1181" s="223"/>
      <c r="M1181" s="210">
        <f t="shared" si="100"/>
        <v>1</v>
      </c>
      <c r="N1181" s="64">
        <f t="shared" si="99"/>
        <v>1.0001263888888889</v>
      </c>
      <c r="V1181" s="136"/>
    </row>
    <row r="1182" spans="2:22">
      <c r="B1182" s="41"/>
      <c r="C1182" s="103">
        <f t="shared" si="96"/>
        <v>44980</v>
      </c>
      <c r="E1182" s="167" t="s">
        <v>18</v>
      </c>
      <c r="F1182" s="58" t="str">
        <f>VLOOKUP(MOD(C1182,7),'CALENDAR INFO'!$I$2:$J$8,2)</f>
        <v>THU</v>
      </c>
      <c r="G1182" s="214">
        <v>4.58</v>
      </c>
      <c r="H1182" s="425">
        <v>4.55</v>
      </c>
      <c r="I1182" s="457">
        <f t="shared" si="98"/>
        <v>-3.0000000000000249E-2</v>
      </c>
      <c r="J1182" s="152"/>
      <c r="K1182" s="182"/>
      <c r="L1182" s="192"/>
      <c r="M1182" s="210">
        <f t="shared" si="100"/>
        <v>1</v>
      </c>
      <c r="N1182" s="64">
        <f t="shared" si="99"/>
        <v>1.0001263888888889</v>
      </c>
      <c r="V1182" s="136"/>
    </row>
    <row r="1183" spans="2:22">
      <c r="B1183" s="41"/>
      <c r="C1183" s="103">
        <f t="shared" si="96"/>
        <v>44981</v>
      </c>
      <c r="E1183" s="167"/>
      <c r="F1183" s="58" t="str">
        <f>VLOOKUP(MOD(C1183,7),'CALENDAR INFO'!$I$2:$J$8,2)</f>
        <v>FRI</v>
      </c>
      <c r="G1183" s="214">
        <v>4.58</v>
      </c>
      <c r="H1183" s="425">
        <v>4.55</v>
      </c>
      <c r="I1183" s="457">
        <f t="shared" si="98"/>
        <v>-3.0000000000000249E-2</v>
      </c>
      <c r="J1183" s="152"/>
      <c r="K1183" s="152"/>
      <c r="L1183" s="222"/>
      <c r="M1183" s="210">
        <f t="shared" si="100"/>
        <v>3</v>
      </c>
      <c r="N1183" s="64">
        <f t="shared" si="99"/>
        <v>1.0003791666666666</v>
      </c>
      <c r="O1183" s="282"/>
      <c r="P1183" s="283"/>
      <c r="V1183" s="136"/>
    </row>
    <row r="1184" spans="2:22">
      <c r="B1184" s="41"/>
      <c r="C1184" s="103">
        <f t="shared" si="96"/>
        <v>44982</v>
      </c>
      <c r="E1184" s="167"/>
      <c r="F1184" s="58" t="str">
        <f>VLOOKUP(MOD(C1184,7),'CALENDAR INFO'!$I$2:$J$8,2)</f>
        <v>SAT</v>
      </c>
      <c r="G1184" s="214">
        <v>4.58</v>
      </c>
      <c r="H1184" s="425">
        <v>4.55</v>
      </c>
      <c r="I1184" s="457">
        <f t="shared" si="98"/>
        <v>-3.0000000000000249E-2</v>
      </c>
      <c r="J1184" s="152"/>
      <c r="K1184" s="190"/>
      <c r="L1184" s="201"/>
      <c r="M1184" s="210">
        <f t="shared" si="100"/>
        <v>0</v>
      </c>
      <c r="N1184" s="64">
        <f t="shared" si="99"/>
        <v>1</v>
      </c>
      <c r="O1184" s="282"/>
      <c r="P1184" s="284"/>
      <c r="V1184" s="136"/>
    </row>
    <row r="1185" spans="1:28">
      <c r="B1185" s="41"/>
      <c r="C1185" s="103">
        <f t="shared" si="96"/>
        <v>44983</v>
      </c>
      <c r="E1185" s="167"/>
      <c r="F1185" s="58" t="str">
        <f>VLOOKUP(MOD(C1185,7),'CALENDAR INFO'!$I$2:$J$8,2)</f>
        <v>SUN</v>
      </c>
      <c r="G1185" s="214">
        <v>4.58</v>
      </c>
      <c r="H1185" s="425">
        <v>4.55</v>
      </c>
      <c r="I1185" s="457">
        <f t="shared" si="98"/>
        <v>-3.0000000000000249E-2</v>
      </c>
      <c r="J1185" s="152"/>
      <c r="K1185" s="190"/>
      <c r="L1185" s="203"/>
      <c r="M1185" s="210">
        <f t="shared" si="100"/>
        <v>0</v>
      </c>
      <c r="N1185" s="64">
        <f t="shared" si="99"/>
        <v>1</v>
      </c>
      <c r="O1185" s="282"/>
      <c r="P1185" s="284"/>
      <c r="V1185" s="136"/>
      <c r="AB1185" s="137"/>
    </row>
    <row r="1186" spans="1:28">
      <c r="B1186" s="41"/>
      <c r="C1186" s="103">
        <f t="shared" si="96"/>
        <v>44984</v>
      </c>
      <c r="E1186" s="167"/>
      <c r="F1186" s="58" t="str">
        <f>VLOOKUP(MOD(C1186,7),'CALENDAR INFO'!$I$2:$J$8,2)</f>
        <v>MON</v>
      </c>
      <c r="G1186" s="214">
        <v>4.57</v>
      </c>
      <c r="H1186" s="425">
        <v>4.55</v>
      </c>
      <c r="I1186" s="457">
        <f t="shared" si="98"/>
        <v>-2.0000000000000462E-2</v>
      </c>
      <c r="J1186" s="152"/>
      <c r="K1186" s="182"/>
      <c r="L1186" s="201"/>
      <c r="M1186" s="210">
        <f t="shared" si="100"/>
        <v>1</v>
      </c>
      <c r="N1186" s="64">
        <f t="shared" si="99"/>
        <v>1.0001263888888889</v>
      </c>
    </row>
    <row r="1187" spans="1:28" ht="15.75" thickBot="1">
      <c r="A1187" s="98"/>
      <c r="B1187" s="230"/>
      <c r="C1187" s="104">
        <f t="shared" si="96"/>
        <v>44985</v>
      </c>
      <c r="D1187" s="112"/>
      <c r="E1187" s="92"/>
      <c r="F1187" s="71" t="str">
        <f>VLOOKUP(MOD(C1187,7),'CALENDAR INFO'!$I$2:$J$8,2)</f>
        <v>TUE</v>
      </c>
      <c r="G1187" s="215">
        <v>4.57</v>
      </c>
      <c r="H1187" s="426">
        <v>4.55</v>
      </c>
      <c r="I1187" s="458">
        <f t="shared" si="98"/>
        <v>-2.0000000000000462E-2</v>
      </c>
      <c r="J1187" s="437"/>
      <c r="K1187" s="191"/>
      <c r="L1187" s="204"/>
      <c r="M1187" s="113">
        <f t="shared" si="100"/>
        <v>1</v>
      </c>
      <c r="N1187" s="77">
        <f t="shared" si="99"/>
        <v>1.0001263888888889</v>
      </c>
    </row>
    <row r="1188" spans="1:28">
      <c r="B1188" s="41"/>
      <c r="C1188" s="103">
        <f t="shared" si="96"/>
        <v>44986</v>
      </c>
      <c r="E1188" s="167"/>
      <c r="F1188" s="58" t="str">
        <f>VLOOKUP(MOD(C1188,7),'CALENDAR INFO'!$I$2:$J$8,2)</f>
        <v>WED</v>
      </c>
      <c r="G1188" s="214">
        <v>4.58</v>
      </c>
      <c r="H1188" s="425">
        <v>4.55</v>
      </c>
      <c r="I1188" s="457">
        <f t="shared" si="98"/>
        <v>-3.0000000000000249E-2</v>
      </c>
      <c r="J1188" s="436" t="s">
        <v>118</v>
      </c>
      <c r="K1188" s="15">
        <f>VLOOKUP(MONTH($C1188),'CALENDAR INFO'!$I$12:$J$23,2)</f>
        <v>31</v>
      </c>
      <c r="L1188" s="179">
        <f>K1188</f>
        <v>31</v>
      </c>
      <c r="M1188" s="116">
        <f t="shared" si="100"/>
        <v>1</v>
      </c>
      <c r="N1188" s="111">
        <f t="shared" si="99"/>
        <v>1.0001263888888889</v>
      </c>
    </row>
    <row r="1189" spans="1:28">
      <c r="B1189" s="41"/>
      <c r="C1189" s="103">
        <f t="shared" si="96"/>
        <v>44987</v>
      </c>
      <c r="E1189" s="167"/>
      <c r="F1189" s="58" t="str">
        <f>VLOOKUP(MOD(C1189,7),'CALENDAR INFO'!$I$2:$J$8,2)</f>
        <v>THU</v>
      </c>
      <c r="G1189" s="214">
        <v>4.57</v>
      </c>
      <c r="H1189" s="425">
        <v>4.55</v>
      </c>
      <c r="I1189" s="457">
        <f t="shared" si="98"/>
        <v>-2.0000000000000462E-2</v>
      </c>
      <c r="J1189" s="152" t="s">
        <v>151</v>
      </c>
      <c r="K1189" s="15">
        <f>ROW($C1189)-1</f>
        <v>1188</v>
      </c>
      <c r="L1189" s="179">
        <f>K1189</f>
        <v>1188</v>
      </c>
      <c r="M1189" s="210">
        <f t="shared" si="100"/>
        <v>1</v>
      </c>
      <c r="N1189" s="64">
        <f t="shared" si="99"/>
        <v>1.0001263888888889</v>
      </c>
    </row>
    <row r="1190" spans="1:28">
      <c r="B1190" s="41"/>
      <c r="C1190" s="103">
        <f t="shared" si="96"/>
        <v>44988</v>
      </c>
      <c r="E1190" s="167"/>
      <c r="F1190" s="58" t="str">
        <f>VLOOKUP(MOD(C1190,7),'CALENDAR INFO'!$I$2:$J$8,2)</f>
        <v>FRI</v>
      </c>
      <c r="G1190" s="214">
        <v>4.57</v>
      </c>
      <c r="H1190" s="425">
        <v>4.55</v>
      </c>
      <c r="I1190" s="457">
        <f t="shared" si="98"/>
        <v>-2.0000000000000462E-2</v>
      </c>
      <c r="J1190" s="152" t="s">
        <v>152</v>
      </c>
      <c r="K1190" s="15">
        <f>K1188+K1189-1</f>
        <v>1218</v>
      </c>
      <c r="L1190" s="200">
        <f>K1190</f>
        <v>1218</v>
      </c>
      <c r="M1190" s="210">
        <f t="shared" si="100"/>
        <v>3</v>
      </c>
      <c r="N1190" s="64">
        <f t="shared" si="99"/>
        <v>1.0003791666666666</v>
      </c>
    </row>
    <row r="1191" spans="1:28">
      <c r="B1191" s="41"/>
      <c r="C1191" s="103">
        <f t="shared" si="96"/>
        <v>44989</v>
      </c>
      <c r="E1191" s="167"/>
      <c r="F1191" s="58" t="str">
        <f>VLOOKUP(MOD(C1191,7),'CALENDAR INFO'!$I$2:$J$8,2)</f>
        <v>SAT</v>
      </c>
      <c r="G1191" s="214">
        <v>4.57</v>
      </c>
      <c r="H1191" s="425">
        <v>4.55</v>
      </c>
      <c r="I1191" s="457">
        <f t="shared" si="98"/>
        <v>-2.0000000000000462E-2</v>
      </c>
      <c r="J1191" s="152"/>
      <c r="K1191" s="182"/>
      <c r="L1191" s="201"/>
      <c r="M1191" s="210">
        <f t="shared" si="100"/>
        <v>0</v>
      </c>
      <c r="N1191" s="64">
        <f t="shared" si="99"/>
        <v>1</v>
      </c>
    </row>
    <row r="1192" spans="1:28">
      <c r="B1192" s="41"/>
      <c r="C1192" s="103">
        <f t="shared" si="96"/>
        <v>44990</v>
      </c>
      <c r="E1192" s="167"/>
      <c r="F1192" s="58" t="str">
        <f>VLOOKUP(MOD(C1192,7),'CALENDAR INFO'!$I$2:$J$8,2)</f>
        <v>SUN</v>
      </c>
      <c r="G1192" s="214">
        <v>4.57</v>
      </c>
      <c r="H1192" s="425">
        <v>4.55</v>
      </c>
      <c r="I1192" s="457">
        <f t="shared" si="98"/>
        <v>-2.0000000000000462E-2</v>
      </c>
      <c r="J1192" s="152" t="s">
        <v>153</v>
      </c>
      <c r="K1192" s="182" t="str">
        <f>_xlfn.CONCAT("A",TEXT(K1189,0),":","A",TEXT(K1190,0))</f>
        <v>A1188:A1218</v>
      </c>
      <c r="L1192" s="201" t="str">
        <f>_xlfn.CONCAT("B",TEXT(L1189,0),":","B",TEXT(L1190,0))</f>
        <v>B1188:B1218</v>
      </c>
      <c r="M1192" s="210">
        <f t="shared" si="100"/>
        <v>0</v>
      </c>
      <c r="N1192" s="64">
        <f t="shared" si="99"/>
        <v>1</v>
      </c>
    </row>
    <row r="1193" spans="1:28">
      <c r="B1193" s="41"/>
      <c r="C1193" s="103">
        <f t="shared" si="96"/>
        <v>44991</v>
      </c>
      <c r="E1193" s="167"/>
      <c r="F1193" s="58" t="str">
        <f>VLOOKUP(MOD(C1193,7),'CALENDAR INFO'!$I$2:$J$8,2)</f>
        <v>MON</v>
      </c>
      <c r="G1193" s="214">
        <v>4.57</v>
      </c>
      <c r="H1193" s="425">
        <v>4.55</v>
      </c>
      <c r="I1193" s="457">
        <f t="shared" si="98"/>
        <v>-2.0000000000000462E-2</v>
      </c>
      <c r="J1193" s="152" t="s">
        <v>154</v>
      </c>
      <c r="K1193" s="182" t="str">
        <f>_xlfn.CONCAT("F",TEXT(K1189,0),":","F",TEXT(K1190,0))</f>
        <v>F1188:F1218</v>
      </c>
      <c r="L1193" s="201" t="str">
        <f>_xlfn.CONCAT("G",TEXT(L1189,0),":","G",TEXT(L1190,0))</f>
        <v>G1188:G1218</v>
      </c>
      <c r="M1193" s="210">
        <f t="shared" si="100"/>
        <v>1</v>
      </c>
      <c r="N1193" s="64">
        <f t="shared" si="99"/>
        <v>1.0001263888888889</v>
      </c>
    </row>
    <row r="1194" spans="1:28">
      <c r="B1194" s="41"/>
      <c r="C1194" s="103">
        <f t="shared" si="96"/>
        <v>44992</v>
      </c>
      <c r="E1194" s="167"/>
      <c r="F1194" s="58" t="str">
        <f>VLOOKUP(MOD(C1194,7),'CALENDAR INFO'!$I$2:$J$8,2)</f>
        <v>TUE</v>
      </c>
      <c r="G1194" s="214">
        <v>4.57</v>
      </c>
      <c r="H1194" s="425">
        <v>4.55</v>
      </c>
      <c r="I1194" s="457">
        <f t="shared" si="98"/>
        <v>-2.0000000000000462E-2</v>
      </c>
      <c r="J1194" s="152"/>
      <c r="K1194" s="152"/>
      <c r="L1194" s="202"/>
      <c r="M1194" s="210">
        <f t="shared" si="100"/>
        <v>1</v>
      </c>
      <c r="N1194" s="64">
        <f t="shared" si="99"/>
        <v>1.0001263888888889</v>
      </c>
    </row>
    <row r="1195" spans="1:28">
      <c r="B1195" s="41"/>
      <c r="C1195" s="103">
        <f t="shared" si="96"/>
        <v>44993</v>
      </c>
      <c r="E1195" s="167" t="s">
        <v>19</v>
      </c>
      <c r="F1195" s="58" t="str">
        <f>VLOOKUP(MOD(C1195,7),'CALENDAR INFO'!$I$2:$J$8,2)</f>
        <v>WED</v>
      </c>
      <c r="G1195" s="214">
        <v>4.57</v>
      </c>
      <c r="H1195" s="425">
        <v>4.55</v>
      </c>
      <c r="I1195" s="457">
        <f t="shared" si="98"/>
        <v>-2.0000000000000462E-2</v>
      </c>
      <c r="J1195" s="152" t="s">
        <v>155</v>
      </c>
      <c r="K1195" s="185">
        <f ca="1">SUM(INDIRECT(K1192))</f>
        <v>0</v>
      </c>
      <c r="L1195" s="93">
        <f ca="1">SUM(INDIRECT(L1192))</f>
        <v>0</v>
      </c>
      <c r="M1195" s="210">
        <f t="shared" si="100"/>
        <v>1</v>
      </c>
      <c r="N1195" s="64">
        <f t="shared" si="99"/>
        <v>1.0001263888888889</v>
      </c>
    </row>
    <row r="1196" spans="1:28">
      <c r="B1196" s="41"/>
      <c r="C1196" s="103">
        <f t="shared" si="96"/>
        <v>44994</v>
      </c>
      <c r="E1196" s="170" t="s">
        <v>18</v>
      </c>
      <c r="F1196" s="58" t="str">
        <f>VLOOKUP(MOD(C1196,7),'CALENDAR INFO'!$I$2:$J$8,2)</f>
        <v>THU</v>
      </c>
      <c r="G1196" s="214">
        <v>4.57</v>
      </c>
      <c r="H1196" s="425">
        <v>4.55</v>
      </c>
      <c r="I1196" s="457">
        <f t="shared" si="98"/>
        <v>-2.0000000000000462E-2</v>
      </c>
      <c r="J1196" s="152" t="s">
        <v>156</v>
      </c>
      <c r="K1196" s="207">
        <f ca="1">SUM(INDIRECT(K1193))</f>
        <v>0</v>
      </c>
      <c r="L1196" s="208">
        <f ca="1">SUM(INDIRECT(L1193))</f>
        <v>144.12000000000003</v>
      </c>
      <c r="M1196" s="210">
        <f t="shared" si="100"/>
        <v>1</v>
      </c>
      <c r="N1196" s="64">
        <f t="shared" si="99"/>
        <v>1.0001263888888889</v>
      </c>
    </row>
    <row r="1197" spans="1:28">
      <c r="B1197" s="41"/>
      <c r="C1197" s="103">
        <f t="shared" si="96"/>
        <v>44995</v>
      </c>
      <c r="E1197" s="170"/>
      <c r="F1197" s="58" t="str">
        <f>VLOOKUP(MOD(C1197,7),'CALENDAR INFO'!$I$2:$J$8,2)</f>
        <v>FRI</v>
      </c>
      <c r="G1197" s="214">
        <v>4.57</v>
      </c>
      <c r="H1197" s="425">
        <v>4.55</v>
      </c>
      <c r="I1197" s="457">
        <f t="shared" si="98"/>
        <v>-2.0000000000000462E-2</v>
      </c>
      <c r="J1197" s="152" t="s">
        <v>157</v>
      </c>
      <c r="K1197" s="178">
        <f ca="1">K1195+K1196</f>
        <v>0</v>
      </c>
      <c r="L1197" s="192">
        <f ca="1">L1195+L1196</f>
        <v>144.12000000000003</v>
      </c>
      <c r="M1197" s="210">
        <f t="shared" si="100"/>
        <v>3</v>
      </c>
      <c r="N1197" s="64">
        <f t="shared" si="99"/>
        <v>1.0003791666666666</v>
      </c>
    </row>
    <row r="1198" spans="1:28">
      <c r="B1198" s="41"/>
      <c r="C1198" s="103">
        <f t="shared" si="96"/>
        <v>44996</v>
      </c>
      <c r="E1198" s="170"/>
      <c r="F1198" s="58" t="str">
        <f>VLOOKUP(MOD(C1198,7),'CALENDAR INFO'!$I$2:$J$8,2)</f>
        <v>SAT</v>
      </c>
      <c r="G1198" s="214">
        <v>4.57</v>
      </c>
      <c r="H1198" s="425">
        <v>4.55</v>
      </c>
      <c r="I1198" s="457">
        <f t="shared" si="98"/>
        <v>-2.0000000000000462E-2</v>
      </c>
      <c r="J1198" s="152"/>
      <c r="K1198" s="178"/>
      <c r="L1198" s="192"/>
      <c r="M1198" s="210">
        <f t="shared" si="100"/>
        <v>0</v>
      </c>
      <c r="N1198" s="64">
        <f t="shared" si="99"/>
        <v>1</v>
      </c>
    </row>
    <row r="1199" spans="1:28">
      <c r="B1199" s="41"/>
      <c r="C1199" s="103">
        <f t="shared" si="96"/>
        <v>44997</v>
      </c>
      <c r="E1199" s="170"/>
      <c r="F1199" s="58" t="str">
        <f>VLOOKUP(MOD(C1199,7),'CALENDAR INFO'!$I$2:$J$8,2)</f>
        <v>SUN</v>
      </c>
      <c r="G1199" s="214">
        <v>4.57</v>
      </c>
      <c r="H1199" s="425">
        <v>4.55</v>
      </c>
      <c r="I1199" s="457">
        <f t="shared" si="98"/>
        <v>-2.0000000000000462E-2</v>
      </c>
      <c r="J1199" s="152" t="s">
        <v>158</v>
      </c>
      <c r="K1199" s="178">
        <f ca="1">K1197/K1188</f>
        <v>0</v>
      </c>
      <c r="L1199" s="192">
        <f ca="1">L1197/L1188</f>
        <v>4.6490322580645174</v>
      </c>
      <c r="M1199" s="210">
        <f t="shared" si="100"/>
        <v>0</v>
      </c>
      <c r="N1199" s="64">
        <f t="shared" si="99"/>
        <v>1</v>
      </c>
    </row>
    <row r="1200" spans="1:28">
      <c r="B1200" s="41"/>
      <c r="C1200" s="103">
        <f t="shared" si="96"/>
        <v>44998</v>
      </c>
      <c r="E1200" s="170"/>
      <c r="F1200" s="58" t="str">
        <f>VLOOKUP(MOD(C1200,7),'CALENDAR INFO'!$I$2:$J$8,2)</f>
        <v>MON</v>
      </c>
      <c r="G1200" s="214">
        <v>4.58</v>
      </c>
      <c r="H1200" s="425">
        <v>4.55</v>
      </c>
      <c r="I1200" s="457">
        <f t="shared" si="98"/>
        <v>-3.0000000000000249E-2</v>
      </c>
      <c r="J1200" s="152" t="s">
        <v>159</v>
      </c>
      <c r="K1200" s="180">
        <f ca="1">100-K1199</f>
        <v>100</v>
      </c>
      <c r="L1200" s="193">
        <f ca="1">100-L1199</f>
        <v>95.350967741935477</v>
      </c>
      <c r="M1200" s="210">
        <f t="shared" si="100"/>
        <v>1</v>
      </c>
      <c r="N1200" s="64">
        <f t="shared" si="99"/>
        <v>1.0001263888888889</v>
      </c>
      <c r="O1200" s="282"/>
      <c r="P1200" s="283"/>
    </row>
    <row r="1201" spans="2:16">
      <c r="B1201" s="41"/>
      <c r="C1201" s="103">
        <f t="shared" si="96"/>
        <v>44999</v>
      </c>
      <c r="E1201" s="170"/>
      <c r="F1201" s="58" t="str">
        <f>VLOOKUP(MOD(C1201,7),'CALENDAR INFO'!$I$2:$J$8,2)</f>
        <v>TUE</v>
      </c>
      <c r="G1201" s="214">
        <v>4.58</v>
      </c>
      <c r="H1201" s="425">
        <v>4.55</v>
      </c>
      <c r="I1201" s="457">
        <f t="shared" si="98"/>
        <v>-3.0000000000000249E-2</v>
      </c>
      <c r="J1201" s="152"/>
      <c r="K1201" s="178"/>
      <c r="L1201" s="192"/>
      <c r="M1201" s="210">
        <f t="shared" si="100"/>
        <v>1</v>
      </c>
      <c r="N1201" s="64">
        <f t="shared" si="99"/>
        <v>1.0001263888888889</v>
      </c>
      <c r="O1201" s="282"/>
      <c r="P1201" s="285"/>
    </row>
    <row r="1202" spans="2:16">
      <c r="B1202" s="41"/>
      <c r="C1202" s="103">
        <f t="shared" si="96"/>
        <v>45000</v>
      </c>
      <c r="E1202" s="170"/>
      <c r="F1202" s="58" t="str">
        <f>VLOOKUP(MOD(C1202,7),'CALENDAR INFO'!$I$2:$J$8,2)</f>
        <v>WED</v>
      </c>
      <c r="G1202" s="214">
        <v>4.58</v>
      </c>
      <c r="H1202" s="425">
        <v>4.58</v>
      </c>
      <c r="I1202" s="457">
        <f t="shared" si="98"/>
        <v>0</v>
      </c>
      <c r="J1202" s="152"/>
      <c r="K1202" s="186"/>
      <c r="L1202" s="194"/>
      <c r="M1202" s="210">
        <f t="shared" si="100"/>
        <v>1</v>
      </c>
      <c r="N1202" s="64">
        <f t="shared" si="99"/>
        <v>1.0001272222222222</v>
      </c>
    </row>
    <row r="1203" spans="2:16">
      <c r="B1203" s="41"/>
      <c r="C1203" s="103">
        <f t="shared" si="96"/>
        <v>45001</v>
      </c>
      <c r="E1203" s="170"/>
      <c r="F1203" s="58" t="str">
        <f>VLOOKUP(MOD(C1203,7),'CALENDAR INFO'!$I$2:$J$8,2)</f>
        <v>THU</v>
      </c>
      <c r="G1203" s="214">
        <v>4.58</v>
      </c>
      <c r="H1203" s="425">
        <v>4.57</v>
      </c>
      <c r="I1203" s="457">
        <f t="shared" si="98"/>
        <v>-9.9999999999997868E-3</v>
      </c>
      <c r="J1203" s="152"/>
      <c r="K1203" s="152"/>
      <c r="L1203" s="202"/>
      <c r="M1203" s="210">
        <f t="shared" si="100"/>
        <v>1</v>
      </c>
      <c r="N1203" s="64">
        <f t="shared" si="99"/>
        <v>1.0001269444444445</v>
      </c>
    </row>
    <row r="1204" spans="2:16">
      <c r="B1204" s="41"/>
      <c r="C1204" s="103">
        <f t="shared" si="96"/>
        <v>45002</v>
      </c>
      <c r="E1204" s="170"/>
      <c r="F1204" s="58" t="str">
        <f>VLOOKUP(MOD(C1204,7),'CALENDAR INFO'!$I$2:$J$8,2)</f>
        <v>FRI</v>
      </c>
      <c r="G1204" s="214">
        <v>4.58</v>
      </c>
      <c r="H1204" s="425">
        <v>4.55</v>
      </c>
      <c r="I1204" s="457">
        <f t="shared" si="98"/>
        <v>-3.0000000000000249E-2</v>
      </c>
      <c r="J1204" s="152"/>
      <c r="K1204" s="182"/>
      <c r="L1204" s="201"/>
      <c r="M1204" s="210">
        <f t="shared" si="100"/>
        <v>3</v>
      </c>
      <c r="N1204" s="64">
        <f t="shared" si="99"/>
        <v>1.0003791666666666</v>
      </c>
    </row>
    <row r="1205" spans="2:16">
      <c r="B1205" s="41"/>
      <c r="C1205" s="103">
        <f t="shared" ref="C1205:C1268" si="101">C1204+1</f>
        <v>45003</v>
      </c>
      <c r="E1205" s="170"/>
      <c r="F1205" s="58" t="str">
        <f>VLOOKUP(MOD(C1205,7),'CALENDAR INFO'!$I$2:$J$8,2)</f>
        <v>SAT</v>
      </c>
      <c r="G1205" s="214">
        <v>4.58</v>
      </c>
      <c r="H1205" s="425">
        <v>4.55</v>
      </c>
      <c r="I1205" s="457">
        <f t="shared" si="98"/>
        <v>-3.0000000000000249E-2</v>
      </c>
      <c r="J1205" s="152"/>
      <c r="K1205" s="221"/>
      <c r="L1205" s="223"/>
      <c r="M1205" s="210">
        <f t="shared" si="100"/>
        <v>0</v>
      </c>
      <c r="N1205" s="64">
        <f t="shared" si="99"/>
        <v>1</v>
      </c>
    </row>
    <row r="1206" spans="2:16">
      <c r="B1206" s="41"/>
      <c r="C1206" s="103">
        <f t="shared" si="101"/>
        <v>45004</v>
      </c>
      <c r="E1206" s="170"/>
      <c r="F1206" s="58" t="str">
        <f>VLOOKUP(MOD(C1206,7),'CALENDAR INFO'!$I$2:$J$8,2)</f>
        <v>SUN</v>
      </c>
      <c r="G1206" s="214">
        <v>4.58</v>
      </c>
      <c r="H1206" s="425">
        <v>4.55</v>
      </c>
      <c r="I1206" s="457">
        <f t="shared" si="98"/>
        <v>-3.0000000000000249E-2</v>
      </c>
      <c r="J1206" s="152"/>
      <c r="K1206" s="182"/>
      <c r="L1206" s="201"/>
      <c r="M1206" s="210">
        <f t="shared" si="100"/>
        <v>0</v>
      </c>
      <c r="N1206" s="64">
        <f t="shared" si="99"/>
        <v>1</v>
      </c>
    </row>
    <row r="1207" spans="2:16">
      <c r="B1207" s="41"/>
      <c r="C1207" s="103">
        <f t="shared" si="101"/>
        <v>45005</v>
      </c>
      <c r="E1207" s="170"/>
      <c r="F1207" s="58" t="str">
        <f>VLOOKUP(MOD(C1207,7),'CALENDAR INFO'!$I$2:$J$8,2)</f>
        <v>MON</v>
      </c>
      <c r="G1207" s="214">
        <v>4.58</v>
      </c>
      <c r="H1207" s="425">
        <v>4.55</v>
      </c>
      <c r="I1207" s="457">
        <f t="shared" si="98"/>
        <v>-3.0000000000000249E-2</v>
      </c>
      <c r="J1207" s="152"/>
      <c r="K1207" s="182"/>
      <c r="L1207" s="201"/>
      <c r="M1207" s="210">
        <f t="shared" si="100"/>
        <v>1</v>
      </c>
      <c r="N1207" s="64">
        <f t="shared" si="99"/>
        <v>1.0001263888888889</v>
      </c>
    </row>
    <row r="1208" spans="2:16">
      <c r="B1208" s="41"/>
      <c r="C1208" s="103">
        <f t="shared" si="101"/>
        <v>45006</v>
      </c>
      <c r="D1208" s="153" t="s">
        <v>20</v>
      </c>
      <c r="E1208" s="170"/>
      <c r="F1208" s="58" t="str">
        <f>VLOOKUP(MOD(C1208,7),'CALENDAR INFO'!$I$2:$J$8,2)</f>
        <v>TUE</v>
      </c>
      <c r="G1208" s="214">
        <v>4.58</v>
      </c>
      <c r="H1208" s="425">
        <v>4.55</v>
      </c>
      <c r="I1208" s="457">
        <f t="shared" si="98"/>
        <v>-3.0000000000000249E-2</v>
      </c>
      <c r="J1208" s="152"/>
      <c r="K1208" s="182"/>
      <c r="L1208" s="201"/>
      <c r="M1208" s="210">
        <f t="shared" si="100"/>
        <v>1</v>
      </c>
      <c r="N1208" s="64">
        <f t="shared" si="99"/>
        <v>1.0001263888888889</v>
      </c>
    </row>
    <row r="1209" spans="2:16">
      <c r="B1209" s="41"/>
      <c r="C1209" s="103">
        <f t="shared" si="101"/>
        <v>45007</v>
      </c>
      <c r="D1209" s="153" t="s">
        <v>20</v>
      </c>
      <c r="E1209" s="170" t="s">
        <v>19</v>
      </c>
      <c r="F1209" s="58" t="str">
        <f>VLOOKUP(MOD(C1209,7),'CALENDAR INFO'!$I$2:$J$8,2)</f>
        <v>WED</v>
      </c>
      <c r="G1209" s="214">
        <v>4.58</v>
      </c>
      <c r="H1209" s="425">
        <v>4.55</v>
      </c>
      <c r="I1209" s="457">
        <f t="shared" si="98"/>
        <v>-3.0000000000000249E-2</v>
      </c>
      <c r="J1209" s="152"/>
      <c r="K1209" s="221"/>
      <c r="L1209" s="223"/>
      <c r="M1209" s="210">
        <f t="shared" si="100"/>
        <v>1</v>
      </c>
      <c r="N1209" s="64">
        <f t="shared" si="99"/>
        <v>1.0001263888888889</v>
      </c>
    </row>
    <row r="1210" spans="2:16">
      <c r="B1210" s="41"/>
      <c r="C1210" s="103">
        <f t="shared" si="101"/>
        <v>45008</v>
      </c>
      <c r="E1210" s="167" t="s">
        <v>18</v>
      </c>
      <c r="F1210" s="58" t="str">
        <f>VLOOKUP(MOD(C1210,7),'CALENDAR INFO'!$I$2:$J$8,2)</f>
        <v>THU</v>
      </c>
      <c r="G1210" s="214">
        <v>4.83</v>
      </c>
      <c r="H1210" s="425">
        <v>4.8</v>
      </c>
      <c r="I1210" s="457">
        <f t="shared" si="98"/>
        <v>-3.0000000000000249E-2</v>
      </c>
      <c r="J1210" s="152"/>
      <c r="K1210" s="182"/>
      <c r="L1210" s="192"/>
      <c r="M1210" s="210">
        <f t="shared" si="100"/>
        <v>1</v>
      </c>
      <c r="N1210" s="64">
        <f t="shared" si="99"/>
        <v>1.0001333333333333</v>
      </c>
    </row>
    <row r="1211" spans="2:16">
      <c r="B1211" s="41"/>
      <c r="C1211" s="103">
        <f t="shared" si="101"/>
        <v>45009</v>
      </c>
      <c r="E1211" s="167"/>
      <c r="F1211" s="58" t="str">
        <f>VLOOKUP(MOD(C1211,7),'CALENDAR INFO'!$I$2:$J$8,2)</f>
        <v>FRI</v>
      </c>
      <c r="G1211" s="214">
        <v>4.83</v>
      </c>
      <c r="H1211" s="425">
        <v>4.8</v>
      </c>
      <c r="I1211" s="457">
        <f t="shared" si="98"/>
        <v>-3.0000000000000249E-2</v>
      </c>
      <c r="J1211" s="152"/>
      <c r="K1211" s="152"/>
      <c r="L1211" s="222"/>
      <c r="M1211" s="210">
        <f t="shared" si="100"/>
        <v>3</v>
      </c>
      <c r="N1211" s="64">
        <f t="shared" si="99"/>
        <v>1.0004</v>
      </c>
    </row>
    <row r="1212" spans="2:16">
      <c r="B1212" s="41"/>
      <c r="C1212" s="103">
        <f t="shared" si="101"/>
        <v>45010</v>
      </c>
      <c r="E1212" s="167"/>
      <c r="F1212" s="58" t="str">
        <f>VLOOKUP(MOD(C1212,7),'CALENDAR INFO'!$I$2:$J$8,2)</f>
        <v>SAT</v>
      </c>
      <c r="G1212" s="214">
        <v>4.83</v>
      </c>
      <c r="H1212" s="425">
        <v>4.8</v>
      </c>
      <c r="I1212" s="457">
        <f t="shared" si="98"/>
        <v>-3.0000000000000249E-2</v>
      </c>
      <c r="J1212" s="152"/>
      <c r="K1212" s="152"/>
      <c r="L1212" s="202"/>
      <c r="M1212" s="210">
        <f t="shared" ref="M1212:M1243" si="102">IF(MOD(C1212,7)&lt;2,0,IF(MOD(C1212,7)=6,3,1))</f>
        <v>0</v>
      </c>
      <c r="N1212" s="64">
        <f t="shared" si="99"/>
        <v>1</v>
      </c>
    </row>
    <row r="1213" spans="2:16">
      <c r="B1213" s="41"/>
      <c r="C1213" s="103">
        <f t="shared" si="101"/>
        <v>45011</v>
      </c>
      <c r="E1213" s="167"/>
      <c r="F1213" s="58" t="str">
        <f>VLOOKUP(MOD(C1213,7),'CALENDAR INFO'!$I$2:$J$8,2)</f>
        <v>SUN</v>
      </c>
      <c r="G1213" s="214">
        <v>4.83</v>
      </c>
      <c r="H1213" s="425">
        <v>4.8</v>
      </c>
      <c r="I1213" s="457">
        <f t="shared" si="98"/>
        <v>-3.0000000000000249E-2</v>
      </c>
      <c r="J1213" s="152"/>
      <c r="K1213" s="182"/>
      <c r="L1213" s="201"/>
      <c r="M1213" s="210">
        <f t="shared" si="102"/>
        <v>0</v>
      </c>
      <c r="N1213" s="64">
        <f t="shared" si="99"/>
        <v>1</v>
      </c>
    </row>
    <row r="1214" spans="2:16">
      <c r="B1214" s="41"/>
      <c r="C1214" s="103">
        <f t="shared" si="101"/>
        <v>45012</v>
      </c>
      <c r="E1214" s="167"/>
      <c r="F1214" s="58" t="str">
        <f>VLOOKUP(MOD(C1214,7),'CALENDAR INFO'!$I$2:$J$8,2)</f>
        <v>MON</v>
      </c>
      <c r="G1214" s="214">
        <v>4.83</v>
      </c>
      <c r="H1214" s="425">
        <v>4.8099999999999996</v>
      </c>
      <c r="I1214" s="457">
        <f t="shared" si="98"/>
        <v>-2.0000000000000462E-2</v>
      </c>
      <c r="J1214" s="152"/>
      <c r="K1214" s="152"/>
      <c r="L1214" s="202"/>
      <c r="M1214" s="210">
        <f t="shared" si="102"/>
        <v>1</v>
      </c>
      <c r="N1214" s="64">
        <f t="shared" si="99"/>
        <v>1.0001336111111112</v>
      </c>
      <c r="O1214" s="282"/>
      <c r="P1214" s="283"/>
    </row>
    <row r="1215" spans="2:16">
      <c r="B1215" s="41"/>
      <c r="C1215" s="103">
        <f t="shared" si="101"/>
        <v>45013</v>
      </c>
      <c r="E1215" s="167"/>
      <c r="F1215" s="58" t="str">
        <f>VLOOKUP(MOD(C1215,7),'CALENDAR INFO'!$I$2:$J$8,2)</f>
        <v>TUE</v>
      </c>
      <c r="G1215" s="214">
        <v>4.83</v>
      </c>
      <c r="H1215" s="425">
        <v>4.84</v>
      </c>
      <c r="I1215" s="457">
        <f t="shared" si="98"/>
        <v>9.9999999999997868E-3</v>
      </c>
      <c r="J1215" s="152"/>
      <c r="K1215" s="182"/>
      <c r="L1215" s="201"/>
      <c r="M1215" s="210">
        <f t="shared" si="102"/>
        <v>1</v>
      </c>
      <c r="N1215" s="64">
        <f t="shared" si="99"/>
        <v>1.0001344444444444</v>
      </c>
      <c r="O1215" s="282"/>
      <c r="P1215" s="284"/>
    </row>
    <row r="1216" spans="2:16">
      <c r="B1216" s="41"/>
      <c r="C1216" s="103">
        <f t="shared" si="101"/>
        <v>45014</v>
      </c>
      <c r="E1216" s="167"/>
      <c r="F1216" s="58" t="str">
        <f>VLOOKUP(MOD(C1216,7),'CALENDAR INFO'!$I$2:$J$8,2)</f>
        <v>WED</v>
      </c>
      <c r="G1216" s="214">
        <v>4.83</v>
      </c>
      <c r="H1216" s="425">
        <v>4.83</v>
      </c>
      <c r="I1216" s="457">
        <f t="shared" si="98"/>
        <v>0</v>
      </c>
      <c r="J1216" s="152"/>
      <c r="K1216" s="190"/>
      <c r="L1216" s="203"/>
      <c r="M1216" s="210">
        <f t="shared" si="102"/>
        <v>1</v>
      </c>
      <c r="N1216" s="64">
        <f t="shared" si="99"/>
        <v>1.0001341666666668</v>
      </c>
      <c r="O1216" s="282"/>
      <c r="P1216" s="284"/>
    </row>
    <row r="1217" spans="1:14">
      <c r="B1217" s="41"/>
      <c r="C1217" s="103">
        <f t="shared" si="101"/>
        <v>45015</v>
      </c>
      <c r="E1217" s="167"/>
      <c r="F1217" s="58" t="str">
        <f>VLOOKUP(MOD(C1217,7),'CALENDAR INFO'!$I$2:$J$8,2)</f>
        <v>THU</v>
      </c>
      <c r="G1217" s="214">
        <v>4.83</v>
      </c>
      <c r="H1217" s="425">
        <v>4.82</v>
      </c>
      <c r="I1217" s="457">
        <f t="shared" si="98"/>
        <v>-9.9999999999997868E-3</v>
      </c>
      <c r="J1217" s="152"/>
      <c r="K1217" s="182"/>
      <c r="L1217" s="201"/>
      <c r="M1217" s="210">
        <f t="shared" si="102"/>
        <v>1</v>
      </c>
      <c r="N1217" s="64">
        <f t="shared" si="99"/>
        <v>1.0001338888888889</v>
      </c>
    </row>
    <row r="1218" spans="1:14" ht="15.75" thickBot="1">
      <c r="A1218" s="98"/>
      <c r="B1218" s="230"/>
      <c r="C1218" s="104">
        <f t="shared" si="101"/>
        <v>45016</v>
      </c>
      <c r="D1218" s="112"/>
      <c r="E1218" s="246"/>
      <c r="F1218" s="71" t="str">
        <f>VLOOKUP(MOD(C1218,7),'CALENDAR INFO'!$I$2:$J$8,2)</f>
        <v>FRI</v>
      </c>
      <c r="G1218" s="215">
        <v>4.83</v>
      </c>
      <c r="H1218" s="426">
        <v>4.87</v>
      </c>
      <c r="I1218" s="458">
        <f t="shared" si="98"/>
        <v>4.0000000000000036E-2</v>
      </c>
      <c r="J1218" s="437"/>
      <c r="K1218" s="184"/>
      <c r="L1218" s="205"/>
      <c r="M1218" s="113">
        <f t="shared" si="102"/>
        <v>3</v>
      </c>
      <c r="N1218" s="77">
        <f t="shared" si="99"/>
        <v>1.0004058333333334</v>
      </c>
    </row>
    <row r="1219" spans="1:14">
      <c r="B1219" s="41"/>
      <c r="C1219" s="103">
        <f t="shared" si="101"/>
        <v>45017</v>
      </c>
      <c r="E1219" s="167"/>
      <c r="F1219" s="58" t="str">
        <f>VLOOKUP(MOD(C1219,7),'CALENDAR INFO'!$I$2:$J$8,2)</f>
        <v>SAT</v>
      </c>
      <c r="G1219" s="214">
        <v>4.83</v>
      </c>
      <c r="H1219" s="425">
        <v>4.87</v>
      </c>
      <c r="I1219" s="457">
        <f t="shared" ref="I1219:I1282" si="103">H1219-G1219</f>
        <v>4.0000000000000036E-2</v>
      </c>
      <c r="J1219" s="436" t="s">
        <v>118</v>
      </c>
      <c r="K1219" s="15">
        <f>VLOOKUP(MONTH($C1219),'CALENDAR INFO'!$I$12:$J$23,2)</f>
        <v>30</v>
      </c>
      <c r="L1219" s="179">
        <f>K1219</f>
        <v>30</v>
      </c>
      <c r="M1219" s="116">
        <f t="shared" si="102"/>
        <v>0</v>
      </c>
      <c r="N1219" s="111">
        <f t="shared" si="99"/>
        <v>1</v>
      </c>
    </row>
    <row r="1220" spans="1:14">
      <c r="B1220" s="41"/>
      <c r="C1220" s="103">
        <f t="shared" si="101"/>
        <v>45018</v>
      </c>
      <c r="E1220" s="167"/>
      <c r="F1220" s="58" t="str">
        <f>VLOOKUP(MOD(C1220,7),'CALENDAR INFO'!$I$2:$J$8,2)</f>
        <v>SUN</v>
      </c>
      <c r="G1220" s="214">
        <v>4.83</v>
      </c>
      <c r="H1220" s="425">
        <v>4.87</v>
      </c>
      <c r="I1220" s="457">
        <f t="shared" si="103"/>
        <v>4.0000000000000036E-2</v>
      </c>
      <c r="J1220" s="152" t="s">
        <v>151</v>
      </c>
      <c r="K1220" s="15">
        <f>ROW($C1220)-1</f>
        <v>1219</v>
      </c>
      <c r="L1220" s="179">
        <f>K1220</f>
        <v>1219</v>
      </c>
      <c r="M1220" s="211">
        <f t="shared" si="102"/>
        <v>0</v>
      </c>
      <c r="N1220" s="64">
        <f t="shared" si="99"/>
        <v>1</v>
      </c>
    </row>
    <row r="1221" spans="1:14">
      <c r="B1221" s="41"/>
      <c r="C1221" s="103">
        <f t="shared" si="101"/>
        <v>45019</v>
      </c>
      <c r="E1221" s="167"/>
      <c r="F1221" s="58" t="str">
        <f>VLOOKUP(MOD(C1221,7),'CALENDAR INFO'!$I$2:$J$8,2)</f>
        <v>MON</v>
      </c>
      <c r="G1221" s="214">
        <v>4.83</v>
      </c>
      <c r="H1221" s="425">
        <v>4.84</v>
      </c>
      <c r="I1221" s="457">
        <f t="shared" si="103"/>
        <v>9.9999999999997868E-3</v>
      </c>
      <c r="J1221" s="152" t="s">
        <v>152</v>
      </c>
      <c r="K1221" s="15">
        <f>K1219+K1220-1</f>
        <v>1248</v>
      </c>
      <c r="L1221" s="200">
        <f>K1221</f>
        <v>1248</v>
      </c>
      <c r="M1221" s="211">
        <f t="shared" si="102"/>
        <v>1</v>
      </c>
      <c r="N1221" s="64">
        <f t="shared" si="99"/>
        <v>1.0001344444444444</v>
      </c>
    </row>
    <row r="1222" spans="1:14">
      <c r="B1222" s="41"/>
      <c r="C1222" s="103">
        <f t="shared" si="101"/>
        <v>45020</v>
      </c>
      <c r="E1222" s="167"/>
      <c r="F1222" s="58" t="str">
        <f>VLOOKUP(MOD(C1222,7),'CALENDAR INFO'!$I$2:$J$8,2)</f>
        <v>TUE</v>
      </c>
      <c r="G1222" s="214">
        <v>4.83</v>
      </c>
      <c r="H1222" s="425">
        <v>4.83</v>
      </c>
      <c r="I1222" s="457">
        <f t="shared" si="103"/>
        <v>0</v>
      </c>
      <c r="J1222" s="152"/>
      <c r="K1222" s="182"/>
      <c r="L1222" s="201"/>
      <c r="M1222" s="211">
        <f t="shared" si="102"/>
        <v>1</v>
      </c>
      <c r="N1222" s="64">
        <f t="shared" si="99"/>
        <v>1.0001341666666668</v>
      </c>
    </row>
    <row r="1223" spans="1:14">
      <c r="B1223" s="41"/>
      <c r="C1223" s="103">
        <f t="shared" si="101"/>
        <v>45021</v>
      </c>
      <c r="E1223" s="167" t="s">
        <v>19</v>
      </c>
      <c r="F1223" s="58" t="str">
        <f>VLOOKUP(MOD(C1223,7),'CALENDAR INFO'!$I$2:$J$8,2)</f>
        <v>WED</v>
      </c>
      <c r="G1223" s="214">
        <v>4.83</v>
      </c>
      <c r="H1223" s="425">
        <v>4.8099999999999996</v>
      </c>
      <c r="I1223" s="457">
        <f t="shared" si="103"/>
        <v>-2.0000000000000462E-2</v>
      </c>
      <c r="J1223" s="152" t="s">
        <v>153</v>
      </c>
      <c r="K1223" s="182" t="str">
        <f>_xlfn.CONCAT("A",TEXT(K1220,0),":","A",TEXT(K1221,0))</f>
        <v>A1219:A1248</v>
      </c>
      <c r="L1223" s="201" t="str">
        <f>_xlfn.CONCAT("B",TEXT(L1220,0),":","B",TEXT(L1221,0))</f>
        <v>B1219:B1248</v>
      </c>
      <c r="M1223" s="211">
        <f t="shared" si="102"/>
        <v>1</v>
      </c>
      <c r="N1223" s="64">
        <f t="shared" si="99"/>
        <v>1.0001336111111112</v>
      </c>
    </row>
    <row r="1224" spans="1:14">
      <c r="B1224" s="41"/>
      <c r="C1224" s="103">
        <f t="shared" si="101"/>
        <v>45022</v>
      </c>
      <c r="E1224" s="170" t="s">
        <v>18</v>
      </c>
      <c r="F1224" s="58" t="str">
        <f>VLOOKUP(MOD(C1224,7),'CALENDAR INFO'!$I$2:$J$8,2)</f>
        <v>THU</v>
      </c>
      <c r="G1224" s="214">
        <v>4.83</v>
      </c>
      <c r="H1224" s="425">
        <v>4.8099999999999996</v>
      </c>
      <c r="I1224" s="457">
        <f t="shared" si="103"/>
        <v>-2.0000000000000462E-2</v>
      </c>
      <c r="J1224" s="152" t="s">
        <v>154</v>
      </c>
      <c r="K1224" s="182" t="str">
        <f>_xlfn.CONCAT("F",TEXT(K1220,0),":","F",TEXT(K1221,0))</f>
        <v>F1219:F1248</v>
      </c>
      <c r="L1224" s="201" t="str">
        <f>_xlfn.CONCAT("G",TEXT(L1220,0),":","G",TEXT(L1221,0))</f>
        <v>G1219:G1248</v>
      </c>
      <c r="M1224" s="211">
        <f t="shared" si="102"/>
        <v>1</v>
      </c>
      <c r="N1224" s="64">
        <f t="shared" si="99"/>
        <v>1.0001336111111112</v>
      </c>
    </row>
    <row r="1225" spans="1:14">
      <c r="B1225" s="41"/>
      <c r="C1225" s="103">
        <f t="shared" si="101"/>
        <v>45023</v>
      </c>
      <c r="E1225" s="170"/>
      <c r="F1225" s="58" t="str">
        <f>VLOOKUP(MOD(C1225,7),'CALENDAR INFO'!$I$2:$J$8,2)</f>
        <v>FRI</v>
      </c>
      <c r="G1225" s="214">
        <v>4.83</v>
      </c>
      <c r="H1225" s="425">
        <v>4.8099999999999996</v>
      </c>
      <c r="I1225" s="457">
        <f t="shared" si="103"/>
        <v>-2.0000000000000462E-2</v>
      </c>
      <c r="J1225" s="152"/>
      <c r="K1225" s="152"/>
      <c r="L1225" s="202"/>
      <c r="M1225" s="211">
        <f t="shared" si="102"/>
        <v>3</v>
      </c>
      <c r="N1225" s="64">
        <f t="shared" si="99"/>
        <v>1.0004008333333334</v>
      </c>
    </row>
    <row r="1226" spans="1:14">
      <c r="B1226" s="41"/>
      <c r="C1226" s="103">
        <f t="shared" si="101"/>
        <v>45024</v>
      </c>
      <c r="E1226" s="170"/>
      <c r="F1226" s="58" t="str">
        <f>VLOOKUP(MOD(C1226,7),'CALENDAR INFO'!$I$2:$J$8,2)</f>
        <v>SAT</v>
      </c>
      <c r="G1226" s="214">
        <v>4.83</v>
      </c>
      <c r="H1226" s="425">
        <v>4.8099999999999996</v>
      </c>
      <c r="I1226" s="457">
        <f t="shared" si="103"/>
        <v>-2.0000000000000462E-2</v>
      </c>
      <c r="J1226" s="152" t="s">
        <v>155</v>
      </c>
      <c r="K1226" s="185">
        <f ca="1">SUM(INDIRECT(K1223))</f>
        <v>0</v>
      </c>
      <c r="L1226" s="93">
        <f ca="1">SUM(INDIRECT(L1223))</f>
        <v>0</v>
      </c>
      <c r="M1226" s="211">
        <f t="shared" si="102"/>
        <v>0</v>
      </c>
      <c r="N1226" s="64">
        <f t="shared" si="99"/>
        <v>1</v>
      </c>
    </row>
    <row r="1227" spans="1:14">
      <c r="B1227" s="41"/>
      <c r="C1227" s="103">
        <f t="shared" si="101"/>
        <v>45025</v>
      </c>
      <c r="E1227" s="170"/>
      <c r="F1227" s="58" t="str">
        <f>VLOOKUP(MOD(C1227,7),'CALENDAR INFO'!$I$2:$J$8,2)</f>
        <v>SUN</v>
      </c>
      <c r="G1227" s="214">
        <v>4.83</v>
      </c>
      <c r="H1227" s="425">
        <v>4.8099999999999996</v>
      </c>
      <c r="I1227" s="457">
        <f t="shared" si="103"/>
        <v>-2.0000000000000462E-2</v>
      </c>
      <c r="J1227" s="152" t="s">
        <v>156</v>
      </c>
      <c r="K1227" s="207">
        <f ca="1">SUM(INDIRECT(K1224))</f>
        <v>0</v>
      </c>
      <c r="L1227" s="208">
        <f ca="1">SUM(INDIRECT(L1224))</f>
        <v>144.9</v>
      </c>
      <c r="M1227" s="211">
        <f t="shared" si="102"/>
        <v>0</v>
      </c>
      <c r="N1227" s="64">
        <f t="shared" si="99"/>
        <v>1</v>
      </c>
    </row>
    <row r="1228" spans="1:14">
      <c r="B1228" s="41"/>
      <c r="C1228" s="103">
        <f t="shared" si="101"/>
        <v>45026</v>
      </c>
      <c r="E1228" s="170"/>
      <c r="F1228" s="58" t="str">
        <f>VLOOKUP(MOD(C1228,7),'CALENDAR INFO'!$I$2:$J$8,2)</f>
        <v>MON</v>
      </c>
      <c r="G1228" s="214">
        <v>4.83</v>
      </c>
      <c r="H1228" s="425">
        <v>4.8099999999999996</v>
      </c>
      <c r="I1228" s="457">
        <f t="shared" si="103"/>
        <v>-2.0000000000000462E-2</v>
      </c>
      <c r="J1228" s="152" t="s">
        <v>157</v>
      </c>
      <c r="K1228" s="178">
        <f ca="1">K1226+K1227</f>
        <v>0</v>
      </c>
      <c r="L1228" s="192">
        <f ca="1">L1226+L1227</f>
        <v>144.9</v>
      </c>
      <c r="M1228" s="211">
        <f t="shared" si="102"/>
        <v>1</v>
      </c>
      <c r="N1228" s="64">
        <f t="shared" si="99"/>
        <v>1.0001336111111112</v>
      </c>
    </row>
    <row r="1229" spans="1:14">
      <c r="B1229" s="41"/>
      <c r="C1229" s="103">
        <f t="shared" si="101"/>
        <v>45027</v>
      </c>
      <c r="E1229" s="170"/>
      <c r="F1229" s="58" t="str">
        <f>VLOOKUP(MOD(C1229,7),'CALENDAR INFO'!$I$2:$J$8,2)</f>
        <v>TUE</v>
      </c>
      <c r="G1229" s="214">
        <v>4.83</v>
      </c>
      <c r="H1229" s="425">
        <v>4.8</v>
      </c>
      <c r="I1229" s="457">
        <f t="shared" si="103"/>
        <v>-3.0000000000000249E-2</v>
      </c>
      <c r="J1229" s="152"/>
      <c r="K1229" s="178"/>
      <c r="L1229" s="192"/>
      <c r="M1229" s="211">
        <f t="shared" si="102"/>
        <v>1</v>
      </c>
      <c r="N1229" s="64">
        <f t="shared" si="99"/>
        <v>1.0001333333333333</v>
      </c>
    </row>
    <row r="1230" spans="1:14">
      <c r="B1230" s="41"/>
      <c r="C1230" s="103">
        <f t="shared" si="101"/>
        <v>45028</v>
      </c>
      <c r="E1230" s="170"/>
      <c r="F1230" s="58" t="str">
        <f>VLOOKUP(MOD(C1230,7),'CALENDAR INFO'!$I$2:$J$8,2)</f>
        <v>WED</v>
      </c>
      <c r="G1230" s="214">
        <v>4.83</v>
      </c>
      <c r="H1230" s="425">
        <v>4.8</v>
      </c>
      <c r="I1230" s="457">
        <f t="shared" si="103"/>
        <v>-3.0000000000000249E-2</v>
      </c>
      <c r="J1230" s="152" t="s">
        <v>158</v>
      </c>
      <c r="K1230" s="178">
        <f ca="1">K1228/K1219</f>
        <v>0</v>
      </c>
      <c r="L1230" s="192">
        <f ca="1">L1228/L1219</f>
        <v>4.83</v>
      </c>
      <c r="M1230" s="211">
        <f t="shared" si="102"/>
        <v>1</v>
      </c>
      <c r="N1230" s="64">
        <f t="shared" si="99"/>
        <v>1.0001333333333333</v>
      </c>
    </row>
    <row r="1231" spans="1:14">
      <c r="B1231" s="41"/>
      <c r="C1231" s="103">
        <f t="shared" si="101"/>
        <v>45029</v>
      </c>
      <c r="E1231" s="170"/>
      <c r="F1231" s="58" t="str">
        <f>VLOOKUP(MOD(C1231,7),'CALENDAR INFO'!$I$2:$J$8,2)</f>
        <v>THU</v>
      </c>
      <c r="G1231" s="214">
        <v>4.83</v>
      </c>
      <c r="H1231" s="425">
        <v>4.8</v>
      </c>
      <c r="I1231" s="457">
        <f t="shared" si="103"/>
        <v>-3.0000000000000249E-2</v>
      </c>
      <c r="J1231" s="152" t="s">
        <v>159</v>
      </c>
      <c r="K1231" s="180">
        <f ca="1">100-K1230</f>
        <v>100</v>
      </c>
      <c r="L1231" s="193">
        <f ca="1">100-L1230</f>
        <v>95.17</v>
      </c>
      <c r="M1231" s="211">
        <f t="shared" si="102"/>
        <v>1</v>
      </c>
      <c r="N1231" s="64">
        <f t="shared" si="99"/>
        <v>1.0001333333333333</v>
      </c>
    </row>
    <row r="1232" spans="1:14">
      <c r="B1232" s="41"/>
      <c r="C1232" s="103">
        <f t="shared" si="101"/>
        <v>45030</v>
      </c>
      <c r="E1232" s="170"/>
      <c r="F1232" s="58" t="str">
        <f>VLOOKUP(MOD(C1232,7),'CALENDAR INFO'!$I$2:$J$8,2)</f>
        <v>FRI</v>
      </c>
      <c r="G1232" s="214">
        <v>4.83</v>
      </c>
      <c r="H1232" s="425">
        <v>4.8</v>
      </c>
      <c r="I1232" s="457">
        <f t="shared" si="103"/>
        <v>-3.0000000000000249E-2</v>
      </c>
      <c r="J1232" s="152"/>
      <c r="K1232" s="178"/>
      <c r="L1232" s="192"/>
      <c r="M1232" s="211">
        <f t="shared" si="102"/>
        <v>3</v>
      </c>
      <c r="N1232" s="64">
        <f t="shared" si="99"/>
        <v>1.0004</v>
      </c>
    </row>
    <row r="1233" spans="1:16">
      <c r="B1233" s="41"/>
      <c r="C1233" s="103">
        <f t="shared" si="101"/>
        <v>45031</v>
      </c>
      <c r="E1233" s="170"/>
      <c r="F1233" s="58" t="str">
        <f>VLOOKUP(MOD(C1233,7),'CALENDAR INFO'!$I$2:$J$8,2)</f>
        <v>SAT</v>
      </c>
      <c r="G1233" s="214">
        <v>4.83</v>
      </c>
      <c r="H1233" s="425">
        <v>4.8</v>
      </c>
      <c r="I1233" s="457">
        <f t="shared" si="103"/>
        <v>-3.0000000000000249E-2</v>
      </c>
      <c r="J1233" s="152"/>
      <c r="K1233" s="186"/>
      <c r="L1233" s="194"/>
      <c r="M1233" s="211">
        <f t="shared" si="102"/>
        <v>0</v>
      </c>
      <c r="N1233" s="64">
        <f t="shared" si="99"/>
        <v>1</v>
      </c>
    </row>
    <row r="1234" spans="1:16">
      <c r="B1234" s="41"/>
      <c r="C1234" s="103">
        <f t="shared" si="101"/>
        <v>45032</v>
      </c>
      <c r="E1234" s="170"/>
      <c r="F1234" s="58" t="str">
        <f>VLOOKUP(MOD(C1234,7),'CALENDAR INFO'!$I$2:$J$8,2)</f>
        <v>SUN</v>
      </c>
      <c r="G1234" s="214">
        <v>4.83</v>
      </c>
      <c r="H1234" s="425">
        <v>4.8</v>
      </c>
      <c r="I1234" s="457">
        <f t="shared" si="103"/>
        <v>-3.0000000000000249E-2</v>
      </c>
      <c r="J1234" s="152"/>
      <c r="K1234" s="152"/>
      <c r="L1234" s="202"/>
      <c r="M1234" s="211">
        <f t="shared" si="102"/>
        <v>0</v>
      </c>
      <c r="N1234" s="64">
        <f t="shared" si="99"/>
        <v>1</v>
      </c>
    </row>
    <row r="1235" spans="1:16">
      <c r="B1235" s="41"/>
      <c r="C1235" s="103">
        <f t="shared" si="101"/>
        <v>45033</v>
      </c>
      <c r="E1235" s="170"/>
      <c r="F1235" s="58" t="str">
        <f>VLOOKUP(MOD(C1235,7),'CALENDAR INFO'!$I$2:$J$8,2)</f>
        <v>MON</v>
      </c>
      <c r="G1235" s="214">
        <v>4.83</v>
      </c>
      <c r="H1235" s="425">
        <v>4.8</v>
      </c>
      <c r="I1235" s="457">
        <f t="shared" si="103"/>
        <v>-3.0000000000000249E-2</v>
      </c>
      <c r="J1235" s="152"/>
      <c r="K1235" s="182"/>
      <c r="L1235" s="201"/>
      <c r="M1235" s="211">
        <f t="shared" si="102"/>
        <v>1</v>
      </c>
      <c r="N1235" s="64">
        <f t="shared" ref="N1235:N1298" si="104">1+(M1235/360)*(MAX(H1235,B1235)/100)</f>
        <v>1.0001333333333333</v>
      </c>
    </row>
    <row r="1236" spans="1:16">
      <c r="B1236" s="41"/>
      <c r="C1236" s="103">
        <f t="shared" si="101"/>
        <v>45034</v>
      </c>
      <c r="E1236" s="170"/>
      <c r="F1236" s="58" t="str">
        <f>VLOOKUP(MOD(C1236,7),'CALENDAR INFO'!$I$2:$J$8,2)</f>
        <v>TUE</v>
      </c>
      <c r="G1236" s="214">
        <v>4.83</v>
      </c>
      <c r="H1236" s="425">
        <v>4.8</v>
      </c>
      <c r="I1236" s="457">
        <f t="shared" si="103"/>
        <v>-3.0000000000000249E-2</v>
      </c>
      <c r="J1236" s="152"/>
      <c r="K1236" s="221"/>
      <c r="L1236" s="223"/>
      <c r="M1236" s="211">
        <f t="shared" si="102"/>
        <v>1</v>
      </c>
      <c r="N1236" s="64">
        <f t="shared" si="104"/>
        <v>1.0001333333333333</v>
      </c>
    </row>
    <row r="1237" spans="1:16">
      <c r="B1237" s="41"/>
      <c r="C1237" s="103">
        <f t="shared" si="101"/>
        <v>45035</v>
      </c>
      <c r="E1237" s="170" t="s">
        <v>19</v>
      </c>
      <c r="F1237" s="58" t="str">
        <f>VLOOKUP(MOD(C1237,7),'CALENDAR INFO'!$I$2:$J$8,2)</f>
        <v>WED</v>
      </c>
      <c r="G1237" s="214">
        <v>4.83</v>
      </c>
      <c r="H1237" s="425">
        <v>4.8</v>
      </c>
      <c r="I1237" s="457">
        <f t="shared" si="103"/>
        <v>-3.0000000000000249E-2</v>
      </c>
      <c r="J1237" s="152"/>
      <c r="K1237" s="182"/>
      <c r="L1237" s="201"/>
      <c r="M1237" s="211">
        <f t="shared" si="102"/>
        <v>1</v>
      </c>
      <c r="N1237" s="64">
        <f t="shared" si="104"/>
        <v>1.0001333333333333</v>
      </c>
    </row>
    <row r="1238" spans="1:16">
      <c r="B1238" s="41"/>
      <c r="C1238" s="103">
        <f t="shared" si="101"/>
        <v>45036</v>
      </c>
      <c r="E1238" s="167" t="s">
        <v>18</v>
      </c>
      <c r="F1238" s="58" t="str">
        <f>VLOOKUP(MOD(C1238,7),'CALENDAR INFO'!$I$2:$J$8,2)</f>
        <v>THU</v>
      </c>
      <c r="G1238" s="214">
        <v>4.83</v>
      </c>
      <c r="H1238" s="425">
        <v>4.8</v>
      </c>
      <c r="I1238" s="457">
        <f t="shared" si="103"/>
        <v>-3.0000000000000249E-2</v>
      </c>
      <c r="J1238" s="152"/>
      <c r="K1238" s="182"/>
      <c r="L1238" s="201"/>
      <c r="M1238" s="211">
        <f t="shared" si="102"/>
        <v>1</v>
      </c>
      <c r="N1238" s="64">
        <f t="shared" si="104"/>
        <v>1.0001333333333333</v>
      </c>
    </row>
    <row r="1239" spans="1:16">
      <c r="B1239" s="41"/>
      <c r="C1239" s="103">
        <f t="shared" si="101"/>
        <v>45037</v>
      </c>
      <c r="E1239" s="167"/>
      <c r="F1239" s="58" t="str">
        <f>VLOOKUP(MOD(C1239,7),'CALENDAR INFO'!$I$2:$J$8,2)</f>
        <v>FRI</v>
      </c>
      <c r="G1239" s="214">
        <v>4.83</v>
      </c>
      <c r="H1239" s="425">
        <v>4.8</v>
      </c>
      <c r="I1239" s="457">
        <f t="shared" si="103"/>
        <v>-3.0000000000000249E-2</v>
      </c>
      <c r="J1239" s="152"/>
      <c r="K1239" s="182"/>
      <c r="L1239" s="201"/>
      <c r="M1239" s="211">
        <f t="shared" si="102"/>
        <v>3</v>
      </c>
      <c r="N1239" s="64">
        <f t="shared" si="104"/>
        <v>1.0004</v>
      </c>
    </row>
    <row r="1240" spans="1:16">
      <c r="B1240" s="41"/>
      <c r="C1240" s="103">
        <f t="shared" si="101"/>
        <v>45038</v>
      </c>
      <c r="E1240" s="167"/>
      <c r="F1240" s="58" t="str">
        <f>VLOOKUP(MOD(C1240,7),'CALENDAR INFO'!$I$2:$J$8,2)</f>
        <v>SAT</v>
      </c>
      <c r="G1240" s="214">
        <v>4.83</v>
      </c>
      <c r="H1240" s="425">
        <v>4.8</v>
      </c>
      <c r="I1240" s="457">
        <f t="shared" si="103"/>
        <v>-3.0000000000000249E-2</v>
      </c>
      <c r="J1240" s="152"/>
      <c r="K1240" s="221"/>
      <c r="L1240" s="223"/>
      <c r="M1240" s="211">
        <f t="shared" si="102"/>
        <v>0</v>
      </c>
      <c r="N1240" s="64">
        <f t="shared" si="104"/>
        <v>1</v>
      </c>
    </row>
    <row r="1241" spans="1:16">
      <c r="B1241" s="41"/>
      <c r="C1241" s="103">
        <f t="shared" si="101"/>
        <v>45039</v>
      </c>
      <c r="E1241" s="167"/>
      <c r="F1241" s="58" t="str">
        <f>VLOOKUP(MOD(C1241,7),'CALENDAR INFO'!$I$2:$J$8,2)</f>
        <v>SUN</v>
      </c>
      <c r="G1241" s="214">
        <v>4.83</v>
      </c>
      <c r="H1241" s="425">
        <v>4.8</v>
      </c>
      <c r="I1241" s="457">
        <f t="shared" si="103"/>
        <v>-3.0000000000000249E-2</v>
      </c>
      <c r="J1241" s="152"/>
      <c r="K1241" s="182"/>
      <c r="L1241" s="192"/>
      <c r="M1241" s="211">
        <f t="shared" si="102"/>
        <v>0</v>
      </c>
      <c r="N1241" s="64">
        <f t="shared" si="104"/>
        <v>1</v>
      </c>
    </row>
    <row r="1242" spans="1:16">
      <c r="B1242" s="41"/>
      <c r="C1242" s="103">
        <f t="shared" si="101"/>
        <v>45040</v>
      </c>
      <c r="E1242" s="167"/>
      <c r="F1242" s="58" t="str">
        <f>VLOOKUP(MOD(C1242,7),'CALENDAR INFO'!$I$2:$J$8,2)</f>
        <v>MON</v>
      </c>
      <c r="G1242" s="214">
        <v>4.83</v>
      </c>
      <c r="H1242" s="425">
        <v>4.8</v>
      </c>
      <c r="I1242" s="457">
        <f t="shared" si="103"/>
        <v>-3.0000000000000249E-2</v>
      </c>
      <c r="J1242" s="152"/>
      <c r="K1242" s="152"/>
      <c r="L1242" s="222"/>
      <c r="M1242" s="211">
        <f t="shared" si="102"/>
        <v>1</v>
      </c>
      <c r="N1242" s="64">
        <f t="shared" si="104"/>
        <v>1.0001333333333333</v>
      </c>
    </row>
    <row r="1243" spans="1:16">
      <c r="B1243" s="41"/>
      <c r="C1243" s="103">
        <f t="shared" si="101"/>
        <v>45041</v>
      </c>
      <c r="E1243" s="167"/>
      <c r="F1243" s="58" t="str">
        <f>VLOOKUP(MOD(C1243,7),'CALENDAR INFO'!$I$2:$J$8,2)</f>
        <v>TUE</v>
      </c>
      <c r="G1243" s="214">
        <v>4.83</v>
      </c>
      <c r="H1243" s="425">
        <v>4.8</v>
      </c>
      <c r="I1243" s="457">
        <f t="shared" si="103"/>
        <v>-3.0000000000000249E-2</v>
      </c>
      <c r="J1243" s="152"/>
      <c r="K1243" s="182"/>
      <c r="L1243" s="201"/>
      <c r="M1243" s="211">
        <f t="shared" si="102"/>
        <v>1</v>
      </c>
      <c r="N1243" s="64">
        <f t="shared" si="104"/>
        <v>1.0001333333333333</v>
      </c>
    </row>
    <row r="1244" spans="1:16">
      <c r="B1244" s="41"/>
      <c r="C1244" s="103">
        <f t="shared" si="101"/>
        <v>45042</v>
      </c>
      <c r="E1244" s="167"/>
      <c r="F1244" s="58" t="str">
        <f>VLOOKUP(MOD(C1244,7),'CALENDAR INFO'!$I$2:$J$8,2)</f>
        <v>WED</v>
      </c>
      <c r="G1244" s="214">
        <v>4.83</v>
      </c>
      <c r="H1244" s="425">
        <v>4.8</v>
      </c>
      <c r="I1244" s="457">
        <f t="shared" si="103"/>
        <v>-3.0000000000000249E-2</v>
      </c>
      <c r="J1244" s="152"/>
      <c r="K1244" s="152"/>
      <c r="L1244" s="202"/>
      <c r="M1244" s="211">
        <f t="shared" ref="M1244:M1273" si="105">IF(MOD(C1244,7)&lt;2,0,IF(MOD(C1244,7)=6,3,1))</f>
        <v>1</v>
      </c>
      <c r="N1244" s="64">
        <f t="shared" si="104"/>
        <v>1.0001333333333333</v>
      </c>
      <c r="O1244" s="282"/>
      <c r="P1244" s="283"/>
    </row>
    <row r="1245" spans="1:16">
      <c r="B1245" s="41"/>
      <c r="C1245" s="103">
        <f t="shared" si="101"/>
        <v>45043</v>
      </c>
      <c r="E1245" s="167"/>
      <c r="F1245" s="58" t="str">
        <f>VLOOKUP(MOD(C1245,7),'CALENDAR INFO'!$I$2:$J$8,2)</f>
        <v>THU</v>
      </c>
      <c r="G1245" s="214">
        <v>4.83</v>
      </c>
      <c r="H1245" s="425">
        <v>4.8099999999999996</v>
      </c>
      <c r="I1245" s="457">
        <f t="shared" si="103"/>
        <v>-2.0000000000000462E-2</v>
      </c>
      <c r="J1245" s="152"/>
      <c r="K1245" s="182"/>
      <c r="L1245" s="201"/>
      <c r="M1245" s="211">
        <f t="shared" si="105"/>
        <v>1</v>
      </c>
      <c r="N1245" s="64">
        <f t="shared" si="104"/>
        <v>1.0001336111111112</v>
      </c>
      <c r="O1245" s="282"/>
      <c r="P1245" s="284"/>
    </row>
    <row r="1246" spans="1:16">
      <c r="B1246" s="41"/>
      <c r="C1246" s="103">
        <f t="shared" si="101"/>
        <v>45044</v>
      </c>
      <c r="E1246" s="167"/>
      <c r="F1246" s="58" t="str">
        <f>VLOOKUP(MOD(C1246,7),'CALENDAR INFO'!$I$2:$J$8,2)</f>
        <v>FRI</v>
      </c>
      <c r="G1246" s="214">
        <v>4.83</v>
      </c>
      <c r="H1246" s="425">
        <v>4.8099999999999996</v>
      </c>
      <c r="I1246" s="457">
        <f t="shared" si="103"/>
        <v>-2.0000000000000462E-2</v>
      </c>
      <c r="J1246" s="152"/>
      <c r="K1246" s="190"/>
      <c r="L1246" s="203"/>
      <c r="M1246" s="211">
        <f t="shared" si="105"/>
        <v>3</v>
      </c>
      <c r="N1246" s="64">
        <f t="shared" si="104"/>
        <v>1.0004008333333334</v>
      </c>
      <c r="O1246" s="282"/>
      <c r="P1246" s="284"/>
    </row>
    <row r="1247" spans="1:16">
      <c r="B1247" s="41"/>
      <c r="C1247" s="103">
        <f t="shared" si="101"/>
        <v>45045</v>
      </c>
      <c r="E1247" s="167"/>
      <c r="F1247" s="58" t="str">
        <f>VLOOKUP(MOD(C1247,7),'CALENDAR INFO'!$I$2:$J$8,2)</f>
        <v>SAT</v>
      </c>
      <c r="G1247" s="214">
        <v>4.83</v>
      </c>
      <c r="H1247" s="425">
        <v>4.8099999999999996</v>
      </c>
      <c r="I1247" s="457">
        <f t="shared" si="103"/>
        <v>-2.0000000000000462E-2</v>
      </c>
      <c r="J1247" s="152"/>
      <c r="K1247" s="182"/>
      <c r="L1247" s="201"/>
      <c r="M1247" s="211">
        <f t="shared" si="105"/>
        <v>0</v>
      </c>
      <c r="N1247" s="64">
        <f t="shared" si="104"/>
        <v>1</v>
      </c>
    </row>
    <row r="1248" spans="1:16" ht="15.75" thickBot="1">
      <c r="A1248" s="98"/>
      <c r="B1248" s="230"/>
      <c r="C1248" s="104">
        <f t="shared" si="101"/>
        <v>45046</v>
      </c>
      <c r="D1248" s="112"/>
      <c r="E1248" s="246"/>
      <c r="F1248" s="71" t="str">
        <f>VLOOKUP(MOD(C1248,7),'CALENDAR INFO'!$I$2:$J$8,2)</f>
        <v>SUN</v>
      </c>
      <c r="G1248" s="215">
        <v>4.83</v>
      </c>
      <c r="H1248" s="426">
        <v>4.8099999999999996</v>
      </c>
      <c r="I1248" s="458">
        <f t="shared" si="103"/>
        <v>-2.0000000000000462E-2</v>
      </c>
      <c r="J1248" s="437"/>
      <c r="K1248" s="184"/>
      <c r="L1248" s="205"/>
      <c r="M1248" s="113">
        <f t="shared" si="105"/>
        <v>0</v>
      </c>
      <c r="N1248" s="77">
        <f t="shared" si="104"/>
        <v>1</v>
      </c>
    </row>
    <row r="1249" spans="1:14">
      <c r="A1249" s="100"/>
      <c r="B1249" s="231"/>
      <c r="C1249" s="109">
        <f t="shared" si="101"/>
        <v>45047</v>
      </c>
      <c r="D1249" s="108"/>
      <c r="E1249" s="167"/>
      <c r="F1249" s="105" t="str">
        <f>VLOOKUP(MOD(C1249,7),'CALENDAR INFO'!$I$2:$J$8,2)</f>
        <v>MON</v>
      </c>
      <c r="G1249" s="218">
        <v>4.83</v>
      </c>
      <c r="H1249" s="430">
        <v>4.8099999999999996</v>
      </c>
      <c r="I1249" s="461">
        <f t="shared" si="103"/>
        <v>-2.0000000000000462E-2</v>
      </c>
      <c r="J1249" s="436" t="s">
        <v>118</v>
      </c>
      <c r="K1249" s="15">
        <f>VLOOKUP(MONTH($C1249),'CALENDAR INFO'!$I$12:$J$23,2)</f>
        <v>31</v>
      </c>
      <c r="L1249" s="179">
        <f>K1249</f>
        <v>31</v>
      </c>
      <c r="M1249" s="116">
        <f t="shared" si="105"/>
        <v>1</v>
      </c>
      <c r="N1249" s="111">
        <f t="shared" si="104"/>
        <v>1.0001336111111112</v>
      </c>
    </row>
    <row r="1250" spans="1:14">
      <c r="B1250" s="41"/>
      <c r="C1250" s="103">
        <f t="shared" si="101"/>
        <v>45048</v>
      </c>
      <c r="D1250" s="153" t="s">
        <v>20</v>
      </c>
      <c r="E1250" s="167"/>
      <c r="F1250" s="58" t="str">
        <f>VLOOKUP(MOD(C1250,7),'CALENDAR INFO'!$I$2:$J$8,2)</f>
        <v>TUE</v>
      </c>
      <c r="G1250" s="214">
        <v>4.83</v>
      </c>
      <c r="H1250" s="425">
        <v>4.8099999999999996</v>
      </c>
      <c r="I1250" s="457">
        <f t="shared" si="103"/>
        <v>-2.0000000000000462E-2</v>
      </c>
      <c r="J1250" s="152" t="s">
        <v>151</v>
      </c>
      <c r="K1250" s="15">
        <f>ROW($C1250)-1</f>
        <v>1249</v>
      </c>
      <c r="L1250" s="179">
        <f>K1250</f>
        <v>1249</v>
      </c>
      <c r="M1250" s="211">
        <f t="shared" si="105"/>
        <v>1</v>
      </c>
      <c r="N1250" s="64">
        <f t="shared" si="104"/>
        <v>1.0001336111111112</v>
      </c>
    </row>
    <row r="1251" spans="1:14">
      <c r="B1251" s="41"/>
      <c r="C1251" s="103">
        <f t="shared" si="101"/>
        <v>45049</v>
      </c>
      <c r="D1251" s="153" t="s">
        <v>20</v>
      </c>
      <c r="E1251" s="167" t="s">
        <v>19</v>
      </c>
      <c r="F1251" s="58" t="str">
        <f>VLOOKUP(MOD(C1251,7),'CALENDAR INFO'!$I$2:$J$8,2)</f>
        <v>WED</v>
      </c>
      <c r="G1251" s="214">
        <v>4.83</v>
      </c>
      <c r="H1251" s="425">
        <v>4.8099999999999996</v>
      </c>
      <c r="I1251" s="457">
        <f t="shared" si="103"/>
        <v>-2.0000000000000462E-2</v>
      </c>
      <c r="J1251" s="152" t="s">
        <v>152</v>
      </c>
      <c r="K1251" s="15">
        <f>K1249+K1250-1</f>
        <v>1279</v>
      </c>
      <c r="L1251" s="200">
        <f>K1251</f>
        <v>1279</v>
      </c>
      <c r="M1251" s="211">
        <f t="shared" si="105"/>
        <v>1</v>
      </c>
      <c r="N1251" s="64">
        <f t="shared" si="104"/>
        <v>1.0001336111111112</v>
      </c>
    </row>
    <row r="1252" spans="1:14">
      <c r="B1252" s="41"/>
      <c r="C1252" s="103">
        <f t="shared" si="101"/>
        <v>45050</v>
      </c>
      <c r="E1252" s="170" t="s">
        <v>18</v>
      </c>
      <c r="F1252" s="58" t="str">
        <f>VLOOKUP(MOD(C1252,7),'CALENDAR INFO'!$I$2:$J$8,2)</f>
        <v>THU</v>
      </c>
      <c r="G1252" s="214">
        <v>5.08</v>
      </c>
      <c r="H1252" s="425">
        <v>5.0599999999999996</v>
      </c>
      <c r="I1252" s="457">
        <f t="shared" si="103"/>
        <v>-2.0000000000000462E-2</v>
      </c>
      <c r="J1252" s="152"/>
      <c r="K1252" s="182"/>
      <c r="L1252" s="201"/>
      <c r="M1252" s="211">
        <f t="shared" si="105"/>
        <v>1</v>
      </c>
      <c r="N1252" s="64">
        <f t="shared" si="104"/>
        <v>1.0001405555555556</v>
      </c>
    </row>
    <row r="1253" spans="1:14">
      <c r="B1253" s="41"/>
      <c r="C1253" s="103">
        <f t="shared" si="101"/>
        <v>45051</v>
      </c>
      <c r="E1253" s="170"/>
      <c r="F1253" s="58" t="str">
        <f>VLOOKUP(MOD(C1253,7),'CALENDAR INFO'!$I$2:$J$8,2)</f>
        <v>FRI</v>
      </c>
      <c r="G1253" s="214">
        <v>5.08</v>
      </c>
      <c r="H1253" s="425">
        <v>5.0599999999999996</v>
      </c>
      <c r="I1253" s="457">
        <f t="shared" si="103"/>
        <v>-2.0000000000000462E-2</v>
      </c>
      <c r="J1253" s="152" t="s">
        <v>153</v>
      </c>
      <c r="K1253" s="182" t="str">
        <f>_xlfn.CONCAT("A",TEXT(K1250,0),":","A",TEXT(K1251,0))</f>
        <v>A1249:A1279</v>
      </c>
      <c r="L1253" s="201" t="str">
        <f>_xlfn.CONCAT("B",TEXT(L1250,0),":","B",TEXT(L1251,0))</f>
        <v>B1249:B1279</v>
      </c>
      <c r="M1253" s="211">
        <f t="shared" si="105"/>
        <v>3</v>
      </c>
      <c r="N1253" s="64">
        <f t="shared" si="104"/>
        <v>1.0004216666666668</v>
      </c>
    </row>
    <row r="1254" spans="1:14">
      <c r="B1254" s="41"/>
      <c r="C1254" s="103">
        <f t="shared" si="101"/>
        <v>45052</v>
      </c>
      <c r="E1254" s="170"/>
      <c r="F1254" s="58" t="str">
        <f>VLOOKUP(MOD(C1254,7),'CALENDAR INFO'!$I$2:$J$8,2)</f>
        <v>SAT</v>
      </c>
      <c r="G1254" s="214">
        <v>5.08</v>
      </c>
      <c r="H1254" s="425">
        <v>5.0599999999999996</v>
      </c>
      <c r="I1254" s="457">
        <f t="shared" si="103"/>
        <v>-2.0000000000000462E-2</v>
      </c>
      <c r="J1254" s="152" t="s">
        <v>154</v>
      </c>
      <c r="K1254" s="182" t="str">
        <f>_xlfn.CONCAT("F",TEXT(K1250,0),":","F",TEXT(K1251,0))</f>
        <v>F1249:F1279</v>
      </c>
      <c r="L1254" s="201" t="str">
        <f>_xlfn.CONCAT("G",TEXT(L1250,0),":","G",TEXT(L1251,0))</f>
        <v>G1249:G1279</v>
      </c>
      <c r="M1254" s="211">
        <f t="shared" si="105"/>
        <v>0</v>
      </c>
      <c r="N1254" s="64">
        <f t="shared" si="104"/>
        <v>1</v>
      </c>
    </row>
    <row r="1255" spans="1:14">
      <c r="B1255" s="41"/>
      <c r="C1255" s="103">
        <f t="shared" si="101"/>
        <v>45053</v>
      </c>
      <c r="E1255" s="170"/>
      <c r="F1255" s="58" t="str">
        <f>VLOOKUP(MOD(C1255,7),'CALENDAR INFO'!$I$2:$J$8,2)</f>
        <v>SUN</v>
      </c>
      <c r="G1255" s="214">
        <v>5.08</v>
      </c>
      <c r="H1255" s="425">
        <v>5.0599999999999996</v>
      </c>
      <c r="I1255" s="457">
        <f t="shared" si="103"/>
        <v>-2.0000000000000462E-2</v>
      </c>
      <c r="J1255" s="152"/>
      <c r="K1255" s="152"/>
      <c r="L1255" s="202"/>
      <c r="M1255" s="211">
        <f t="shared" si="105"/>
        <v>0</v>
      </c>
      <c r="N1255" s="64">
        <f t="shared" si="104"/>
        <v>1</v>
      </c>
    </row>
    <row r="1256" spans="1:14">
      <c r="B1256" s="41"/>
      <c r="C1256" s="103">
        <f t="shared" si="101"/>
        <v>45054</v>
      </c>
      <c r="E1256" s="170"/>
      <c r="F1256" s="58" t="str">
        <f>VLOOKUP(MOD(C1256,7),'CALENDAR INFO'!$I$2:$J$8,2)</f>
        <v>MON</v>
      </c>
      <c r="G1256" s="214">
        <v>5.08</v>
      </c>
      <c r="H1256" s="425">
        <v>5.0599999999999996</v>
      </c>
      <c r="I1256" s="457">
        <f t="shared" si="103"/>
        <v>-2.0000000000000462E-2</v>
      </c>
      <c r="J1256" s="152" t="s">
        <v>155</v>
      </c>
      <c r="K1256" s="185">
        <f ca="1">SUM(INDIRECT(K1253))</f>
        <v>0</v>
      </c>
      <c r="L1256" s="93">
        <f ca="1">SUM(INDIRECT(L1253))</f>
        <v>0</v>
      </c>
      <c r="M1256" s="211">
        <f t="shared" si="105"/>
        <v>1</v>
      </c>
      <c r="N1256" s="64">
        <f t="shared" si="104"/>
        <v>1.0001405555555556</v>
      </c>
    </row>
    <row r="1257" spans="1:14">
      <c r="B1257" s="41"/>
      <c r="C1257" s="103">
        <f t="shared" si="101"/>
        <v>45055</v>
      </c>
      <c r="E1257" s="170"/>
      <c r="F1257" s="58" t="str">
        <f>VLOOKUP(MOD(C1257,7),'CALENDAR INFO'!$I$2:$J$8,2)</f>
        <v>TUE</v>
      </c>
      <c r="G1257" s="214">
        <v>5.08</v>
      </c>
      <c r="H1257" s="425">
        <v>5.0599999999999996</v>
      </c>
      <c r="I1257" s="457">
        <f t="shared" si="103"/>
        <v>-2.0000000000000462E-2</v>
      </c>
      <c r="J1257" s="152" t="s">
        <v>156</v>
      </c>
      <c r="K1257" s="207">
        <f ca="1">SUM(INDIRECT(K1254))</f>
        <v>0</v>
      </c>
      <c r="L1257" s="208">
        <f ca="1">SUM(INDIRECT(L1254))</f>
        <v>156.73000000000005</v>
      </c>
      <c r="M1257" s="211">
        <f t="shared" si="105"/>
        <v>1</v>
      </c>
      <c r="N1257" s="64">
        <f t="shared" si="104"/>
        <v>1.0001405555555556</v>
      </c>
    </row>
    <row r="1258" spans="1:14">
      <c r="B1258" s="41"/>
      <c r="C1258" s="103">
        <f t="shared" si="101"/>
        <v>45056</v>
      </c>
      <c r="E1258" s="170"/>
      <c r="F1258" s="58" t="str">
        <f>VLOOKUP(MOD(C1258,7),'CALENDAR INFO'!$I$2:$J$8,2)</f>
        <v>WED</v>
      </c>
      <c r="G1258" s="214">
        <v>5.08</v>
      </c>
      <c r="H1258" s="425">
        <v>5.0599999999999996</v>
      </c>
      <c r="I1258" s="457">
        <f t="shared" si="103"/>
        <v>-2.0000000000000462E-2</v>
      </c>
      <c r="J1258" s="152" t="s">
        <v>157</v>
      </c>
      <c r="K1258" s="178">
        <f ca="1">K1256+K1257</f>
        <v>0</v>
      </c>
      <c r="L1258" s="192">
        <f ca="1">L1256+L1257</f>
        <v>156.73000000000005</v>
      </c>
      <c r="M1258" s="211">
        <f t="shared" si="105"/>
        <v>1</v>
      </c>
      <c r="N1258" s="64">
        <f t="shared" si="104"/>
        <v>1.0001405555555556</v>
      </c>
    </row>
    <row r="1259" spans="1:14">
      <c r="B1259" s="41"/>
      <c r="C1259" s="103">
        <f t="shared" si="101"/>
        <v>45057</v>
      </c>
      <c r="E1259" s="170"/>
      <c r="F1259" s="58" t="str">
        <f>VLOOKUP(MOD(C1259,7),'CALENDAR INFO'!$I$2:$J$8,2)</f>
        <v>THU</v>
      </c>
      <c r="G1259" s="214">
        <v>5.08</v>
      </c>
      <c r="H1259" s="425">
        <v>5.05</v>
      </c>
      <c r="I1259" s="457">
        <f t="shared" si="103"/>
        <v>-3.0000000000000249E-2</v>
      </c>
      <c r="J1259" s="152"/>
      <c r="K1259" s="178"/>
      <c r="L1259" s="192"/>
      <c r="M1259" s="211">
        <f t="shared" si="105"/>
        <v>1</v>
      </c>
      <c r="N1259" s="64">
        <f t="shared" si="104"/>
        <v>1.0001402777777777</v>
      </c>
    </row>
    <row r="1260" spans="1:14">
      <c r="B1260" s="41"/>
      <c r="C1260" s="103">
        <f t="shared" si="101"/>
        <v>45058</v>
      </c>
      <c r="E1260" s="170"/>
      <c r="F1260" s="58" t="str">
        <f>VLOOKUP(MOD(C1260,7),'CALENDAR INFO'!$I$2:$J$8,2)</f>
        <v>FRI</v>
      </c>
      <c r="G1260" s="214">
        <v>5.08</v>
      </c>
      <c r="H1260" s="425">
        <v>5.05</v>
      </c>
      <c r="I1260" s="457">
        <f t="shared" si="103"/>
        <v>-3.0000000000000249E-2</v>
      </c>
      <c r="J1260" s="152" t="s">
        <v>158</v>
      </c>
      <c r="K1260" s="178">
        <f ca="1">K1258/K1249</f>
        <v>0</v>
      </c>
      <c r="L1260" s="192">
        <f ca="1">L1258/L1249</f>
        <v>5.0558064516129049</v>
      </c>
      <c r="M1260" s="211">
        <f t="shared" si="105"/>
        <v>3</v>
      </c>
      <c r="N1260" s="64">
        <f t="shared" si="104"/>
        <v>1.0004208333333333</v>
      </c>
    </row>
    <row r="1261" spans="1:14">
      <c r="B1261" s="41"/>
      <c r="C1261" s="103">
        <f t="shared" si="101"/>
        <v>45059</v>
      </c>
      <c r="E1261" s="170"/>
      <c r="F1261" s="58" t="str">
        <f>VLOOKUP(MOD(C1261,7),'CALENDAR INFO'!$I$2:$J$8,2)</f>
        <v>SAT</v>
      </c>
      <c r="G1261" s="214">
        <v>5.08</v>
      </c>
      <c r="H1261" s="425">
        <v>5.05</v>
      </c>
      <c r="I1261" s="457">
        <f t="shared" si="103"/>
        <v>-3.0000000000000249E-2</v>
      </c>
      <c r="J1261" s="152" t="s">
        <v>159</v>
      </c>
      <c r="K1261" s="180">
        <f ca="1">100-K1260</f>
        <v>100</v>
      </c>
      <c r="L1261" s="193">
        <f ca="1">100-L1260</f>
        <v>94.944193548387091</v>
      </c>
      <c r="M1261" s="211">
        <f t="shared" si="105"/>
        <v>0</v>
      </c>
      <c r="N1261" s="64">
        <f t="shared" si="104"/>
        <v>1</v>
      </c>
    </row>
    <row r="1262" spans="1:14">
      <c r="B1262" s="41"/>
      <c r="C1262" s="103">
        <f t="shared" si="101"/>
        <v>45060</v>
      </c>
      <c r="E1262" s="170"/>
      <c r="F1262" s="58" t="str">
        <f>VLOOKUP(MOD(C1262,7),'CALENDAR INFO'!$I$2:$J$8,2)</f>
        <v>SUN</v>
      </c>
      <c r="G1262" s="214">
        <v>5.08</v>
      </c>
      <c r="H1262" s="425">
        <v>5.05</v>
      </c>
      <c r="I1262" s="457">
        <f t="shared" si="103"/>
        <v>-3.0000000000000249E-2</v>
      </c>
      <c r="J1262" s="152"/>
      <c r="K1262" s="178"/>
      <c r="L1262" s="192"/>
      <c r="M1262" s="211">
        <f t="shared" si="105"/>
        <v>0</v>
      </c>
      <c r="N1262" s="64">
        <f t="shared" si="104"/>
        <v>1</v>
      </c>
    </row>
    <row r="1263" spans="1:14">
      <c r="B1263" s="41"/>
      <c r="C1263" s="103">
        <f t="shared" si="101"/>
        <v>45061</v>
      </c>
      <c r="E1263" s="170"/>
      <c r="F1263" s="58" t="str">
        <f>VLOOKUP(MOD(C1263,7),'CALENDAR INFO'!$I$2:$J$8,2)</f>
        <v>MON</v>
      </c>
      <c r="G1263" s="214">
        <v>5.08</v>
      </c>
      <c r="H1263" s="425">
        <v>5.0599999999999996</v>
      </c>
      <c r="I1263" s="457">
        <f t="shared" si="103"/>
        <v>-2.0000000000000462E-2</v>
      </c>
      <c r="J1263" s="152"/>
      <c r="K1263" s="186"/>
      <c r="L1263" s="194"/>
      <c r="M1263" s="211">
        <f t="shared" si="105"/>
        <v>1</v>
      </c>
      <c r="N1263" s="64">
        <f t="shared" si="104"/>
        <v>1.0001405555555556</v>
      </c>
    </row>
    <row r="1264" spans="1:14">
      <c r="B1264" s="41"/>
      <c r="C1264" s="103">
        <f t="shared" si="101"/>
        <v>45062</v>
      </c>
      <c r="E1264" s="170"/>
      <c r="F1264" s="58" t="str">
        <f>VLOOKUP(MOD(C1264,7),'CALENDAR INFO'!$I$2:$J$8,2)</f>
        <v>TUE</v>
      </c>
      <c r="G1264" s="214">
        <v>5.08</v>
      </c>
      <c r="H1264" s="425">
        <v>5.05</v>
      </c>
      <c r="I1264" s="457">
        <f t="shared" si="103"/>
        <v>-3.0000000000000249E-2</v>
      </c>
      <c r="J1264" s="152"/>
      <c r="K1264" s="152"/>
      <c r="L1264" s="202"/>
      <c r="M1264" s="211">
        <f t="shared" si="105"/>
        <v>1</v>
      </c>
      <c r="N1264" s="64">
        <f t="shared" si="104"/>
        <v>1.0001402777777777</v>
      </c>
    </row>
    <row r="1265" spans="1:16">
      <c r="B1265" s="41"/>
      <c r="C1265" s="103">
        <f t="shared" si="101"/>
        <v>45063</v>
      </c>
      <c r="E1265" s="170" t="s">
        <v>19</v>
      </c>
      <c r="F1265" s="58" t="str">
        <f>VLOOKUP(MOD(C1265,7),'CALENDAR INFO'!$I$2:$J$8,2)</f>
        <v>WED</v>
      </c>
      <c r="G1265" s="214">
        <v>5.08</v>
      </c>
      <c r="H1265" s="425">
        <v>5.05</v>
      </c>
      <c r="I1265" s="457">
        <f t="shared" si="103"/>
        <v>-3.0000000000000249E-2</v>
      </c>
      <c r="J1265" s="152"/>
      <c r="K1265" s="182"/>
      <c r="L1265" s="201"/>
      <c r="M1265" s="211">
        <f t="shared" si="105"/>
        <v>1</v>
      </c>
      <c r="N1265" s="64">
        <f t="shared" si="104"/>
        <v>1.0001402777777777</v>
      </c>
    </row>
    <row r="1266" spans="1:16">
      <c r="B1266" s="41"/>
      <c r="C1266" s="103">
        <f t="shared" si="101"/>
        <v>45064</v>
      </c>
      <c r="E1266" s="167" t="s">
        <v>18</v>
      </c>
      <c r="F1266" s="58" t="str">
        <f>VLOOKUP(MOD(C1266,7),'CALENDAR INFO'!$I$2:$J$8,2)</f>
        <v>THU</v>
      </c>
      <c r="G1266" s="214">
        <v>5.08</v>
      </c>
      <c r="H1266" s="425">
        <v>5.05</v>
      </c>
      <c r="I1266" s="457">
        <f t="shared" si="103"/>
        <v>-3.0000000000000249E-2</v>
      </c>
      <c r="J1266" s="152"/>
      <c r="K1266" s="221"/>
      <c r="L1266" s="223"/>
      <c r="M1266" s="211">
        <f t="shared" si="105"/>
        <v>1</v>
      </c>
      <c r="N1266" s="64">
        <f t="shared" si="104"/>
        <v>1.0001402777777777</v>
      </c>
    </row>
    <row r="1267" spans="1:16">
      <c r="B1267" s="41"/>
      <c r="C1267" s="103">
        <f t="shared" si="101"/>
        <v>45065</v>
      </c>
      <c r="E1267" s="167"/>
      <c r="F1267" s="58" t="str">
        <f>VLOOKUP(MOD(C1267,7),'CALENDAR INFO'!$I$2:$J$8,2)</f>
        <v>FRI</v>
      </c>
      <c r="G1267" s="214">
        <v>5.08</v>
      </c>
      <c r="H1267" s="425">
        <v>5.05</v>
      </c>
      <c r="I1267" s="457">
        <f t="shared" si="103"/>
        <v>-3.0000000000000249E-2</v>
      </c>
      <c r="J1267" s="152"/>
      <c r="K1267" s="182"/>
      <c r="L1267" s="201"/>
      <c r="M1267" s="211">
        <f t="shared" si="105"/>
        <v>3</v>
      </c>
      <c r="N1267" s="64">
        <f t="shared" si="104"/>
        <v>1.0004208333333333</v>
      </c>
    </row>
    <row r="1268" spans="1:16">
      <c r="B1268" s="41"/>
      <c r="C1268" s="103">
        <f t="shared" si="101"/>
        <v>45066</v>
      </c>
      <c r="E1268" s="167"/>
      <c r="F1268" s="58" t="str">
        <f>VLOOKUP(MOD(C1268,7),'CALENDAR INFO'!$I$2:$J$8,2)</f>
        <v>SAT</v>
      </c>
      <c r="G1268" s="214">
        <v>5.08</v>
      </c>
      <c r="H1268" s="425">
        <v>5.05</v>
      </c>
      <c r="I1268" s="457">
        <f t="shared" si="103"/>
        <v>-3.0000000000000249E-2</v>
      </c>
      <c r="J1268" s="152"/>
      <c r="K1268" s="182"/>
      <c r="L1268" s="201"/>
      <c r="M1268" s="211">
        <f t="shared" si="105"/>
        <v>0</v>
      </c>
      <c r="N1268" s="64">
        <f t="shared" si="104"/>
        <v>1</v>
      </c>
    </row>
    <row r="1269" spans="1:16">
      <c r="B1269" s="41"/>
      <c r="C1269" s="103">
        <f t="shared" ref="C1269:C1332" si="106">C1268+1</f>
        <v>45067</v>
      </c>
      <c r="E1269" s="167"/>
      <c r="F1269" s="58" t="str">
        <f>VLOOKUP(MOD(C1269,7),'CALENDAR INFO'!$I$2:$J$8,2)</f>
        <v>SUN</v>
      </c>
      <c r="G1269" s="214">
        <v>5.08</v>
      </c>
      <c r="H1269" s="425">
        <v>5.05</v>
      </c>
      <c r="I1269" s="457">
        <f t="shared" si="103"/>
        <v>-3.0000000000000249E-2</v>
      </c>
      <c r="J1269" s="152"/>
      <c r="K1269" s="182"/>
      <c r="L1269" s="201"/>
      <c r="M1269" s="211">
        <f t="shared" si="105"/>
        <v>0</v>
      </c>
      <c r="N1269" s="64">
        <f t="shared" si="104"/>
        <v>1</v>
      </c>
    </row>
    <row r="1270" spans="1:16">
      <c r="B1270" s="41"/>
      <c r="C1270" s="103">
        <f t="shared" si="106"/>
        <v>45068</v>
      </c>
      <c r="E1270" s="167"/>
      <c r="F1270" s="58" t="str">
        <f>VLOOKUP(MOD(C1270,7),'CALENDAR INFO'!$I$2:$J$8,2)</f>
        <v>MON</v>
      </c>
      <c r="G1270" s="214">
        <v>5.08</v>
      </c>
      <c r="H1270" s="425">
        <v>5.05</v>
      </c>
      <c r="I1270" s="457">
        <f t="shared" si="103"/>
        <v>-3.0000000000000249E-2</v>
      </c>
      <c r="J1270" s="152"/>
      <c r="K1270" s="221"/>
      <c r="L1270" s="223"/>
      <c r="M1270" s="211">
        <f t="shared" si="105"/>
        <v>1</v>
      </c>
      <c r="N1270" s="64">
        <f t="shared" si="104"/>
        <v>1.0001402777777777</v>
      </c>
    </row>
    <row r="1271" spans="1:16">
      <c r="B1271" s="41"/>
      <c r="C1271" s="103">
        <f t="shared" si="106"/>
        <v>45069</v>
      </c>
      <c r="E1271" s="167"/>
      <c r="F1271" s="58" t="str">
        <f>VLOOKUP(MOD(C1271,7),'CALENDAR INFO'!$I$2:$J$8,2)</f>
        <v>TUE</v>
      </c>
      <c r="G1271" s="214">
        <v>5.08</v>
      </c>
      <c r="H1271" s="425">
        <v>5.05</v>
      </c>
      <c r="I1271" s="457">
        <f t="shared" si="103"/>
        <v>-3.0000000000000249E-2</v>
      </c>
      <c r="J1271" s="152"/>
      <c r="K1271" s="182"/>
      <c r="L1271" s="192"/>
      <c r="M1271" s="211">
        <f t="shared" si="105"/>
        <v>1</v>
      </c>
      <c r="N1271" s="64">
        <f t="shared" si="104"/>
        <v>1.0001402777777777</v>
      </c>
    </row>
    <row r="1272" spans="1:16">
      <c r="B1272" s="41"/>
      <c r="C1272" s="103">
        <f t="shared" si="106"/>
        <v>45070</v>
      </c>
      <c r="E1272" s="167"/>
      <c r="F1272" s="58" t="str">
        <f>VLOOKUP(MOD(C1272,7),'CALENDAR INFO'!$I$2:$J$8,2)</f>
        <v>WED</v>
      </c>
      <c r="G1272" s="214">
        <v>5.08</v>
      </c>
      <c r="H1272" s="425">
        <v>5.05</v>
      </c>
      <c r="I1272" s="457">
        <f t="shared" si="103"/>
        <v>-3.0000000000000249E-2</v>
      </c>
      <c r="J1272" s="152"/>
      <c r="K1272" s="152"/>
      <c r="L1272" s="222"/>
      <c r="M1272" s="211">
        <f t="shared" si="105"/>
        <v>1</v>
      </c>
      <c r="N1272" s="64">
        <f t="shared" si="104"/>
        <v>1.0001402777777777</v>
      </c>
    </row>
    <row r="1273" spans="1:16">
      <c r="B1273" s="41"/>
      <c r="C1273" s="103">
        <f t="shared" si="106"/>
        <v>45071</v>
      </c>
      <c r="E1273" s="167"/>
      <c r="F1273" s="58" t="str">
        <f>VLOOKUP(MOD(C1273,7),'CALENDAR INFO'!$I$2:$J$8,2)</f>
        <v>THU</v>
      </c>
      <c r="G1273" s="214">
        <v>5.08</v>
      </c>
      <c r="H1273" s="425">
        <v>5.0599999999999996</v>
      </c>
      <c r="I1273" s="457">
        <f t="shared" si="103"/>
        <v>-2.0000000000000462E-2</v>
      </c>
      <c r="J1273" s="152"/>
      <c r="K1273" s="152"/>
      <c r="L1273" s="202"/>
      <c r="M1273" s="211">
        <f t="shared" si="105"/>
        <v>1</v>
      </c>
      <c r="N1273" s="64">
        <f t="shared" si="104"/>
        <v>1.0001405555555556</v>
      </c>
    </row>
    <row r="1274" spans="1:16">
      <c r="B1274" s="41"/>
      <c r="C1274" s="103">
        <f t="shared" si="106"/>
        <v>45072</v>
      </c>
      <c r="E1274" s="167"/>
      <c r="F1274" s="58" t="str">
        <f>VLOOKUP(MOD(C1274,7),'CALENDAR INFO'!$I$2:$J$8,2)</f>
        <v>FRI</v>
      </c>
      <c r="G1274" s="214">
        <v>5.08</v>
      </c>
      <c r="H1274" s="425">
        <v>5.0599999999999996</v>
      </c>
      <c r="I1274" s="457">
        <f t="shared" si="103"/>
        <v>-2.0000000000000462E-2</v>
      </c>
      <c r="J1274" s="152"/>
      <c r="K1274" s="182"/>
      <c r="L1274" s="201"/>
      <c r="M1274" s="117">
        <v>4</v>
      </c>
      <c r="N1274" s="64">
        <f t="shared" si="104"/>
        <v>1.0005622222222221</v>
      </c>
    </row>
    <row r="1275" spans="1:16">
      <c r="B1275" s="41"/>
      <c r="C1275" s="103">
        <f t="shared" si="106"/>
        <v>45073</v>
      </c>
      <c r="E1275" s="167"/>
      <c r="F1275" s="58" t="str">
        <f>VLOOKUP(MOD(C1275,7),'CALENDAR INFO'!$I$2:$J$8,2)</f>
        <v>SAT</v>
      </c>
      <c r="G1275" s="214">
        <v>5.08</v>
      </c>
      <c r="H1275" s="425">
        <v>5.0599999999999996</v>
      </c>
      <c r="I1275" s="457">
        <f t="shared" si="103"/>
        <v>-2.0000000000000462E-2</v>
      </c>
      <c r="J1275" s="152"/>
      <c r="K1275" s="152"/>
      <c r="L1275" s="202"/>
      <c r="M1275" s="211">
        <f>IF(MOD(C1275,7)&lt;2,0,IF(MOD(C1275,7)=6,3,1))</f>
        <v>0</v>
      </c>
      <c r="N1275" s="64">
        <f t="shared" si="104"/>
        <v>1</v>
      </c>
      <c r="O1275" s="282"/>
      <c r="P1275" s="283"/>
    </row>
    <row r="1276" spans="1:16">
      <c r="B1276" s="41"/>
      <c r="C1276" s="103">
        <f t="shared" si="106"/>
        <v>45074</v>
      </c>
      <c r="E1276" s="167"/>
      <c r="F1276" s="58" t="str">
        <f>VLOOKUP(MOD(C1276,7),'CALENDAR INFO'!$I$2:$J$8,2)</f>
        <v>SUN</v>
      </c>
      <c r="G1276" s="214">
        <v>5.08</v>
      </c>
      <c r="H1276" s="425">
        <v>5.0599999999999996</v>
      </c>
      <c r="I1276" s="457">
        <f t="shared" si="103"/>
        <v>-2.0000000000000462E-2</v>
      </c>
      <c r="J1276" s="152"/>
      <c r="K1276" s="182"/>
      <c r="L1276" s="201"/>
      <c r="M1276" s="211">
        <f>IF(MOD(C1276,7)&lt;2,0,IF(MOD(C1276,7)=6,3,1))</f>
        <v>0</v>
      </c>
      <c r="N1276" s="64">
        <f t="shared" si="104"/>
        <v>1</v>
      </c>
      <c r="O1276" s="282"/>
      <c r="P1276" s="284"/>
    </row>
    <row r="1277" spans="1:16">
      <c r="B1277" s="41"/>
      <c r="C1277" s="103">
        <f t="shared" si="106"/>
        <v>45075</v>
      </c>
      <c r="D1277" s="173" t="s">
        <v>40</v>
      </c>
      <c r="E1277" s="167"/>
      <c r="F1277" s="58" t="str">
        <f>VLOOKUP(MOD(C1277,7),'CALENDAR INFO'!$I$2:$J$8,2)</f>
        <v>MON</v>
      </c>
      <c r="G1277" s="214">
        <v>5.08</v>
      </c>
      <c r="H1277" s="425">
        <v>5.0599999999999996</v>
      </c>
      <c r="I1277" s="457">
        <f t="shared" si="103"/>
        <v>-2.0000000000000462E-2</v>
      </c>
      <c r="J1277" s="152"/>
      <c r="K1277" s="190"/>
      <c r="L1277" s="203"/>
      <c r="M1277" s="117">
        <v>0</v>
      </c>
      <c r="N1277" s="64">
        <f t="shared" si="104"/>
        <v>1</v>
      </c>
      <c r="O1277" s="282"/>
      <c r="P1277" s="284"/>
    </row>
    <row r="1278" spans="1:16">
      <c r="B1278" s="41"/>
      <c r="C1278" s="103">
        <f t="shared" si="106"/>
        <v>45076</v>
      </c>
      <c r="E1278" s="167"/>
      <c r="F1278" s="58" t="str">
        <f>VLOOKUP(MOD(C1278,7),'CALENDAR INFO'!$I$2:$J$8,2)</f>
        <v>TUE</v>
      </c>
      <c r="G1278" s="214">
        <v>5.08</v>
      </c>
      <c r="H1278" s="425">
        <v>5.0599999999999996</v>
      </c>
      <c r="I1278" s="457">
        <f t="shared" si="103"/>
        <v>-2.0000000000000462E-2</v>
      </c>
      <c r="J1278" s="152"/>
      <c r="K1278" s="182"/>
      <c r="L1278" s="201"/>
      <c r="M1278" s="211">
        <f t="shared" ref="M1278:M1294" si="107">IF(MOD(C1278,7)&lt;2,0,IF(MOD(C1278,7)=6,3,1))</f>
        <v>1</v>
      </c>
      <c r="N1278" s="64">
        <f t="shared" si="104"/>
        <v>1.0001405555555556</v>
      </c>
    </row>
    <row r="1279" spans="1:16" ht="15.75" thickBot="1">
      <c r="A1279" s="98"/>
      <c r="B1279" s="230"/>
      <c r="C1279" s="104">
        <f t="shared" si="106"/>
        <v>45077</v>
      </c>
      <c r="D1279" s="112"/>
      <c r="E1279" s="246" t="s">
        <v>19</v>
      </c>
      <c r="F1279" s="71" t="str">
        <f>VLOOKUP(MOD(C1279,7),'CALENDAR INFO'!$I$2:$J$8,2)</f>
        <v>WED</v>
      </c>
      <c r="G1279" s="215">
        <v>5.08</v>
      </c>
      <c r="H1279" s="426">
        <v>5.08</v>
      </c>
      <c r="I1279" s="458">
        <f t="shared" si="103"/>
        <v>0</v>
      </c>
      <c r="J1279" s="437"/>
      <c r="K1279" s="184"/>
      <c r="L1279" s="205"/>
      <c r="M1279" s="113">
        <f t="shared" si="107"/>
        <v>1</v>
      </c>
      <c r="N1279" s="77">
        <f t="shared" si="104"/>
        <v>1.0001411111111111</v>
      </c>
    </row>
    <row r="1280" spans="1:16">
      <c r="A1280" s="100"/>
      <c r="B1280" s="231"/>
      <c r="C1280" s="109">
        <f t="shared" si="106"/>
        <v>45078</v>
      </c>
      <c r="D1280" s="108"/>
      <c r="E1280" s="170" t="s">
        <v>18</v>
      </c>
      <c r="F1280" s="105" t="str">
        <f>VLOOKUP(MOD(C1280,7),'CALENDAR INFO'!$I$2:$J$8,2)</f>
        <v>THU</v>
      </c>
      <c r="G1280" s="218">
        <v>5.08</v>
      </c>
      <c r="H1280" s="430">
        <v>5.08</v>
      </c>
      <c r="I1280" s="461">
        <f t="shared" si="103"/>
        <v>0</v>
      </c>
      <c r="J1280" s="436" t="s">
        <v>118</v>
      </c>
      <c r="K1280" s="15">
        <f>VLOOKUP(MONTH($C1280),'CALENDAR INFO'!$I$12:$J$23,2)</f>
        <v>30</v>
      </c>
      <c r="L1280" s="179">
        <f>K1280</f>
        <v>30</v>
      </c>
      <c r="M1280" s="116">
        <f t="shared" si="107"/>
        <v>1</v>
      </c>
      <c r="N1280" s="111">
        <f t="shared" si="104"/>
        <v>1.0001411111111111</v>
      </c>
    </row>
    <row r="1281" spans="2:16">
      <c r="B1281" s="41"/>
      <c r="C1281" s="103">
        <f t="shared" si="106"/>
        <v>45079</v>
      </c>
      <c r="E1281" s="170"/>
      <c r="F1281" s="58" t="str">
        <f>VLOOKUP(MOD(C1281,7),'CALENDAR INFO'!$I$2:$J$8,2)</f>
        <v>FRI</v>
      </c>
      <c r="G1281" s="214">
        <v>5.08</v>
      </c>
      <c r="H1281" s="425">
        <v>5.07</v>
      </c>
      <c r="I1281" s="457">
        <f t="shared" si="103"/>
        <v>-9.9999999999997868E-3</v>
      </c>
      <c r="J1281" s="152" t="s">
        <v>151</v>
      </c>
      <c r="K1281" s="15">
        <f>ROW($C1281)-1</f>
        <v>1280</v>
      </c>
      <c r="L1281" s="179">
        <f>K1281</f>
        <v>1280</v>
      </c>
      <c r="M1281" s="211">
        <f t="shared" si="107"/>
        <v>3</v>
      </c>
      <c r="N1281" s="64">
        <f t="shared" si="104"/>
        <v>1.0004225</v>
      </c>
    </row>
    <row r="1282" spans="2:16">
      <c r="B1282" s="41"/>
      <c r="C1282" s="103">
        <f t="shared" si="106"/>
        <v>45080</v>
      </c>
      <c r="E1282" s="170"/>
      <c r="F1282" s="58" t="str">
        <f>VLOOKUP(MOD(C1282,7),'CALENDAR INFO'!$I$2:$J$8,2)</f>
        <v>SAT</v>
      </c>
      <c r="G1282" s="214">
        <v>5.08</v>
      </c>
      <c r="H1282" s="425">
        <v>5.07</v>
      </c>
      <c r="I1282" s="457">
        <f t="shared" si="103"/>
        <v>-9.9999999999997868E-3</v>
      </c>
      <c r="J1282" s="152" t="s">
        <v>152</v>
      </c>
      <c r="K1282" s="15">
        <f>K1280+K1281-1</f>
        <v>1309</v>
      </c>
      <c r="L1282" s="200">
        <f>K1282</f>
        <v>1309</v>
      </c>
      <c r="M1282" s="211">
        <f t="shared" si="107"/>
        <v>0</v>
      </c>
      <c r="N1282" s="64">
        <f t="shared" si="104"/>
        <v>1</v>
      </c>
    </row>
    <row r="1283" spans="2:16">
      <c r="B1283" s="41"/>
      <c r="C1283" s="103">
        <f t="shared" si="106"/>
        <v>45081</v>
      </c>
      <c r="E1283" s="170"/>
      <c r="F1283" s="58" t="str">
        <f>VLOOKUP(MOD(C1283,7),'CALENDAR INFO'!$I$2:$J$8,2)</f>
        <v>SUN</v>
      </c>
      <c r="G1283" s="214">
        <v>5.08</v>
      </c>
      <c r="H1283" s="425">
        <v>5.07</v>
      </c>
      <c r="I1283" s="457">
        <f t="shared" ref="I1283:I1346" si="108">H1283-G1283</f>
        <v>-9.9999999999997868E-3</v>
      </c>
      <c r="J1283" s="152"/>
      <c r="K1283" s="182"/>
      <c r="L1283" s="201"/>
      <c r="M1283" s="211">
        <f t="shared" si="107"/>
        <v>0</v>
      </c>
      <c r="N1283" s="64">
        <f t="shared" si="104"/>
        <v>1</v>
      </c>
    </row>
    <row r="1284" spans="2:16">
      <c r="B1284" s="41"/>
      <c r="C1284" s="103">
        <f t="shared" si="106"/>
        <v>45082</v>
      </c>
      <c r="E1284" s="170"/>
      <c r="F1284" s="58" t="str">
        <f>VLOOKUP(MOD(C1284,7),'CALENDAR INFO'!$I$2:$J$8,2)</f>
        <v>MON</v>
      </c>
      <c r="G1284" s="214">
        <v>5.08</v>
      </c>
      <c r="H1284" s="425">
        <v>5.0599999999999996</v>
      </c>
      <c r="I1284" s="457">
        <f t="shared" si="108"/>
        <v>-2.0000000000000462E-2</v>
      </c>
      <c r="J1284" s="152" t="s">
        <v>153</v>
      </c>
      <c r="K1284" s="182" t="str">
        <f>_xlfn.CONCAT("A",TEXT(K1281,0),":","A",TEXT(K1282,0))</f>
        <v>A1280:A1309</v>
      </c>
      <c r="L1284" s="201" t="str">
        <f>_xlfn.CONCAT("B",TEXT(L1281,0),":","B",TEXT(L1282,0))</f>
        <v>B1280:B1309</v>
      </c>
      <c r="M1284" s="211">
        <f t="shared" si="107"/>
        <v>1</v>
      </c>
      <c r="N1284" s="64">
        <f t="shared" si="104"/>
        <v>1.0001405555555556</v>
      </c>
    </row>
    <row r="1285" spans="2:16">
      <c r="B1285" s="41"/>
      <c r="C1285" s="103">
        <f t="shared" si="106"/>
        <v>45083</v>
      </c>
      <c r="E1285" s="170"/>
      <c r="F1285" s="58" t="str">
        <f>VLOOKUP(MOD(C1285,7),'CALENDAR INFO'!$I$2:$J$8,2)</f>
        <v>TUE</v>
      </c>
      <c r="G1285" s="214">
        <v>5.08</v>
      </c>
      <c r="H1285" s="425">
        <v>5.05</v>
      </c>
      <c r="I1285" s="457">
        <f t="shared" si="108"/>
        <v>-3.0000000000000249E-2</v>
      </c>
      <c r="J1285" s="152" t="s">
        <v>154</v>
      </c>
      <c r="K1285" s="182" t="str">
        <f>_xlfn.CONCAT("F",TEXT(K1281,0),":","F",TEXT(K1282,0))</f>
        <v>F1280:F1309</v>
      </c>
      <c r="L1285" s="201" t="str">
        <f>_xlfn.CONCAT("G",TEXT(L1281,0),":","G",TEXT(L1282,0))</f>
        <v>G1280:G1309</v>
      </c>
      <c r="M1285" s="211">
        <f t="shared" si="107"/>
        <v>1</v>
      </c>
      <c r="N1285" s="64">
        <f t="shared" si="104"/>
        <v>1.0001402777777777</v>
      </c>
    </row>
    <row r="1286" spans="2:16">
      <c r="B1286" s="41"/>
      <c r="C1286" s="103">
        <f t="shared" si="106"/>
        <v>45084</v>
      </c>
      <c r="E1286" s="170"/>
      <c r="F1286" s="58" t="str">
        <f>VLOOKUP(MOD(C1286,7),'CALENDAR INFO'!$I$2:$J$8,2)</f>
        <v>WED</v>
      </c>
      <c r="G1286" s="214">
        <v>5.08</v>
      </c>
      <c r="H1286" s="425">
        <v>5.05</v>
      </c>
      <c r="I1286" s="457">
        <f t="shared" si="108"/>
        <v>-3.0000000000000249E-2</v>
      </c>
      <c r="J1286" s="152"/>
      <c r="K1286" s="152"/>
      <c r="L1286" s="202"/>
      <c r="M1286" s="211">
        <f t="shared" si="107"/>
        <v>1</v>
      </c>
      <c r="N1286" s="64">
        <f t="shared" si="104"/>
        <v>1.0001402777777777</v>
      </c>
    </row>
    <row r="1287" spans="2:16">
      <c r="B1287" s="41"/>
      <c r="C1287" s="103">
        <f t="shared" si="106"/>
        <v>45085</v>
      </c>
      <c r="E1287" s="170"/>
      <c r="F1287" s="58" t="str">
        <f>VLOOKUP(MOD(C1287,7),'CALENDAR INFO'!$I$2:$J$8,2)</f>
        <v>THU</v>
      </c>
      <c r="G1287" s="214">
        <v>5.08</v>
      </c>
      <c r="H1287" s="425">
        <v>5.05</v>
      </c>
      <c r="I1287" s="457">
        <f t="shared" si="108"/>
        <v>-3.0000000000000249E-2</v>
      </c>
      <c r="J1287" s="152" t="s">
        <v>155</v>
      </c>
      <c r="K1287" s="185">
        <f ca="1">SUM(INDIRECT(K1284))</f>
        <v>0</v>
      </c>
      <c r="L1287" s="93">
        <f ca="1">SUM(INDIRECT(L1284))</f>
        <v>0</v>
      </c>
      <c r="M1287" s="211">
        <f t="shared" si="107"/>
        <v>1</v>
      </c>
      <c r="N1287" s="64">
        <f t="shared" si="104"/>
        <v>1.0001402777777777</v>
      </c>
    </row>
    <row r="1288" spans="2:16">
      <c r="B1288" s="41"/>
      <c r="C1288" s="103">
        <f t="shared" si="106"/>
        <v>45086</v>
      </c>
      <c r="E1288" s="170"/>
      <c r="F1288" s="58" t="str">
        <f>VLOOKUP(MOD(C1288,7),'CALENDAR INFO'!$I$2:$J$8,2)</f>
        <v>FRI</v>
      </c>
      <c r="G1288" s="214">
        <v>5.08</v>
      </c>
      <c r="H1288" s="425">
        <v>5.05</v>
      </c>
      <c r="I1288" s="457">
        <f t="shared" si="108"/>
        <v>-3.0000000000000249E-2</v>
      </c>
      <c r="J1288" s="152" t="s">
        <v>156</v>
      </c>
      <c r="K1288" s="207">
        <f ca="1">SUM(INDIRECT(K1285))</f>
        <v>0</v>
      </c>
      <c r="L1288" s="208">
        <f ca="1">SUM(INDIRECT(L1285))</f>
        <v>152.28999999999994</v>
      </c>
      <c r="M1288" s="211">
        <f t="shared" si="107"/>
        <v>3</v>
      </c>
      <c r="N1288" s="64">
        <f t="shared" si="104"/>
        <v>1.0004208333333333</v>
      </c>
    </row>
    <row r="1289" spans="2:16">
      <c r="B1289" s="41"/>
      <c r="C1289" s="103">
        <f t="shared" si="106"/>
        <v>45087</v>
      </c>
      <c r="E1289" s="170"/>
      <c r="F1289" s="58" t="str">
        <f>VLOOKUP(MOD(C1289,7),'CALENDAR INFO'!$I$2:$J$8,2)</f>
        <v>SAT</v>
      </c>
      <c r="G1289" s="214">
        <v>5.08</v>
      </c>
      <c r="H1289" s="425">
        <v>5.05</v>
      </c>
      <c r="I1289" s="457">
        <f t="shared" si="108"/>
        <v>-3.0000000000000249E-2</v>
      </c>
      <c r="J1289" s="152" t="s">
        <v>157</v>
      </c>
      <c r="K1289" s="178">
        <f ca="1">K1287+K1288</f>
        <v>0</v>
      </c>
      <c r="L1289" s="192">
        <f ca="1">L1287+L1288</f>
        <v>152.28999999999994</v>
      </c>
      <c r="M1289" s="211">
        <f t="shared" si="107"/>
        <v>0</v>
      </c>
      <c r="N1289" s="64">
        <f t="shared" si="104"/>
        <v>1</v>
      </c>
    </row>
    <row r="1290" spans="2:16">
      <c r="B1290" s="41"/>
      <c r="C1290" s="103">
        <f t="shared" si="106"/>
        <v>45088</v>
      </c>
      <c r="E1290" s="170"/>
      <c r="F1290" s="58" t="str">
        <f>VLOOKUP(MOD(C1290,7),'CALENDAR INFO'!$I$2:$J$8,2)</f>
        <v>SUN</v>
      </c>
      <c r="G1290" s="214">
        <v>5.08</v>
      </c>
      <c r="H1290" s="425">
        <v>5.05</v>
      </c>
      <c r="I1290" s="457">
        <f t="shared" si="108"/>
        <v>-3.0000000000000249E-2</v>
      </c>
      <c r="J1290" s="152"/>
      <c r="K1290" s="178"/>
      <c r="L1290" s="192"/>
      <c r="M1290" s="211">
        <f t="shared" si="107"/>
        <v>0</v>
      </c>
      <c r="N1290" s="64">
        <f t="shared" si="104"/>
        <v>1</v>
      </c>
    </row>
    <row r="1291" spans="2:16">
      <c r="B1291" s="41"/>
      <c r="C1291" s="103">
        <f t="shared" si="106"/>
        <v>45089</v>
      </c>
      <c r="E1291" s="170"/>
      <c r="F1291" s="58" t="str">
        <f>VLOOKUP(MOD(C1291,7),'CALENDAR INFO'!$I$2:$J$8,2)</f>
        <v>MON</v>
      </c>
      <c r="G1291" s="214">
        <v>5.08</v>
      </c>
      <c r="H1291" s="425">
        <v>5.05</v>
      </c>
      <c r="I1291" s="457">
        <f t="shared" si="108"/>
        <v>-3.0000000000000249E-2</v>
      </c>
      <c r="J1291" s="152" t="s">
        <v>158</v>
      </c>
      <c r="K1291" s="178">
        <f ca="1">K1289/K1280</f>
        <v>0</v>
      </c>
      <c r="L1291" s="192">
        <f ca="1">L1289/L1280</f>
        <v>5.0763333333333316</v>
      </c>
      <c r="M1291" s="211">
        <f t="shared" si="107"/>
        <v>1</v>
      </c>
      <c r="N1291" s="64">
        <f t="shared" si="104"/>
        <v>1.0001402777777777</v>
      </c>
      <c r="O1291" s="282"/>
      <c r="P1291" s="283"/>
    </row>
    <row r="1292" spans="2:16">
      <c r="B1292" s="41"/>
      <c r="C1292" s="103">
        <f t="shared" si="106"/>
        <v>45090</v>
      </c>
      <c r="D1292" s="153" t="s">
        <v>20</v>
      </c>
      <c r="E1292" s="170"/>
      <c r="F1292" s="58" t="str">
        <f>VLOOKUP(MOD(C1292,7),'CALENDAR INFO'!$I$2:$J$8,2)</f>
        <v>TUE</v>
      </c>
      <c r="G1292" s="214">
        <v>5.08</v>
      </c>
      <c r="H1292" s="425">
        <v>5.05</v>
      </c>
      <c r="I1292" s="457">
        <f t="shared" si="108"/>
        <v>-3.0000000000000249E-2</v>
      </c>
      <c r="J1292" s="152" t="s">
        <v>159</v>
      </c>
      <c r="K1292" s="180">
        <f ca="1">100-K1291</f>
        <v>100</v>
      </c>
      <c r="L1292" s="193">
        <f ca="1">100-L1291</f>
        <v>94.923666666666662</v>
      </c>
      <c r="M1292" s="211">
        <f t="shared" si="107"/>
        <v>1</v>
      </c>
      <c r="N1292" s="64">
        <f t="shared" si="104"/>
        <v>1.0001402777777777</v>
      </c>
      <c r="O1292" s="282"/>
      <c r="P1292" s="284"/>
    </row>
    <row r="1293" spans="2:16">
      <c r="B1293" s="41"/>
      <c r="C1293" s="103">
        <f t="shared" si="106"/>
        <v>45091</v>
      </c>
      <c r="D1293" s="153" t="s">
        <v>20</v>
      </c>
      <c r="E1293" s="170" t="s">
        <v>19</v>
      </c>
      <c r="F1293" s="58" t="str">
        <f>VLOOKUP(MOD(C1293,7),'CALENDAR INFO'!$I$2:$J$8,2)</f>
        <v>WED</v>
      </c>
      <c r="G1293" s="214">
        <v>5.08</v>
      </c>
      <c r="H1293" s="425">
        <v>5.05</v>
      </c>
      <c r="I1293" s="457">
        <f t="shared" si="108"/>
        <v>-3.0000000000000249E-2</v>
      </c>
      <c r="J1293" s="152"/>
      <c r="K1293" s="178"/>
      <c r="L1293" s="192"/>
      <c r="M1293" s="211">
        <f t="shared" si="107"/>
        <v>1</v>
      </c>
      <c r="N1293" s="64">
        <f t="shared" si="104"/>
        <v>1.0001402777777777</v>
      </c>
      <c r="O1293" s="39"/>
      <c r="P1293" s="133"/>
    </row>
    <row r="1294" spans="2:16">
      <c r="B1294" s="41"/>
      <c r="C1294" s="103">
        <f t="shared" si="106"/>
        <v>45092</v>
      </c>
      <c r="E1294" s="167" t="s">
        <v>18</v>
      </c>
      <c r="F1294" s="58" t="str">
        <f>VLOOKUP(MOD(C1294,7),'CALENDAR INFO'!$I$2:$J$8,2)</f>
        <v>THU</v>
      </c>
      <c r="G1294" s="214">
        <v>5.07</v>
      </c>
      <c r="H1294" s="425">
        <v>5.0599999999999996</v>
      </c>
      <c r="I1294" s="457">
        <f t="shared" si="108"/>
        <v>-1.0000000000000675E-2</v>
      </c>
      <c r="J1294" s="152"/>
      <c r="K1294" s="186"/>
      <c r="L1294" s="194"/>
      <c r="M1294" s="211">
        <f t="shared" si="107"/>
        <v>1</v>
      </c>
      <c r="N1294" s="64">
        <f t="shared" si="104"/>
        <v>1.0001405555555556</v>
      </c>
    </row>
    <row r="1295" spans="2:16">
      <c r="B1295" s="41"/>
      <c r="C1295" s="103">
        <f t="shared" si="106"/>
        <v>45093</v>
      </c>
      <c r="E1295" s="167"/>
      <c r="F1295" s="58" t="str">
        <f>VLOOKUP(MOD(C1295,7),'CALENDAR INFO'!$I$2:$J$8,2)</f>
        <v>FRI</v>
      </c>
      <c r="G1295" s="219">
        <v>5.08</v>
      </c>
      <c r="H1295" s="431">
        <v>5.05</v>
      </c>
      <c r="I1295" s="457">
        <f t="shared" si="108"/>
        <v>-3.0000000000000249E-2</v>
      </c>
      <c r="J1295" s="152"/>
      <c r="K1295" s="152"/>
      <c r="L1295" s="202"/>
      <c r="M1295" s="117">
        <v>4</v>
      </c>
      <c r="N1295" s="64">
        <f t="shared" si="104"/>
        <v>1.000561111111111</v>
      </c>
    </row>
    <row r="1296" spans="2:16">
      <c r="B1296" s="41"/>
      <c r="C1296" s="103">
        <f t="shared" si="106"/>
        <v>45094</v>
      </c>
      <c r="E1296" s="167"/>
      <c r="F1296" s="58" t="str">
        <f>VLOOKUP(MOD(C1296,7),'CALENDAR INFO'!$I$2:$J$8,2)</f>
        <v>SAT</v>
      </c>
      <c r="G1296" s="219">
        <v>5.08</v>
      </c>
      <c r="H1296" s="431">
        <v>5.05</v>
      </c>
      <c r="I1296" s="457">
        <f t="shared" si="108"/>
        <v>-3.0000000000000249E-2</v>
      </c>
      <c r="J1296" s="152"/>
      <c r="K1296" s="182"/>
      <c r="L1296" s="201"/>
      <c r="M1296" s="211">
        <f>IF(MOD(C1296,7)&lt;2,0,IF(MOD(C1296,7)=6,3,1))</f>
        <v>0</v>
      </c>
      <c r="N1296" s="64">
        <f t="shared" si="104"/>
        <v>1</v>
      </c>
    </row>
    <row r="1297" spans="1:16">
      <c r="B1297" s="41"/>
      <c r="C1297" s="103">
        <f t="shared" si="106"/>
        <v>45095</v>
      </c>
      <c r="E1297" s="167"/>
      <c r="F1297" s="58" t="str">
        <f>VLOOKUP(MOD(C1297,7),'CALENDAR INFO'!$I$2:$J$8,2)</f>
        <v>SUN</v>
      </c>
      <c r="G1297" s="214">
        <v>5.08</v>
      </c>
      <c r="H1297" s="425">
        <v>5.05</v>
      </c>
      <c r="I1297" s="457">
        <f t="shared" si="108"/>
        <v>-3.0000000000000249E-2</v>
      </c>
      <c r="J1297" s="152"/>
      <c r="K1297" s="221"/>
      <c r="L1297" s="223"/>
      <c r="M1297" s="211">
        <f>IF(MOD(C1297,7)&lt;2,0,IF(MOD(C1297,7)=6,3,1))</f>
        <v>0</v>
      </c>
      <c r="N1297" s="64">
        <f t="shared" si="104"/>
        <v>1</v>
      </c>
    </row>
    <row r="1298" spans="1:16">
      <c r="B1298" s="41"/>
      <c r="C1298" s="103">
        <f t="shared" si="106"/>
        <v>45096</v>
      </c>
      <c r="D1298" s="173" t="s">
        <v>127</v>
      </c>
      <c r="E1298" s="167"/>
      <c r="F1298" s="58" t="str">
        <f>VLOOKUP(MOD(C1298,7),'CALENDAR INFO'!$I$2:$J$8,2)</f>
        <v>MON</v>
      </c>
      <c r="G1298" s="214">
        <v>5.08</v>
      </c>
      <c r="H1298" s="425">
        <v>5.05</v>
      </c>
      <c r="I1298" s="457">
        <f t="shared" si="108"/>
        <v>-3.0000000000000249E-2</v>
      </c>
      <c r="J1298" s="152"/>
      <c r="K1298" s="182"/>
      <c r="L1298" s="201"/>
      <c r="M1298" s="117">
        <v>0</v>
      </c>
      <c r="N1298" s="64">
        <f t="shared" si="104"/>
        <v>1</v>
      </c>
    </row>
    <row r="1299" spans="1:16">
      <c r="B1299" s="41"/>
      <c r="C1299" s="103">
        <f t="shared" si="106"/>
        <v>45097</v>
      </c>
      <c r="E1299" s="167"/>
      <c r="F1299" s="58" t="str">
        <f>VLOOKUP(MOD(C1299,7),'CALENDAR INFO'!$I$2:$J$8,2)</f>
        <v>TUE</v>
      </c>
      <c r="G1299" s="214">
        <v>5.07</v>
      </c>
      <c r="H1299" s="425">
        <v>5.05</v>
      </c>
      <c r="I1299" s="457">
        <f t="shared" si="108"/>
        <v>-2.0000000000000462E-2</v>
      </c>
      <c r="J1299" s="152"/>
      <c r="K1299" s="182"/>
      <c r="L1299" s="201"/>
      <c r="M1299" s="211">
        <f t="shared" ref="M1299:M1311" si="109">IF(MOD(C1299,7)&lt;2,0,IF(MOD(C1299,7)=6,3,1))</f>
        <v>1</v>
      </c>
      <c r="N1299" s="64">
        <f t="shared" ref="N1299:N1362" si="110">1+(M1299/360)*(MAX(H1299,B1299)/100)</f>
        <v>1.0001402777777777</v>
      </c>
    </row>
    <row r="1300" spans="1:16">
      <c r="B1300" s="41"/>
      <c r="C1300" s="103">
        <f t="shared" si="106"/>
        <v>45098</v>
      </c>
      <c r="E1300" s="167"/>
      <c r="F1300" s="58" t="str">
        <f>VLOOKUP(MOD(C1300,7),'CALENDAR INFO'!$I$2:$J$8,2)</f>
        <v>WED</v>
      </c>
      <c r="G1300" s="214">
        <v>5.07</v>
      </c>
      <c r="H1300" s="425">
        <v>5.05</v>
      </c>
      <c r="I1300" s="457">
        <f t="shared" si="108"/>
        <v>-2.0000000000000462E-2</v>
      </c>
      <c r="J1300" s="152"/>
      <c r="K1300" s="182"/>
      <c r="L1300" s="201"/>
      <c r="M1300" s="211">
        <f t="shared" si="109"/>
        <v>1</v>
      </c>
      <c r="N1300" s="64">
        <f t="shared" si="110"/>
        <v>1.0001402777777777</v>
      </c>
    </row>
    <row r="1301" spans="1:16">
      <c r="B1301" s="41"/>
      <c r="C1301" s="103">
        <f t="shared" si="106"/>
        <v>45099</v>
      </c>
      <c r="E1301" s="167"/>
      <c r="F1301" s="58" t="str">
        <f>VLOOKUP(MOD(C1301,7),'CALENDAR INFO'!$I$2:$J$8,2)</f>
        <v>THU</v>
      </c>
      <c r="G1301" s="214">
        <v>5.07</v>
      </c>
      <c r="H1301" s="425">
        <v>5.05</v>
      </c>
      <c r="I1301" s="457">
        <f t="shared" si="108"/>
        <v>-2.0000000000000462E-2</v>
      </c>
      <c r="J1301" s="152"/>
      <c r="K1301" s="221"/>
      <c r="L1301" s="223"/>
      <c r="M1301" s="211">
        <f t="shared" si="109"/>
        <v>1</v>
      </c>
      <c r="N1301" s="64">
        <f t="shared" si="110"/>
        <v>1.0001402777777777</v>
      </c>
    </row>
    <row r="1302" spans="1:16">
      <c r="B1302" s="41"/>
      <c r="C1302" s="103">
        <f t="shared" si="106"/>
        <v>45100</v>
      </c>
      <c r="E1302" s="167"/>
      <c r="F1302" s="58" t="str">
        <f>VLOOKUP(MOD(C1302,7),'CALENDAR INFO'!$I$2:$J$8,2)</f>
        <v>FRI</v>
      </c>
      <c r="G1302" s="214">
        <v>5.07</v>
      </c>
      <c r="H1302" s="425">
        <v>5.05</v>
      </c>
      <c r="I1302" s="457">
        <f t="shared" si="108"/>
        <v>-2.0000000000000462E-2</v>
      </c>
      <c r="J1302" s="152"/>
      <c r="K1302" s="182"/>
      <c r="L1302" s="192"/>
      <c r="M1302" s="211">
        <f t="shared" si="109"/>
        <v>3</v>
      </c>
      <c r="N1302" s="64">
        <f t="shared" si="110"/>
        <v>1.0004208333333333</v>
      </c>
    </row>
    <row r="1303" spans="1:16">
      <c r="B1303" s="41"/>
      <c r="C1303" s="103">
        <f t="shared" si="106"/>
        <v>45101</v>
      </c>
      <c r="E1303" s="167"/>
      <c r="F1303" s="58" t="str">
        <f>VLOOKUP(MOD(C1303,7),'CALENDAR INFO'!$I$2:$J$8,2)</f>
        <v>SAT</v>
      </c>
      <c r="G1303" s="214">
        <v>5.07</v>
      </c>
      <c r="H1303" s="425">
        <v>5.05</v>
      </c>
      <c r="I1303" s="457">
        <f t="shared" si="108"/>
        <v>-2.0000000000000462E-2</v>
      </c>
      <c r="J1303" s="152"/>
      <c r="K1303" s="152"/>
      <c r="L1303" s="222"/>
      <c r="M1303" s="211">
        <f t="shared" si="109"/>
        <v>0</v>
      </c>
      <c r="N1303" s="64">
        <f t="shared" si="110"/>
        <v>1</v>
      </c>
    </row>
    <row r="1304" spans="1:16">
      <c r="B1304" s="41"/>
      <c r="C1304" s="103">
        <f t="shared" si="106"/>
        <v>45102</v>
      </c>
      <c r="E1304" s="167"/>
      <c r="F1304" s="58" t="str">
        <f>VLOOKUP(MOD(C1304,7),'CALENDAR INFO'!$I$2:$J$8,2)</f>
        <v>SUN</v>
      </c>
      <c r="G1304" s="214">
        <v>5.07</v>
      </c>
      <c r="H1304" s="425">
        <v>5.05</v>
      </c>
      <c r="I1304" s="457">
        <f t="shared" si="108"/>
        <v>-2.0000000000000462E-2</v>
      </c>
      <c r="J1304" s="152"/>
      <c r="K1304" s="182"/>
      <c r="L1304" s="201"/>
      <c r="M1304" s="211">
        <f t="shared" si="109"/>
        <v>0</v>
      </c>
      <c r="N1304" s="64">
        <f t="shared" si="110"/>
        <v>1</v>
      </c>
    </row>
    <row r="1305" spans="1:16">
      <c r="B1305" s="41"/>
      <c r="C1305" s="103">
        <f t="shared" si="106"/>
        <v>45103</v>
      </c>
      <c r="E1305" s="167"/>
      <c r="F1305" s="58" t="str">
        <f>VLOOKUP(MOD(C1305,7),'CALENDAR INFO'!$I$2:$J$8,2)</f>
        <v>MON</v>
      </c>
      <c r="G1305" s="214">
        <v>5.07</v>
      </c>
      <c r="H1305" s="425">
        <v>5.05</v>
      </c>
      <c r="I1305" s="457">
        <f t="shared" si="108"/>
        <v>-2.0000000000000462E-2</v>
      </c>
      <c r="J1305" s="152"/>
      <c r="K1305" s="152"/>
      <c r="L1305" s="202"/>
      <c r="M1305" s="211">
        <f t="shared" si="109"/>
        <v>1</v>
      </c>
      <c r="N1305" s="64">
        <f t="shared" si="110"/>
        <v>1.0001402777777777</v>
      </c>
      <c r="O1305" s="282"/>
      <c r="P1305" s="283"/>
    </row>
    <row r="1306" spans="1:16">
      <c r="B1306" s="41"/>
      <c r="C1306" s="103">
        <f t="shared" si="106"/>
        <v>45104</v>
      </c>
      <c r="E1306" s="167"/>
      <c r="F1306" s="58" t="str">
        <f>VLOOKUP(MOD(C1306,7),'CALENDAR INFO'!$I$2:$J$8,2)</f>
        <v>TUE</v>
      </c>
      <c r="G1306" s="214">
        <v>5.07</v>
      </c>
      <c r="H1306" s="425">
        <v>5.05</v>
      </c>
      <c r="I1306" s="457">
        <f t="shared" si="108"/>
        <v>-2.0000000000000462E-2</v>
      </c>
      <c r="J1306" s="152"/>
      <c r="K1306" s="182"/>
      <c r="L1306" s="201"/>
      <c r="M1306" s="211">
        <f t="shared" si="109"/>
        <v>1</v>
      </c>
      <c r="N1306" s="64">
        <f t="shared" si="110"/>
        <v>1.0001402777777777</v>
      </c>
      <c r="O1306" s="282"/>
      <c r="P1306" s="284"/>
    </row>
    <row r="1307" spans="1:16">
      <c r="B1307" s="41"/>
      <c r="C1307" s="103">
        <f t="shared" si="106"/>
        <v>45105</v>
      </c>
      <c r="E1307" s="167" t="s">
        <v>19</v>
      </c>
      <c r="F1307" s="58" t="str">
        <f>VLOOKUP(MOD(C1307,7),'CALENDAR INFO'!$I$2:$J$8,2)</f>
        <v>WED</v>
      </c>
      <c r="G1307" s="214">
        <v>5.07</v>
      </c>
      <c r="H1307" s="425">
        <v>5.0599999999999996</v>
      </c>
      <c r="I1307" s="457">
        <f t="shared" si="108"/>
        <v>-1.0000000000000675E-2</v>
      </c>
      <c r="J1307" s="152"/>
      <c r="K1307" s="190"/>
      <c r="L1307" s="203"/>
      <c r="M1307" s="211">
        <f t="shared" si="109"/>
        <v>1</v>
      </c>
      <c r="N1307" s="64">
        <f t="shared" si="110"/>
        <v>1.0001405555555556</v>
      </c>
      <c r="O1307" s="282"/>
      <c r="P1307" s="284"/>
    </row>
    <row r="1308" spans="1:16">
      <c r="B1308" s="41"/>
      <c r="C1308" s="103">
        <f t="shared" si="106"/>
        <v>45106</v>
      </c>
      <c r="E1308" s="170" t="s">
        <v>18</v>
      </c>
      <c r="F1308" s="58" t="str">
        <f>VLOOKUP(MOD(C1308,7),'CALENDAR INFO'!$I$2:$J$8,2)</f>
        <v>THU</v>
      </c>
      <c r="G1308" s="214">
        <v>5.07</v>
      </c>
      <c r="H1308" s="425">
        <v>5.0599999999999996</v>
      </c>
      <c r="I1308" s="457">
        <f t="shared" si="108"/>
        <v>-1.0000000000000675E-2</v>
      </c>
      <c r="J1308" s="152"/>
      <c r="K1308" s="182"/>
      <c r="L1308" s="201"/>
      <c r="M1308" s="211">
        <f t="shared" si="109"/>
        <v>1</v>
      </c>
      <c r="N1308" s="64">
        <f t="shared" si="110"/>
        <v>1.0001405555555556</v>
      </c>
    </row>
    <row r="1309" spans="1:16" ht="15.75" thickBot="1">
      <c r="A1309" s="98"/>
      <c r="B1309" s="230"/>
      <c r="C1309" s="104">
        <f t="shared" si="106"/>
        <v>45107</v>
      </c>
      <c r="D1309" s="112"/>
      <c r="E1309" s="245"/>
      <c r="F1309" s="71" t="str">
        <f>VLOOKUP(MOD(C1309,7),'CALENDAR INFO'!$I$2:$J$8,2)</f>
        <v>FRI</v>
      </c>
      <c r="G1309" s="215">
        <v>5.08</v>
      </c>
      <c r="H1309" s="426">
        <v>5.09</v>
      </c>
      <c r="I1309" s="458">
        <f t="shared" si="108"/>
        <v>9.9999999999997868E-3</v>
      </c>
      <c r="J1309" s="437"/>
      <c r="K1309" s="184"/>
      <c r="L1309" s="205"/>
      <c r="M1309" s="113">
        <f t="shared" si="109"/>
        <v>3</v>
      </c>
      <c r="N1309" s="77">
        <f t="shared" si="110"/>
        <v>1.0004241666666667</v>
      </c>
    </row>
    <row r="1310" spans="1:16">
      <c r="A1310" s="100"/>
      <c r="B1310" s="231"/>
      <c r="C1310" s="109">
        <f t="shared" si="106"/>
        <v>45108</v>
      </c>
      <c r="D1310" s="108"/>
      <c r="E1310" s="170"/>
      <c r="F1310" s="105" t="str">
        <f>VLOOKUP(MOD(C1310,7),'CALENDAR INFO'!$I$2:$J$8,2)</f>
        <v>SAT</v>
      </c>
      <c r="G1310" s="214">
        <v>5.08</v>
      </c>
      <c r="H1310" s="425">
        <v>5.09</v>
      </c>
      <c r="I1310" s="457">
        <f t="shared" si="108"/>
        <v>9.9999999999997868E-3</v>
      </c>
      <c r="J1310" s="436" t="s">
        <v>118</v>
      </c>
      <c r="K1310" s="15">
        <f>VLOOKUP(MONTH($C1310),'CALENDAR INFO'!$I$12:$J$23,2)</f>
        <v>31</v>
      </c>
      <c r="L1310" s="179">
        <f>K1310</f>
        <v>31</v>
      </c>
      <c r="M1310" s="116">
        <f t="shared" si="109"/>
        <v>0</v>
      </c>
      <c r="N1310" s="111">
        <f t="shared" si="110"/>
        <v>1</v>
      </c>
    </row>
    <row r="1311" spans="1:16">
      <c r="B1311" s="41"/>
      <c r="C1311" s="103">
        <f t="shared" si="106"/>
        <v>45109</v>
      </c>
      <c r="E1311" s="170"/>
      <c r="F1311" s="58" t="str">
        <f>VLOOKUP(MOD(C1311,7),'CALENDAR INFO'!$I$2:$J$8,2)</f>
        <v>SUN</v>
      </c>
      <c r="G1311" s="214">
        <v>5.08</v>
      </c>
      <c r="H1311" s="425">
        <v>5.09</v>
      </c>
      <c r="I1311" s="457">
        <f t="shared" si="108"/>
        <v>9.9999999999997868E-3</v>
      </c>
      <c r="J1311" s="152" t="s">
        <v>151</v>
      </c>
      <c r="K1311" s="15">
        <f>ROW($C1311)-1</f>
        <v>1310</v>
      </c>
      <c r="L1311" s="179">
        <f>K1311</f>
        <v>1310</v>
      </c>
      <c r="M1311" s="211">
        <f t="shared" si="109"/>
        <v>0</v>
      </c>
      <c r="N1311" s="64">
        <f t="shared" si="110"/>
        <v>1</v>
      </c>
    </row>
    <row r="1312" spans="1:16">
      <c r="B1312" s="41"/>
      <c r="C1312" s="103">
        <f t="shared" si="106"/>
        <v>45110</v>
      </c>
      <c r="E1312" s="170"/>
      <c r="F1312" s="58" t="str">
        <f>VLOOKUP(MOD(C1312,7),'CALENDAR INFO'!$I$2:$J$8,2)</f>
        <v>MON</v>
      </c>
      <c r="G1312" s="214">
        <v>5.08</v>
      </c>
      <c r="H1312" s="425">
        <v>5.0599999999999996</v>
      </c>
      <c r="I1312" s="457">
        <f t="shared" si="108"/>
        <v>-2.0000000000000462E-2</v>
      </c>
      <c r="J1312" s="152" t="s">
        <v>152</v>
      </c>
      <c r="K1312" s="15">
        <f>K1310+K1311-1</f>
        <v>1340</v>
      </c>
      <c r="L1312" s="200">
        <f>K1312</f>
        <v>1340</v>
      </c>
      <c r="M1312" s="117">
        <v>2</v>
      </c>
      <c r="N1312" s="64">
        <f t="shared" si="110"/>
        <v>1.0002811111111112</v>
      </c>
    </row>
    <row r="1313" spans="2:14">
      <c r="B1313" s="41"/>
      <c r="C1313" s="103">
        <f t="shared" si="106"/>
        <v>45111</v>
      </c>
      <c r="D1313" s="173" t="s">
        <v>49</v>
      </c>
      <c r="E1313" s="170"/>
      <c r="F1313" s="58" t="str">
        <f>VLOOKUP(MOD(C1313,7),'CALENDAR INFO'!$I$2:$J$8,2)</f>
        <v>TUE</v>
      </c>
      <c r="G1313" s="214">
        <v>5.08</v>
      </c>
      <c r="H1313" s="425">
        <v>5.0599999999999996</v>
      </c>
      <c r="I1313" s="457">
        <f t="shared" si="108"/>
        <v>-2.0000000000000462E-2</v>
      </c>
      <c r="J1313" s="152"/>
      <c r="K1313" s="182"/>
      <c r="L1313" s="201"/>
      <c r="M1313" s="117">
        <v>0</v>
      </c>
      <c r="N1313" s="64">
        <f t="shared" si="110"/>
        <v>1</v>
      </c>
    </row>
    <row r="1314" spans="2:14">
      <c r="B1314" s="41"/>
      <c r="C1314" s="103">
        <f t="shared" si="106"/>
        <v>45112</v>
      </c>
      <c r="D1314" s="175"/>
      <c r="E1314" s="170"/>
      <c r="F1314" s="58" t="str">
        <f>VLOOKUP(MOD(C1314,7),'CALENDAR INFO'!$I$2:$J$8,2)</f>
        <v>WED</v>
      </c>
      <c r="G1314" s="214">
        <v>5.08</v>
      </c>
      <c r="H1314" s="425">
        <v>5.0599999999999996</v>
      </c>
      <c r="I1314" s="457">
        <f t="shared" si="108"/>
        <v>-2.0000000000000462E-2</v>
      </c>
      <c r="J1314" s="152" t="s">
        <v>153</v>
      </c>
      <c r="K1314" s="182" t="str">
        <f>_xlfn.CONCAT("A",TEXT(K1311,0),":","A",TEXT(K1312,0))</f>
        <v>A1310:A1340</v>
      </c>
      <c r="L1314" s="201" t="str">
        <f>_xlfn.CONCAT("B",TEXT(L1311,0),":","B",TEXT(L1312,0))</f>
        <v>B1310:B1340</v>
      </c>
      <c r="M1314" s="211">
        <f t="shared" ref="M1314:M1345" si="111">IF(MOD(C1314,7)&lt;2,0,IF(MOD(C1314,7)=6,3,1))</f>
        <v>1</v>
      </c>
      <c r="N1314" s="64">
        <f t="shared" si="110"/>
        <v>1.0001405555555556</v>
      </c>
    </row>
    <row r="1315" spans="2:14">
      <c r="B1315" s="41"/>
      <c r="C1315" s="103">
        <f t="shared" si="106"/>
        <v>45113</v>
      </c>
      <c r="E1315" s="170"/>
      <c r="F1315" s="58" t="str">
        <f>VLOOKUP(MOD(C1315,7),'CALENDAR INFO'!$I$2:$J$8,2)</f>
        <v>THU</v>
      </c>
      <c r="G1315" s="214">
        <v>5.08</v>
      </c>
      <c r="H1315" s="425">
        <v>5.0599999999999996</v>
      </c>
      <c r="I1315" s="457">
        <f t="shared" si="108"/>
        <v>-2.0000000000000462E-2</v>
      </c>
      <c r="J1315" s="152" t="s">
        <v>154</v>
      </c>
      <c r="K1315" s="182" t="str">
        <f>_xlfn.CONCAT("F",TEXT(K1311,0),":","F",TEXT(K1312,0))</f>
        <v>F1310:F1340</v>
      </c>
      <c r="L1315" s="201" t="str">
        <f>_xlfn.CONCAT("G",TEXT(L1311,0),":","G",TEXT(L1312,0))</f>
        <v>G1310:G1340</v>
      </c>
      <c r="M1315" s="211">
        <f t="shared" si="111"/>
        <v>1</v>
      </c>
      <c r="N1315" s="64">
        <f t="shared" si="110"/>
        <v>1.0001405555555556</v>
      </c>
    </row>
    <row r="1316" spans="2:14">
      <c r="B1316" s="41"/>
      <c r="C1316" s="103">
        <f t="shared" si="106"/>
        <v>45114</v>
      </c>
      <c r="E1316" s="170"/>
      <c r="F1316" s="58" t="str">
        <f>VLOOKUP(MOD(C1316,7),'CALENDAR INFO'!$I$2:$J$8,2)</f>
        <v>FRI</v>
      </c>
      <c r="G1316" s="214">
        <v>5.08</v>
      </c>
      <c r="H1316" s="425">
        <v>5.0599999999999996</v>
      </c>
      <c r="I1316" s="457">
        <f t="shared" si="108"/>
        <v>-2.0000000000000462E-2</v>
      </c>
      <c r="J1316" s="152"/>
      <c r="K1316" s="152"/>
      <c r="L1316" s="202"/>
      <c r="M1316" s="211">
        <f t="shared" si="111"/>
        <v>3</v>
      </c>
      <c r="N1316" s="64">
        <f t="shared" si="110"/>
        <v>1.0004216666666668</v>
      </c>
    </row>
    <row r="1317" spans="2:14">
      <c r="B1317" s="41"/>
      <c r="C1317" s="103">
        <f t="shared" si="106"/>
        <v>45115</v>
      </c>
      <c r="E1317" s="170"/>
      <c r="F1317" s="58" t="str">
        <f>VLOOKUP(MOD(C1317,7),'CALENDAR INFO'!$I$2:$J$8,2)</f>
        <v>SAT</v>
      </c>
      <c r="G1317" s="214">
        <v>5.08</v>
      </c>
      <c r="H1317" s="425">
        <v>5.0599999999999996</v>
      </c>
      <c r="I1317" s="457">
        <f t="shared" si="108"/>
        <v>-2.0000000000000462E-2</v>
      </c>
      <c r="J1317" s="152" t="s">
        <v>155</v>
      </c>
      <c r="K1317" s="185">
        <f ca="1">SUM(INDIRECT(K1314))</f>
        <v>0</v>
      </c>
      <c r="L1317" s="93">
        <f ca="1">SUM(INDIRECT(L1314))</f>
        <v>0</v>
      </c>
      <c r="M1317" s="211">
        <f t="shared" si="111"/>
        <v>0</v>
      </c>
      <c r="N1317" s="64">
        <f t="shared" si="110"/>
        <v>1</v>
      </c>
    </row>
    <row r="1318" spans="2:14">
      <c r="B1318" s="41"/>
      <c r="C1318" s="103">
        <f t="shared" si="106"/>
        <v>45116</v>
      </c>
      <c r="E1318" s="170"/>
      <c r="F1318" s="58" t="str">
        <f>VLOOKUP(MOD(C1318,7),'CALENDAR INFO'!$I$2:$J$8,2)</f>
        <v>SUN</v>
      </c>
      <c r="G1318" s="214">
        <v>5.08</v>
      </c>
      <c r="H1318" s="425">
        <v>5.0599999999999996</v>
      </c>
      <c r="I1318" s="457">
        <f t="shared" si="108"/>
        <v>-2.0000000000000462E-2</v>
      </c>
      <c r="J1318" s="152" t="s">
        <v>156</v>
      </c>
      <c r="K1318" s="207">
        <f ca="1">SUM(INDIRECT(K1315))</f>
        <v>0</v>
      </c>
      <c r="L1318" s="208">
        <f ca="1">SUM(INDIRECT(L1315))</f>
        <v>158.72000000000003</v>
      </c>
      <c r="M1318" s="211">
        <f t="shared" si="111"/>
        <v>0</v>
      </c>
      <c r="N1318" s="64">
        <f t="shared" si="110"/>
        <v>1</v>
      </c>
    </row>
    <row r="1319" spans="2:14">
      <c r="B1319" s="41"/>
      <c r="C1319" s="103">
        <f t="shared" si="106"/>
        <v>45117</v>
      </c>
      <c r="E1319" s="170"/>
      <c r="F1319" s="58" t="str">
        <f>VLOOKUP(MOD(C1319,7),'CALENDAR INFO'!$I$2:$J$8,2)</f>
        <v>MON</v>
      </c>
      <c r="G1319" s="214">
        <v>5.07</v>
      </c>
      <c r="H1319" s="425">
        <v>5.0599999999999996</v>
      </c>
      <c r="I1319" s="457">
        <f t="shared" si="108"/>
        <v>-1.0000000000000675E-2</v>
      </c>
      <c r="J1319" s="152" t="s">
        <v>157</v>
      </c>
      <c r="K1319" s="178">
        <f ca="1">K1317+K1318</f>
        <v>0</v>
      </c>
      <c r="L1319" s="192">
        <f ca="1">L1317+L1318</f>
        <v>158.72000000000003</v>
      </c>
      <c r="M1319" s="211">
        <f t="shared" si="111"/>
        <v>1</v>
      </c>
      <c r="N1319" s="64">
        <f t="shared" si="110"/>
        <v>1.0001405555555556</v>
      </c>
    </row>
    <row r="1320" spans="2:14">
      <c r="B1320" s="41"/>
      <c r="C1320" s="103">
        <f t="shared" si="106"/>
        <v>45118</v>
      </c>
      <c r="E1320" s="170"/>
      <c r="F1320" s="58" t="str">
        <f>VLOOKUP(MOD(C1320,7),'CALENDAR INFO'!$I$2:$J$8,2)</f>
        <v>TUE</v>
      </c>
      <c r="G1320" s="214">
        <v>5.08</v>
      </c>
      <c r="H1320" s="425">
        <v>5.0599999999999996</v>
      </c>
      <c r="I1320" s="457">
        <f t="shared" si="108"/>
        <v>-2.0000000000000462E-2</v>
      </c>
      <c r="J1320" s="152"/>
      <c r="K1320" s="178"/>
      <c r="L1320" s="192"/>
      <c r="M1320" s="211">
        <f t="shared" si="111"/>
        <v>1</v>
      </c>
      <c r="N1320" s="64">
        <f t="shared" si="110"/>
        <v>1.0001405555555556</v>
      </c>
    </row>
    <row r="1321" spans="2:14">
      <c r="B1321" s="41"/>
      <c r="C1321" s="103">
        <f t="shared" si="106"/>
        <v>45119</v>
      </c>
      <c r="E1321" s="170" t="s">
        <v>19</v>
      </c>
      <c r="F1321" s="58" t="str">
        <f>VLOOKUP(MOD(C1321,7),'CALENDAR INFO'!$I$2:$J$8,2)</f>
        <v>WED</v>
      </c>
      <c r="G1321" s="214">
        <v>5.08</v>
      </c>
      <c r="H1321" s="425">
        <v>5.05</v>
      </c>
      <c r="I1321" s="457">
        <f t="shared" si="108"/>
        <v>-3.0000000000000249E-2</v>
      </c>
      <c r="J1321" s="152" t="s">
        <v>158</v>
      </c>
      <c r="K1321" s="178">
        <f ca="1">K1319/K1310</f>
        <v>0</v>
      </c>
      <c r="L1321" s="192">
        <f ca="1">L1319/L1310</f>
        <v>5.120000000000001</v>
      </c>
      <c r="M1321" s="211">
        <f t="shared" si="111"/>
        <v>1</v>
      </c>
      <c r="N1321" s="64">
        <f t="shared" si="110"/>
        <v>1.0001402777777777</v>
      </c>
    </row>
    <row r="1322" spans="2:14">
      <c r="B1322" s="41"/>
      <c r="C1322" s="103">
        <f t="shared" si="106"/>
        <v>45120</v>
      </c>
      <c r="E1322" s="167" t="s">
        <v>18</v>
      </c>
      <c r="F1322" s="58" t="str">
        <f>VLOOKUP(MOD(C1322,7),'CALENDAR INFO'!$I$2:$J$8,2)</f>
        <v>THU</v>
      </c>
      <c r="G1322" s="214">
        <v>5.08</v>
      </c>
      <c r="H1322" s="425">
        <v>5.0599999999999996</v>
      </c>
      <c r="I1322" s="457">
        <f t="shared" si="108"/>
        <v>-2.0000000000000462E-2</v>
      </c>
      <c r="J1322" s="152" t="s">
        <v>159</v>
      </c>
      <c r="K1322" s="180">
        <f ca="1">100-K1321</f>
        <v>100</v>
      </c>
      <c r="L1322" s="193">
        <f ca="1">100-L1321</f>
        <v>94.88</v>
      </c>
      <c r="M1322" s="211">
        <f t="shared" si="111"/>
        <v>1</v>
      </c>
      <c r="N1322" s="64">
        <f t="shared" si="110"/>
        <v>1.0001405555555556</v>
      </c>
    </row>
    <row r="1323" spans="2:14">
      <c r="B1323" s="41"/>
      <c r="C1323" s="103">
        <f t="shared" si="106"/>
        <v>45121</v>
      </c>
      <c r="E1323" s="167"/>
      <c r="F1323" s="58" t="str">
        <f>VLOOKUP(MOD(C1323,7),'CALENDAR INFO'!$I$2:$J$8,2)</f>
        <v>FRI</v>
      </c>
      <c r="G1323" s="214">
        <v>5.08</v>
      </c>
      <c r="H1323" s="425">
        <v>5.05</v>
      </c>
      <c r="I1323" s="457">
        <f t="shared" si="108"/>
        <v>-3.0000000000000249E-2</v>
      </c>
      <c r="J1323" s="152"/>
      <c r="K1323" s="178"/>
      <c r="L1323" s="192"/>
      <c r="M1323" s="211">
        <f t="shared" si="111"/>
        <v>3</v>
      </c>
      <c r="N1323" s="64">
        <f t="shared" si="110"/>
        <v>1.0004208333333333</v>
      </c>
    </row>
    <row r="1324" spans="2:14">
      <c r="B1324" s="41"/>
      <c r="C1324" s="103">
        <f t="shared" si="106"/>
        <v>45122</v>
      </c>
      <c r="E1324" s="167"/>
      <c r="F1324" s="58" t="str">
        <f>VLOOKUP(MOD(C1324,7),'CALENDAR INFO'!$I$2:$J$8,2)</f>
        <v>SAT</v>
      </c>
      <c r="G1324" s="214">
        <v>5.08</v>
      </c>
      <c r="H1324" s="425">
        <v>5.05</v>
      </c>
      <c r="I1324" s="457">
        <f t="shared" si="108"/>
        <v>-3.0000000000000249E-2</v>
      </c>
      <c r="J1324" s="152"/>
      <c r="K1324" s="186"/>
      <c r="L1324" s="194"/>
      <c r="M1324" s="211">
        <f t="shared" si="111"/>
        <v>0</v>
      </c>
      <c r="N1324" s="64">
        <f t="shared" si="110"/>
        <v>1</v>
      </c>
    </row>
    <row r="1325" spans="2:14">
      <c r="B1325" s="41"/>
      <c r="C1325" s="103">
        <f t="shared" si="106"/>
        <v>45123</v>
      </c>
      <c r="E1325" s="167"/>
      <c r="F1325" s="58" t="str">
        <f>VLOOKUP(MOD(C1325,7),'CALENDAR INFO'!$I$2:$J$8,2)</f>
        <v>SUN</v>
      </c>
      <c r="G1325" s="214">
        <v>5.08</v>
      </c>
      <c r="H1325" s="425">
        <v>5.05</v>
      </c>
      <c r="I1325" s="457">
        <f t="shared" si="108"/>
        <v>-3.0000000000000249E-2</v>
      </c>
      <c r="J1325" s="152"/>
      <c r="K1325" s="152"/>
      <c r="L1325" s="202"/>
      <c r="M1325" s="211">
        <f t="shared" si="111"/>
        <v>0</v>
      </c>
      <c r="N1325" s="64">
        <f t="shared" si="110"/>
        <v>1</v>
      </c>
    </row>
    <row r="1326" spans="2:14">
      <c r="B1326" s="41"/>
      <c r="C1326" s="103">
        <f t="shared" si="106"/>
        <v>45124</v>
      </c>
      <c r="E1326" s="167"/>
      <c r="F1326" s="58" t="str">
        <f>VLOOKUP(MOD(C1326,7),'CALENDAR INFO'!$I$2:$J$8,2)</f>
        <v>MON</v>
      </c>
      <c r="G1326" s="214">
        <v>5.08</v>
      </c>
      <c r="H1326" s="425">
        <v>5.0599999999999996</v>
      </c>
      <c r="I1326" s="457">
        <f t="shared" si="108"/>
        <v>-2.0000000000000462E-2</v>
      </c>
      <c r="J1326" s="152"/>
      <c r="K1326" s="182"/>
      <c r="L1326" s="201"/>
      <c r="M1326" s="211">
        <f t="shared" si="111"/>
        <v>1</v>
      </c>
      <c r="N1326" s="64">
        <f t="shared" si="110"/>
        <v>1.0001405555555556</v>
      </c>
    </row>
    <row r="1327" spans="2:14">
      <c r="B1327" s="41"/>
      <c r="C1327" s="103">
        <f t="shared" si="106"/>
        <v>45125</v>
      </c>
      <c r="E1327" s="167"/>
      <c r="F1327" s="58" t="str">
        <f>VLOOKUP(MOD(C1327,7),'CALENDAR INFO'!$I$2:$J$8,2)</f>
        <v>TUE</v>
      </c>
      <c r="G1327" s="214">
        <v>5.08</v>
      </c>
      <c r="H1327" s="425">
        <v>5.0599999999999996</v>
      </c>
      <c r="I1327" s="457">
        <f t="shared" si="108"/>
        <v>-2.0000000000000462E-2</v>
      </c>
      <c r="J1327" s="152"/>
      <c r="K1327" s="221"/>
      <c r="L1327" s="223"/>
      <c r="M1327" s="211">
        <f t="shared" si="111"/>
        <v>1</v>
      </c>
      <c r="N1327" s="64">
        <f t="shared" si="110"/>
        <v>1.0001405555555556</v>
      </c>
    </row>
    <row r="1328" spans="2:14">
      <c r="B1328" s="41"/>
      <c r="C1328" s="103">
        <f t="shared" si="106"/>
        <v>45126</v>
      </c>
      <c r="E1328" s="167"/>
      <c r="F1328" s="58" t="str">
        <f>VLOOKUP(MOD(C1328,7),'CALENDAR INFO'!$I$2:$J$8,2)</f>
        <v>WED</v>
      </c>
      <c r="G1328" s="214">
        <v>5.08</v>
      </c>
      <c r="H1328" s="425">
        <v>5.05</v>
      </c>
      <c r="I1328" s="457">
        <f t="shared" si="108"/>
        <v>-3.0000000000000249E-2</v>
      </c>
      <c r="J1328" s="152"/>
      <c r="K1328" s="182"/>
      <c r="L1328" s="201"/>
      <c r="M1328" s="211">
        <f t="shared" si="111"/>
        <v>1</v>
      </c>
      <c r="N1328" s="64">
        <f t="shared" si="110"/>
        <v>1.0001402777777777</v>
      </c>
    </row>
    <row r="1329" spans="1:16">
      <c r="B1329" s="41"/>
      <c r="C1329" s="103">
        <f t="shared" si="106"/>
        <v>45127</v>
      </c>
      <c r="E1329" s="167"/>
      <c r="F1329" s="58" t="str">
        <f>VLOOKUP(MOD(C1329,7),'CALENDAR INFO'!$I$2:$J$8,2)</f>
        <v>THU</v>
      </c>
      <c r="G1329" s="214">
        <v>5.08</v>
      </c>
      <c r="H1329" s="425">
        <v>5.0599999999999996</v>
      </c>
      <c r="I1329" s="457">
        <f t="shared" si="108"/>
        <v>-2.0000000000000462E-2</v>
      </c>
      <c r="J1329" s="152"/>
      <c r="K1329" s="182"/>
      <c r="L1329" s="201"/>
      <c r="M1329" s="211">
        <f t="shared" si="111"/>
        <v>1</v>
      </c>
      <c r="N1329" s="64">
        <f t="shared" si="110"/>
        <v>1.0001405555555556</v>
      </c>
    </row>
    <row r="1330" spans="1:16">
      <c r="B1330" s="41"/>
      <c r="C1330" s="103">
        <f t="shared" si="106"/>
        <v>45128</v>
      </c>
      <c r="E1330" s="167"/>
      <c r="F1330" s="58" t="str">
        <f>VLOOKUP(MOD(C1330,7),'CALENDAR INFO'!$I$2:$J$8,2)</f>
        <v>FRI</v>
      </c>
      <c r="G1330" s="214">
        <v>5.08</v>
      </c>
      <c r="H1330" s="425">
        <v>5.05</v>
      </c>
      <c r="I1330" s="457">
        <f t="shared" si="108"/>
        <v>-3.0000000000000249E-2</v>
      </c>
      <c r="J1330" s="152"/>
      <c r="K1330" s="182"/>
      <c r="L1330" s="201"/>
      <c r="M1330" s="211">
        <f t="shared" si="111"/>
        <v>3</v>
      </c>
      <c r="N1330" s="64">
        <f t="shared" si="110"/>
        <v>1.0004208333333333</v>
      </c>
    </row>
    <row r="1331" spans="1:16">
      <c r="B1331" s="41"/>
      <c r="C1331" s="103">
        <f t="shared" si="106"/>
        <v>45129</v>
      </c>
      <c r="E1331" s="167"/>
      <c r="F1331" s="58" t="str">
        <f>VLOOKUP(MOD(C1331,7),'CALENDAR INFO'!$I$2:$J$8,2)</f>
        <v>SAT</v>
      </c>
      <c r="G1331" s="214">
        <v>5.08</v>
      </c>
      <c r="H1331" s="425">
        <v>5.05</v>
      </c>
      <c r="I1331" s="457">
        <f t="shared" si="108"/>
        <v>-3.0000000000000249E-2</v>
      </c>
      <c r="J1331" s="152"/>
      <c r="K1331" s="221"/>
      <c r="L1331" s="223"/>
      <c r="M1331" s="211">
        <f t="shared" si="111"/>
        <v>0</v>
      </c>
      <c r="N1331" s="64">
        <f t="shared" si="110"/>
        <v>1</v>
      </c>
    </row>
    <row r="1332" spans="1:16">
      <c r="B1332" s="41"/>
      <c r="C1332" s="103">
        <f t="shared" si="106"/>
        <v>45130</v>
      </c>
      <c r="E1332" s="167"/>
      <c r="F1332" s="58" t="str">
        <f>VLOOKUP(MOD(C1332,7),'CALENDAR INFO'!$I$2:$J$8,2)</f>
        <v>SUN</v>
      </c>
      <c r="G1332" s="214">
        <v>5.08</v>
      </c>
      <c r="H1332" s="425">
        <v>5.05</v>
      </c>
      <c r="I1332" s="457">
        <f t="shared" si="108"/>
        <v>-3.0000000000000249E-2</v>
      </c>
      <c r="J1332" s="152"/>
      <c r="K1332" s="182"/>
      <c r="L1332" s="192"/>
      <c r="M1332" s="211">
        <f t="shared" si="111"/>
        <v>0</v>
      </c>
      <c r="N1332" s="64">
        <f t="shared" si="110"/>
        <v>1</v>
      </c>
    </row>
    <row r="1333" spans="1:16">
      <c r="B1333" s="41"/>
      <c r="C1333" s="103">
        <f t="shared" ref="C1333:C1396" si="112">C1332+1</f>
        <v>45131</v>
      </c>
      <c r="E1333" s="167"/>
      <c r="F1333" s="58" t="str">
        <f>VLOOKUP(MOD(C1333,7),'CALENDAR INFO'!$I$2:$J$8,2)</f>
        <v>MON</v>
      </c>
      <c r="G1333" s="214">
        <v>5.08</v>
      </c>
      <c r="H1333" s="425">
        <v>5.05</v>
      </c>
      <c r="I1333" s="457">
        <f t="shared" si="108"/>
        <v>-3.0000000000000249E-2</v>
      </c>
      <c r="J1333" s="152"/>
      <c r="K1333" s="152"/>
      <c r="L1333" s="222"/>
      <c r="M1333" s="211">
        <f t="shared" si="111"/>
        <v>1</v>
      </c>
      <c r="N1333" s="64">
        <f t="shared" si="110"/>
        <v>1.0001402777777777</v>
      </c>
    </row>
    <row r="1334" spans="1:16">
      <c r="B1334" s="41"/>
      <c r="C1334" s="103">
        <f t="shared" si="112"/>
        <v>45132</v>
      </c>
      <c r="D1334" s="153" t="s">
        <v>20</v>
      </c>
      <c r="E1334" s="167"/>
      <c r="F1334" s="58" t="str">
        <f>VLOOKUP(MOD(C1334,7),'CALENDAR INFO'!$I$2:$J$8,2)</f>
        <v>TUE</v>
      </c>
      <c r="G1334" s="214">
        <v>5.08</v>
      </c>
      <c r="H1334" s="425">
        <v>5.0599999999999996</v>
      </c>
      <c r="I1334" s="457">
        <f t="shared" si="108"/>
        <v>-2.0000000000000462E-2</v>
      </c>
      <c r="J1334" s="152"/>
      <c r="K1334" s="152"/>
      <c r="L1334" s="202"/>
      <c r="M1334" s="211">
        <f t="shared" si="111"/>
        <v>1</v>
      </c>
      <c r="N1334" s="64">
        <f t="shared" si="110"/>
        <v>1.0001405555555556</v>
      </c>
    </row>
    <row r="1335" spans="1:16">
      <c r="B1335" s="41"/>
      <c r="C1335" s="103">
        <f t="shared" si="112"/>
        <v>45133</v>
      </c>
      <c r="D1335" s="153" t="s">
        <v>20</v>
      </c>
      <c r="E1335" s="167" t="s">
        <v>19</v>
      </c>
      <c r="F1335" s="58" t="str">
        <f>VLOOKUP(MOD(C1335,7),'CALENDAR INFO'!$I$2:$J$8,2)</f>
        <v>WED</v>
      </c>
      <c r="G1335" s="214">
        <v>5.08</v>
      </c>
      <c r="H1335" s="425">
        <v>5.0599999999999996</v>
      </c>
      <c r="I1335" s="457">
        <f t="shared" si="108"/>
        <v>-2.0000000000000462E-2</v>
      </c>
      <c r="J1335" s="152"/>
      <c r="K1335" s="182"/>
      <c r="L1335" s="201"/>
      <c r="M1335" s="211">
        <f t="shared" si="111"/>
        <v>1</v>
      </c>
      <c r="N1335" s="64">
        <f t="shared" si="110"/>
        <v>1.0001405555555556</v>
      </c>
    </row>
    <row r="1336" spans="1:16">
      <c r="B1336" s="41"/>
      <c r="C1336" s="103">
        <f t="shared" si="112"/>
        <v>45134</v>
      </c>
      <c r="E1336" s="170" t="s">
        <v>18</v>
      </c>
      <c r="F1336" s="58" t="str">
        <f>VLOOKUP(MOD(C1336,7),'CALENDAR INFO'!$I$2:$J$8,2)</f>
        <v>THU</v>
      </c>
      <c r="G1336" s="214">
        <v>5.33</v>
      </c>
      <c r="H1336" s="425">
        <v>5.31</v>
      </c>
      <c r="I1336" s="457">
        <f t="shared" si="108"/>
        <v>-2.0000000000000462E-2</v>
      </c>
      <c r="J1336" s="152"/>
      <c r="K1336" s="152"/>
      <c r="L1336" s="202"/>
      <c r="M1336" s="211">
        <f t="shared" si="111"/>
        <v>1</v>
      </c>
      <c r="N1336" s="64">
        <f t="shared" si="110"/>
        <v>1.0001475</v>
      </c>
      <c r="O1336" s="282"/>
      <c r="P1336" s="283"/>
    </row>
    <row r="1337" spans="1:16">
      <c r="B1337" s="41"/>
      <c r="C1337" s="103">
        <f t="shared" si="112"/>
        <v>45135</v>
      </c>
      <c r="E1337" s="170"/>
      <c r="F1337" s="58" t="str">
        <f>VLOOKUP(MOD(C1337,7),'CALENDAR INFO'!$I$2:$J$8,2)</f>
        <v>FRI</v>
      </c>
      <c r="G1337" s="214">
        <v>5.33</v>
      </c>
      <c r="H1337" s="425">
        <v>5.3</v>
      </c>
      <c r="I1337" s="457">
        <f t="shared" si="108"/>
        <v>-3.0000000000000249E-2</v>
      </c>
      <c r="J1337" s="152"/>
      <c r="K1337" s="182"/>
      <c r="L1337" s="201"/>
      <c r="M1337" s="211">
        <f t="shared" si="111"/>
        <v>3</v>
      </c>
      <c r="N1337" s="64">
        <f t="shared" si="110"/>
        <v>1.0004416666666667</v>
      </c>
      <c r="O1337" s="282"/>
      <c r="P1337" s="284"/>
    </row>
    <row r="1338" spans="1:16">
      <c r="B1338" s="41"/>
      <c r="C1338" s="103">
        <f t="shared" si="112"/>
        <v>45136</v>
      </c>
      <c r="E1338" s="170"/>
      <c r="F1338" s="58" t="str">
        <f>VLOOKUP(MOD(C1338,7),'CALENDAR INFO'!$I$2:$J$8,2)</f>
        <v>SAT</v>
      </c>
      <c r="G1338" s="214">
        <v>5.33</v>
      </c>
      <c r="H1338" s="425">
        <v>5.3</v>
      </c>
      <c r="I1338" s="457">
        <f t="shared" si="108"/>
        <v>-3.0000000000000249E-2</v>
      </c>
      <c r="J1338" s="152"/>
      <c r="K1338" s="190"/>
      <c r="L1338" s="203"/>
      <c r="M1338" s="211">
        <f t="shared" si="111"/>
        <v>0</v>
      </c>
      <c r="N1338" s="64">
        <f t="shared" si="110"/>
        <v>1</v>
      </c>
      <c r="O1338" s="282"/>
      <c r="P1338" s="284"/>
    </row>
    <row r="1339" spans="1:16">
      <c r="B1339" s="41"/>
      <c r="C1339" s="103">
        <f t="shared" si="112"/>
        <v>45137</v>
      </c>
      <c r="E1339" s="170"/>
      <c r="F1339" s="58" t="str">
        <f>VLOOKUP(MOD(C1339,7),'CALENDAR INFO'!$I$2:$J$8,2)</f>
        <v>SUN</v>
      </c>
      <c r="G1339" s="214">
        <v>5.33</v>
      </c>
      <c r="H1339" s="425">
        <v>5.3</v>
      </c>
      <c r="I1339" s="457">
        <f t="shared" si="108"/>
        <v>-3.0000000000000249E-2</v>
      </c>
      <c r="J1339" s="152"/>
      <c r="K1339" s="182"/>
      <c r="L1339" s="201"/>
      <c r="M1339" s="211">
        <f t="shared" si="111"/>
        <v>0</v>
      </c>
      <c r="N1339" s="64">
        <f t="shared" si="110"/>
        <v>1</v>
      </c>
    </row>
    <row r="1340" spans="1:16" ht="15.75" thickBot="1">
      <c r="A1340" s="98"/>
      <c r="B1340" s="230"/>
      <c r="C1340" s="104">
        <f t="shared" si="112"/>
        <v>45138</v>
      </c>
      <c r="D1340" s="112"/>
      <c r="E1340" s="245"/>
      <c r="F1340" s="71" t="str">
        <f>VLOOKUP(MOD(C1340,7),'CALENDAR INFO'!$I$2:$J$8,2)</f>
        <v>MON</v>
      </c>
      <c r="G1340" s="215">
        <v>5.33</v>
      </c>
      <c r="H1340" s="426">
        <v>5.31</v>
      </c>
      <c r="I1340" s="458">
        <f t="shared" si="108"/>
        <v>-2.0000000000000462E-2</v>
      </c>
      <c r="J1340" s="437"/>
      <c r="K1340" s="184"/>
      <c r="L1340" s="205"/>
      <c r="M1340" s="113">
        <f t="shared" si="111"/>
        <v>1</v>
      </c>
      <c r="N1340" s="77">
        <f t="shared" si="110"/>
        <v>1.0001475</v>
      </c>
    </row>
    <row r="1341" spans="1:16">
      <c r="A1341" s="100"/>
      <c r="B1341" s="231"/>
      <c r="C1341" s="109">
        <f t="shared" si="112"/>
        <v>45139</v>
      </c>
      <c r="D1341" s="108"/>
      <c r="E1341" s="170"/>
      <c r="F1341" s="105" t="str">
        <f>VLOOKUP(MOD(C1341,7),'CALENDAR INFO'!$I$2:$J$8,2)</f>
        <v>TUE</v>
      </c>
      <c r="G1341" s="218">
        <v>5.33</v>
      </c>
      <c r="H1341" s="430">
        <v>5.31</v>
      </c>
      <c r="I1341" s="461">
        <f t="shared" si="108"/>
        <v>-2.0000000000000462E-2</v>
      </c>
      <c r="J1341" s="436" t="s">
        <v>118</v>
      </c>
      <c r="K1341" s="15">
        <f>VLOOKUP(MONTH($C1341),'CALENDAR INFO'!$I$12:$J$23,2)</f>
        <v>31</v>
      </c>
      <c r="L1341" s="179">
        <f>K1341</f>
        <v>31</v>
      </c>
      <c r="M1341" s="116">
        <f t="shared" si="111"/>
        <v>1</v>
      </c>
      <c r="N1341" s="111">
        <f t="shared" si="110"/>
        <v>1.0001475</v>
      </c>
    </row>
    <row r="1342" spans="1:16">
      <c r="B1342" s="41"/>
      <c r="C1342" s="103">
        <f t="shared" si="112"/>
        <v>45140</v>
      </c>
      <c r="E1342" s="170"/>
      <c r="F1342" s="58" t="str">
        <f>VLOOKUP(MOD(C1342,7),'CALENDAR INFO'!$I$2:$J$8,2)</f>
        <v>WED</v>
      </c>
      <c r="G1342" s="214">
        <v>5.33</v>
      </c>
      <c r="H1342" s="425">
        <v>5.3</v>
      </c>
      <c r="I1342" s="457">
        <f t="shared" si="108"/>
        <v>-3.0000000000000249E-2</v>
      </c>
      <c r="J1342" s="152" t="s">
        <v>151</v>
      </c>
      <c r="K1342" s="15">
        <f>ROW($C1342)-1</f>
        <v>1341</v>
      </c>
      <c r="L1342" s="179">
        <f>K1342</f>
        <v>1341</v>
      </c>
      <c r="M1342" s="211">
        <f t="shared" si="111"/>
        <v>1</v>
      </c>
      <c r="N1342" s="64">
        <f t="shared" si="110"/>
        <v>1.0001472222222223</v>
      </c>
    </row>
    <row r="1343" spans="1:16">
      <c r="B1343" s="41"/>
      <c r="C1343" s="103">
        <f t="shared" si="112"/>
        <v>45141</v>
      </c>
      <c r="E1343" s="170"/>
      <c r="F1343" s="58" t="str">
        <f>VLOOKUP(MOD(C1343,7),'CALENDAR INFO'!$I$2:$J$8,2)</f>
        <v>THU</v>
      </c>
      <c r="G1343" s="214">
        <v>5.33</v>
      </c>
      <c r="H1343" s="425">
        <v>5.3</v>
      </c>
      <c r="I1343" s="457">
        <f t="shared" si="108"/>
        <v>-3.0000000000000249E-2</v>
      </c>
      <c r="J1343" s="152" t="s">
        <v>152</v>
      </c>
      <c r="K1343" s="15">
        <f>K1341+K1342-1</f>
        <v>1371</v>
      </c>
      <c r="L1343" s="200">
        <f>K1343</f>
        <v>1371</v>
      </c>
      <c r="M1343" s="211">
        <f t="shared" si="111"/>
        <v>1</v>
      </c>
      <c r="N1343" s="64">
        <f t="shared" si="110"/>
        <v>1.0001472222222223</v>
      </c>
    </row>
    <row r="1344" spans="1:16">
      <c r="B1344" s="41"/>
      <c r="C1344" s="103">
        <f t="shared" si="112"/>
        <v>45142</v>
      </c>
      <c r="E1344" s="170"/>
      <c r="F1344" s="58" t="str">
        <f>VLOOKUP(MOD(C1344,7),'CALENDAR INFO'!$I$2:$J$8,2)</f>
        <v>FRI</v>
      </c>
      <c r="G1344" s="214">
        <v>5.33</v>
      </c>
      <c r="H1344" s="425">
        <v>5.3</v>
      </c>
      <c r="I1344" s="457">
        <f t="shared" si="108"/>
        <v>-3.0000000000000249E-2</v>
      </c>
      <c r="J1344" s="152"/>
      <c r="K1344" s="182"/>
      <c r="L1344" s="201"/>
      <c r="M1344" s="211">
        <f t="shared" si="111"/>
        <v>3</v>
      </c>
      <c r="N1344" s="64">
        <f t="shared" si="110"/>
        <v>1.0004416666666667</v>
      </c>
    </row>
    <row r="1345" spans="2:16">
      <c r="B1345" s="41"/>
      <c r="C1345" s="103">
        <f t="shared" si="112"/>
        <v>45143</v>
      </c>
      <c r="E1345" s="170"/>
      <c r="F1345" s="58" t="str">
        <f>VLOOKUP(MOD(C1345,7),'CALENDAR INFO'!$I$2:$J$8,2)</f>
        <v>SAT</v>
      </c>
      <c r="G1345" s="214">
        <v>5.33</v>
      </c>
      <c r="H1345" s="425">
        <v>5.3</v>
      </c>
      <c r="I1345" s="457">
        <f t="shared" si="108"/>
        <v>-3.0000000000000249E-2</v>
      </c>
      <c r="J1345" s="152" t="s">
        <v>153</v>
      </c>
      <c r="K1345" s="182" t="str">
        <f>_xlfn.CONCAT("A",TEXT(K1342,0),":","A",TEXT(K1343,0))</f>
        <v>A1341:A1371</v>
      </c>
      <c r="L1345" s="201" t="str">
        <f>_xlfn.CONCAT("B",TEXT(L1342,0),":","B",TEXT(L1343,0))</f>
        <v>B1341:B1371</v>
      </c>
      <c r="M1345" s="211">
        <f t="shared" si="111"/>
        <v>0</v>
      </c>
      <c r="N1345" s="64">
        <f t="shared" si="110"/>
        <v>1</v>
      </c>
    </row>
    <row r="1346" spans="2:16">
      <c r="B1346" s="41"/>
      <c r="C1346" s="103">
        <f t="shared" si="112"/>
        <v>45144</v>
      </c>
      <c r="E1346" s="170"/>
      <c r="F1346" s="58" t="str">
        <f>VLOOKUP(MOD(C1346,7),'CALENDAR INFO'!$I$2:$J$8,2)</f>
        <v>SUN</v>
      </c>
      <c r="G1346" s="214">
        <v>5.33</v>
      </c>
      <c r="H1346" s="425">
        <v>5.3</v>
      </c>
      <c r="I1346" s="457">
        <f t="shared" si="108"/>
        <v>-3.0000000000000249E-2</v>
      </c>
      <c r="J1346" s="152" t="s">
        <v>154</v>
      </c>
      <c r="K1346" s="182" t="str">
        <f>_xlfn.CONCAT("F",TEXT(K1342,0),":","F",TEXT(K1343,0))</f>
        <v>F1341:F1371</v>
      </c>
      <c r="L1346" s="201" t="str">
        <f>_xlfn.CONCAT("G",TEXT(L1342,0),":","G",TEXT(L1343,0))</f>
        <v>G1341:G1371</v>
      </c>
      <c r="M1346" s="211">
        <f t="shared" ref="M1346:M1371" si="113">IF(MOD(C1346,7)&lt;2,0,IF(MOD(C1346,7)=6,3,1))</f>
        <v>0</v>
      </c>
      <c r="N1346" s="64">
        <f t="shared" si="110"/>
        <v>1</v>
      </c>
      <c r="P1346" s="118"/>
    </row>
    <row r="1347" spans="2:16">
      <c r="B1347" s="41"/>
      <c r="C1347" s="103">
        <f t="shared" si="112"/>
        <v>45145</v>
      </c>
      <c r="E1347" s="170"/>
      <c r="F1347" s="58" t="str">
        <f>VLOOKUP(MOD(C1347,7),'CALENDAR INFO'!$I$2:$J$8,2)</f>
        <v>MON</v>
      </c>
      <c r="G1347" s="214">
        <v>5.33</v>
      </c>
      <c r="H1347" s="425">
        <v>5.3</v>
      </c>
      <c r="I1347" s="457">
        <f t="shared" ref="I1347:I1410" si="114">H1347-G1347</f>
        <v>-3.0000000000000249E-2</v>
      </c>
      <c r="J1347" s="152"/>
      <c r="K1347" s="152"/>
      <c r="L1347" s="202"/>
      <c r="M1347" s="211">
        <f t="shared" si="113"/>
        <v>1</v>
      </c>
      <c r="N1347" s="64">
        <f t="shared" si="110"/>
        <v>1.0001472222222223</v>
      </c>
      <c r="P1347" s="118"/>
    </row>
    <row r="1348" spans="2:16">
      <c r="B1348" s="41"/>
      <c r="C1348" s="103">
        <f t="shared" si="112"/>
        <v>45146</v>
      </c>
      <c r="E1348" s="170"/>
      <c r="F1348" s="58" t="str">
        <f>VLOOKUP(MOD(C1348,7),'CALENDAR INFO'!$I$2:$J$8,2)</f>
        <v>TUE</v>
      </c>
      <c r="G1348" s="214">
        <v>5.33</v>
      </c>
      <c r="H1348" s="425">
        <v>5.3</v>
      </c>
      <c r="I1348" s="457">
        <f t="shared" si="114"/>
        <v>-3.0000000000000249E-2</v>
      </c>
      <c r="J1348" s="152" t="s">
        <v>155</v>
      </c>
      <c r="K1348" s="185">
        <f ca="1">SUM(INDIRECT(K1345))</f>
        <v>0</v>
      </c>
      <c r="L1348" s="93">
        <f ca="1">SUM(INDIRECT(L1345))</f>
        <v>0</v>
      </c>
      <c r="M1348" s="211">
        <f t="shared" si="113"/>
        <v>1</v>
      </c>
      <c r="N1348" s="64">
        <f t="shared" si="110"/>
        <v>1.0001472222222223</v>
      </c>
    </row>
    <row r="1349" spans="2:16">
      <c r="B1349" s="41"/>
      <c r="C1349" s="103">
        <f t="shared" si="112"/>
        <v>45147</v>
      </c>
      <c r="E1349" s="170" t="s">
        <v>19</v>
      </c>
      <c r="F1349" s="58" t="str">
        <f>VLOOKUP(MOD(C1349,7),'CALENDAR INFO'!$I$2:$J$8,2)</f>
        <v>WED</v>
      </c>
      <c r="G1349" s="214">
        <v>5.33</v>
      </c>
      <c r="H1349" s="425">
        <v>5.3</v>
      </c>
      <c r="I1349" s="457">
        <f t="shared" si="114"/>
        <v>-3.0000000000000249E-2</v>
      </c>
      <c r="J1349" s="152" t="s">
        <v>156</v>
      </c>
      <c r="K1349" s="207">
        <f ca="1">SUM(INDIRECT(K1346))</f>
        <v>0</v>
      </c>
      <c r="L1349" s="208">
        <f ca="1">SUM(INDIRECT(L1346))</f>
        <v>165.23000000000005</v>
      </c>
      <c r="M1349" s="211">
        <f t="shared" si="113"/>
        <v>1</v>
      </c>
      <c r="N1349" s="64">
        <f t="shared" si="110"/>
        <v>1.0001472222222223</v>
      </c>
    </row>
    <row r="1350" spans="2:16">
      <c r="B1350" s="41"/>
      <c r="C1350" s="103">
        <f t="shared" si="112"/>
        <v>45148</v>
      </c>
      <c r="E1350" s="167" t="s">
        <v>18</v>
      </c>
      <c r="F1350" s="58" t="str">
        <f>VLOOKUP(MOD(C1350,7),'CALENDAR INFO'!$I$2:$J$8,2)</f>
        <v>THU</v>
      </c>
      <c r="G1350" s="214">
        <v>5.33</v>
      </c>
      <c r="H1350" s="425">
        <v>5.3</v>
      </c>
      <c r="I1350" s="457">
        <f t="shared" si="114"/>
        <v>-3.0000000000000249E-2</v>
      </c>
      <c r="J1350" s="152" t="s">
        <v>157</v>
      </c>
      <c r="K1350" s="178">
        <f ca="1">K1348+K1349</f>
        <v>0</v>
      </c>
      <c r="L1350" s="192">
        <f ca="1">L1348+L1349</f>
        <v>165.23000000000005</v>
      </c>
      <c r="M1350" s="211">
        <f t="shared" si="113"/>
        <v>1</v>
      </c>
      <c r="N1350" s="64">
        <f t="shared" si="110"/>
        <v>1.0001472222222223</v>
      </c>
    </row>
    <row r="1351" spans="2:16">
      <c r="B1351" s="41"/>
      <c r="C1351" s="103">
        <f t="shared" si="112"/>
        <v>45149</v>
      </c>
      <c r="E1351" s="167"/>
      <c r="F1351" s="58" t="str">
        <f>VLOOKUP(MOD(C1351,7),'CALENDAR INFO'!$I$2:$J$8,2)</f>
        <v>FRI</v>
      </c>
      <c r="G1351" s="214">
        <v>5.33</v>
      </c>
      <c r="H1351" s="425">
        <v>5.3</v>
      </c>
      <c r="I1351" s="457">
        <f t="shared" si="114"/>
        <v>-3.0000000000000249E-2</v>
      </c>
      <c r="J1351" s="152"/>
      <c r="K1351" s="178"/>
      <c r="L1351" s="192"/>
      <c r="M1351" s="211">
        <f t="shared" si="113"/>
        <v>3</v>
      </c>
      <c r="N1351" s="64">
        <f t="shared" si="110"/>
        <v>1.0004416666666667</v>
      </c>
    </row>
    <row r="1352" spans="2:16">
      <c r="B1352" s="41"/>
      <c r="C1352" s="103">
        <f t="shared" si="112"/>
        <v>45150</v>
      </c>
      <c r="E1352" s="167"/>
      <c r="F1352" s="58" t="str">
        <f>VLOOKUP(MOD(C1352,7),'CALENDAR INFO'!$I$2:$J$8,2)</f>
        <v>SAT</v>
      </c>
      <c r="G1352" s="214">
        <v>5.33</v>
      </c>
      <c r="H1352" s="425">
        <v>5.3</v>
      </c>
      <c r="I1352" s="457">
        <f t="shared" si="114"/>
        <v>-3.0000000000000249E-2</v>
      </c>
      <c r="J1352" s="152" t="s">
        <v>158</v>
      </c>
      <c r="K1352" s="178">
        <f ca="1">K1350/K1341</f>
        <v>0</v>
      </c>
      <c r="L1352" s="192">
        <f ca="1">L1350/L1341</f>
        <v>5.3300000000000018</v>
      </c>
      <c r="M1352" s="211">
        <f t="shared" si="113"/>
        <v>0</v>
      </c>
      <c r="N1352" s="64">
        <f t="shared" si="110"/>
        <v>1</v>
      </c>
    </row>
    <row r="1353" spans="2:16">
      <c r="B1353" s="41"/>
      <c r="C1353" s="103">
        <f t="shared" si="112"/>
        <v>45151</v>
      </c>
      <c r="E1353" s="167"/>
      <c r="F1353" s="58" t="str">
        <f>VLOOKUP(MOD(C1353,7),'CALENDAR INFO'!$I$2:$J$8,2)</f>
        <v>SUN</v>
      </c>
      <c r="G1353" s="214">
        <v>5.33</v>
      </c>
      <c r="H1353" s="425">
        <v>5.3</v>
      </c>
      <c r="I1353" s="457">
        <f t="shared" si="114"/>
        <v>-3.0000000000000249E-2</v>
      </c>
      <c r="J1353" s="152" t="s">
        <v>159</v>
      </c>
      <c r="K1353" s="180">
        <f ca="1">100-K1352</f>
        <v>100</v>
      </c>
      <c r="L1353" s="193">
        <f ca="1">100-L1352</f>
        <v>94.67</v>
      </c>
      <c r="M1353" s="211">
        <f t="shared" si="113"/>
        <v>0</v>
      </c>
      <c r="N1353" s="64">
        <f t="shared" si="110"/>
        <v>1</v>
      </c>
    </row>
    <row r="1354" spans="2:16">
      <c r="B1354" s="41"/>
      <c r="C1354" s="103">
        <f t="shared" si="112"/>
        <v>45152</v>
      </c>
      <c r="E1354" s="167"/>
      <c r="F1354" s="58" t="str">
        <f>VLOOKUP(MOD(C1354,7),'CALENDAR INFO'!$I$2:$J$8,2)</f>
        <v>MON</v>
      </c>
      <c r="G1354" s="214">
        <v>5.33</v>
      </c>
      <c r="H1354" s="425">
        <v>5.3</v>
      </c>
      <c r="I1354" s="457">
        <f t="shared" si="114"/>
        <v>-3.0000000000000249E-2</v>
      </c>
      <c r="J1354" s="152"/>
      <c r="K1354" s="178"/>
      <c r="L1354" s="192"/>
      <c r="M1354" s="211">
        <f t="shared" si="113"/>
        <v>1</v>
      </c>
      <c r="N1354" s="64">
        <f t="shared" si="110"/>
        <v>1.0001472222222223</v>
      </c>
    </row>
    <row r="1355" spans="2:16">
      <c r="B1355" s="41"/>
      <c r="C1355" s="103">
        <f t="shared" si="112"/>
        <v>45153</v>
      </c>
      <c r="E1355" s="167"/>
      <c r="F1355" s="58" t="str">
        <f>VLOOKUP(MOD(C1355,7),'CALENDAR INFO'!$I$2:$J$8,2)</f>
        <v>TUE</v>
      </c>
      <c r="G1355" s="214">
        <v>5.33</v>
      </c>
      <c r="H1355" s="425">
        <v>5.3</v>
      </c>
      <c r="I1355" s="457">
        <f t="shared" si="114"/>
        <v>-3.0000000000000249E-2</v>
      </c>
      <c r="J1355" s="152"/>
      <c r="K1355" s="186"/>
      <c r="L1355" s="194"/>
      <c r="M1355" s="211">
        <f t="shared" si="113"/>
        <v>1</v>
      </c>
      <c r="N1355" s="64">
        <f t="shared" si="110"/>
        <v>1.0001472222222223</v>
      </c>
    </row>
    <row r="1356" spans="2:16">
      <c r="B1356" s="41"/>
      <c r="C1356" s="103">
        <f t="shared" si="112"/>
        <v>45154</v>
      </c>
      <c r="E1356" s="167"/>
      <c r="F1356" s="58" t="str">
        <f>VLOOKUP(MOD(C1356,7),'CALENDAR INFO'!$I$2:$J$8,2)</f>
        <v>WED</v>
      </c>
      <c r="G1356" s="214">
        <v>5.33</v>
      </c>
      <c r="H1356" s="425">
        <v>5.3</v>
      </c>
      <c r="I1356" s="457">
        <f t="shared" si="114"/>
        <v>-3.0000000000000249E-2</v>
      </c>
      <c r="J1356" s="152"/>
      <c r="K1356" s="152"/>
      <c r="L1356" s="202"/>
      <c r="M1356" s="211">
        <f t="shared" si="113"/>
        <v>1</v>
      </c>
      <c r="N1356" s="64">
        <f t="shared" si="110"/>
        <v>1.0001472222222223</v>
      </c>
    </row>
    <row r="1357" spans="2:16">
      <c r="B1357" s="41"/>
      <c r="C1357" s="103">
        <f t="shared" si="112"/>
        <v>45155</v>
      </c>
      <c r="E1357" s="167"/>
      <c r="F1357" s="58" t="str">
        <f>VLOOKUP(MOD(C1357,7),'CALENDAR INFO'!$I$2:$J$8,2)</f>
        <v>THU</v>
      </c>
      <c r="G1357" s="214">
        <v>5.33</v>
      </c>
      <c r="H1357" s="425">
        <v>5.3</v>
      </c>
      <c r="I1357" s="457">
        <f t="shared" si="114"/>
        <v>-3.0000000000000249E-2</v>
      </c>
      <c r="J1357" s="152"/>
      <c r="K1357" s="182"/>
      <c r="L1357" s="201"/>
      <c r="M1357" s="211">
        <f t="shared" si="113"/>
        <v>1</v>
      </c>
      <c r="N1357" s="64">
        <f t="shared" si="110"/>
        <v>1.0001472222222223</v>
      </c>
    </row>
    <row r="1358" spans="2:16">
      <c r="B1358" s="41"/>
      <c r="C1358" s="103">
        <f t="shared" si="112"/>
        <v>45156</v>
      </c>
      <c r="E1358" s="167"/>
      <c r="F1358" s="58" t="str">
        <f>VLOOKUP(MOD(C1358,7),'CALENDAR INFO'!$I$2:$J$8,2)</f>
        <v>FRI</v>
      </c>
      <c r="G1358" s="214">
        <v>5.33</v>
      </c>
      <c r="H1358" s="425">
        <v>5.3</v>
      </c>
      <c r="I1358" s="457">
        <f t="shared" si="114"/>
        <v>-3.0000000000000249E-2</v>
      </c>
      <c r="J1358" s="152"/>
      <c r="K1358" s="221"/>
      <c r="L1358" s="223"/>
      <c r="M1358" s="211">
        <f t="shared" si="113"/>
        <v>3</v>
      </c>
      <c r="N1358" s="64">
        <f t="shared" si="110"/>
        <v>1.0004416666666667</v>
      </c>
    </row>
    <row r="1359" spans="2:16">
      <c r="B1359" s="41"/>
      <c r="C1359" s="103">
        <f t="shared" si="112"/>
        <v>45157</v>
      </c>
      <c r="E1359" s="167"/>
      <c r="F1359" s="58" t="str">
        <f>VLOOKUP(MOD(C1359,7),'CALENDAR INFO'!$I$2:$J$8,2)</f>
        <v>SAT</v>
      </c>
      <c r="G1359" s="214">
        <v>5.33</v>
      </c>
      <c r="H1359" s="425">
        <v>5.3</v>
      </c>
      <c r="I1359" s="457">
        <f t="shared" si="114"/>
        <v>-3.0000000000000249E-2</v>
      </c>
      <c r="J1359" s="152"/>
      <c r="K1359" s="182"/>
      <c r="L1359" s="201"/>
      <c r="M1359" s="211">
        <f t="shared" si="113"/>
        <v>0</v>
      </c>
      <c r="N1359" s="64">
        <f t="shared" si="110"/>
        <v>1</v>
      </c>
    </row>
    <row r="1360" spans="2:16">
      <c r="B1360" s="41"/>
      <c r="C1360" s="103">
        <f t="shared" si="112"/>
        <v>45158</v>
      </c>
      <c r="E1360" s="167"/>
      <c r="F1360" s="58" t="str">
        <f>VLOOKUP(MOD(C1360,7),'CALENDAR INFO'!$I$2:$J$8,2)</f>
        <v>SUN</v>
      </c>
      <c r="G1360" s="214">
        <v>5.33</v>
      </c>
      <c r="H1360" s="425">
        <v>5.3</v>
      </c>
      <c r="I1360" s="457">
        <f t="shared" si="114"/>
        <v>-3.0000000000000249E-2</v>
      </c>
      <c r="J1360" s="152"/>
      <c r="K1360" s="182"/>
      <c r="L1360" s="201"/>
      <c r="M1360" s="211">
        <f t="shared" si="113"/>
        <v>0</v>
      </c>
      <c r="N1360" s="64">
        <f t="shared" si="110"/>
        <v>1</v>
      </c>
    </row>
    <row r="1361" spans="1:16">
      <c r="B1361" s="41"/>
      <c r="C1361" s="103">
        <f t="shared" si="112"/>
        <v>45159</v>
      </c>
      <c r="E1361" s="167"/>
      <c r="F1361" s="58" t="str">
        <f>VLOOKUP(MOD(C1361,7),'CALENDAR INFO'!$I$2:$J$8,2)</f>
        <v>MON</v>
      </c>
      <c r="G1361" s="214">
        <v>5.33</v>
      </c>
      <c r="H1361" s="425">
        <v>5.3</v>
      </c>
      <c r="I1361" s="457">
        <f t="shared" si="114"/>
        <v>-3.0000000000000249E-2</v>
      </c>
      <c r="J1361" s="152"/>
      <c r="K1361" s="182"/>
      <c r="L1361" s="201"/>
      <c r="M1361" s="211">
        <f t="shared" si="113"/>
        <v>1</v>
      </c>
      <c r="N1361" s="64">
        <f t="shared" si="110"/>
        <v>1.0001472222222223</v>
      </c>
    </row>
    <row r="1362" spans="1:16">
      <c r="B1362" s="41"/>
      <c r="C1362" s="103">
        <f t="shared" si="112"/>
        <v>45160</v>
      </c>
      <c r="E1362" s="167"/>
      <c r="F1362" s="58" t="str">
        <f>VLOOKUP(MOD(C1362,7),'CALENDAR INFO'!$I$2:$J$8,2)</f>
        <v>TUE</v>
      </c>
      <c r="G1362" s="214">
        <v>5.33</v>
      </c>
      <c r="H1362" s="425">
        <v>5.3</v>
      </c>
      <c r="I1362" s="457">
        <f t="shared" si="114"/>
        <v>-3.0000000000000249E-2</v>
      </c>
      <c r="J1362" s="152"/>
      <c r="K1362" s="221"/>
      <c r="L1362" s="223"/>
      <c r="M1362" s="211">
        <f t="shared" si="113"/>
        <v>1</v>
      </c>
      <c r="N1362" s="64">
        <f t="shared" si="110"/>
        <v>1.0001472222222223</v>
      </c>
    </row>
    <row r="1363" spans="1:16">
      <c r="B1363" s="41"/>
      <c r="C1363" s="103">
        <f t="shared" si="112"/>
        <v>45161</v>
      </c>
      <c r="E1363" s="167" t="s">
        <v>19</v>
      </c>
      <c r="F1363" s="58" t="str">
        <f>VLOOKUP(MOD(C1363,7),'CALENDAR INFO'!$I$2:$J$8,2)</f>
        <v>WED</v>
      </c>
      <c r="G1363" s="214">
        <v>5.33</v>
      </c>
      <c r="H1363" s="425">
        <v>5.3</v>
      </c>
      <c r="I1363" s="457">
        <f t="shared" si="114"/>
        <v>-3.0000000000000249E-2</v>
      </c>
      <c r="J1363" s="152"/>
      <c r="K1363" s="182"/>
      <c r="L1363" s="192"/>
      <c r="M1363" s="211">
        <f t="shared" si="113"/>
        <v>1</v>
      </c>
      <c r="N1363" s="64">
        <f t="shared" ref="N1363:N1426" si="115">1+(M1363/360)*(MAX(H1363,B1363)/100)</f>
        <v>1.0001472222222223</v>
      </c>
    </row>
    <row r="1364" spans="1:16">
      <c r="B1364" s="41"/>
      <c r="C1364" s="103">
        <f t="shared" si="112"/>
        <v>45162</v>
      </c>
      <c r="E1364" s="170" t="s">
        <v>18</v>
      </c>
      <c r="F1364" s="58" t="str">
        <f>VLOOKUP(MOD(C1364,7),'CALENDAR INFO'!$I$2:$J$8,2)</f>
        <v>THU</v>
      </c>
      <c r="G1364" s="214">
        <v>5.33</v>
      </c>
      <c r="H1364" s="425">
        <v>5.3</v>
      </c>
      <c r="I1364" s="457">
        <f t="shared" si="114"/>
        <v>-3.0000000000000249E-2</v>
      </c>
      <c r="J1364" s="152"/>
      <c r="K1364" s="152"/>
      <c r="L1364" s="222"/>
      <c r="M1364" s="211">
        <f t="shared" si="113"/>
        <v>1</v>
      </c>
      <c r="N1364" s="64">
        <f t="shared" si="115"/>
        <v>1.0001472222222223</v>
      </c>
    </row>
    <row r="1365" spans="1:16">
      <c r="B1365" s="41"/>
      <c r="C1365" s="103">
        <f t="shared" si="112"/>
        <v>45163</v>
      </c>
      <c r="E1365" s="170"/>
      <c r="F1365" s="58" t="str">
        <f>VLOOKUP(MOD(C1365,7),'CALENDAR INFO'!$I$2:$J$8,2)</f>
        <v>FRI</v>
      </c>
      <c r="G1365" s="214">
        <v>5.33</v>
      </c>
      <c r="H1365" s="425">
        <v>5.3</v>
      </c>
      <c r="I1365" s="457">
        <f t="shared" si="114"/>
        <v>-3.0000000000000249E-2</v>
      </c>
      <c r="J1365" s="152"/>
      <c r="K1365" s="152"/>
      <c r="L1365" s="202"/>
      <c r="M1365" s="211">
        <f t="shared" si="113"/>
        <v>3</v>
      </c>
      <c r="N1365" s="64">
        <f t="shared" si="115"/>
        <v>1.0004416666666667</v>
      </c>
    </row>
    <row r="1366" spans="1:16">
      <c r="B1366" s="41"/>
      <c r="C1366" s="103">
        <f t="shared" si="112"/>
        <v>45164</v>
      </c>
      <c r="E1366" s="170"/>
      <c r="F1366" s="58" t="str">
        <f>VLOOKUP(MOD(C1366,7),'CALENDAR INFO'!$I$2:$J$8,2)</f>
        <v>SAT</v>
      </c>
      <c r="G1366" s="214">
        <v>5.33</v>
      </c>
      <c r="H1366" s="425">
        <v>5.3</v>
      </c>
      <c r="I1366" s="457">
        <f t="shared" si="114"/>
        <v>-3.0000000000000249E-2</v>
      </c>
      <c r="J1366" s="152"/>
      <c r="K1366" s="182"/>
      <c r="L1366" s="201"/>
      <c r="M1366" s="211">
        <f t="shared" si="113"/>
        <v>0</v>
      </c>
      <c r="N1366" s="64">
        <f t="shared" si="115"/>
        <v>1</v>
      </c>
    </row>
    <row r="1367" spans="1:16">
      <c r="B1367" s="41"/>
      <c r="C1367" s="103">
        <f t="shared" si="112"/>
        <v>45165</v>
      </c>
      <c r="E1367" s="170"/>
      <c r="F1367" s="58" t="str">
        <f>VLOOKUP(MOD(C1367,7),'CALENDAR INFO'!$I$2:$J$8,2)</f>
        <v>SUN</v>
      </c>
      <c r="G1367" s="214">
        <v>5.33</v>
      </c>
      <c r="H1367" s="425">
        <v>5.3</v>
      </c>
      <c r="I1367" s="457">
        <f t="shared" si="114"/>
        <v>-3.0000000000000249E-2</v>
      </c>
      <c r="J1367" s="152"/>
      <c r="K1367" s="152"/>
      <c r="L1367" s="202"/>
      <c r="M1367" s="211">
        <f t="shared" si="113"/>
        <v>0</v>
      </c>
      <c r="N1367" s="64">
        <f t="shared" si="115"/>
        <v>1</v>
      </c>
      <c r="O1367" s="282"/>
      <c r="P1367" s="283"/>
    </row>
    <row r="1368" spans="1:16">
      <c r="B1368" s="41"/>
      <c r="C1368" s="103">
        <f t="shared" si="112"/>
        <v>45166</v>
      </c>
      <c r="E1368" s="170"/>
      <c r="F1368" s="58" t="str">
        <f>VLOOKUP(MOD(C1368,7),'CALENDAR INFO'!$I$2:$J$8,2)</f>
        <v>MON</v>
      </c>
      <c r="G1368" s="214">
        <v>5.33</v>
      </c>
      <c r="H1368" s="425">
        <v>5.3</v>
      </c>
      <c r="I1368" s="457">
        <f t="shared" si="114"/>
        <v>-3.0000000000000249E-2</v>
      </c>
      <c r="J1368" s="152"/>
      <c r="K1368" s="182"/>
      <c r="L1368" s="201"/>
      <c r="M1368" s="211">
        <f t="shared" si="113"/>
        <v>1</v>
      </c>
      <c r="N1368" s="64">
        <f t="shared" si="115"/>
        <v>1.0001472222222223</v>
      </c>
      <c r="O1368" s="282"/>
      <c r="P1368" s="284"/>
    </row>
    <row r="1369" spans="1:16">
      <c r="B1369" s="41"/>
      <c r="C1369" s="103">
        <f t="shared" si="112"/>
        <v>45167</v>
      </c>
      <c r="E1369" s="170"/>
      <c r="F1369" s="58" t="str">
        <f>VLOOKUP(MOD(C1369,7),'CALENDAR INFO'!$I$2:$J$8,2)</f>
        <v>TUE</v>
      </c>
      <c r="G1369" s="214">
        <v>5.33</v>
      </c>
      <c r="H1369" s="425">
        <v>5.3</v>
      </c>
      <c r="I1369" s="457">
        <f t="shared" si="114"/>
        <v>-3.0000000000000249E-2</v>
      </c>
      <c r="J1369" s="152"/>
      <c r="K1369" s="190"/>
      <c r="L1369" s="203"/>
      <c r="M1369" s="211">
        <f t="shared" si="113"/>
        <v>1</v>
      </c>
      <c r="N1369" s="64">
        <f t="shared" si="115"/>
        <v>1.0001472222222223</v>
      </c>
      <c r="O1369" s="282"/>
      <c r="P1369" s="284"/>
    </row>
    <row r="1370" spans="1:16">
      <c r="B1370" s="41"/>
      <c r="C1370" s="103">
        <f t="shared" si="112"/>
        <v>45168</v>
      </c>
      <c r="E1370" s="170"/>
      <c r="F1370" s="58" t="str">
        <f>VLOOKUP(MOD(C1370,7),'CALENDAR INFO'!$I$2:$J$8,2)</f>
        <v>WED</v>
      </c>
      <c r="G1370" s="214">
        <v>5.33</v>
      </c>
      <c r="H1370" s="425">
        <v>5.3</v>
      </c>
      <c r="I1370" s="457">
        <f t="shared" si="114"/>
        <v>-3.0000000000000249E-2</v>
      </c>
      <c r="J1370" s="152"/>
      <c r="K1370" s="182"/>
      <c r="L1370" s="201"/>
      <c r="M1370" s="211">
        <f t="shared" si="113"/>
        <v>1</v>
      </c>
      <c r="N1370" s="64">
        <f t="shared" si="115"/>
        <v>1.0001472222222223</v>
      </c>
    </row>
    <row r="1371" spans="1:16" ht="15.75" thickBot="1">
      <c r="A1371" s="98"/>
      <c r="B1371" s="230"/>
      <c r="C1371" s="104">
        <f t="shared" si="112"/>
        <v>45169</v>
      </c>
      <c r="D1371" s="112"/>
      <c r="E1371" s="245"/>
      <c r="F1371" s="71" t="str">
        <f>VLOOKUP(MOD(C1371,7),'CALENDAR INFO'!$I$2:$J$8,2)</f>
        <v>THU</v>
      </c>
      <c r="G1371" s="215">
        <v>5.33</v>
      </c>
      <c r="H1371" s="426">
        <v>5.31</v>
      </c>
      <c r="I1371" s="458">
        <f t="shared" si="114"/>
        <v>-2.0000000000000462E-2</v>
      </c>
      <c r="J1371" s="437"/>
      <c r="K1371" s="184"/>
      <c r="L1371" s="205"/>
      <c r="M1371" s="113">
        <f t="shared" si="113"/>
        <v>1</v>
      </c>
      <c r="N1371" s="77">
        <f t="shared" si="115"/>
        <v>1.0001475</v>
      </c>
    </row>
    <row r="1372" spans="1:16">
      <c r="A1372" s="100"/>
      <c r="B1372" s="231"/>
      <c r="C1372" s="109">
        <f t="shared" si="112"/>
        <v>45170</v>
      </c>
      <c r="D1372" s="108"/>
      <c r="E1372" s="170"/>
      <c r="F1372" s="105" t="str">
        <f>VLOOKUP(MOD(C1372,7),'CALENDAR INFO'!$I$2:$J$8,2)</f>
        <v>FRI</v>
      </c>
      <c r="G1372" s="218">
        <v>5.33</v>
      </c>
      <c r="H1372" s="430">
        <v>5.31</v>
      </c>
      <c r="I1372" s="461">
        <f t="shared" si="114"/>
        <v>-2.0000000000000462E-2</v>
      </c>
      <c r="J1372" s="436" t="s">
        <v>118</v>
      </c>
      <c r="K1372" s="15">
        <f>VLOOKUP(MONTH($C1372),'CALENDAR INFO'!$I$12:$J$23,2)</f>
        <v>30</v>
      </c>
      <c r="L1372" s="179">
        <f>K1372</f>
        <v>30</v>
      </c>
      <c r="M1372" s="139">
        <v>4</v>
      </c>
      <c r="N1372" s="111">
        <f t="shared" si="115"/>
        <v>1.0005900000000001</v>
      </c>
    </row>
    <row r="1373" spans="1:16">
      <c r="B1373" s="41"/>
      <c r="C1373" s="103">
        <f t="shared" si="112"/>
        <v>45171</v>
      </c>
      <c r="E1373" s="170"/>
      <c r="F1373" s="58" t="str">
        <f>VLOOKUP(MOD(C1373,7),'CALENDAR INFO'!$I$2:$J$8,2)</f>
        <v>SAT</v>
      </c>
      <c r="G1373" s="214">
        <v>5.33</v>
      </c>
      <c r="H1373" s="425">
        <v>5.31</v>
      </c>
      <c r="I1373" s="457">
        <f t="shared" si="114"/>
        <v>-2.0000000000000462E-2</v>
      </c>
      <c r="J1373" s="152" t="s">
        <v>151</v>
      </c>
      <c r="K1373" s="15">
        <f>ROW($C1373)-1</f>
        <v>1372</v>
      </c>
      <c r="L1373" s="179">
        <f>K1373</f>
        <v>1372</v>
      </c>
      <c r="M1373" s="211">
        <f>IF(MOD(C1373,7)&lt;2,0,IF(MOD(C1373,7)=6,3,1))</f>
        <v>0</v>
      </c>
      <c r="N1373" s="64">
        <f t="shared" si="115"/>
        <v>1</v>
      </c>
    </row>
    <row r="1374" spans="1:16">
      <c r="B1374" s="41"/>
      <c r="C1374" s="103">
        <f t="shared" si="112"/>
        <v>45172</v>
      </c>
      <c r="E1374" s="170"/>
      <c r="F1374" s="58" t="str">
        <f>VLOOKUP(MOD(C1374,7),'CALENDAR INFO'!$I$2:$J$8,2)</f>
        <v>SUN</v>
      </c>
      <c r="G1374" s="214">
        <v>5.33</v>
      </c>
      <c r="H1374" s="425">
        <v>5.31</v>
      </c>
      <c r="I1374" s="457">
        <f t="shared" si="114"/>
        <v>-2.0000000000000462E-2</v>
      </c>
      <c r="J1374" s="152" t="s">
        <v>152</v>
      </c>
      <c r="K1374" s="15">
        <f>K1372+K1373-1</f>
        <v>1401</v>
      </c>
      <c r="L1374" s="200">
        <f>K1374</f>
        <v>1401</v>
      </c>
      <c r="M1374" s="211">
        <f>IF(MOD(C1374,7)&lt;2,0,IF(MOD(C1374,7)=6,3,1))</f>
        <v>0</v>
      </c>
      <c r="N1374" s="64">
        <f t="shared" si="115"/>
        <v>1</v>
      </c>
    </row>
    <row r="1375" spans="1:16">
      <c r="B1375" s="41"/>
      <c r="C1375" s="103">
        <f t="shared" si="112"/>
        <v>45173</v>
      </c>
      <c r="D1375" s="173" t="s">
        <v>112</v>
      </c>
      <c r="E1375" s="170"/>
      <c r="F1375" s="58" t="str">
        <f>VLOOKUP(MOD(C1375,7),'CALENDAR INFO'!$I$2:$J$8,2)</f>
        <v>MON</v>
      </c>
      <c r="G1375" s="214">
        <v>5.33</v>
      </c>
      <c r="H1375" s="425">
        <v>5.31</v>
      </c>
      <c r="I1375" s="457">
        <f t="shared" si="114"/>
        <v>-2.0000000000000462E-2</v>
      </c>
      <c r="J1375" s="152"/>
      <c r="K1375" s="182"/>
      <c r="L1375" s="201"/>
      <c r="M1375" s="117">
        <v>0</v>
      </c>
      <c r="N1375" s="64">
        <f t="shared" si="115"/>
        <v>1</v>
      </c>
    </row>
    <row r="1376" spans="1:16">
      <c r="B1376" s="41"/>
      <c r="C1376" s="103">
        <f t="shared" si="112"/>
        <v>45174</v>
      </c>
      <c r="E1376" s="170"/>
      <c r="F1376" s="58" t="str">
        <f>VLOOKUP(MOD(C1376,7),'CALENDAR INFO'!$I$2:$J$8,2)</f>
        <v>TUE</v>
      </c>
      <c r="G1376" s="214">
        <v>5.33</v>
      </c>
      <c r="H1376" s="425">
        <v>5.31</v>
      </c>
      <c r="I1376" s="457">
        <f t="shared" si="114"/>
        <v>-2.0000000000000462E-2</v>
      </c>
      <c r="J1376" s="152" t="s">
        <v>153</v>
      </c>
      <c r="K1376" s="182" t="str">
        <f>_xlfn.CONCAT("A",TEXT(K1373,0),":","A",TEXT(K1374,0))</f>
        <v>A1372:A1401</v>
      </c>
      <c r="L1376" s="201" t="str">
        <f>_xlfn.CONCAT("B",TEXT(L1373,0),":","B",TEXT(L1374,0))</f>
        <v>B1372:B1401</v>
      </c>
      <c r="M1376" s="211">
        <f t="shared" ref="M1376:M1406" si="116">IF(MOD(C1376,7)&lt;2,0,IF(MOD(C1376,7)=6,3,1))</f>
        <v>1</v>
      </c>
      <c r="N1376" s="64">
        <f t="shared" si="115"/>
        <v>1.0001475</v>
      </c>
    </row>
    <row r="1377" spans="2:16">
      <c r="B1377" s="41"/>
      <c r="C1377" s="103">
        <f t="shared" si="112"/>
        <v>45175</v>
      </c>
      <c r="D1377" s="175"/>
      <c r="E1377" s="170" t="s">
        <v>19</v>
      </c>
      <c r="F1377" s="58" t="str">
        <f>VLOOKUP(MOD(C1377,7),'CALENDAR INFO'!$I$2:$J$8,2)</f>
        <v>WED</v>
      </c>
      <c r="G1377" s="214">
        <v>5.33</v>
      </c>
      <c r="H1377" s="425">
        <v>5.3</v>
      </c>
      <c r="I1377" s="457">
        <f t="shared" si="114"/>
        <v>-3.0000000000000249E-2</v>
      </c>
      <c r="J1377" s="152" t="s">
        <v>154</v>
      </c>
      <c r="K1377" s="182" t="str">
        <f>_xlfn.CONCAT("F",TEXT(K1373,0),":","F",TEXT(K1374,0))</f>
        <v>F1372:F1401</v>
      </c>
      <c r="L1377" s="201" t="str">
        <f>_xlfn.CONCAT("G",TEXT(L1373,0),":","G",TEXT(L1374,0))</f>
        <v>G1372:G1401</v>
      </c>
      <c r="M1377" s="211">
        <f t="shared" si="116"/>
        <v>1</v>
      </c>
      <c r="N1377" s="64">
        <f t="shared" si="115"/>
        <v>1.0001472222222223</v>
      </c>
    </row>
    <row r="1378" spans="2:16">
      <c r="B1378" s="41"/>
      <c r="C1378" s="103">
        <f t="shared" si="112"/>
        <v>45176</v>
      </c>
      <c r="E1378" s="167" t="s">
        <v>18</v>
      </c>
      <c r="F1378" s="58" t="str">
        <f>VLOOKUP(MOD(C1378,7),'CALENDAR INFO'!$I$2:$J$8,2)</f>
        <v>THU</v>
      </c>
      <c r="G1378" s="214">
        <v>5.33</v>
      </c>
      <c r="H1378" s="425">
        <v>5.31</v>
      </c>
      <c r="I1378" s="457">
        <f t="shared" si="114"/>
        <v>-2.0000000000000462E-2</v>
      </c>
      <c r="J1378" s="152"/>
      <c r="K1378" s="152"/>
      <c r="L1378" s="202"/>
      <c r="M1378" s="211">
        <f t="shared" si="116"/>
        <v>1</v>
      </c>
      <c r="N1378" s="64">
        <f t="shared" si="115"/>
        <v>1.0001475</v>
      </c>
    </row>
    <row r="1379" spans="2:16">
      <c r="B1379" s="41"/>
      <c r="C1379" s="103">
        <f t="shared" si="112"/>
        <v>45177</v>
      </c>
      <c r="E1379" s="167"/>
      <c r="F1379" s="58" t="str">
        <f>VLOOKUP(MOD(C1379,7),'CALENDAR INFO'!$I$2:$J$8,2)</f>
        <v>FRI</v>
      </c>
      <c r="G1379" s="214">
        <v>5.33</v>
      </c>
      <c r="H1379" s="425">
        <v>5.3</v>
      </c>
      <c r="I1379" s="457">
        <f t="shared" si="114"/>
        <v>-3.0000000000000249E-2</v>
      </c>
      <c r="J1379" s="152" t="s">
        <v>155</v>
      </c>
      <c r="K1379" s="185">
        <f ca="1">SUM(INDIRECT(K1376))</f>
        <v>0</v>
      </c>
      <c r="L1379" s="93">
        <f ca="1">SUM(INDIRECT(L1376))</f>
        <v>0</v>
      </c>
      <c r="M1379" s="211">
        <f t="shared" si="116"/>
        <v>3</v>
      </c>
      <c r="N1379" s="64">
        <f t="shared" si="115"/>
        <v>1.0004416666666667</v>
      </c>
    </row>
    <row r="1380" spans="2:16">
      <c r="B1380" s="41"/>
      <c r="C1380" s="103">
        <f t="shared" si="112"/>
        <v>45178</v>
      </c>
      <c r="E1380" s="167"/>
      <c r="F1380" s="58" t="str">
        <f>VLOOKUP(MOD(C1380,7),'CALENDAR INFO'!$I$2:$J$8,2)</f>
        <v>SAT</v>
      </c>
      <c r="G1380" s="214">
        <v>5.33</v>
      </c>
      <c r="H1380" s="425">
        <v>5.3</v>
      </c>
      <c r="I1380" s="457">
        <f t="shared" si="114"/>
        <v>-3.0000000000000249E-2</v>
      </c>
      <c r="J1380" s="152" t="s">
        <v>156</v>
      </c>
      <c r="K1380" s="207">
        <f ca="1">SUM(INDIRECT(K1377))</f>
        <v>0</v>
      </c>
      <c r="L1380" s="208">
        <f ca="1">SUM(INDIRECT(L1377))</f>
        <v>159.90000000000003</v>
      </c>
      <c r="M1380" s="211">
        <f t="shared" si="116"/>
        <v>0</v>
      </c>
      <c r="N1380" s="64">
        <f t="shared" si="115"/>
        <v>1</v>
      </c>
    </row>
    <row r="1381" spans="2:16">
      <c r="B1381" s="41"/>
      <c r="C1381" s="103">
        <f t="shared" si="112"/>
        <v>45179</v>
      </c>
      <c r="E1381" s="167"/>
      <c r="F1381" s="58" t="str">
        <f>VLOOKUP(MOD(C1381,7),'CALENDAR INFO'!$I$2:$J$8,2)</f>
        <v>SUN</v>
      </c>
      <c r="G1381" s="214">
        <v>5.33</v>
      </c>
      <c r="H1381" s="425">
        <v>5.3</v>
      </c>
      <c r="I1381" s="457">
        <f t="shared" si="114"/>
        <v>-3.0000000000000249E-2</v>
      </c>
      <c r="J1381" s="152" t="s">
        <v>157</v>
      </c>
      <c r="K1381" s="178">
        <f ca="1">K1379+K1380</f>
        <v>0</v>
      </c>
      <c r="L1381" s="192">
        <f ca="1">L1379+L1380</f>
        <v>159.90000000000003</v>
      </c>
      <c r="M1381" s="211">
        <f t="shared" si="116"/>
        <v>0</v>
      </c>
      <c r="N1381" s="64">
        <f t="shared" si="115"/>
        <v>1</v>
      </c>
    </row>
    <row r="1382" spans="2:16">
      <c r="B1382" s="41"/>
      <c r="C1382" s="103">
        <f t="shared" si="112"/>
        <v>45180</v>
      </c>
      <c r="E1382" s="167"/>
      <c r="F1382" s="58" t="str">
        <f>VLOOKUP(MOD(C1382,7),'CALENDAR INFO'!$I$2:$J$8,2)</f>
        <v>MON</v>
      </c>
      <c r="G1382" s="214">
        <v>5.33</v>
      </c>
      <c r="H1382" s="425">
        <v>5.3</v>
      </c>
      <c r="I1382" s="457">
        <f t="shared" si="114"/>
        <v>-3.0000000000000249E-2</v>
      </c>
      <c r="J1382" s="152"/>
      <c r="K1382" s="178"/>
      <c r="L1382" s="192"/>
      <c r="M1382" s="211">
        <f t="shared" si="116"/>
        <v>1</v>
      </c>
      <c r="N1382" s="64">
        <f t="shared" si="115"/>
        <v>1.0001472222222223</v>
      </c>
      <c r="O1382" s="282"/>
      <c r="P1382" s="283"/>
    </row>
    <row r="1383" spans="2:16">
      <c r="B1383" s="41"/>
      <c r="C1383" s="103">
        <f t="shared" si="112"/>
        <v>45181</v>
      </c>
      <c r="E1383" s="167"/>
      <c r="F1383" s="58" t="str">
        <f>VLOOKUP(MOD(C1383,7),'CALENDAR INFO'!$I$2:$J$8,2)</f>
        <v>TUE</v>
      </c>
      <c r="G1383" s="214">
        <v>5.33</v>
      </c>
      <c r="H1383" s="425">
        <v>5.3</v>
      </c>
      <c r="I1383" s="457">
        <f t="shared" si="114"/>
        <v>-3.0000000000000249E-2</v>
      </c>
      <c r="J1383" s="152" t="s">
        <v>158</v>
      </c>
      <c r="K1383" s="178">
        <f ca="1">K1381/K1372</f>
        <v>0</v>
      </c>
      <c r="L1383" s="192">
        <f ca="1">L1381/L1372</f>
        <v>5.330000000000001</v>
      </c>
      <c r="M1383" s="211">
        <f t="shared" si="116"/>
        <v>1</v>
      </c>
      <c r="N1383" s="64">
        <f t="shared" si="115"/>
        <v>1.0001472222222223</v>
      </c>
      <c r="O1383" s="282"/>
      <c r="P1383" s="284"/>
    </row>
    <row r="1384" spans="2:16">
      <c r="B1384" s="41"/>
      <c r="C1384" s="103">
        <f t="shared" si="112"/>
        <v>45182</v>
      </c>
      <c r="E1384" s="167"/>
      <c r="F1384" s="58" t="str">
        <f>VLOOKUP(MOD(C1384,7),'CALENDAR INFO'!$I$2:$J$8,2)</f>
        <v>WED</v>
      </c>
      <c r="G1384" s="214">
        <v>5.33</v>
      </c>
      <c r="H1384" s="425">
        <v>5.3</v>
      </c>
      <c r="I1384" s="457">
        <f t="shared" si="114"/>
        <v>-3.0000000000000249E-2</v>
      </c>
      <c r="J1384" s="152" t="s">
        <v>159</v>
      </c>
      <c r="K1384" s="180">
        <f ca="1">100-K1383</f>
        <v>100</v>
      </c>
      <c r="L1384" s="193">
        <f ca="1">100-L1383</f>
        <v>94.67</v>
      </c>
      <c r="M1384" s="211">
        <f t="shared" si="116"/>
        <v>1</v>
      </c>
      <c r="N1384" s="64">
        <f t="shared" si="115"/>
        <v>1.0001472222222223</v>
      </c>
    </row>
    <row r="1385" spans="2:16">
      <c r="B1385" s="41"/>
      <c r="C1385" s="103">
        <f t="shared" si="112"/>
        <v>45183</v>
      </c>
      <c r="E1385" s="167"/>
      <c r="F1385" s="58" t="str">
        <f>VLOOKUP(MOD(C1385,7),'CALENDAR INFO'!$I$2:$J$8,2)</f>
        <v>THU</v>
      </c>
      <c r="G1385" s="214">
        <v>5.33</v>
      </c>
      <c r="H1385" s="425">
        <v>5.3</v>
      </c>
      <c r="I1385" s="457">
        <f t="shared" si="114"/>
        <v>-3.0000000000000249E-2</v>
      </c>
      <c r="J1385" s="152"/>
      <c r="K1385" s="178"/>
      <c r="L1385" s="192"/>
      <c r="M1385" s="211">
        <f t="shared" si="116"/>
        <v>1</v>
      </c>
      <c r="N1385" s="64">
        <f t="shared" si="115"/>
        <v>1.0001472222222223</v>
      </c>
    </row>
    <row r="1386" spans="2:16">
      <c r="B1386" s="41"/>
      <c r="C1386" s="103">
        <f t="shared" si="112"/>
        <v>45184</v>
      </c>
      <c r="E1386" s="167"/>
      <c r="F1386" s="58" t="str">
        <f>VLOOKUP(MOD(C1386,7),'CALENDAR INFO'!$I$2:$J$8,2)</f>
        <v>FRI</v>
      </c>
      <c r="G1386" s="214">
        <v>5.33</v>
      </c>
      <c r="H1386" s="425">
        <v>5.31</v>
      </c>
      <c r="I1386" s="457">
        <f t="shared" si="114"/>
        <v>-2.0000000000000462E-2</v>
      </c>
      <c r="J1386" s="152"/>
      <c r="K1386" s="186"/>
      <c r="L1386" s="194"/>
      <c r="M1386" s="211">
        <f t="shared" si="116"/>
        <v>3</v>
      </c>
      <c r="N1386" s="64">
        <f t="shared" si="115"/>
        <v>1.0004424999999999</v>
      </c>
    </row>
    <row r="1387" spans="2:16">
      <c r="B1387" s="41"/>
      <c r="C1387" s="103">
        <f t="shared" si="112"/>
        <v>45185</v>
      </c>
      <c r="E1387" s="167"/>
      <c r="F1387" s="58" t="str">
        <f>VLOOKUP(MOD(C1387,7),'CALENDAR INFO'!$I$2:$J$8,2)</f>
        <v>SAT</v>
      </c>
      <c r="G1387" s="214">
        <v>5.33</v>
      </c>
      <c r="H1387" s="425">
        <v>5.31</v>
      </c>
      <c r="I1387" s="457">
        <f t="shared" si="114"/>
        <v>-2.0000000000000462E-2</v>
      </c>
      <c r="J1387" s="152"/>
      <c r="K1387" s="152"/>
      <c r="L1387" s="202"/>
      <c r="M1387" s="211">
        <f t="shared" si="116"/>
        <v>0</v>
      </c>
      <c r="N1387" s="64">
        <f t="shared" si="115"/>
        <v>1</v>
      </c>
    </row>
    <row r="1388" spans="2:16">
      <c r="B1388" s="41"/>
      <c r="C1388" s="103">
        <f t="shared" si="112"/>
        <v>45186</v>
      </c>
      <c r="E1388" s="167"/>
      <c r="F1388" s="58" t="str">
        <f>VLOOKUP(MOD(C1388,7),'CALENDAR INFO'!$I$2:$J$8,2)</f>
        <v>SUN</v>
      </c>
      <c r="G1388" s="214">
        <v>5.33</v>
      </c>
      <c r="H1388" s="425">
        <v>5.31</v>
      </c>
      <c r="I1388" s="457">
        <f t="shared" si="114"/>
        <v>-2.0000000000000462E-2</v>
      </c>
      <c r="J1388" s="152"/>
      <c r="K1388" s="182"/>
      <c r="L1388" s="201"/>
      <c r="M1388" s="211">
        <f t="shared" si="116"/>
        <v>0</v>
      </c>
      <c r="N1388" s="64">
        <f t="shared" si="115"/>
        <v>1</v>
      </c>
    </row>
    <row r="1389" spans="2:16">
      <c r="B1389" s="41"/>
      <c r="C1389" s="103">
        <f t="shared" si="112"/>
        <v>45187</v>
      </c>
      <c r="E1389" s="167"/>
      <c r="F1389" s="58" t="str">
        <f>VLOOKUP(MOD(C1389,7),'CALENDAR INFO'!$I$2:$J$8,2)</f>
        <v>MON</v>
      </c>
      <c r="G1389" s="214">
        <v>5.33</v>
      </c>
      <c r="H1389" s="425">
        <v>5.31</v>
      </c>
      <c r="I1389" s="457">
        <f t="shared" si="114"/>
        <v>-2.0000000000000462E-2</v>
      </c>
      <c r="J1389" s="152"/>
      <c r="K1389" s="221"/>
      <c r="L1389" s="223"/>
      <c r="M1389" s="211">
        <f t="shared" si="116"/>
        <v>1</v>
      </c>
      <c r="N1389" s="64">
        <f t="shared" si="115"/>
        <v>1.0001475</v>
      </c>
    </row>
    <row r="1390" spans="2:16">
      <c r="B1390" s="41"/>
      <c r="C1390" s="103">
        <f t="shared" si="112"/>
        <v>45188</v>
      </c>
      <c r="D1390" s="153" t="s">
        <v>20</v>
      </c>
      <c r="E1390" s="167"/>
      <c r="F1390" s="58" t="str">
        <f>VLOOKUP(MOD(C1390,7),'CALENDAR INFO'!$I$2:$J$8,2)</f>
        <v>TUE</v>
      </c>
      <c r="G1390" s="214">
        <v>5.33</v>
      </c>
      <c r="H1390" s="425">
        <v>5.31</v>
      </c>
      <c r="I1390" s="457">
        <f t="shared" si="114"/>
        <v>-2.0000000000000462E-2</v>
      </c>
      <c r="J1390" s="152"/>
      <c r="K1390" s="182"/>
      <c r="L1390" s="201"/>
      <c r="M1390" s="211">
        <f t="shared" si="116"/>
        <v>1</v>
      </c>
      <c r="N1390" s="64">
        <f t="shared" si="115"/>
        <v>1.0001475</v>
      </c>
    </row>
    <row r="1391" spans="2:16">
      <c r="B1391" s="41"/>
      <c r="C1391" s="103">
        <f t="shared" si="112"/>
        <v>45189</v>
      </c>
      <c r="D1391" s="153" t="s">
        <v>20</v>
      </c>
      <c r="E1391" s="167" t="s">
        <v>19</v>
      </c>
      <c r="F1391" s="58" t="str">
        <f>VLOOKUP(MOD(C1391,7),'CALENDAR INFO'!$I$2:$J$8,2)</f>
        <v>WED</v>
      </c>
      <c r="G1391" s="214">
        <v>5.33</v>
      </c>
      <c r="H1391" s="425">
        <v>5.3</v>
      </c>
      <c r="I1391" s="457">
        <f t="shared" si="114"/>
        <v>-3.0000000000000249E-2</v>
      </c>
      <c r="J1391" s="152"/>
      <c r="K1391" s="182"/>
      <c r="L1391" s="201"/>
      <c r="M1391" s="211">
        <f t="shared" si="116"/>
        <v>1</v>
      </c>
      <c r="N1391" s="64">
        <f t="shared" si="115"/>
        <v>1.0001472222222223</v>
      </c>
    </row>
    <row r="1392" spans="2:16">
      <c r="B1392" s="41"/>
      <c r="C1392" s="103">
        <f t="shared" si="112"/>
        <v>45190</v>
      </c>
      <c r="E1392" s="170" t="s">
        <v>18</v>
      </c>
      <c r="F1392" s="58" t="str">
        <f>VLOOKUP(MOD(C1392,7),'CALENDAR INFO'!$I$2:$J$8,2)</f>
        <v>THU</v>
      </c>
      <c r="G1392" s="214">
        <v>5.33</v>
      </c>
      <c r="H1392" s="425">
        <v>5.3</v>
      </c>
      <c r="I1392" s="457">
        <f t="shared" si="114"/>
        <v>-3.0000000000000249E-2</v>
      </c>
      <c r="J1392" s="152"/>
      <c r="K1392" s="182"/>
      <c r="L1392" s="201"/>
      <c r="M1392" s="211">
        <f t="shared" si="116"/>
        <v>1</v>
      </c>
      <c r="N1392" s="64">
        <f t="shared" si="115"/>
        <v>1.0001472222222223</v>
      </c>
    </row>
    <row r="1393" spans="1:16">
      <c r="B1393" s="41"/>
      <c r="C1393" s="103">
        <f t="shared" si="112"/>
        <v>45191</v>
      </c>
      <c r="E1393" s="170"/>
      <c r="F1393" s="58" t="str">
        <f>VLOOKUP(MOD(C1393,7),'CALENDAR INFO'!$I$2:$J$8,2)</f>
        <v>FRI</v>
      </c>
      <c r="G1393" s="214">
        <v>5.33</v>
      </c>
      <c r="H1393" s="425">
        <v>5.3</v>
      </c>
      <c r="I1393" s="457">
        <f t="shared" si="114"/>
        <v>-3.0000000000000249E-2</v>
      </c>
      <c r="J1393" s="152"/>
      <c r="K1393" s="221"/>
      <c r="L1393" s="223"/>
      <c r="M1393" s="211">
        <f t="shared" si="116"/>
        <v>3</v>
      </c>
      <c r="N1393" s="64">
        <f t="shared" si="115"/>
        <v>1.0004416666666667</v>
      </c>
    </row>
    <row r="1394" spans="1:16">
      <c r="B1394" s="41"/>
      <c r="C1394" s="103">
        <f t="shared" si="112"/>
        <v>45192</v>
      </c>
      <c r="E1394" s="170"/>
      <c r="F1394" s="58" t="str">
        <f>VLOOKUP(MOD(C1394,7),'CALENDAR INFO'!$I$2:$J$8,2)</f>
        <v>SAT</v>
      </c>
      <c r="G1394" s="214">
        <v>5.33</v>
      </c>
      <c r="H1394" s="425">
        <v>5.3</v>
      </c>
      <c r="I1394" s="457">
        <f t="shared" si="114"/>
        <v>-3.0000000000000249E-2</v>
      </c>
      <c r="J1394" s="152"/>
      <c r="K1394" s="182"/>
      <c r="L1394" s="192"/>
      <c r="M1394" s="211">
        <f t="shared" si="116"/>
        <v>0</v>
      </c>
      <c r="N1394" s="64">
        <f t="shared" si="115"/>
        <v>1</v>
      </c>
    </row>
    <row r="1395" spans="1:16">
      <c r="B1395" s="41"/>
      <c r="C1395" s="103">
        <f t="shared" si="112"/>
        <v>45193</v>
      </c>
      <c r="E1395" s="170"/>
      <c r="F1395" s="58" t="str">
        <f>VLOOKUP(MOD(C1395,7),'CALENDAR INFO'!$I$2:$J$8,2)</f>
        <v>SUN</v>
      </c>
      <c r="G1395" s="214">
        <v>5.33</v>
      </c>
      <c r="H1395" s="425">
        <v>5.3</v>
      </c>
      <c r="I1395" s="457">
        <f t="shared" si="114"/>
        <v>-3.0000000000000249E-2</v>
      </c>
      <c r="J1395" s="152"/>
      <c r="K1395" s="152"/>
      <c r="L1395" s="222"/>
      <c r="M1395" s="211">
        <f t="shared" si="116"/>
        <v>0</v>
      </c>
      <c r="N1395" s="64">
        <f t="shared" si="115"/>
        <v>1</v>
      </c>
    </row>
    <row r="1396" spans="1:16">
      <c r="B1396" s="41"/>
      <c r="C1396" s="103">
        <f t="shared" si="112"/>
        <v>45194</v>
      </c>
      <c r="E1396" s="170"/>
      <c r="F1396" s="58" t="str">
        <f>VLOOKUP(MOD(C1396,7),'CALENDAR INFO'!$I$2:$J$8,2)</f>
        <v>MON</v>
      </c>
      <c r="G1396" s="214">
        <v>5.33</v>
      </c>
      <c r="H1396" s="425">
        <v>5.31</v>
      </c>
      <c r="I1396" s="457">
        <f t="shared" si="114"/>
        <v>-2.0000000000000462E-2</v>
      </c>
      <c r="J1396" s="152"/>
      <c r="K1396" s="182"/>
      <c r="L1396" s="201"/>
      <c r="M1396" s="211">
        <f t="shared" si="116"/>
        <v>1</v>
      </c>
      <c r="N1396" s="64">
        <f t="shared" si="115"/>
        <v>1.0001475</v>
      </c>
    </row>
    <row r="1397" spans="1:16">
      <c r="B1397" s="41"/>
      <c r="C1397" s="103">
        <f t="shared" ref="C1397:C1460" si="117">C1396+1</f>
        <v>45195</v>
      </c>
      <c r="E1397" s="170"/>
      <c r="F1397" s="58" t="str">
        <f>VLOOKUP(MOD(C1397,7),'CALENDAR INFO'!$I$2:$J$8,2)</f>
        <v>TUE</v>
      </c>
      <c r="G1397" s="214">
        <v>5.33</v>
      </c>
      <c r="H1397" s="425">
        <v>5.31</v>
      </c>
      <c r="I1397" s="457">
        <f t="shared" si="114"/>
        <v>-2.0000000000000462E-2</v>
      </c>
      <c r="J1397" s="152"/>
      <c r="K1397" s="152"/>
      <c r="L1397" s="202"/>
      <c r="M1397" s="211">
        <f t="shared" si="116"/>
        <v>1</v>
      </c>
      <c r="N1397" s="64">
        <f t="shared" si="115"/>
        <v>1.0001475</v>
      </c>
      <c r="O1397" s="282"/>
      <c r="P1397" s="283"/>
    </row>
    <row r="1398" spans="1:16">
      <c r="B1398" s="41"/>
      <c r="C1398" s="103">
        <f t="shared" si="117"/>
        <v>45196</v>
      </c>
      <c r="E1398" s="170"/>
      <c r="F1398" s="58" t="str">
        <f>VLOOKUP(MOD(C1398,7),'CALENDAR INFO'!$I$2:$J$8,2)</f>
        <v>WED</v>
      </c>
      <c r="G1398" s="214">
        <v>5.33</v>
      </c>
      <c r="H1398" s="425">
        <v>5.32</v>
      </c>
      <c r="I1398" s="457">
        <f t="shared" si="114"/>
        <v>-9.9999999999997868E-3</v>
      </c>
      <c r="J1398" s="152"/>
      <c r="K1398" s="182"/>
      <c r="L1398" s="201"/>
      <c r="M1398" s="211">
        <f t="shared" si="116"/>
        <v>1</v>
      </c>
      <c r="N1398" s="64">
        <f t="shared" si="115"/>
        <v>1.0001477777777779</v>
      </c>
      <c r="O1398" s="282"/>
      <c r="P1398" s="284"/>
    </row>
    <row r="1399" spans="1:16">
      <c r="B1399" s="41"/>
      <c r="C1399" s="103">
        <f t="shared" si="117"/>
        <v>45197</v>
      </c>
      <c r="E1399" s="170"/>
      <c r="F1399" s="58" t="str">
        <f>VLOOKUP(MOD(C1399,7),'CALENDAR INFO'!$I$2:$J$8,2)</f>
        <v>THU</v>
      </c>
      <c r="G1399" s="214">
        <v>5.33</v>
      </c>
      <c r="H1399" s="425">
        <v>5.31</v>
      </c>
      <c r="I1399" s="457">
        <f t="shared" si="114"/>
        <v>-2.0000000000000462E-2</v>
      </c>
      <c r="J1399" s="152"/>
      <c r="K1399" s="190"/>
      <c r="L1399" s="203"/>
      <c r="M1399" s="211">
        <f t="shared" si="116"/>
        <v>1</v>
      </c>
      <c r="N1399" s="64">
        <f t="shared" si="115"/>
        <v>1.0001475</v>
      </c>
      <c r="O1399" s="282"/>
      <c r="P1399" s="284"/>
    </row>
    <row r="1400" spans="1:16">
      <c r="B1400" s="41"/>
      <c r="C1400" s="103">
        <f t="shared" si="117"/>
        <v>45198</v>
      </c>
      <c r="E1400" s="170"/>
      <c r="F1400" s="58" t="str">
        <f>VLOOKUP(MOD(C1400,7),'CALENDAR INFO'!$I$2:$J$8,2)</f>
        <v>FRI</v>
      </c>
      <c r="G1400" s="214">
        <v>5.33</v>
      </c>
      <c r="H1400" s="425">
        <v>5.31</v>
      </c>
      <c r="I1400" s="457">
        <f t="shared" si="114"/>
        <v>-2.0000000000000462E-2</v>
      </c>
      <c r="J1400" s="152"/>
      <c r="K1400" s="182"/>
      <c r="L1400" s="201"/>
      <c r="M1400" s="211">
        <f t="shared" si="116"/>
        <v>3</v>
      </c>
      <c r="N1400" s="64">
        <f t="shared" si="115"/>
        <v>1.0004424999999999</v>
      </c>
    </row>
    <row r="1401" spans="1:16" ht="15.75" thickBot="1">
      <c r="A1401" s="98"/>
      <c r="B1401" s="230"/>
      <c r="C1401" s="104">
        <f t="shared" si="117"/>
        <v>45199</v>
      </c>
      <c r="D1401" s="112"/>
      <c r="E1401" s="245"/>
      <c r="F1401" s="71" t="str">
        <f>VLOOKUP(MOD(C1401,7),'CALENDAR INFO'!$I$2:$J$8,2)</f>
        <v>SAT</v>
      </c>
      <c r="G1401" s="215">
        <v>5.33</v>
      </c>
      <c r="H1401" s="426">
        <v>5.31</v>
      </c>
      <c r="I1401" s="458">
        <f t="shared" si="114"/>
        <v>-2.0000000000000462E-2</v>
      </c>
      <c r="J1401" s="437"/>
      <c r="K1401" s="184"/>
      <c r="L1401" s="205"/>
      <c r="M1401" s="113">
        <f t="shared" si="116"/>
        <v>0</v>
      </c>
      <c r="N1401" s="77">
        <f t="shared" si="115"/>
        <v>1</v>
      </c>
    </row>
    <row r="1402" spans="1:16">
      <c r="A1402" s="100"/>
      <c r="B1402" s="231"/>
      <c r="C1402" s="109">
        <f t="shared" si="117"/>
        <v>45200</v>
      </c>
      <c r="D1402" s="108"/>
      <c r="E1402" s="170"/>
      <c r="F1402" s="105" t="str">
        <f>VLOOKUP(MOD(C1402,7),'CALENDAR INFO'!$I$2:$J$8,2)</f>
        <v>SUN</v>
      </c>
      <c r="G1402" s="214">
        <v>5.33</v>
      </c>
      <c r="H1402" s="431">
        <v>5.31</v>
      </c>
      <c r="I1402" s="457">
        <f t="shared" si="114"/>
        <v>-2.0000000000000462E-2</v>
      </c>
      <c r="J1402" s="436" t="s">
        <v>151</v>
      </c>
      <c r="K1402" s="15">
        <f>ROW(K1402)</f>
        <v>1402</v>
      </c>
      <c r="L1402" s="179">
        <f>K1402</f>
        <v>1402</v>
      </c>
      <c r="M1402" s="116">
        <f t="shared" si="116"/>
        <v>0</v>
      </c>
      <c r="N1402" s="111">
        <f t="shared" si="115"/>
        <v>1</v>
      </c>
    </row>
    <row r="1403" spans="1:16">
      <c r="B1403" s="41"/>
      <c r="C1403" s="103">
        <f t="shared" si="117"/>
        <v>45201</v>
      </c>
      <c r="E1403" s="170"/>
      <c r="F1403" s="58" t="str">
        <f>VLOOKUP(MOD(C1403,7),'CALENDAR INFO'!$I$2:$J$8,2)</f>
        <v>MON</v>
      </c>
      <c r="G1403" s="214">
        <v>5.33</v>
      </c>
      <c r="H1403" s="425">
        <v>5.32</v>
      </c>
      <c r="I1403" s="457">
        <f t="shared" si="114"/>
        <v>-9.9999999999997868E-3</v>
      </c>
      <c r="J1403" s="152" t="s">
        <v>118</v>
      </c>
      <c r="K1403" s="15">
        <f>VLOOKUP(MONTH($C1402),'CALENDAR INFO'!$I$12:$J$23,2)</f>
        <v>31</v>
      </c>
      <c r="L1403" s="179">
        <f>K1403</f>
        <v>31</v>
      </c>
      <c r="M1403" s="211">
        <f t="shared" si="116"/>
        <v>1</v>
      </c>
      <c r="N1403" s="64">
        <f t="shared" si="115"/>
        <v>1.0001477777777779</v>
      </c>
    </row>
    <row r="1404" spans="1:16">
      <c r="B1404" s="41"/>
      <c r="C1404" s="103">
        <f t="shared" si="117"/>
        <v>45202</v>
      </c>
      <c r="E1404" s="170"/>
      <c r="F1404" s="58" t="str">
        <f>VLOOKUP(MOD(C1404,7),'CALENDAR INFO'!$I$2:$J$8,2)</f>
        <v>TUE</v>
      </c>
      <c r="G1404" s="214">
        <v>5.33</v>
      </c>
      <c r="H1404" s="425">
        <v>5.33</v>
      </c>
      <c r="I1404" s="457">
        <f t="shared" si="114"/>
        <v>0</v>
      </c>
      <c r="J1404" s="152" t="s">
        <v>152</v>
      </c>
      <c r="K1404" s="15">
        <f>K1403+K1402-1</f>
        <v>1432</v>
      </c>
      <c r="L1404" s="200">
        <f>K1404</f>
        <v>1432</v>
      </c>
      <c r="M1404" s="211">
        <f t="shared" si="116"/>
        <v>1</v>
      </c>
      <c r="N1404" s="64">
        <f t="shared" si="115"/>
        <v>1.0001480555555555</v>
      </c>
    </row>
    <row r="1405" spans="1:16">
      <c r="B1405" s="41"/>
      <c r="C1405" s="103">
        <f t="shared" si="117"/>
        <v>45203</v>
      </c>
      <c r="E1405" s="170" t="s">
        <v>19</v>
      </c>
      <c r="F1405" s="58" t="str">
        <f>VLOOKUP(MOD(C1405,7),'CALENDAR INFO'!$I$2:$J$8,2)</f>
        <v>WED</v>
      </c>
      <c r="G1405" s="214">
        <v>5.33</v>
      </c>
      <c r="H1405" s="425">
        <v>5.32</v>
      </c>
      <c r="I1405" s="457">
        <f t="shared" si="114"/>
        <v>-9.9999999999997868E-3</v>
      </c>
      <c r="J1405" s="152"/>
      <c r="K1405" s="182"/>
      <c r="L1405" s="201"/>
      <c r="M1405" s="211">
        <f t="shared" si="116"/>
        <v>1</v>
      </c>
      <c r="N1405" s="64">
        <f t="shared" si="115"/>
        <v>1.0001477777777779</v>
      </c>
    </row>
    <row r="1406" spans="1:16">
      <c r="B1406" s="41"/>
      <c r="C1406" s="103">
        <f t="shared" si="117"/>
        <v>45204</v>
      </c>
      <c r="E1406" s="167" t="s">
        <v>18</v>
      </c>
      <c r="F1406" s="58" t="str">
        <f>VLOOKUP(MOD(C1406,7),'CALENDAR INFO'!$I$2:$J$8,2)</f>
        <v>THU</v>
      </c>
      <c r="G1406" s="214">
        <v>5.33</v>
      </c>
      <c r="H1406" s="425">
        <v>5.32</v>
      </c>
      <c r="I1406" s="457">
        <f t="shared" si="114"/>
        <v>-9.9999999999997868E-3</v>
      </c>
      <c r="J1406" s="152" t="s">
        <v>192</v>
      </c>
      <c r="K1406" s="311">
        <v>1430</v>
      </c>
      <c r="L1406" s="291">
        <f>K1406</f>
        <v>1430</v>
      </c>
      <c r="M1406" s="211">
        <f t="shared" si="116"/>
        <v>1</v>
      </c>
      <c r="N1406" s="64">
        <f t="shared" si="115"/>
        <v>1.0001477777777779</v>
      </c>
    </row>
    <row r="1407" spans="1:16">
      <c r="B1407" s="41"/>
      <c r="C1407" s="103">
        <f t="shared" si="117"/>
        <v>45205</v>
      </c>
      <c r="E1407" s="167"/>
      <c r="F1407" s="58" t="str">
        <f>VLOOKUP(MOD(C1407,7),'CALENDAR INFO'!$I$2:$J$8,2)</f>
        <v>FRI</v>
      </c>
      <c r="G1407" s="214">
        <v>5.33</v>
      </c>
      <c r="H1407" s="425">
        <v>5.31</v>
      </c>
      <c r="I1407" s="457">
        <f t="shared" si="114"/>
        <v>-2.0000000000000462E-2</v>
      </c>
      <c r="J1407" s="152" t="s">
        <v>193</v>
      </c>
      <c r="K1407" s="290">
        <f>K1406+1</f>
        <v>1431</v>
      </c>
      <c r="L1407" s="291">
        <f>K1407</f>
        <v>1431</v>
      </c>
      <c r="M1407" s="117">
        <v>4</v>
      </c>
      <c r="N1407" s="64">
        <f t="shared" si="115"/>
        <v>1.0005900000000001</v>
      </c>
    </row>
    <row r="1408" spans="1:16">
      <c r="B1408" s="41"/>
      <c r="C1408" s="103">
        <f t="shared" si="117"/>
        <v>45206</v>
      </c>
      <c r="E1408" s="167"/>
      <c r="F1408" s="58" t="str">
        <f>VLOOKUP(MOD(C1408,7),'CALENDAR INFO'!$I$2:$J$8,2)</f>
        <v>SAT</v>
      </c>
      <c r="G1408" s="214">
        <v>5.33</v>
      </c>
      <c r="H1408" s="425">
        <v>5.31</v>
      </c>
      <c r="I1408" s="457">
        <f t="shared" si="114"/>
        <v>-2.0000000000000462E-2</v>
      </c>
      <c r="J1408" s="152"/>
      <c r="K1408" s="152"/>
      <c r="L1408" s="202"/>
      <c r="M1408" s="211">
        <f>IF(MOD(C1408,7)&lt;2,0,IF(MOD(C1408,7)=6,3,1))</f>
        <v>0</v>
      </c>
      <c r="N1408" s="64">
        <f t="shared" si="115"/>
        <v>1</v>
      </c>
    </row>
    <row r="1409" spans="2:14">
      <c r="B1409" s="41"/>
      <c r="C1409" s="103">
        <f t="shared" si="117"/>
        <v>45207</v>
      </c>
      <c r="E1409" s="167"/>
      <c r="F1409" s="58" t="str">
        <f>VLOOKUP(MOD(C1409,7),'CALENDAR INFO'!$I$2:$J$8,2)</f>
        <v>SUN</v>
      </c>
      <c r="G1409" s="214">
        <v>5.33</v>
      </c>
      <c r="H1409" s="425">
        <v>5.31</v>
      </c>
      <c r="I1409" s="457">
        <f t="shared" si="114"/>
        <v>-2.0000000000000462E-2</v>
      </c>
      <c r="J1409" s="152" t="s">
        <v>153</v>
      </c>
      <c r="K1409" s="312" t="str">
        <f>_xlfn.CONCAT("A",TEXT(K1402,0),":","A",TEXT(K1404,0))</f>
        <v>A1402:A1432</v>
      </c>
      <c r="L1409" s="313" t="str">
        <f>_xlfn.CONCAT("B",TEXT(L1402,0),":","B",TEXT(L1404,0))</f>
        <v>B1402:B1432</v>
      </c>
      <c r="M1409" s="211">
        <f>IF(MOD(C1409,7)&lt;2,0,IF(MOD(C1409,7)=6,3,1))</f>
        <v>0</v>
      </c>
      <c r="N1409" s="64">
        <f t="shared" si="115"/>
        <v>1</v>
      </c>
    </row>
    <row r="1410" spans="2:14">
      <c r="B1410" s="41"/>
      <c r="C1410" s="103">
        <f t="shared" si="117"/>
        <v>45208</v>
      </c>
      <c r="D1410" s="173" t="s">
        <v>108</v>
      </c>
      <c r="E1410" s="167"/>
      <c r="F1410" s="58" t="str">
        <f>VLOOKUP(MOD(C1410,7),'CALENDAR INFO'!$I$2:$J$8,2)</f>
        <v>MON</v>
      </c>
      <c r="G1410" s="214">
        <v>5.33</v>
      </c>
      <c r="H1410" s="425">
        <v>5.31</v>
      </c>
      <c r="I1410" s="457">
        <f t="shared" si="114"/>
        <v>-2.0000000000000462E-2</v>
      </c>
      <c r="J1410" s="152" t="s">
        <v>190</v>
      </c>
      <c r="K1410" s="182" t="str">
        <f>_xlfn.CONCAT("F",TEXT(K1402,0),":","F",TEXT(K1406,0))</f>
        <v>F1402:F1430</v>
      </c>
      <c r="L1410" s="201" t="str">
        <f>_xlfn.CONCAT("F",TEXT(L1402,0),":","F",TEXT(L1406,0))</f>
        <v>F1402:F1430</v>
      </c>
      <c r="M1410" s="117">
        <v>0</v>
      </c>
      <c r="N1410" s="64">
        <f t="shared" si="115"/>
        <v>1</v>
      </c>
    </row>
    <row r="1411" spans="2:14">
      <c r="B1411" s="41"/>
      <c r="C1411" s="103">
        <f t="shared" si="117"/>
        <v>45209</v>
      </c>
      <c r="E1411" s="167"/>
      <c r="F1411" s="58" t="str">
        <f>VLOOKUP(MOD(C1411,7),'CALENDAR INFO'!$I$2:$J$8,2)</f>
        <v>TUE</v>
      </c>
      <c r="G1411" s="214">
        <v>5.33</v>
      </c>
      <c r="H1411" s="425">
        <v>5.31</v>
      </c>
      <c r="I1411" s="457">
        <f t="shared" ref="I1411:I1474" si="118">H1411-G1411</f>
        <v>-2.0000000000000462E-2</v>
      </c>
      <c r="J1411" s="152" t="s">
        <v>191</v>
      </c>
      <c r="K1411" s="152" t="str">
        <f>_xlfn.CONCAT("F",TEXT(K1407,0),":","F",TEXT(K1404,0))</f>
        <v>F1431:F1432</v>
      </c>
      <c r="L1411" s="202" t="str">
        <f>_xlfn.CONCAT("F",TEXT(L1407,0),":","F",TEXT(L1404,0))</f>
        <v>F1431:F1432</v>
      </c>
      <c r="M1411" s="211">
        <f t="shared" ref="M1411:M1453" si="119">IF(MOD(C1411,7)&lt;2,0,IF(MOD(C1411,7)=6,3,1))</f>
        <v>1</v>
      </c>
      <c r="N1411" s="64">
        <f t="shared" si="115"/>
        <v>1.0001475</v>
      </c>
    </row>
    <row r="1412" spans="2:14">
      <c r="B1412" s="41"/>
      <c r="C1412" s="103">
        <f t="shared" si="117"/>
        <v>45210</v>
      </c>
      <c r="E1412" s="167"/>
      <c r="F1412" s="58" t="str">
        <f>VLOOKUP(MOD(C1412,7),'CALENDAR INFO'!$I$2:$J$8,2)</f>
        <v>WED</v>
      </c>
      <c r="G1412" s="214">
        <v>5.33</v>
      </c>
      <c r="H1412" s="425">
        <v>5.31</v>
      </c>
      <c r="I1412" s="457">
        <f t="shared" si="118"/>
        <v>-2.0000000000000462E-2</v>
      </c>
      <c r="J1412" s="152"/>
      <c r="K1412" s="182"/>
      <c r="L1412" s="201"/>
      <c r="M1412" s="211">
        <f t="shared" si="119"/>
        <v>1</v>
      </c>
      <c r="N1412" s="64">
        <f t="shared" si="115"/>
        <v>1.0001475</v>
      </c>
    </row>
    <row r="1413" spans="2:14">
      <c r="B1413" s="41"/>
      <c r="C1413" s="103">
        <f t="shared" si="117"/>
        <v>45211</v>
      </c>
      <c r="E1413" s="167"/>
      <c r="F1413" s="58" t="str">
        <f>VLOOKUP(MOD(C1413,7),'CALENDAR INFO'!$I$2:$J$8,2)</f>
        <v>THU</v>
      </c>
      <c r="G1413" s="214">
        <v>5.33</v>
      </c>
      <c r="H1413" s="425">
        <v>5.31</v>
      </c>
      <c r="I1413" s="457">
        <f t="shared" si="118"/>
        <v>-2.0000000000000462E-2</v>
      </c>
      <c r="J1413" s="15" t="s">
        <v>194</v>
      </c>
      <c r="K1413" s="152">
        <f t="shared" ref="K1413:L1415" ca="1" si="120">COUNTA(INDIRECT(K1409))</f>
        <v>0</v>
      </c>
      <c r="L1413" s="202">
        <f t="shared" ca="1" si="120"/>
        <v>0</v>
      </c>
      <c r="M1413" s="211">
        <f t="shared" si="119"/>
        <v>1</v>
      </c>
      <c r="N1413" s="64">
        <f t="shared" si="115"/>
        <v>1.0001475</v>
      </c>
    </row>
    <row r="1414" spans="2:14">
      <c r="B1414" s="41"/>
      <c r="C1414" s="103">
        <f t="shared" si="117"/>
        <v>45212</v>
      </c>
      <c r="E1414" s="167"/>
      <c r="F1414" s="58" t="str">
        <f>VLOOKUP(MOD(C1414,7),'CALENDAR INFO'!$I$2:$J$8,2)</f>
        <v>FRI</v>
      </c>
      <c r="G1414" s="214">
        <v>5.33</v>
      </c>
      <c r="H1414" s="425">
        <v>5.31</v>
      </c>
      <c r="I1414" s="457">
        <f t="shared" si="118"/>
        <v>-2.0000000000000462E-2</v>
      </c>
      <c r="J1414" s="152" t="s">
        <v>195</v>
      </c>
      <c r="K1414" s="306">
        <f t="shared" ca="1" si="120"/>
        <v>29</v>
      </c>
      <c r="L1414" s="200">
        <f t="shared" ca="1" si="120"/>
        <v>29</v>
      </c>
      <c r="M1414" s="211">
        <f t="shared" si="119"/>
        <v>3</v>
      </c>
      <c r="N1414" s="64">
        <f t="shared" si="115"/>
        <v>1.0004424999999999</v>
      </c>
    </row>
    <row r="1415" spans="2:14">
      <c r="B1415" s="41"/>
      <c r="C1415" s="103">
        <f t="shared" si="117"/>
        <v>45213</v>
      </c>
      <c r="E1415" s="167"/>
      <c r="F1415" s="58" t="str">
        <f>VLOOKUP(MOD(C1415,7),'CALENDAR INFO'!$I$2:$J$8,2)</f>
        <v>SAT</v>
      </c>
      <c r="G1415" s="214">
        <v>5.33</v>
      </c>
      <c r="H1415" s="425">
        <v>5.31</v>
      </c>
      <c r="I1415" s="457">
        <f t="shared" si="118"/>
        <v>-2.0000000000000462E-2</v>
      </c>
      <c r="J1415" s="15" t="s">
        <v>196</v>
      </c>
      <c r="K1415" s="306">
        <f t="shared" ca="1" si="120"/>
        <v>2</v>
      </c>
      <c r="L1415" s="200">
        <f t="shared" ca="1" si="120"/>
        <v>2</v>
      </c>
      <c r="M1415" s="211">
        <f t="shared" si="119"/>
        <v>0</v>
      </c>
      <c r="N1415" s="64">
        <f t="shared" si="115"/>
        <v>1</v>
      </c>
    </row>
    <row r="1416" spans="2:14">
      <c r="B1416" s="41"/>
      <c r="C1416" s="103">
        <f t="shared" si="117"/>
        <v>45214</v>
      </c>
      <c r="E1416" s="167"/>
      <c r="F1416" s="58" t="str">
        <f>VLOOKUP(MOD(C1416,7),'CALENDAR INFO'!$I$2:$J$8,2)</f>
        <v>SUN</v>
      </c>
      <c r="G1416" s="214">
        <v>5.33</v>
      </c>
      <c r="H1416" s="425">
        <v>5.31</v>
      </c>
      <c r="I1416" s="457">
        <f t="shared" si="118"/>
        <v>-2.0000000000000462E-2</v>
      </c>
      <c r="K1416" s="178"/>
      <c r="L1416" s="192"/>
      <c r="M1416" s="211">
        <f t="shared" si="119"/>
        <v>0</v>
      </c>
      <c r="N1416" s="64">
        <f t="shared" si="115"/>
        <v>1</v>
      </c>
    </row>
    <row r="1417" spans="2:14">
      <c r="B1417" s="41"/>
      <c r="C1417" s="103">
        <f t="shared" si="117"/>
        <v>45215</v>
      </c>
      <c r="E1417" s="167"/>
      <c r="F1417" s="58" t="str">
        <f>VLOOKUP(MOD(C1417,7),'CALENDAR INFO'!$I$2:$J$8,2)</f>
        <v>MON</v>
      </c>
      <c r="G1417" s="214">
        <v>5.33</v>
      </c>
      <c r="H1417" s="425">
        <v>5.31</v>
      </c>
      <c r="I1417" s="457">
        <f t="shared" si="118"/>
        <v>-2.0000000000000462E-2</v>
      </c>
      <c r="J1417" s="152" t="s">
        <v>197</v>
      </c>
      <c r="K1417" s="180">
        <v>5.33</v>
      </c>
      <c r="L1417" s="193">
        <v>5.31</v>
      </c>
      <c r="M1417" s="211">
        <f t="shared" si="119"/>
        <v>1</v>
      </c>
      <c r="N1417" s="64">
        <f t="shared" si="115"/>
        <v>1.0001475</v>
      </c>
    </row>
    <row r="1418" spans="2:14">
      <c r="B1418" s="41"/>
      <c r="C1418" s="103">
        <f t="shared" si="117"/>
        <v>45216</v>
      </c>
      <c r="E1418" s="167"/>
      <c r="F1418" s="58" t="str">
        <f>VLOOKUP(MOD(C1418,7),'CALENDAR INFO'!$I$2:$J$8,2)</f>
        <v>TUE</v>
      </c>
      <c r="G1418" s="214">
        <v>5.33</v>
      </c>
      <c r="H1418" s="425">
        <v>5.31</v>
      </c>
      <c r="I1418" s="457">
        <f t="shared" si="118"/>
        <v>-2.0000000000000462E-2</v>
      </c>
      <c r="J1418" s="152" t="s">
        <v>118</v>
      </c>
      <c r="K1418" s="314">
        <f>K1403</f>
        <v>31</v>
      </c>
      <c r="L1418" s="315">
        <f>L1403</f>
        <v>31</v>
      </c>
      <c r="M1418" s="211">
        <f t="shared" si="119"/>
        <v>1</v>
      </c>
      <c r="N1418" s="64">
        <f t="shared" si="115"/>
        <v>1.0001475</v>
      </c>
    </row>
    <row r="1419" spans="2:14">
      <c r="B1419" s="41"/>
      <c r="C1419" s="103">
        <f t="shared" si="117"/>
        <v>45217</v>
      </c>
      <c r="E1419" s="167" t="s">
        <v>19</v>
      </c>
      <c r="F1419" s="58" t="str">
        <f>VLOOKUP(MOD(C1419,7),'CALENDAR INFO'!$I$2:$J$8,2)</f>
        <v>WED</v>
      </c>
      <c r="G1419" s="214">
        <v>5.33</v>
      </c>
      <c r="H1419" s="425">
        <v>5.3</v>
      </c>
      <c r="I1419" s="457">
        <f t="shared" si="118"/>
        <v>-3.0000000000000249E-2</v>
      </c>
      <c r="J1419" s="152" t="s">
        <v>184</v>
      </c>
      <c r="K1419" s="178">
        <f>K1417*K1418</f>
        <v>165.23</v>
      </c>
      <c r="L1419" s="192">
        <f>L1417*L1418</f>
        <v>164.60999999999999</v>
      </c>
      <c r="M1419" s="211">
        <f t="shared" si="119"/>
        <v>1</v>
      </c>
      <c r="N1419" s="64">
        <f t="shared" si="115"/>
        <v>1.0001472222222223</v>
      </c>
    </row>
    <row r="1420" spans="2:14">
      <c r="B1420" s="41"/>
      <c r="C1420" s="103">
        <f t="shared" si="117"/>
        <v>45218</v>
      </c>
      <c r="E1420" s="170" t="s">
        <v>18</v>
      </c>
      <c r="F1420" s="58" t="str">
        <f>VLOOKUP(MOD(C1420,7),'CALENDAR INFO'!$I$2:$J$8,2)</f>
        <v>THU</v>
      </c>
      <c r="G1420" s="214">
        <v>5.33</v>
      </c>
      <c r="H1420" s="425">
        <v>5.3</v>
      </c>
      <c r="I1420" s="457">
        <f t="shared" si="118"/>
        <v>-3.0000000000000249E-2</v>
      </c>
      <c r="J1420" s="152"/>
      <c r="K1420" s="306"/>
      <c r="L1420" s="200"/>
      <c r="M1420" s="211">
        <f t="shared" si="119"/>
        <v>1</v>
      </c>
      <c r="N1420" s="64">
        <f t="shared" si="115"/>
        <v>1.0001472222222223</v>
      </c>
    </row>
    <row r="1421" spans="2:14">
      <c r="B1421" s="41"/>
      <c r="C1421" s="103">
        <f t="shared" si="117"/>
        <v>45219</v>
      </c>
      <c r="E1421" s="170"/>
      <c r="F1421" s="58" t="str">
        <f>VLOOKUP(MOD(C1421,7),'CALENDAR INFO'!$I$2:$J$8,2)</f>
        <v>FRI</v>
      </c>
      <c r="G1421" s="214">
        <v>5.33</v>
      </c>
      <c r="H1421" s="425">
        <v>5.3</v>
      </c>
      <c r="I1421" s="457">
        <f t="shared" si="118"/>
        <v>-3.0000000000000249E-2</v>
      </c>
      <c r="J1421" s="152" t="s">
        <v>187</v>
      </c>
      <c r="K1421" s="207">
        <f>K1419</f>
        <v>165.23</v>
      </c>
      <c r="L1421" s="208">
        <f>L1419</f>
        <v>164.60999999999999</v>
      </c>
      <c r="M1421" s="211">
        <f t="shared" si="119"/>
        <v>3</v>
      </c>
      <c r="N1421" s="64">
        <f t="shared" si="115"/>
        <v>1.0004416666666667</v>
      </c>
    </row>
    <row r="1422" spans="2:14">
      <c r="B1422" s="41"/>
      <c r="C1422" s="103">
        <f t="shared" si="117"/>
        <v>45220</v>
      </c>
      <c r="E1422" s="170"/>
      <c r="F1422" s="58" t="str">
        <f>VLOOKUP(MOD(C1422,7),'CALENDAR INFO'!$I$2:$J$8,2)</f>
        <v>SAT</v>
      </c>
      <c r="G1422" s="214">
        <v>5.33</v>
      </c>
      <c r="H1422" s="425">
        <v>5.3</v>
      </c>
      <c r="I1422" s="457">
        <f t="shared" si="118"/>
        <v>-3.0000000000000249E-2</v>
      </c>
      <c r="J1422" s="15" t="s">
        <v>155</v>
      </c>
      <c r="K1422" s="182">
        <f ca="1">SUM(INDIRECT(K1409))</f>
        <v>0</v>
      </c>
      <c r="L1422" s="201">
        <f ca="1">SUM(INDIRECT(L1409))</f>
        <v>0</v>
      </c>
      <c r="M1422" s="211">
        <f t="shared" si="119"/>
        <v>0</v>
      </c>
      <c r="N1422" s="64">
        <f t="shared" si="115"/>
        <v>1</v>
      </c>
    </row>
    <row r="1423" spans="2:14">
      <c r="B1423" s="41"/>
      <c r="C1423" s="103">
        <f t="shared" si="117"/>
        <v>45221</v>
      </c>
      <c r="E1423" s="170"/>
      <c r="F1423" s="58" t="str">
        <f>VLOOKUP(MOD(C1423,7),'CALENDAR INFO'!$I$2:$J$8,2)</f>
        <v>SUN</v>
      </c>
      <c r="G1423" s="214">
        <v>5.33</v>
      </c>
      <c r="H1423" s="425">
        <v>5.3</v>
      </c>
      <c r="I1423" s="457">
        <f t="shared" si="118"/>
        <v>-3.0000000000000249E-2</v>
      </c>
      <c r="J1423" s="15" t="s">
        <v>185</v>
      </c>
      <c r="K1423" s="182">
        <f ca="1">SUM(INDIRECT(K1410))</f>
        <v>0</v>
      </c>
      <c r="L1423" s="201">
        <f ca="1">SUM(INDIRECT(L1410))</f>
        <v>0</v>
      </c>
      <c r="M1423" s="211">
        <f t="shared" si="119"/>
        <v>0</v>
      </c>
      <c r="N1423" s="64">
        <f t="shared" si="115"/>
        <v>1</v>
      </c>
    </row>
    <row r="1424" spans="2:14">
      <c r="B1424" s="41"/>
      <c r="C1424" s="103">
        <f t="shared" si="117"/>
        <v>45222</v>
      </c>
      <c r="E1424" s="170"/>
      <c r="F1424" s="58" t="str">
        <f>VLOOKUP(MOD(C1424,7),'CALENDAR INFO'!$I$2:$J$8,2)</f>
        <v>MON</v>
      </c>
      <c r="G1424" s="214">
        <v>5.33</v>
      </c>
      <c r="H1424" s="425">
        <v>5.3</v>
      </c>
      <c r="I1424" s="457">
        <f t="shared" si="118"/>
        <v>-3.0000000000000249E-2</v>
      </c>
      <c r="J1424" s="15" t="s">
        <v>186</v>
      </c>
      <c r="K1424" s="328">
        <f ca="1">K1421-K1422-K1423</f>
        <v>165.23</v>
      </c>
      <c r="L1424" s="329">
        <f ca="1">L1421-L1422-L1423</f>
        <v>164.60999999999999</v>
      </c>
      <c r="M1424" s="211">
        <f t="shared" si="119"/>
        <v>1</v>
      </c>
      <c r="N1424" s="64">
        <f t="shared" si="115"/>
        <v>1.0001472222222223</v>
      </c>
    </row>
    <row r="1425" spans="1:28">
      <c r="B1425" s="41"/>
      <c r="C1425" s="103">
        <f t="shared" si="117"/>
        <v>45223</v>
      </c>
      <c r="E1425" s="170"/>
      <c r="F1425" s="58" t="str">
        <f>VLOOKUP(MOD(C1425,7),'CALENDAR INFO'!$I$2:$J$8,2)</f>
        <v>TUE</v>
      </c>
      <c r="G1425" s="214">
        <v>5.33</v>
      </c>
      <c r="H1425" s="425">
        <v>5.3</v>
      </c>
      <c r="I1425" s="457">
        <f t="shared" si="118"/>
        <v>-3.0000000000000249E-2</v>
      </c>
      <c r="K1425" s="182"/>
      <c r="L1425" s="201"/>
      <c r="M1425" s="211">
        <f t="shared" si="119"/>
        <v>1</v>
      </c>
      <c r="N1425" s="64">
        <f t="shared" si="115"/>
        <v>1.0001472222222223</v>
      </c>
    </row>
    <row r="1426" spans="1:28">
      <c r="B1426" s="41"/>
      <c r="C1426" s="103">
        <f t="shared" si="117"/>
        <v>45224</v>
      </c>
      <c r="E1426" s="170"/>
      <c r="F1426" s="58" t="str">
        <f>VLOOKUP(MOD(C1426,7),'CALENDAR INFO'!$I$2:$J$8,2)</f>
        <v>WED</v>
      </c>
      <c r="G1426" s="214">
        <v>5.33</v>
      </c>
      <c r="H1426" s="425">
        <v>5.3</v>
      </c>
      <c r="I1426" s="457">
        <f t="shared" si="118"/>
        <v>-3.0000000000000249E-2</v>
      </c>
      <c r="J1426" s="15" t="s">
        <v>188</v>
      </c>
      <c r="K1426" s="290">
        <f ca="1">K1403-K1413-K1414</f>
        <v>2</v>
      </c>
      <c r="L1426" s="291">
        <f ca="1">L1403-L1413-L1414</f>
        <v>2</v>
      </c>
      <c r="M1426" s="211">
        <f t="shared" si="119"/>
        <v>1</v>
      </c>
      <c r="N1426" s="64">
        <f t="shared" si="115"/>
        <v>1.0001472222222223</v>
      </c>
    </row>
    <row r="1427" spans="1:28">
      <c r="B1427" s="41"/>
      <c r="C1427" s="103">
        <f t="shared" si="117"/>
        <v>45225</v>
      </c>
      <c r="E1427" s="170"/>
      <c r="F1427" s="58" t="str">
        <f>VLOOKUP(MOD(C1427,7),'CALENDAR INFO'!$I$2:$J$8,2)</f>
        <v>THU</v>
      </c>
      <c r="G1427" s="214">
        <v>5.33</v>
      </c>
      <c r="H1427" s="425">
        <v>5.31</v>
      </c>
      <c r="I1427" s="457">
        <f t="shared" si="118"/>
        <v>-2.0000000000000462E-2</v>
      </c>
      <c r="J1427" s="15" t="s">
        <v>189</v>
      </c>
      <c r="K1427" s="182">
        <f ca="1">K1424/K1426</f>
        <v>82.614999999999995</v>
      </c>
      <c r="L1427" s="201">
        <f ca="1">L1424/L1426</f>
        <v>82.304999999999993</v>
      </c>
      <c r="M1427" s="211">
        <f t="shared" si="119"/>
        <v>1</v>
      </c>
      <c r="N1427" s="64">
        <f t="shared" ref="N1427:N1490" si="121">1+(M1427/360)*(MAX(H1427,B1427)/100)</f>
        <v>1.0001475</v>
      </c>
    </row>
    <row r="1428" spans="1:28">
      <c r="B1428" s="41"/>
      <c r="C1428" s="103">
        <f t="shared" si="117"/>
        <v>45226</v>
      </c>
      <c r="E1428" s="170"/>
      <c r="F1428" s="58" t="str">
        <f>VLOOKUP(MOD(C1428,7),'CALENDAR INFO'!$I$2:$J$8,2)</f>
        <v>FRI</v>
      </c>
      <c r="G1428" s="214">
        <v>5.33</v>
      </c>
      <c r="H1428" s="425">
        <v>5.31</v>
      </c>
      <c r="I1428" s="457">
        <f t="shared" si="118"/>
        <v>-2.0000000000000462E-2</v>
      </c>
      <c r="J1428" s="152"/>
      <c r="K1428" s="182"/>
      <c r="L1428" s="201"/>
      <c r="M1428" s="211">
        <f t="shared" si="119"/>
        <v>3</v>
      </c>
      <c r="N1428" s="64">
        <f t="shared" si="121"/>
        <v>1.0004424999999999</v>
      </c>
      <c r="P1428" s="283"/>
    </row>
    <row r="1429" spans="1:28">
      <c r="B1429" s="41"/>
      <c r="C1429" s="103">
        <f t="shared" si="117"/>
        <v>45227</v>
      </c>
      <c r="E1429" s="170"/>
      <c r="F1429" s="58" t="str">
        <f>VLOOKUP(MOD(C1429,7),'CALENDAR INFO'!$I$2:$J$8,2)</f>
        <v>SAT</v>
      </c>
      <c r="G1429" s="214">
        <v>5.33</v>
      </c>
      <c r="H1429" s="425">
        <v>5.31</v>
      </c>
      <c r="I1429" s="457">
        <f t="shared" si="118"/>
        <v>-2.0000000000000462E-2</v>
      </c>
      <c r="J1429" s="152"/>
      <c r="K1429" s="182"/>
      <c r="L1429" s="201"/>
      <c r="M1429" s="211">
        <f t="shared" si="119"/>
        <v>0</v>
      </c>
      <c r="N1429" s="64">
        <f t="shared" si="121"/>
        <v>1</v>
      </c>
      <c r="P1429" s="284"/>
    </row>
    <row r="1430" spans="1:28">
      <c r="B1430" s="41"/>
      <c r="C1430" s="103">
        <f t="shared" si="117"/>
        <v>45228</v>
      </c>
      <c r="E1430" s="170"/>
      <c r="F1430" s="58" t="str">
        <f>VLOOKUP(MOD(C1430,7),'CALENDAR INFO'!$I$2:$J$8,2)</f>
        <v>SUN</v>
      </c>
      <c r="G1430" s="214">
        <v>5.33</v>
      </c>
      <c r="H1430" s="425">
        <v>5.31</v>
      </c>
      <c r="I1430" s="457">
        <f t="shared" si="118"/>
        <v>-2.0000000000000462E-2</v>
      </c>
      <c r="J1430" s="152"/>
      <c r="K1430" s="190"/>
      <c r="L1430" s="203"/>
      <c r="M1430" s="211">
        <f t="shared" si="119"/>
        <v>0</v>
      </c>
      <c r="N1430" s="64">
        <f t="shared" si="121"/>
        <v>1</v>
      </c>
      <c r="P1430" s="284"/>
    </row>
    <row r="1431" spans="1:28">
      <c r="B1431" s="41"/>
      <c r="C1431" s="103">
        <f t="shared" si="117"/>
        <v>45229</v>
      </c>
      <c r="E1431" s="170"/>
      <c r="F1431" s="58" t="str">
        <f>VLOOKUP(MOD(C1431,7),'CALENDAR INFO'!$I$2:$J$8,2)</f>
        <v>MON</v>
      </c>
      <c r="G1431" s="214">
        <v>5.33</v>
      </c>
      <c r="H1431" s="425">
        <v>5.31</v>
      </c>
      <c r="I1431" s="457">
        <f t="shared" si="118"/>
        <v>-2.0000000000000462E-2</v>
      </c>
      <c r="J1431" s="152"/>
      <c r="K1431" s="182"/>
      <c r="L1431" s="201"/>
      <c r="M1431" s="211">
        <f t="shared" si="119"/>
        <v>1</v>
      </c>
      <c r="N1431" s="64">
        <f t="shared" si="121"/>
        <v>1.0001475</v>
      </c>
    </row>
    <row r="1432" spans="1:28" ht="15.75" thickBot="1">
      <c r="A1432" s="98"/>
      <c r="B1432" s="230"/>
      <c r="C1432" s="104">
        <f t="shared" si="117"/>
        <v>45230</v>
      </c>
      <c r="D1432" s="162" t="s">
        <v>20</v>
      </c>
      <c r="E1432" s="245"/>
      <c r="F1432" s="71" t="str">
        <f>VLOOKUP(MOD(C1432,7),'CALENDAR INFO'!$I$2:$J$8,2)</f>
        <v>TUE</v>
      </c>
      <c r="G1432" s="215">
        <v>5.33</v>
      </c>
      <c r="H1432" s="426">
        <v>5.35</v>
      </c>
      <c r="I1432" s="458">
        <f t="shared" si="118"/>
        <v>1.9999999999999574E-2</v>
      </c>
      <c r="J1432" s="437"/>
      <c r="K1432" s="184"/>
      <c r="L1432" s="205"/>
      <c r="M1432" s="113">
        <f t="shared" si="119"/>
        <v>1</v>
      </c>
      <c r="N1432" s="77">
        <f t="shared" si="121"/>
        <v>1.0001486111111111</v>
      </c>
    </row>
    <row r="1433" spans="1:28">
      <c r="A1433" s="296"/>
      <c r="B1433" s="297"/>
      <c r="C1433" s="109">
        <f t="shared" si="117"/>
        <v>45231</v>
      </c>
      <c r="D1433" s="163" t="s">
        <v>20</v>
      </c>
      <c r="E1433" s="170" t="s">
        <v>19</v>
      </c>
      <c r="F1433" s="105" t="str">
        <f>VLOOKUP(MOD(C1433,7),'CALENDAR INFO'!$I$2:$J$8,2)</f>
        <v>WED</v>
      </c>
      <c r="G1433" s="218">
        <v>5.33</v>
      </c>
      <c r="H1433" s="430">
        <v>5.32</v>
      </c>
      <c r="I1433" s="461">
        <f t="shared" si="118"/>
        <v>-9.9999999999997868E-3</v>
      </c>
      <c r="J1433" s="438" t="s">
        <v>151</v>
      </c>
      <c r="K1433" s="15">
        <f>ROW(K1433)</f>
        <v>1433</v>
      </c>
      <c r="L1433" s="179">
        <f>K1433</f>
        <v>1433</v>
      </c>
      <c r="M1433" s="116">
        <f t="shared" si="119"/>
        <v>1</v>
      </c>
      <c r="N1433" s="111">
        <f t="shared" si="121"/>
        <v>1.0001477777777779</v>
      </c>
    </row>
    <row r="1434" spans="1:28">
      <c r="B1434" s="41"/>
      <c r="C1434" s="103">
        <f t="shared" si="117"/>
        <v>45232</v>
      </c>
      <c r="E1434" s="167" t="s">
        <v>18</v>
      </c>
      <c r="F1434" s="58" t="str">
        <f>VLOOKUP(MOD(C1434,7),'CALENDAR INFO'!$I$2:$J$8,2)</f>
        <v>THU</v>
      </c>
      <c r="G1434" s="214">
        <v>5.33</v>
      </c>
      <c r="H1434" s="425">
        <v>5.33</v>
      </c>
      <c r="I1434" s="457">
        <f t="shared" si="118"/>
        <v>0</v>
      </c>
      <c r="J1434" s="152" t="s">
        <v>118</v>
      </c>
      <c r="K1434" s="15">
        <f>VLOOKUP(MONTH($C1433),'CALENDAR INFO'!$I$12:$J$23,2)</f>
        <v>30</v>
      </c>
      <c r="L1434" s="179">
        <f>K1434</f>
        <v>30</v>
      </c>
      <c r="M1434" s="211">
        <f t="shared" si="119"/>
        <v>1</v>
      </c>
      <c r="N1434" s="293">
        <f t="shared" si="121"/>
        <v>1.0001480555555555</v>
      </c>
    </row>
    <row r="1435" spans="1:28">
      <c r="B1435" s="41"/>
      <c r="C1435" s="103">
        <f t="shared" si="117"/>
        <v>45233</v>
      </c>
      <c r="E1435" s="167"/>
      <c r="F1435" s="58" t="str">
        <f>VLOOKUP(MOD(C1435,7),'CALENDAR INFO'!$I$2:$J$8,2)</f>
        <v>FRI</v>
      </c>
      <c r="G1435" s="219">
        <v>5.33</v>
      </c>
      <c r="H1435" s="425">
        <v>5.32</v>
      </c>
      <c r="I1435" s="457">
        <f t="shared" si="118"/>
        <v>-9.9999999999997868E-3</v>
      </c>
      <c r="J1435" s="15" t="s">
        <v>152</v>
      </c>
      <c r="K1435" s="15">
        <f>K1434+K1433-1</f>
        <v>1462</v>
      </c>
      <c r="L1435" s="179">
        <f>K1435</f>
        <v>1462</v>
      </c>
      <c r="M1435" s="211">
        <f t="shared" si="119"/>
        <v>3</v>
      </c>
      <c r="N1435" s="293">
        <f t="shared" si="121"/>
        <v>1.0004433333333334</v>
      </c>
    </row>
    <row r="1436" spans="1:28">
      <c r="B1436" s="41"/>
      <c r="C1436" s="103">
        <f t="shared" si="117"/>
        <v>45234</v>
      </c>
      <c r="E1436" s="167"/>
      <c r="F1436" s="58" t="str">
        <f>VLOOKUP(MOD(C1436,7),'CALENDAR INFO'!$I$2:$J$8,2)</f>
        <v>SAT</v>
      </c>
      <c r="G1436" s="214">
        <v>5.33</v>
      </c>
      <c r="H1436" s="425">
        <v>5.32</v>
      </c>
      <c r="I1436" s="457">
        <f t="shared" si="118"/>
        <v>-9.9999999999997868E-3</v>
      </c>
      <c r="M1436" s="211">
        <f t="shared" si="119"/>
        <v>0</v>
      </c>
      <c r="N1436" s="293">
        <f t="shared" si="121"/>
        <v>1</v>
      </c>
    </row>
    <row r="1437" spans="1:28">
      <c r="B1437" s="41"/>
      <c r="C1437" s="103">
        <f t="shared" si="117"/>
        <v>45235</v>
      </c>
      <c r="E1437" s="167"/>
      <c r="F1437" s="58" t="str">
        <f>VLOOKUP(MOD(C1437,7),'CALENDAR INFO'!$I$2:$J$8,2)</f>
        <v>SUN</v>
      </c>
      <c r="G1437" s="214">
        <v>5.33</v>
      </c>
      <c r="H1437" s="425">
        <v>5.32</v>
      </c>
      <c r="I1437" s="457">
        <f t="shared" si="118"/>
        <v>-9.9999999999997868E-3</v>
      </c>
      <c r="J1437" s="15" t="s">
        <v>192</v>
      </c>
      <c r="K1437" s="310">
        <v>1433</v>
      </c>
      <c r="L1437" s="202">
        <f>K1437</f>
        <v>1433</v>
      </c>
      <c r="M1437" s="211">
        <f t="shared" si="119"/>
        <v>0</v>
      </c>
      <c r="N1437" s="293">
        <f t="shared" si="121"/>
        <v>1</v>
      </c>
    </row>
    <row r="1438" spans="1:28">
      <c r="B1438" s="41"/>
      <c r="C1438" s="103">
        <f t="shared" si="117"/>
        <v>45236</v>
      </c>
      <c r="E1438" s="167"/>
      <c r="F1438" s="58" t="str">
        <f>VLOOKUP(MOD(C1438,7),'CALENDAR INFO'!$I$2:$J$8,2)</f>
        <v>MON</v>
      </c>
      <c r="G1438" s="214">
        <v>5.33</v>
      </c>
      <c r="H1438" s="425">
        <v>5.32</v>
      </c>
      <c r="I1438" s="457">
        <f t="shared" si="118"/>
        <v>-9.9999999999997868E-3</v>
      </c>
      <c r="J1438" s="15" t="s">
        <v>193</v>
      </c>
      <c r="K1438" s="15">
        <f>K1437+1</f>
        <v>1434</v>
      </c>
      <c r="L1438" s="179">
        <f>K1438</f>
        <v>1434</v>
      </c>
      <c r="M1438" s="211">
        <f t="shared" si="119"/>
        <v>1</v>
      </c>
      <c r="N1438" s="293">
        <f t="shared" si="121"/>
        <v>1.0001477777777779</v>
      </c>
    </row>
    <row r="1439" spans="1:28">
      <c r="B1439" s="41"/>
      <c r="C1439" s="103">
        <f t="shared" si="117"/>
        <v>45237</v>
      </c>
      <c r="E1439" s="167"/>
      <c r="F1439" s="58" t="str">
        <f>VLOOKUP(MOD(C1439,7),'CALENDAR INFO'!$I$2:$J$8,2)</f>
        <v>TUE</v>
      </c>
      <c r="G1439" s="214">
        <v>5.33</v>
      </c>
      <c r="H1439" s="425">
        <v>5.32</v>
      </c>
      <c r="I1439" s="457">
        <f t="shared" si="118"/>
        <v>-9.9999999999997868E-3</v>
      </c>
      <c r="K1439" s="152"/>
      <c r="L1439" s="202"/>
      <c r="M1439" s="211">
        <f t="shared" si="119"/>
        <v>1</v>
      </c>
      <c r="N1439" s="293">
        <f t="shared" si="121"/>
        <v>1.0001477777777779</v>
      </c>
      <c r="Z1439" s="17">
        <v>6</v>
      </c>
    </row>
    <row r="1440" spans="1:28">
      <c r="B1440" s="41"/>
      <c r="C1440" s="103">
        <f t="shared" si="117"/>
        <v>45238</v>
      </c>
      <c r="E1440" s="167"/>
      <c r="F1440" s="58" t="str">
        <f>VLOOKUP(MOD(C1440,7),'CALENDAR INFO'!$I$2:$J$8,2)</f>
        <v>WED</v>
      </c>
      <c r="G1440" s="214">
        <v>5.33</v>
      </c>
      <c r="H1440" s="425">
        <v>5.32</v>
      </c>
      <c r="I1440" s="457">
        <f t="shared" si="118"/>
        <v>-9.9999999999997868E-3</v>
      </c>
      <c r="J1440" s="15" t="s">
        <v>153</v>
      </c>
      <c r="K1440" s="182" t="str">
        <f>_xlfn.CONCAT("A",TEXT(K1433,0),":","A",TEXT(K1435,0))</f>
        <v>A1433:A1462</v>
      </c>
      <c r="L1440" s="201" t="str">
        <f>_xlfn.CONCAT("B",TEXT(L1433,0),":","B",TEXT(L1435,0))</f>
        <v>B1433:B1462</v>
      </c>
      <c r="M1440" s="211">
        <f t="shared" si="119"/>
        <v>1</v>
      </c>
      <c r="N1440" s="293">
        <f t="shared" si="121"/>
        <v>1.0001477777777779</v>
      </c>
      <c r="Z1440" s="17">
        <f>Z1439</f>
        <v>6</v>
      </c>
      <c r="AB1440" s="17">
        <f>COUNT(Z1439:Z1441)</f>
        <v>3</v>
      </c>
    </row>
    <row r="1441" spans="2:26">
      <c r="B1441" s="41"/>
      <c r="C1441" s="103">
        <f t="shared" si="117"/>
        <v>45239</v>
      </c>
      <c r="E1441" s="167"/>
      <c r="F1441" s="58" t="str">
        <f>VLOOKUP(MOD(C1441,7),'CALENDAR INFO'!$I$2:$J$8,2)</f>
        <v>THU</v>
      </c>
      <c r="G1441" s="214">
        <v>5.33</v>
      </c>
      <c r="H1441" s="425">
        <v>5.32</v>
      </c>
      <c r="I1441" s="457">
        <f t="shared" si="118"/>
        <v>-9.9999999999997868E-3</v>
      </c>
      <c r="J1441" s="15" t="s">
        <v>190</v>
      </c>
      <c r="K1441" s="182" t="str">
        <f>_xlfn.CONCAT("F",TEXT(K1433,0),":","F",TEXT(K1437,0))</f>
        <v>F1433:F1433</v>
      </c>
      <c r="L1441" s="201" t="str">
        <f>_xlfn.CONCAT("G",TEXT(L1433,0),":","G",TEXT(L1437,0))</f>
        <v>G1433:G1433</v>
      </c>
      <c r="M1441" s="211">
        <f t="shared" si="119"/>
        <v>1</v>
      </c>
      <c r="N1441" s="64">
        <f t="shared" si="121"/>
        <v>1.0001477777777779</v>
      </c>
      <c r="Z1441" s="17">
        <v>4</v>
      </c>
    </row>
    <row r="1442" spans="2:26">
      <c r="B1442" s="41"/>
      <c r="C1442" s="103">
        <f t="shared" si="117"/>
        <v>45240</v>
      </c>
      <c r="E1442" s="167"/>
      <c r="F1442" s="58" t="str">
        <f>VLOOKUP(MOD(C1442,7),'CALENDAR INFO'!$I$2:$J$8,2)</f>
        <v>FRI</v>
      </c>
      <c r="G1442" s="214">
        <v>5.33</v>
      </c>
      <c r="H1442" s="425">
        <v>5.32</v>
      </c>
      <c r="I1442" s="457">
        <f t="shared" si="118"/>
        <v>-9.9999999999997868E-3</v>
      </c>
      <c r="J1442" s="15" t="s">
        <v>191</v>
      </c>
      <c r="K1442" s="182" t="str">
        <f>_xlfn.CONCAT("F",TEXT(K1438,0),":","F",TEXT(K1435,0))</f>
        <v>F1434:F1462</v>
      </c>
      <c r="L1442" s="201" t="str">
        <f>_xlfn.CONCAT("G",TEXT(L1438,0),":","G",TEXT(L1435,0))</f>
        <v>G1434:G1462</v>
      </c>
      <c r="M1442" s="211">
        <f t="shared" si="119"/>
        <v>3</v>
      </c>
      <c r="N1442" s="64">
        <f t="shared" si="121"/>
        <v>1.0004433333333334</v>
      </c>
    </row>
    <row r="1443" spans="2:26">
      <c r="B1443" s="41"/>
      <c r="C1443" s="103">
        <f t="shared" si="117"/>
        <v>45241</v>
      </c>
      <c r="E1443" s="167"/>
      <c r="F1443" s="58" t="str">
        <f>VLOOKUP(MOD(C1443,7),'CALENDAR INFO'!$I$2:$J$8,2)</f>
        <v>SAT</v>
      </c>
      <c r="G1443" s="214">
        <v>5.33</v>
      </c>
      <c r="H1443" s="425">
        <v>5.32</v>
      </c>
      <c r="I1443" s="457">
        <f t="shared" si="118"/>
        <v>-9.9999999999997868E-3</v>
      </c>
      <c r="K1443" s="152"/>
      <c r="L1443" s="202"/>
      <c r="M1443" s="211">
        <f t="shared" si="119"/>
        <v>0</v>
      </c>
      <c r="N1443" s="64">
        <f t="shared" si="121"/>
        <v>1</v>
      </c>
    </row>
    <row r="1444" spans="2:26">
      <c r="B1444" s="41"/>
      <c r="C1444" s="103">
        <f t="shared" si="117"/>
        <v>45242</v>
      </c>
      <c r="E1444" s="167"/>
      <c r="F1444" s="58" t="str">
        <f>VLOOKUP(MOD(C1444,7),'CALENDAR INFO'!$I$2:$J$8,2)</f>
        <v>SUN</v>
      </c>
      <c r="G1444" s="214">
        <v>5.33</v>
      </c>
      <c r="H1444" s="425">
        <v>5.32</v>
      </c>
      <c r="I1444" s="457">
        <f t="shared" si="118"/>
        <v>-9.9999999999997868E-3</v>
      </c>
      <c r="J1444" s="152" t="s">
        <v>194</v>
      </c>
      <c r="K1444" s="290">
        <f t="shared" ref="K1444:L1446" ca="1" si="122">COUNTA(INDIRECT(K1440))</f>
        <v>0</v>
      </c>
      <c r="L1444" s="291">
        <f t="shared" ca="1" si="122"/>
        <v>0</v>
      </c>
      <c r="M1444" s="211">
        <f t="shared" si="119"/>
        <v>0</v>
      </c>
      <c r="N1444" s="64">
        <f t="shared" si="121"/>
        <v>1</v>
      </c>
    </row>
    <row r="1445" spans="2:26">
      <c r="B1445" s="41"/>
      <c r="C1445" s="103">
        <f t="shared" si="117"/>
        <v>45243</v>
      </c>
      <c r="E1445" s="167"/>
      <c r="F1445" s="58" t="str">
        <f>VLOOKUP(MOD(C1445,7),'CALENDAR INFO'!$I$2:$J$8,2)</f>
        <v>MON</v>
      </c>
      <c r="G1445" s="214">
        <v>5.33</v>
      </c>
      <c r="H1445" s="425">
        <v>5.32</v>
      </c>
      <c r="I1445" s="457">
        <f t="shared" si="118"/>
        <v>-9.9999999999997868E-3</v>
      </c>
      <c r="J1445" s="152" t="s">
        <v>195</v>
      </c>
      <c r="K1445" s="290">
        <f t="shared" ca="1" si="122"/>
        <v>1</v>
      </c>
      <c r="L1445" s="291">
        <f t="shared" ca="1" si="122"/>
        <v>1</v>
      </c>
      <c r="M1445" s="211">
        <f t="shared" si="119"/>
        <v>1</v>
      </c>
      <c r="N1445" s="64">
        <f t="shared" si="121"/>
        <v>1.0001477777777779</v>
      </c>
    </row>
    <row r="1446" spans="2:26">
      <c r="B1446" s="41"/>
      <c r="C1446" s="103">
        <f t="shared" si="117"/>
        <v>45244</v>
      </c>
      <c r="E1446" s="167"/>
      <c r="F1446" s="58" t="str">
        <f>VLOOKUP(MOD(C1446,7),'CALENDAR INFO'!$I$2:$J$8,2)</f>
        <v>TUE</v>
      </c>
      <c r="G1446" s="214">
        <v>5.33</v>
      </c>
      <c r="H1446" s="425">
        <v>5.32</v>
      </c>
      <c r="I1446" s="457">
        <f t="shared" si="118"/>
        <v>-9.9999999999997868E-3</v>
      </c>
      <c r="J1446" s="152" t="s">
        <v>196</v>
      </c>
      <c r="K1446" s="290">
        <f t="shared" ca="1" si="122"/>
        <v>29</v>
      </c>
      <c r="L1446" s="308">
        <f t="shared" ca="1" si="122"/>
        <v>29</v>
      </c>
      <c r="M1446" s="211">
        <f t="shared" si="119"/>
        <v>1</v>
      </c>
      <c r="N1446" s="64">
        <f t="shared" si="121"/>
        <v>1.0001477777777779</v>
      </c>
      <c r="P1446" s="16"/>
    </row>
    <row r="1447" spans="2:26">
      <c r="B1447" s="41"/>
      <c r="C1447" s="103">
        <f t="shared" si="117"/>
        <v>45245</v>
      </c>
      <c r="E1447" s="167" t="s">
        <v>19</v>
      </c>
      <c r="F1447" s="58" t="str">
        <f>VLOOKUP(MOD(C1447,7),'CALENDAR INFO'!$I$2:$J$8,2)</f>
        <v>WED</v>
      </c>
      <c r="G1447" s="214">
        <v>5.33</v>
      </c>
      <c r="H1447" s="425">
        <v>5.32</v>
      </c>
      <c r="I1447" s="457">
        <f t="shared" si="118"/>
        <v>-9.9999999999997868E-3</v>
      </c>
      <c r="K1447" s="152"/>
      <c r="L1447" s="202"/>
      <c r="M1447" s="211">
        <f t="shared" si="119"/>
        <v>1</v>
      </c>
      <c r="N1447" s="64">
        <f t="shared" si="121"/>
        <v>1.0001477777777779</v>
      </c>
    </row>
    <row r="1448" spans="2:26">
      <c r="B1448" s="41"/>
      <c r="C1448" s="103">
        <f t="shared" si="117"/>
        <v>45246</v>
      </c>
      <c r="E1448" s="170" t="s">
        <v>18</v>
      </c>
      <c r="F1448" s="58" t="str">
        <f>VLOOKUP(MOD(C1448,7),'CALENDAR INFO'!$I$2:$J$8,2)</f>
        <v>THU</v>
      </c>
      <c r="G1448" s="214">
        <v>5.33</v>
      </c>
      <c r="H1448" s="425">
        <v>5.32</v>
      </c>
      <c r="I1448" s="457">
        <f t="shared" si="118"/>
        <v>-9.9999999999997868E-3</v>
      </c>
      <c r="J1448" s="152" t="s">
        <v>197</v>
      </c>
      <c r="K1448" s="180" t="e">
        <f>OUTPUT!#REF!</f>
        <v>#REF!</v>
      </c>
      <c r="L1448" s="193" t="e">
        <f>OUTPUT!#REF!</f>
        <v>#REF!</v>
      </c>
      <c r="M1448" s="211">
        <f t="shared" si="119"/>
        <v>1</v>
      </c>
      <c r="N1448" s="64">
        <f t="shared" si="121"/>
        <v>1.0001477777777779</v>
      </c>
    </row>
    <row r="1449" spans="2:26">
      <c r="B1449" s="41"/>
      <c r="C1449" s="103">
        <f t="shared" si="117"/>
        <v>45247</v>
      </c>
      <c r="E1449" s="170"/>
      <c r="F1449" s="58" t="str">
        <f>VLOOKUP(MOD(C1449,7),'CALENDAR INFO'!$I$2:$J$8,2)</f>
        <v>FRI</v>
      </c>
      <c r="G1449" s="214">
        <v>5.33</v>
      </c>
      <c r="H1449" s="425">
        <v>5.32</v>
      </c>
      <c r="I1449" s="457">
        <f t="shared" si="118"/>
        <v>-9.9999999999997868E-3</v>
      </c>
      <c r="J1449" s="152" t="s">
        <v>118</v>
      </c>
      <c r="K1449" s="307">
        <f>K1434</f>
        <v>30</v>
      </c>
      <c r="L1449" s="309">
        <f>L1434</f>
        <v>30</v>
      </c>
      <c r="M1449" s="211">
        <f t="shared" si="119"/>
        <v>3</v>
      </c>
      <c r="N1449" s="64">
        <f t="shared" si="121"/>
        <v>1.0004433333333334</v>
      </c>
    </row>
    <row r="1450" spans="2:26">
      <c r="B1450" s="41"/>
      <c r="C1450" s="103">
        <f t="shared" si="117"/>
        <v>45248</v>
      </c>
      <c r="E1450" s="170"/>
      <c r="F1450" s="58" t="str">
        <f>VLOOKUP(MOD(C1450,7),'CALENDAR INFO'!$I$2:$J$8,2)</f>
        <v>SAT</v>
      </c>
      <c r="G1450" s="214">
        <v>5.33</v>
      </c>
      <c r="H1450" s="425">
        <v>5.32</v>
      </c>
      <c r="I1450" s="457">
        <f t="shared" si="118"/>
        <v>-9.9999999999997868E-3</v>
      </c>
      <c r="J1450" s="152" t="s">
        <v>184</v>
      </c>
      <c r="K1450" s="178" t="e">
        <f>K1448*K1449</f>
        <v>#REF!</v>
      </c>
      <c r="L1450" s="192" t="e">
        <f>L1448*L1449</f>
        <v>#REF!</v>
      </c>
      <c r="M1450" s="211">
        <f t="shared" si="119"/>
        <v>0</v>
      </c>
      <c r="N1450" s="64">
        <f t="shared" si="121"/>
        <v>1</v>
      </c>
    </row>
    <row r="1451" spans="2:26">
      <c r="B1451" s="41"/>
      <c r="C1451" s="103">
        <f t="shared" si="117"/>
        <v>45249</v>
      </c>
      <c r="E1451" s="170"/>
      <c r="F1451" s="58" t="str">
        <f>VLOOKUP(MOD(C1451,7),'CALENDAR INFO'!$I$2:$J$8,2)</f>
        <v>SUN</v>
      </c>
      <c r="G1451" s="214">
        <v>5.33</v>
      </c>
      <c r="H1451" s="425">
        <v>5.32</v>
      </c>
      <c r="I1451" s="457">
        <f t="shared" si="118"/>
        <v>-9.9999999999997868E-3</v>
      </c>
      <c r="K1451" s="221"/>
      <c r="L1451" s="223"/>
      <c r="M1451" s="211">
        <f t="shared" si="119"/>
        <v>0</v>
      </c>
      <c r="N1451" s="64">
        <f t="shared" si="121"/>
        <v>1</v>
      </c>
      <c r="O1451" s="282"/>
    </row>
    <row r="1452" spans="2:26">
      <c r="B1452" s="41"/>
      <c r="C1452" s="103">
        <f t="shared" si="117"/>
        <v>45250</v>
      </c>
      <c r="E1452" s="170"/>
      <c r="F1452" s="58" t="str">
        <f>VLOOKUP(MOD(C1452,7),'CALENDAR INFO'!$I$2:$J$8,2)</f>
        <v>MON</v>
      </c>
      <c r="G1452" s="214">
        <v>5.33</v>
      </c>
      <c r="H1452" s="425">
        <v>5.31</v>
      </c>
      <c r="I1452" s="457">
        <f t="shared" si="118"/>
        <v>-2.0000000000000462E-2</v>
      </c>
      <c r="J1452" s="15" t="s">
        <v>187</v>
      </c>
      <c r="K1452" s="207" t="e">
        <f>K1450</f>
        <v>#REF!</v>
      </c>
      <c r="L1452" s="208" t="e">
        <f>L1450</f>
        <v>#REF!</v>
      </c>
      <c r="M1452" s="211">
        <f t="shared" si="119"/>
        <v>1</v>
      </c>
      <c r="N1452" s="64">
        <f t="shared" si="121"/>
        <v>1.0001475</v>
      </c>
      <c r="O1452" s="282"/>
    </row>
    <row r="1453" spans="2:26">
      <c r="B1453" s="41"/>
      <c r="C1453" s="103">
        <f t="shared" si="117"/>
        <v>45251</v>
      </c>
      <c r="E1453" s="170"/>
      <c r="F1453" s="58" t="str">
        <f>VLOOKUP(MOD(C1453,7),'CALENDAR INFO'!$I$2:$J$8,2)</f>
        <v>TUE</v>
      </c>
      <c r="G1453" s="214">
        <v>5.33</v>
      </c>
      <c r="H1453" s="425">
        <v>5.31</v>
      </c>
      <c r="I1453" s="457">
        <f t="shared" si="118"/>
        <v>-2.0000000000000462E-2</v>
      </c>
      <c r="J1453" s="152" t="s">
        <v>155</v>
      </c>
      <c r="K1453" s="178">
        <f ca="1">SUM(INDIRECT(K1440))</f>
        <v>0</v>
      </c>
      <c r="L1453" s="192">
        <f ca="1">SUM(INDIRECT(L1440))</f>
        <v>0</v>
      </c>
      <c r="M1453" s="211">
        <f t="shared" si="119"/>
        <v>1</v>
      </c>
      <c r="N1453" s="64">
        <f t="shared" si="121"/>
        <v>1.0001475</v>
      </c>
    </row>
    <row r="1454" spans="2:26">
      <c r="B1454" s="41"/>
      <c r="C1454" s="103">
        <f t="shared" si="117"/>
        <v>45252</v>
      </c>
      <c r="E1454" s="170"/>
      <c r="F1454" s="58" t="str">
        <f>VLOOKUP(MOD(C1454,7),'CALENDAR INFO'!$I$2:$J$8,2)</f>
        <v>WED</v>
      </c>
      <c r="G1454" s="214">
        <v>5.33</v>
      </c>
      <c r="H1454" s="425">
        <v>5.31</v>
      </c>
      <c r="I1454" s="457">
        <f t="shared" si="118"/>
        <v>-2.0000000000000462E-2</v>
      </c>
      <c r="J1454" s="15" t="s">
        <v>185</v>
      </c>
      <c r="K1454" s="178">
        <f ca="1">SUM(INDIRECT(K1441))</f>
        <v>0</v>
      </c>
      <c r="L1454" s="192">
        <f ca="1">SUM(INDIRECT(L1441))</f>
        <v>5.33</v>
      </c>
      <c r="M1454" s="117">
        <v>2</v>
      </c>
      <c r="N1454" s="64">
        <f t="shared" si="121"/>
        <v>1.0002949999999999</v>
      </c>
    </row>
    <row r="1455" spans="2:26">
      <c r="B1455" s="41"/>
      <c r="C1455" s="103">
        <f t="shared" si="117"/>
        <v>45253</v>
      </c>
      <c r="D1455" s="173" t="s">
        <v>60</v>
      </c>
      <c r="E1455" s="170"/>
      <c r="F1455" s="58" t="str">
        <f>VLOOKUP(MOD(C1455,7),'CALENDAR INFO'!$I$2:$J$8,2)</f>
        <v>THU</v>
      </c>
      <c r="G1455" s="214">
        <v>5.33</v>
      </c>
      <c r="H1455" s="425">
        <v>5.31</v>
      </c>
      <c r="I1455" s="457">
        <f t="shared" si="118"/>
        <v>-2.0000000000000462E-2</v>
      </c>
      <c r="J1455" s="152" t="s">
        <v>186</v>
      </c>
      <c r="K1455" s="178" t="e">
        <f ca="1">K1452-K1453-K1454</f>
        <v>#REF!</v>
      </c>
      <c r="L1455" s="201" t="e">
        <f ca="1">L1452-L1453-L1454</f>
        <v>#REF!</v>
      </c>
      <c r="M1455" s="117">
        <v>0</v>
      </c>
      <c r="N1455" s="64">
        <f t="shared" si="121"/>
        <v>1</v>
      </c>
    </row>
    <row r="1456" spans="2:26">
      <c r="B1456" s="41"/>
      <c r="C1456" s="103">
        <f t="shared" si="117"/>
        <v>45254</v>
      </c>
      <c r="E1456" s="170"/>
      <c r="F1456" s="58" t="str">
        <f>VLOOKUP(MOD(C1456,7),'CALENDAR INFO'!$I$2:$J$8,2)</f>
        <v>FRI</v>
      </c>
      <c r="G1456" s="214">
        <v>5.33</v>
      </c>
      <c r="H1456" s="425">
        <v>5.32</v>
      </c>
      <c r="I1456" s="457">
        <f t="shared" si="118"/>
        <v>-9.9999999999997868E-3</v>
      </c>
      <c r="K1456" s="152"/>
      <c r="L1456" s="202"/>
      <c r="M1456" s="211">
        <f t="shared" ref="M1456:M1483" si="123">IF(MOD(C1456,7)&lt;2,0,IF(MOD(C1456,7)=6,3,1))</f>
        <v>3</v>
      </c>
      <c r="N1456" s="293">
        <f t="shared" si="121"/>
        <v>1.0004433333333334</v>
      </c>
    </row>
    <row r="1457" spans="1:16">
      <c r="B1457" s="41"/>
      <c r="C1457" s="103">
        <f t="shared" si="117"/>
        <v>45255</v>
      </c>
      <c r="E1457" s="170"/>
      <c r="F1457" s="58" t="str">
        <f>VLOOKUP(MOD(C1457,7),'CALENDAR INFO'!$I$2:$J$8,2)</f>
        <v>SAT</v>
      </c>
      <c r="G1457" s="214">
        <v>5.33</v>
      </c>
      <c r="H1457" s="425">
        <v>5.32</v>
      </c>
      <c r="I1457" s="457">
        <f t="shared" si="118"/>
        <v>-9.9999999999997868E-3</v>
      </c>
      <c r="J1457" s="152" t="s">
        <v>188</v>
      </c>
      <c r="K1457" s="290">
        <f ca="1">K1434-K1444-K1445</f>
        <v>29</v>
      </c>
      <c r="L1457" s="291">
        <f ca="1">L1434-L1444-L1445</f>
        <v>29</v>
      </c>
      <c r="M1457" s="211">
        <f t="shared" si="123"/>
        <v>0</v>
      </c>
      <c r="N1457" s="293">
        <f t="shared" si="121"/>
        <v>1</v>
      </c>
    </row>
    <row r="1458" spans="1:16">
      <c r="B1458" s="41"/>
      <c r="C1458" s="103">
        <f t="shared" si="117"/>
        <v>45256</v>
      </c>
      <c r="E1458" s="170"/>
      <c r="F1458" s="58" t="str">
        <f>VLOOKUP(MOD(C1458,7),'CALENDAR INFO'!$I$2:$J$8,2)</f>
        <v>SUN</v>
      </c>
      <c r="G1458" s="214">
        <v>5.33</v>
      </c>
      <c r="H1458" s="425">
        <v>5.32</v>
      </c>
      <c r="I1458" s="457">
        <f t="shared" si="118"/>
        <v>-9.9999999999997868E-3</v>
      </c>
      <c r="J1458" s="152" t="s">
        <v>189</v>
      </c>
      <c r="K1458" s="182" t="e">
        <f ca="1">K1455/K1457</f>
        <v>#REF!</v>
      </c>
      <c r="L1458" s="201" t="e">
        <f ca="1">L1455/L1457</f>
        <v>#REF!</v>
      </c>
      <c r="M1458" s="211">
        <f t="shared" si="123"/>
        <v>0</v>
      </c>
      <c r="N1458" s="293">
        <f t="shared" si="121"/>
        <v>1</v>
      </c>
      <c r="P1458" s="283"/>
    </row>
    <row r="1459" spans="1:16">
      <c r="B1459" s="41"/>
      <c r="C1459" s="103">
        <f t="shared" si="117"/>
        <v>45257</v>
      </c>
      <c r="E1459" s="170"/>
      <c r="F1459" s="58" t="str">
        <f>VLOOKUP(MOD(C1459,7),'CALENDAR INFO'!$I$2:$J$8,2)</f>
        <v>MON</v>
      </c>
      <c r="G1459" s="214">
        <v>5.33</v>
      </c>
      <c r="H1459" s="425">
        <v>5.32</v>
      </c>
      <c r="I1459" s="457">
        <f t="shared" si="118"/>
        <v>-9.9999999999997868E-3</v>
      </c>
      <c r="K1459" s="152"/>
      <c r="L1459" s="202"/>
      <c r="M1459" s="211">
        <f t="shared" si="123"/>
        <v>1</v>
      </c>
      <c r="N1459" s="293">
        <f t="shared" si="121"/>
        <v>1.0001477777777779</v>
      </c>
      <c r="P1459" s="284"/>
    </row>
    <row r="1460" spans="1:16">
      <c r="B1460" s="41"/>
      <c r="C1460" s="103">
        <f t="shared" si="117"/>
        <v>45258</v>
      </c>
      <c r="E1460" s="170"/>
      <c r="F1460" s="58" t="str">
        <f>VLOOKUP(MOD(C1460,7),'CALENDAR INFO'!$I$2:$J$8,2)</f>
        <v>TUE</v>
      </c>
      <c r="G1460" s="214">
        <v>5.33</v>
      </c>
      <c r="H1460" s="425">
        <v>5.32</v>
      </c>
      <c r="I1460" s="457">
        <f t="shared" si="118"/>
        <v>-9.9999999999997868E-3</v>
      </c>
      <c r="J1460" s="439" t="s">
        <v>201</v>
      </c>
      <c r="K1460" s="333" t="e">
        <f ca="1">100-K1453/K1444</f>
        <v>#DIV/0!</v>
      </c>
      <c r="L1460" s="334" t="e">
        <f ca="1">100-L1453/L1444</f>
        <v>#DIV/0!</v>
      </c>
      <c r="M1460" s="211">
        <f t="shared" si="123"/>
        <v>1</v>
      </c>
      <c r="N1460" s="293">
        <f t="shared" si="121"/>
        <v>1.0001477777777779</v>
      </c>
      <c r="P1460" s="284"/>
    </row>
    <row r="1461" spans="1:16">
      <c r="B1461" s="41"/>
      <c r="C1461" s="103">
        <f t="shared" ref="C1461:C1524" si="124">C1460+1</f>
        <v>45259</v>
      </c>
      <c r="E1461" s="170" t="s">
        <v>19</v>
      </c>
      <c r="F1461" s="58" t="str">
        <f>VLOOKUP(MOD(C1461,7),'CALENDAR INFO'!$I$2:$J$8,2)</f>
        <v>WED</v>
      </c>
      <c r="G1461" s="214">
        <v>5.33</v>
      </c>
      <c r="H1461" s="425">
        <v>5.31</v>
      </c>
      <c r="I1461" s="457">
        <f t="shared" si="118"/>
        <v>-2.0000000000000462E-2</v>
      </c>
      <c r="J1461" s="440" t="s">
        <v>200</v>
      </c>
      <c r="K1461" s="333">
        <v>94.67</v>
      </c>
      <c r="L1461" s="334">
        <v>94.680999999999997</v>
      </c>
      <c r="M1461" s="211">
        <f t="shared" si="123"/>
        <v>1</v>
      </c>
      <c r="N1461" s="293">
        <f t="shared" si="121"/>
        <v>1.0001475</v>
      </c>
    </row>
    <row r="1462" spans="1:16" ht="15.75" thickBot="1">
      <c r="A1462" s="98"/>
      <c r="B1462" s="230"/>
      <c r="C1462" s="104">
        <f t="shared" si="124"/>
        <v>45260</v>
      </c>
      <c r="D1462" s="112"/>
      <c r="E1462" s="92" t="s">
        <v>18</v>
      </c>
      <c r="F1462" s="71" t="str">
        <f>VLOOKUP(MOD(C1462,7),'CALENDAR INFO'!$I$2:$J$8,2)</f>
        <v>THU</v>
      </c>
      <c r="G1462" s="215">
        <v>5.33</v>
      </c>
      <c r="H1462" s="426">
        <v>5.33</v>
      </c>
      <c r="I1462" s="458">
        <f t="shared" si="118"/>
        <v>0</v>
      </c>
      <c r="J1462" s="437"/>
      <c r="K1462" s="335" t="s">
        <v>202</v>
      </c>
      <c r="L1462" s="336" t="s">
        <v>202</v>
      </c>
      <c r="M1462" s="113">
        <f t="shared" si="123"/>
        <v>1</v>
      </c>
      <c r="N1462" s="292">
        <f t="shared" si="121"/>
        <v>1.0001480555555555</v>
      </c>
    </row>
    <row r="1463" spans="1:16">
      <c r="A1463" s="296"/>
      <c r="B1463" s="297"/>
      <c r="C1463" s="109">
        <f t="shared" si="124"/>
        <v>45261</v>
      </c>
      <c r="D1463" s="108"/>
      <c r="E1463" s="167"/>
      <c r="F1463" s="105" t="str">
        <f>VLOOKUP(MOD(C1463,7),'CALENDAR INFO'!$I$2:$J$8,2)</f>
        <v>FRI</v>
      </c>
      <c r="G1463" s="218">
        <v>5.33</v>
      </c>
      <c r="H1463" s="430">
        <v>5.39</v>
      </c>
      <c r="I1463" s="461">
        <f t="shared" si="118"/>
        <v>5.9999999999999609E-2</v>
      </c>
      <c r="J1463" s="436" t="s">
        <v>151</v>
      </c>
      <c r="K1463" s="15">
        <f>ROW(K1463)</f>
        <v>1463</v>
      </c>
      <c r="L1463" s="179">
        <f>K1463</f>
        <v>1463</v>
      </c>
      <c r="M1463" s="116">
        <f t="shared" si="123"/>
        <v>3</v>
      </c>
      <c r="N1463" s="111">
        <f t="shared" si="121"/>
        <v>1.0004491666666666</v>
      </c>
    </row>
    <row r="1464" spans="1:16">
      <c r="A1464" s="304"/>
      <c r="B1464" s="305"/>
      <c r="C1464" s="103">
        <f t="shared" si="124"/>
        <v>45262</v>
      </c>
      <c r="E1464" s="167"/>
      <c r="F1464" s="58" t="str">
        <f>VLOOKUP(MOD(C1464,7),'CALENDAR INFO'!$I$2:$J$8,2)</f>
        <v>SAT</v>
      </c>
      <c r="G1464" s="214">
        <v>5.33</v>
      </c>
      <c r="H1464" s="425">
        <v>5.39</v>
      </c>
      <c r="I1464" s="457">
        <f t="shared" si="118"/>
        <v>5.9999999999999609E-2</v>
      </c>
      <c r="J1464" s="152" t="s">
        <v>118</v>
      </c>
      <c r="K1464" s="15">
        <f>VLOOKUP(MONTH($C1463),'CALENDAR INFO'!$I$12:$J$23,2)</f>
        <v>31</v>
      </c>
      <c r="L1464" s="179">
        <f>K1464</f>
        <v>31</v>
      </c>
      <c r="M1464" s="211">
        <f t="shared" si="123"/>
        <v>0</v>
      </c>
      <c r="N1464" s="64">
        <f t="shared" si="121"/>
        <v>1</v>
      </c>
    </row>
    <row r="1465" spans="1:16">
      <c r="A1465" s="304"/>
      <c r="B1465" s="305"/>
      <c r="C1465" s="103">
        <f t="shared" si="124"/>
        <v>45263</v>
      </c>
      <c r="E1465" s="167"/>
      <c r="F1465" s="58" t="str">
        <f>VLOOKUP(MOD(C1465,7),'CALENDAR INFO'!$I$2:$J$8,2)</f>
        <v>SUN</v>
      </c>
      <c r="G1465" s="214">
        <v>5.33</v>
      </c>
      <c r="H1465" s="425">
        <v>5.39</v>
      </c>
      <c r="I1465" s="457">
        <f t="shared" si="118"/>
        <v>5.9999999999999609E-2</v>
      </c>
      <c r="J1465" s="152" t="s">
        <v>152</v>
      </c>
      <c r="K1465" s="15">
        <f>K1464+K1463-1</f>
        <v>1493</v>
      </c>
      <c r="L1465" s="200">
        <f>K1465</f>
        <v>1493</v>
      </c>
      <c r="M1465" s="211">
        <f t="shared" si="123"/>
        <v>0</v>
      </c>
      <c r="N1465" s="64">
        <f t="shared" si="121"/>
        <v>1</v>
      </c>
    </row>
    <row r="1466" spans="1:16">
      <c r="A1466" s="304"/>
      <c r="B1466" s="305"/>
      <c r="C1466" s="103">
        <f t="shared" si="124"/>
        <v>45264</v>
      </c>
      <c r="E1466" s="167"/>
      <c r="F1466" s="58" t="str">
        <f>VLOOKUP(MOD(C1466,7),'CALENDAR INFO'!$I$2:$J$8,2)</f>
        <v>MON</v>
      </c>
      <c r="G1466" s="214">
        <v>5.33</v>
      </c>
      <c r="H1466" s="425">
        <v>5.37</v>
      </c>
      <c r="I1466" s="457">
        <f t="shared" si="118"/>
        <v>4.0000000000000036E-2</v>
      </c>
      <c r="J1466" s="152"/>
      <c r="K1466" s="182"/>
      <c r="L1466" s="201"/>
      <c r="M1466" s="211">
        <f t="shared" si="123"/>
        <v>1</v>
      </c>
      <c r="N1466" s="64">
        <f t="shared" si="121"/>
        <v>1.0001491666666666</v>
      </c>
    </row>
    <row r="1467" spans="1:16">
      <c r="A1467" s="304"/>
      <c r="B1467" s="305"/>
      <c r="C1467" s="103">
        <f t="shared" si="124"/>
        <v>45265</v>
      </c>
      <c r="E1467" s="167"/>
      <c r="F1467" s="58" t="str">
        <f>VLOOKUP(MOD(C1467,7),'CALENDAR INFO'!$I$2:$J$8,2)</f>
        <v>TUE</v>
      </c>
      <c r="G1467" s="214">
        <v>5.33</v>
      </c>
      <c r="H1467" s="425">
        <v>5.33</v>
      </c>
      <c r="I1467" s="457">
        <f t="shared" si="118"/>
        <v>0</v>
      </c>
      <c r="J1467" s="152" t="s">
        <v>192</v>
      </c>
      <c r="K1467" s="311">
        <v>1475</v>
      </c>
      <c r="L1467" s="291">
        <f>K1467</f>
        <v>1475</v>
      </c>
      <c r="M1467" s="211">
        <f t="shared" si="123"/>
        <v>1</v>
      </c>
      <c r="N1467" s="64">
        <f t="shared" si="121"/>
        <v>1.0001480555555555</v>
      </c>
    </row>
    <row r="1468" spans="1:16">
      <c r="A1468" s="304"/>
      <c r="B1468" s="305"/>
      <c r="C1468" s="103">
        <f t="shared" si="124"/>
        <v>45266</v>
      </c>
      <c r="E1468" s="167"/>
      <c r="F1468" s="58" t="str">
        <f>VLOOKUP(MOD(C1468,7),'CALENDAR INFO'!$I$2:$J$8,2)</f>
        <v>WED</v>
      </c>
      <c r="G1468" s="214">
        <v>5.33</v>
      </c>
      <c r="H1468" s="425">
        <v>5.32</v>
      </c>
      <c r="I1468" s="457">
        <f t="shared" si="118"/>
        <v>-9.9999999999997868E-3</v>
      </c>
      <c r="J1468" s="152" t="s">
        <v>193</v>
      </c>
      <c r="K1468" s="290">
        <f>K1467+1</f>
        <v>1476</v>
      </c>
      <c r="L1468" s="291">
        <f>K1468</f>
        <v>1476</v>
      </c>
      <c r="M1468" s="211">
        <f t="shared" si="123"/>
        <v>1</v>
      </c>
      <c r="N1468" s="64">
        <f t="shared" si="121"/>
        <v>1.0001477777777779</v>
      </c>
    </row>
    <row r="1469" spans="1:16">
      <c r="A1469" s="304"/>
      <c r="B1469" s="305"/>
      <c r="C1469" s="103">
        <f t="shared" si="124"/>
        <v>45267</v>
      </c>
      <c r="E1469" s="167"/>
      <c r="F1469" s="58" t="str">
        <f>VLOOKUP(MOD(C1469,7),'CALENDAR INFO'!$I$2:$J$8,2)</f>
        <v>THU</v>
      </c>
      <c r="G1469" s="214">
        <v>5.33</v>
      </c>
      <c r="H1469" s="425">
        <v>5.32</v>
      </c>
      <c r="I1469" s="457">
        <f t="shared" si="118"/>
        <v>-9.9999999999997868E-3</v>
      </c>
      <c r="J1469" s="152"/>
      <c r="K1469" s="152"/>
      <c r="L1469" s="202"/>
      <c r="M1469" s="211">
        <f t="shared" si="123"/>
        <v>1</v>
      </c>
      <c r="N1469" s="64">
        <f t="shared" si="121"/>
        <v>1.0001477777777779</v>
      </c>
    </row>
    <row r="1470" spans="1:16">
      <c r="A1470" s="304"/>
      <c r="B1470" s="305"/>
      <c r="C1470" s="103">
        <f t="shared" si="124"/>
        <v>45268</v>
      </c>
      <c r="E1470" s="167"/>
      <c r="F1470" s="58" t="str">
        <f>VLOOKUP(MOD(C1470,7),'CALENDAR INFO'!$I$2:$J$8,2)</f>
        <v>FRI</v>
      </c>
      <c r="G1470" s="214">
        <v>5.33</v>
      </c>
      <c r="H1470" s="425">
        <v>5.32</v>
      </c>
      <c r="I1470" s="457">
        <f t="shared" si="118"/>
        <v>-9.9999999999997868E-3</v>
      </c>
      <c r="J1470" s="152" t="s">
        <v>153</v>
      </c>
      <c r="K1470" s="312" t="str">
        <f>_xlfn.CONCAT("A",TEXT(K1463,0),":","A",TEXT(K1465,0))</f>
        <v>A1463:A1493</v>
      </c>
      <c r="L1470" s="313" t="str">
        <f>_xlfn.CONCAT("B",TEXT(L1463,0),":","B",TEXT(L1465,0))</f>
        <v>B1463:B1493</v>
      </c>
      <c r="M1470" s="211">
        <f t="shared" si="123"/>
        <v>3</v>
      </c>
      <c r="N1470" s="64">
        <f t="shared" si="121"/>
        <v>1.0004433333333334</v>
      </c>
    </row>
    <row r="1471" spans="1:16">
      <c r="A1471" s="304"/>
      <c r="B1471" s="305"/>
      <c r="C1471" s="103">
        <f t="shared" si="124"/>
        <v>45269</v>
      </c>
      <c r="E1471" s="167"/>
      <c r="F1471" s="58" t="str">
        <f>VLOOKUP(MOD(C1471,7),'CALENDAR INFO'!$I$2:$J$8,2)</f>
        <v>SAT</v>
      </c>
      <c r="G1471" s="214">
        <v>5.33</v>
      </c>
      <c r="H1471" s="425">
        <v>5.32</v>
      </c>
      <c r="I1471" s="457">
        <f t="shared" si="118"/>
        <v>-9.9999999999997868E-3</v>
      </c>
      <c r="J1471" s="152" t="s">
        <v>190</v>
      </c>
      <c r="K1471" s="182" t="str">
        <f>_xlfn.CONCAT("F",TEXT(K1463,0),":","F",TEXT(K1467,0))</f>
        <v>F1463:F1475</v>
      </c>
      <c r="L1471" s="201" t="str">
        <f>_xlfn.CONCAT("G",TEXT(L1463,0),":","G",TEXT(L1467,0))</f>
        <v>G1463:G1475</v>
      </c>
      <c r="M1471" s="211">
        <f t="shared" si="123"/>
        <v>0</v>
      </c>
      <c r="N1471" s="64">
        <f t="shared" si="121"/>
        <v>1</v>
      </c>
    </row>
    <row r="1472" spans="1:16">
      <c r="A1472" s="304"/>
      <c r="B1472" s="305"/>
      <c r="C1472" s="103">
        <f t="shared" si="124"/>
        <v>45270</v>
      </c>
      <c r="E1472" s="167"/>
      <c r="F1472" s="58" t="str">
        <f>VLOOKUP(MOD(C1472,7),'CALENDAR INFO'!$I$2:$J$8,2)</f>
        <v>SUN</v>
      </c>
      <c r="G1472" s="214">
        <v>5.33</v>
      </c>
      <c r="H1472" s="425">
        <v>5.32</v>
      </c>
      <c r="I1472" s="457">
        <f t="shared" si="118"/>
        <v>-9.9999999999997868E-3</v>
      </c>
      <c r="J1472" s="152" t="s">
        <v>191</v>
      </c>
      <c r="K1472" s="152" t="str">
        <f>_xlfn.CONCAT("F",TEXT(K1468,0),":","F",TEXT(K1465,0))</f>
        <v>F1476:F1493</v>
      </c>
      <c r="L1472" s="201" t="str">
        <f>_xlfn.CONCAT("G",TEXT(L1468,0),":","G",TEXT(L1465,0))</f>
        <v>G1476:G1493</v>
      </c>
      <c r="M1472" s="211">
        <f t="shared" si="123"/>
        <v>0</v>
      </c>
      <c r="N1472" s="64">
        <f t="shared" si="121"/>
        <v>1</v>
      </c>
    </row>
    <row r="1473" spans="1:16">
      <c r="A1473" s="304"/>
      <c r="B1473" s="305"/>
      <c r="C1473" s="103">
        <f t="shared" si="124"/>
        <v>45271</v>
      </c>
      <c r="E1473" s="167"/>
      <c r="F1473" s="58" t="str">
        <f>VLOOKUP(MOD(C1473,7),'CALENDAR INFO'!$I$2:$J$8,2)</f>
        <v>MON</v>
      </c>
      <c r="G1473" s="214">
        <v>5.33</v>
      </c>
      <c r="H1473" s="425">
        <v>5.32</v>
      </c>
      <c r="I1473" s="457">
        <f t="shared" si="118"/>
        <v>-9.9999999999997868E-3</v>
      </c>
      <c r="J1473" s="152"/>
      <c r="K1473" s="182"/>
      <c r="L1473" s="201"/>
      <c r="M1473" s="211">
        <f t="shared" si="123"/>
        <v>1</v>
      </c>
      <c r="N1473" s="64">
        <f t="shared" si="121"/>
        <v>1.0001477777777779</v>
      </c>
      <c r="O1473" s="282"/>
      <c r="P1473" s="283"/>
    </row>
    <row r="1474" spans="1:16">
      <c r="A1474" s="304"/>
      <c r="B1474" s="305"/>
      <c r="C1474" s="103">
        <f t="shared" si="124"/>
        <v>45272</v>
      </c>
      <c r="D1474" s="153" t="s">
        <v>20</v>
      </c>
      <c r="E1474" s="167"/>
      <c r="F1474" s="58" t="str">
        <f>VLOOKUP(MOD(C1474,7),'CALENDAR INFO'!$I$2:$J$8,2)</f>
        <v>TUE</v>
      </c>
      <c r="G1474" s="214">
        <v>5.33</v>
      </c>
      <c r="H1474" s="425">
        <v>5.31</v>
      </c>
      <c r="I1474" s="457">
        <f t="shared" si="118"/>
        <v>-2.0000000000000462E-2</v>
      </c>
      <c r="J1474" s="15" t="s">
        <v>194</v>
      </c>
      <c r="K1474" s="152">
        <f t="shared" ref="K1474:L1476" ca="1" si="125">COUNTA(INDIRECT(K1470))</f>
        <v>0</v>
      </c>
      <c r="L1474" s="202">
        <f t="shared" ca="1" si="125"/>
        <v>0</v>
      </c>
      <c r="M1474" s="211">
        <f t="shared" si="123"/>
        <v>1</v>
      </c>
      <c r="N1474" s="64">
        <f t="shared" si="121"/>
        <v>1.0001475</v>
      </c>
      <c r="O1474" s="282"/>
      <c r="P1474" s="284"/>
    </row>
    <row r="1475" spans="1:16">
      <c r="A1475" s="304"/>
      <c r="B1475" s="305"/>
      <c r="C1475" s="103">
        <f t="shared" si="124"/>
        <v>45273</v>
      </c>
      <c r="D1475" s="153" t="s">
        <v>20</v>
      </c>
      <c r="E1475" s="167" t="s">
        <v>19</v>
      </c>
      <c r="F1475" s="58" t="str">
        <f>VLOOKUP(MOD(C1475,7),'CALENDAR INFO'!$I$2:$J$8,2)</f>
        <v>WED</v>
      </c>
      <c r="G1475" s="214">
        <v>5.33</v>
      </c>
      <c r="H1475" s="425">
        <v>5.31</v>
      </c>
      <c r="I1475" s="457">
        <f t="shared" ref="I1475:I1538" si="126">H1475-G1475</f>
        <v>-2.0000000000000462E-2</v>
      </c>
      <c r="J1475" s="152" t="s">
        <v>195</v>
      </c>
      <c r="K1475" s="306">
        <f t="shared" ca="1" si="125"/>
        <v>13</v>
      </c>
      <c r="L1475" s="200">
        <f t="shared" ca="1" si="125"/>
        <v>13</v>
      </c>
      <c r="M1475" s="211">
        <f t="shared" si="123"/>
        <v>1</v>
      </c>
      <c r="N1475" s="64">
        <f t="shared" si="121"/>
        <v>1.0001475</v>
      </c>
    </row>
    <row r="1476" spans="1:16">
      <c r="B1476" s="41"/>
      <c r="C1476" s="103">
        <f t="shared" si="124"/>
        <v>45274</v>
      </c>
      <c r="E1476" s="170" t="s">
        <v>18</v>
      </c>
      <c r="F1476" s="58" t="str">
        <f>VLOOKUP(MOD(C1476,7),'CALENDAR INFO'!$I$2:$J$8,2)</f>
        <v>THU</v>
      </c>
      <c r="G1476" s="214">
        <v>5.33</v>
      </c>
      <c r="H1476" s="425">
        <v>5.31</v>
      </c>
      <c r="I1476" s="457">
        <f t="shared" si="126"/>
        <v>-2.0000000000000462E-2</v>
      </c>
      <c r="J1476" s="15" t="s">
        <v>196</v>
      </c>
      <c r="K1476" s="306">
        <f t="shared" ca="1" si="125"/>
        <v>18</v>
      </c>
      <c r="L1476" s="200">
        <f t="shared" ca="1" si="125"/>
        <v>18</v>
      </c>
      <c r="M1476" s="211">
        <f t="shared" si="123"/>
        <v>1</v>
      </c>
      <c r="N1476" s="64">
        <f t="shared" si="121"/>
        <v>1.0001475</v>
      </c>
    </row>
    <row r="1477" spans="1:16">
      <c r="B1477" s="41"/>
      <c r="C1477" s="103">
        <f t="shared" si="124"/>
        <v>45275</v>
      </c>
      <c r="E1477" s="170"/>
      <c r="F1477" s="58" t="str">
        <f>VLOOKUP(MOD(C1477,7),'CALENDAR INFO'!$I$2:$J$8,2)</f>
        <v>FRI</v>
      </c>
      <c r="G1477" s="214">
        <v>5.33</v>
      </c>
      <c r="H1477" s="425">
        <v>5.32</v>
      </c>
      <c r="I1477" s="457">
        <f t="shared" si="126"/>
        <v>-9.9999999999997868E-3</v>
      </c>
      <c r="K1477" s="178"/>
      <c r="L1477" s="192"/>
      <c r="M1477" s="211">
        <f t="shared" si="123"/>
        <v>3</v>
      </c>
      <c r="N1477" s="64">
        <f t="shared" si="121"/>
        <v>1.0004433333333334</v>
      </c>
    </row>
    <row r="1478" spans="1:16">
      <c r="B1478" s="41"/>
      <c r="C1478" s="103">
        <f t="shared" si="124"/>
        <v>45276</v>
      </c>
      <c r="E1478" s="170"/>
      <c r="F1478" s="58" t="str">
        <f>VLOOKUP(MOD(C1478,7),'CALENDAR INFO'!$I$2:$J$8,2)</f>
        <v>SAT</v>
      </c>
      <c r="G1478" s="214">
        <v>5.33</v>
      </c>
      <c r="H1478" s="425">
        <v>5.32</v>
      </c>
      <c r="I1478" s="457">
        <f t="shared" si="126"/>
        <v>-9.9999999999997868E-3</v>
      </c>
      <c r="J1478" s="152" t="s">
        <v>197</v>
      </c>
      <c r="K1478" s="180" t="e">
        <f>OUTPUT!#REF!</f>
        <v>#REF!</v>
      </c>
      <c r="L1478" s="193" t="e">
        <f>OUTPUT!#REF!</f>
        <v>#REF!</v>
      </c>
      <c r="M1478" s="211">
        <f t="shared" si="123"/>
        <v>0</v>
      </c>
      <c r="N1478" s="64">
        <f t="shared" si="121"/>
        <v>1</v>
      </c>
    </row>
    <row r="1479" spans="1:16">
      <c r="B1479" s="41"/>
      <c r="C1479" s="103">
        <f t="shared" si="124"/>
        <v>45277</v>
      </c>
      <c r="E1479" s="170"/>
      <c r="F1479" s="58" t="str">
        <f>VLOOKUP(MOD(C1479,7),'CALENDAR INFO'!$I$2:$J$8,2)</f>
        <v>SUN</v>
      </c>
      <c r="G1479" s="214">
        <v>5.33</v>
      </c>
      <c r="H1479" s="425">
        <v>5.32</v>
      </c>
      <c r="I1479" s="457">
        <f t="shared" si="126"/>
        <v>-9.9999999999997868E-3</v>
      </c>
      <c r="J1479" s="152" t="s">
        <v>118</v>
      </c>
      <c r="K1479" s="314">
        <f>K1464</f>
        <v>31</v>
      </c>
      <c r="L1479" s="315">
        <f>L1464</f>
        <v>31</v>
      </c>
      <c r="M1479" s="211">
        <f t="shared" si="123"/>
        <v>0</v>
      </c>
      <c r="N1479" s="64">
        <f t="shared" si="121"/>
        <v>1</v>
      </c>
    </row>
    <row r="1480" spans="1:16">
      <c r="B1480" s="41"/>
      <c r="C1480" s="103">
        <f t="shared" si="124"/>
        <v>45278</v>
      </c>
      <c r="E1480" s="170"/>
      <c r="F1480" s="58" t="str">
        <f>VLOOKUP(MOD(C1480,7),'CALENDAR INFO'!$I$2:$J$8,2)</f>
        <v>MON</v>
      </c>
      <c r="G1480" s="214">
        <v>5.33</v>
      </c>
      <c r="H1480" s="425">
        <v>5.32</v>
      </c>
      <c r="I1480" s="457">
        <f t="shared" si="126"/>
        <v>-9.9999999999997868E-3</v>
      </c>
      <c r="J1480" s="152" t="s">
        <v>184</v>
      </c>
      <c r="K1480" s="178" t="e">
        <f>K1478*K1479</f>
        <v>#REF!</v>
      </c>
      <c r="L1480" s="192" t="e">
        <f>L1478*L1479</f>
        <v>#REF!</v>
      </c>
      <c r="M1480" s="211">
        <f t="shared" si="123"/>
        <v>1</v>
      </c>
      <c r="N1480" s="64">
        <f t="shared" si="121"/>
        <v>1.0001477777777779</v>
      </c>
    </row>
    <row r="1481" spans="1:16">
      <c r="B1481" s="41"/>
      <c r="C1481" s="103">
        <f t="shared" si="124"/>
        <v>45279</v>
      </c>
      <c r="E1481" s="170"/>
      <c r="F1481" s="58" t="str">
        <f>VLOOKUP(MOD(C1481,7),'CALENDAR INFO'!$I$2:$J$8,2)</f>
        <v>TUE</v>
      </c>
      <c r="G1481" s="214">
        <v>5.33</v>
      </c>
      <c r="H1481" s="425">
        <v>5.31</v>
      </c>
      <c r="I1481" s="457">
        <f t="shared" si="126"/>
        <v>-2.0000000000000462E-2</v>
      </c>
      <c r="J1481" s="152"/>
      <c r="K1481" s="306"/>
      <c r="L1481" s="200"/>
      <c r="M1481" s="211">
        <f t="shared" si="123"/>
        <v>1</v>
      </c>
      <c r="N1481" s="64">
        <f t="shared" si="121"/>
        <v>1.0001475</v>
      </c>
    </row>
    <row r="1482" spans="1:16">
      <c r="B1482" s="41"/>
      <c r="C1482" s="103">
        <f t="shared" si="124"/>
        <v>45280</v>
      </c>
      <c r="E1482" s="170"/>
      <c r="F1482" s="58" t="str">
        <f>VLOOKUP(MOD(C1482,7),'CALENDAR INFO'!$I$2:$J$8,2)</f>
        <v>WED</v>
      </c>
      <c r="G1482" s="214">
        <v>5.33</v>
      </c>
      <c r="H1482" s="425">
        <v>5.31</v>
      </c>
      <c r="I1482" s="457">
        <f t="shared" si="126"/>
        <v>-2.0000000000000462E-2</v>
      </c>
      <c r="J1482" s="152" t="s">
        <v>187</v>
      </c>
      <c r="K1482" s="207" t="e">
        <f>K1480</f>
        <v>#REF!</v>
      </c>
      <c r="L1482" s="208" t="e">
        <f>L1480</f>
        <v>#REF!</v>
      </c>
      <c r="M1482" s="211">
        <f t="shared" si="123"/>
        <v>1</v>
      </c>
      <c r="N1482" s="64">
        <f t="shared" si="121"/>
        <v>1.0001475</v>
      </c>
    </row>
    <row r="1483" spans="1:16">
      <c r="B1483" s="41"/>
      <c r="C1483" s="103">
        <f t="shared" si="124"/>
        <v>45281</v>
      </c>
      <c r="E1483" s="170"/>
      <c r="F1483" s="58" t="str">
        <f>VLOOKUP(MOD(C1483,7),'CALENDAR INFO'!$I$2:$J$8,2)</f>
        <v>THU</v>
      </c>
      <c r="G1483" s="214">
        <v>5.33</v>
      </c>
      <c r="H1483" s="425">
        <v>5.31</v>
      </c>
      <c r="I1483" s="457">
        <f t="shared" si="126"/>
        <v>-2.0000000000000462E-2</v>
      </c>
      <c r="J1483" s="15" t="s">
        <v>155</v>
      </c>
      <c r="K1483" s="182">
        <f ca="1">SUM(INDIRECT(K1470))</f>
        <v>0</v>
      </c>
      <c r="L1483" s="201">
        <f ca="1">SUM(INDIRECT(L1470))</f>
        <v>0</v>
      </c>
      <c r="M1483" s="211">
        <f t="shared" si="123"/>
        <v>1</v>
      </c>
      <c r="N1483" s="64">
        <f t="shared" si="121"/>
        <v>1.0001475</v>
      </c>
    </row>
    <row r="1484" spans="1:16">
      <c r="B1484" s="41"/>
      <c r="C1484" s="103">
        <f t="shared" si="124"/>
        <v>45282</v>
      </c>
      <c r="E1484" s="170"/>
      <c r="F1484" s="58" t="str">
        <f>VLOOKUP(MOD(C1484,7),'CALENDAR INFO'!$I$2:$J$8,2)</f>
        <v>FRI</v>
      </c>
      <c r="G1484" s="214">
        <v>5.33</v>
      </c>
      <c r="H1484" s="425">
        <v>5.32</v>
      </c>
      <c r="I1484" s="457">
        <f t="shared" si="126"/>
        <v>-9.9999999999997868E-3</v>
      </c>
      <c r="J1484" s="15" t="s">
        <v>185</v>
      </c>
      <c r="K1484" s="182">
        <f ca="1">SUM(INDIRECT(K1471))</f>
        <v>0</v>
      </c>
      <c r="L1484" s="201">
        <f ca="1">SUM(INDIRECT(L1471))</f>
        <v>69.289999999999992</v>
      </c>
      <c r="M1484" s="117">
        <v>4</v>
      </c>
      <c r="N1484" s="64">
        <f t="shared" si="121"/>
        <v>1.0005911111111112</v>
      </c>
    </row>
    <row r="1485" spans="1:16">
      <c r="B1485" s="41"/>
      <c r="C1485" s="103">
        <f t="shared" si="124"/>
        <v>45283</v>
      </c>
      <c r="E1485" s="170"/>
      <c r="F1485" s="58" t="str">
        <f>VLOOKUP(MOD(C1485,7),'CALENDAR INFO'!$I$2:$J$8,2)</f>
        <v>SAT</v>
      </c>
      <c r="G1485" s="214">
        <v>5.33</v>
      </c>
      <c r="H1485" s="425">
        <v>5.32</v>
      </c>
      <c r="I1485" s="457">
        <f t="shared" si="126"/>
        <v>-9.9999999999997868E-3</v>
      </c>
      <c r="J1485" s="15" t="s">
        <v>186</v>
      </c>
      <c r="K1485" s="182" t="e">
        <f ca="1">K1482-K1483-K1484</f>
        <v>#REF!</v>
      </c>
      <c r="L1485" s="201" t="e">
        <f ca="1">L1482-L1483-L1484</f>
        <v>#REF!</v>
      </c>
      <c r="M1485" s="211">
        <f>IF(MOD(C1485,7)&lt;2,0,IF(MOD(C1485,7)=6,3,1))</f>
        <v>0</v>
      </c>
      <c r="N1485" s="64">
        <f t="shared" si="121"/>
        <v>1</v>
      </c>
    </row>
    <row r="1486" spans="1:16">
      <c r="B1486" s="41"/>
      <c r="C1486" s="103">
        <f t="shared" si="124"/>
        <v>45284</v>
      </c>
      <c r="E1486" s="170"/>
      <c r="F1486" s="58" t="str">
        <f>VLOOKUP(MOD(C1486,7),'CALENDAR INFO'!$I$2:$J$8,2)</f>
        <v>SUN</v>
      </c>
      <c r="G1486" s="214">
        <v>5.33</v>
      </c>
      <c r="H1486" s="425">
        <v>5.32</v>
      </c>
      <c r="I1486" s="457">
        <f t="shared" si="126"/>
        <v>-9.9999999999997868E-3</v>
      </c>
      <c r="K1486" s="182"/>
      <c r="L1486" s="201"/>
      <c r="M1486" s="211">
        <f>IF(MOD(C1486,7)&lt;2,0,IF(MOD(C1486,7)=6,3,1))</f>
        <v>0</v>
      </c>
      <c r="N1486" s="64">
        <f t="shared" si="121"/>
        <v>1</v>
      </c>
    </row>
    <row r="1487" spans="1:16">
      <c r="B1487" s="41"/>
      <c r="C1487" s="103">
        <f t="shared" si="124"/>
        <v>45285</v>
      </c>
      <c r="D1487" s="173" t="s">
        <v>111</v>
      </c>
      <c r="E1487" s="170"/>
      <c r="F1487" s="58" t="str">
        <f>VLOOKUP(MOD(C1487,7),'CALENDAR INFO'!$I$2:$J$8,2)</f>
        <v>MON</v>
      </c>
      <c r="G1487" s="214">
        <v>5.33</v>
      </c>
      <c r="H1487" s="425">
        <v>5.32</v>
      </c>
      <c r="I1487" s="457">
        <f t="shared" si="126"/>
        <v>-9.9999999999997868E-3</v>
      </c>
      <c r="J1487" s="15" t="s">
        <v>188</v>
      </c>
      <c r="K1487" s="290">
        <f ca="1">K1464-K1474-K1475</f>
        <v>18</v>
      </c>
      <c r="L1487" s="291">
        <f ca="1">L1464-L1474-L1475</f>
        <v>18</v>
      </c>
      <c r="M1487" s="117">
        <v>0</v>
      </c>
      <c r="N1487" s="64">
        <f t="shared" si="121"/>
        <v>1</v>
      </c>
    </row>
    <row r="1488" spans="1:16">
      <c r="B1488" s="41"/>
      <c r="C1488" s="103">
        <f t="shared" si="124"/>
        <v>45286</v>
      </c>
      <c r="E1488" s="170"/>
      <c r="F1488" s="58" t="str">
        <f>VLOOKUP(MOD(C1488,7),'CALENDAR INFO'!$I$2:$J$8,2)</f>
        <v>TUE</v>
      </c>
      <c r="G1488" s="214">
        <v>5.33</v>
      </c>
      <c r="H1488" s="425">
        <v>5.35</v>
      </c>
      <c r="I1488" s="457">
        <f t="shared" si="126"/>
        <v>1.9999999999999574E-2</v>
      </c>
      <c r="J1488" s="15" t="s">
        <v>189</v>
      </c>
      <c r="K1488" s="182" t="e">
        <f ca="1">K1485/K1487</f>
        <v>#REF!</v>
      </c>
      <c r="L1488" s="201" t="e">
        <f ca="1">L1485/L1487</f>
        <v>#REF!</v>
      </c>
      <c r="M1488" s="211">
        <f>IF(MOD(C1488,7)&lt;2,0,IF(MOD(C1488,7)=6,3,1))</f>
        <v>1</v>
      </c>
      <c r="N1488" s="64">
        <f t="shared" si="121"/>
        <v>1.0001486111111111</v>
      </c>
    </row>
    <row r="1489" spans="1:16">
      <c r="B1489" s="41"/>
      <c r="C1489" s="103">
        <f t="shared" si="124"/>
        <v>45287</v>
      </c>
      <c r="E1489" s="170" t="s">
        <v>19</v>
      </c>
      <c r="F1489" s="58" t="str">
        <f>VLOOKUP(MOD(C1489,7),'CALENDAR INFO'!$I$2:$J$8,2)</f>
        <v>WED</v>
      </c>
      <c r="G1489" s="214">
        <v>5.33</v>
      </c>
      <c r="H1489" s="425">
        <v>5.39</v>
      </c>
      <c r="I1489" s="457">
        <f t="shared" si="126"/>
        <v>5.9999999999999609E-2</v>
      </c>
      <c r="J1489" s="152"/>
      <c r="K1489" s="182"/>
      <c r="L1489" s="201"/>
      <c r="M1489" s="211">
        <f>IF(MOD(C1489,7)&lt;2,0,IF(MOD(C1489,7)=6,3,1))</f>
        <v>1</v>
      </c>
      <c r="N1489" s="64">
        <f t="shared" si="121"/>
        <v>1.0001497222222222</v>
      </c>
      <c r="P1489" s="283"/>
    </row>
    <row r="1490" spans="1:16">
      <c r="B1490" s="41"/>
      <c r="C1490" s="103">
        <f t="shared" si="124"/>
        <v>45288</v>
      </c>
      <c r="E1490" s="167" t="s">
        <v>18</v>
      </c>
      <c r="F1490" s="58" t="str">
        <f>VLOOKUP(MOD(C1490,7),'CALENDAR INFO'!$I$2:$J$8,2)</f>
        <v>THU</v>
      </c>
      <c r="G1490" s="214">
        <v>5.33</v>
      </c>
      <c r="H1490" s="425">
        <v>5.4</v>
      </c>
      <c r="I1490" s="457">
        <f t="shared" si="126"/>
        <v>7.0000000000000284E-2</v>
      </c>
      <c r="J1490" s="439" t="s">
        <v>201</v>
      </c>
      <c r="K1490" s="333" t="e">
        <f ca="1">100-K1483/K1474</f>
        <v>#DIV/0!</v>
      </c>
      <c r="L1490" s="334" t="e">
        <f ca="1">100-L1483/L1474</f>
        <v>#DIV/0!</v>
      </c>
      <c r="M1490" s="211">
        <f>IF(MOD(C1490,7)&lt;2,0,IF(MOD(C1490,7)=6,3,1))</f>
        <v>1</v>
      </c>
      <c r="N1490" s="64">
        <f t="shared" si="121"/>
        <v>1.0001500000000001</v>
      </c>
      <c r="P1490" s="284"/>
    </row>
    <row r="1491" spans="1:16">
      <c r="B1491" s="41"/>
      <c r="C1491" s="103">
        <f t="shared" si="124"/>
        <v>45289</v>
      </c>
      <c r="E1491" s="167"/>
      <c r="F1491" s="58" t="str">
        <f>VLOOKUP(MOD(C1491,7),'CALENDAR INFO'!$I$2:$J$8,2)</f>
        <v>FRI</v>
      </c>
      <c r="G1491" s="214">
        <v>5.33</v>
      </c>
      <c r="H1491" s="425">
        <v>5.38</v>
      </c>
      <c r="I1491" s="457">
        <f t="shared" si="126"/>
        <v>4.9999999999999822E-2</v>
      </c>
      <c r="J1491" s="440" t="s">
        <v>200</v>
      </c>
      <c r="K1491" s="333">
        <v>94.67</v>
      </c>
      <c r="L1491" s="334">
        <v>94.662000000000006</v>
      </c>
      <c r="M1491" s="117">
        <v>4</v>
      </c>
      <c r="N1491" s="64">
        <f t="shared" ref="N1491:N1554" si="127">1+(M1491/360)*(MAX(H1491,B1491)/100)</f>
        <v>1.0005977777777777</v>
      </c>
      <c r="P1491" s="284"/>
    </row>
    <row r="1492" spans="1:16">
      <c r="B1492" s="41"/>
      <c r="C1492" s="103">
        <f t="shared" si="124"/>
        <v>45290</v>
      </c>
      <c r="E1492" s="167"/>
      <c r="F1492" s="58" t="str">
        <f>VLOOKUP(MOD(C1492,7),'CALENDAR INFO'!$I$2:$J$8,2)</f>
        <v>SAT</v>
      </c>
      <c r="G1492" s="214">
        <v>5.33</v>
      </c>
      <c r="H1492" s="425">
        <v>5.38</v>
      </c>
      <c r="I1492" s="457">
        <f t="shared" si="126"/>
        <v>4.9999999999999822E-2</v>
      </c>
      <c r="J1492" s="152"/>
      <c r="K1492" s="183" t="s">
        <v>202</v>
      </c>
      <c r="L1492" s="193" t="s">
        <v>202</v>
      </c>
      <c r="M1492" s="211">
        <f>IF(MOD(C1492,7)&lt;2,0,IF(MOD(C1492,7)=6,3,1))</f>
        <v>0</v>
      </c>
      <c r="N1492" s="64">
        <f t="shared" si="127"/>
        <v>1</v>
      </c>
    </row>
    <row r="1493" spans="1:16" ht="15.75" thickBot="1">
      <c r="A1493" s="98"/>
      <c r="B1493" s="230"/>
      <c r="C1493" s="104">
        <f t="shared" si="124"/>
        <v>45291</v>
      </c>
      <c r="D1493" s="112"/>
      <c r="E1493" s="92"/>
      <c r="F1493" s="71" t="str">
        <f>VLOOKUP(MOD(C1493,7),'CALENDAR INFO'!$I$2:$J$8,2)</f>
        <v>SUN</v>
      </c>
      <c r="G1493" s="215">
        <v>5.33</v>
      </c>
      <c r="H1493" s="426">
        <v>5.38</v>
      </c>
      <c r="I1493" s="458">
        <f t="shared" si="126"/>
        <v>4.9999999999999822E-2</v>
      </c>
      <c r="J1493" s="437"/>
      <c r="K1493" s="184"/>
      <c r="L1493" s="205"/>
      <c r="M1493" s="113">
        <f>IF(MOD(C1493,7)&lt;2,0,IF(MOD(C1493,7)=6,3,1))</f>
        <v>0</v>
      </c>
      <c r="N1493" s="77">
        <f t="shared" si="127"/>
        <v>1</v>
      </c>
    </row>
    <row r="1494" spans="1:16">
      <c r="A1494" s="304"/>
      <c r="B1494" s="305"/>
      <c r="C1494" s="109">
        <f t="shared" si="124"/>
        <v>45292</v>
      </c>
      <c r="D1494" s="108" t="s">
        <v>115</v>
      </c>
      <c r="E1494" s="107"/>
      <c r="F1494" s="105" t="str">
        <f>VLOOKUP(MOD(C1494,7),'CALENDAR INFO'!$I$2:$J$8,2)</f>
        <v>MON</v>
      </c>
      <c r="G1494" s="214">
        <v>5.33</v>
      </c>
      <c r="H1494" s="425">
        <v>5.38</v>
      </c>
      <c r="I1494" s="457">
        <f t="shared" si="126"/>
        <v>4.9999999999999822E-2</v>
      </c>
      <c r="J1494" s="438" t="s">
        <v>151</v>
      </c>
      <c r="K1494" s="15">
        <f>ROW(K1494)</f>
        <v>1494</v>
      </c>
      <c r="L1494" s="179">
        <f>K1494</f>
        <v>1494</v>
      </c>
      <c r="M1494" s="116">
        <v>0</v>
      </c>
      <c r="N1494" s="111">
        <f t="shared" si="127"/>
        <v>1</v>
      </c>
    </row>
    <row r="1495" spans="1:16">
      <c r="B1495" s="41"/>
      <c r="C1495" s="103">
        <f t="shared" si="124"/>
        <v>45293</v>
      </c>
      <c r="E1495" s="167"/>
      <c r="F1495" s="58" t="str">
        <f>VLOOKUP(MOD(C1495,7),'CALENDAR INFO'!$I$2:$J$8,2)</f>
        <v>TUE</v>
      </c>
      <c r="G1495" s="214">
        <v>5.33</v>
      </c>
      <c r="H1495" s="425">
        <v>5.4</v>
      </c>
      <c r="I1495" s="457">
        <f t="shared" si="126"/>
        <v>7.0000000000000284E-2</v>
      </c>
      <c r="J1495" s="152" t="s">
        <v>118</v>
      </c>
      <c r="K1495" s="15">
        <f>VLOOKUP(MONTH($C1494),'CALENDAR INFO'!$I$12:$J$23,2)</f>
        <v>31</v>
      </c>
      <c r="L1495" s="179">
        <f>K1495</f>
        <v>31</v>
      </c>
      <c r="M1495" s="210">
        <f t="shared" ref="M1495:M1504" si="128">IF(MOD(C1495,7)&lt;2,0,IF(MOD(C1495,7)=6,3,1))</f>
        <v>1</v>
      </c>
      <c r="N1495" s="64">
        <f t="shared" si="127"/>
        <v>1.0001500000000001</v>
      </c>
    </row>
    <row r="1496" spans="1:16">
      <c r="B1496" s="41"/>
      <c r="C1496" s="103">
        <f t="shared" si="124"/>
        <v>45294</v>
      </c>
      <c r="E1496" s="167"/>
      <c r="F1496" s="58" t="str">
        <f>VLOOKUP(MOD(C1496,7),'CALENDAR INFO'!$I$2:$J$8,2)</f>
        <v>WED</v>
      </c>
      <c r="G1496" s="214">
        <v>5.33</v>
      </c>
      <c r="H1496" s="425">
        <v>5.39</v>
      </c>
      <c r="I1496" s="457">
        <f t="shared" si="126"/>
        <v>5.9999999999999609E-2</v>
      </c>
      <c r="J1496" s="15" t="s">
        <v>152</v>
      </c>
      <c r="K1496" s="15">
        <f>K1495+K1494-1</f>
        <v>1524</v>
      </c>
      <c r="L1496" s="179">
        <f>K1496</f>
        <v>1524</v>
      </c>
      <c r="M1496" s="210">
        <f t="shared" si="128"/>
        <v>1</v>
      </c>
      <c r="N1496" s="64">
        <f t="shared" si="127"/>
        <v>1.0001497222222222</v>
      </c>
    </row>
    <row r="1497" spans="1:16">
      <c r="B1497" s="41"/>
      <c r="C1497" s="103">
        <f t="shared" si="124"/>
        <v>45295</v>
      </c>
      <c r="E1497" s="167"/>
      <c r="F1497" s="58" t="str">
        <f>VLOOKUP(MOD(C1497,7),'CALENDAR INFO'!$I$2:$J$8,2)</f>
        <v>THU</v>
      </c>
      <c r="G1497" s="214">
        <v>5.33</v>
      </c>
      <c r="H1497" s="425">
        <v>5.32</v>
      </c>
      <c r="I1497" s="457">
        <f t="shared" si="126"/>
        <v>-9.9999999999997868E-3</v>
      </c>
      <c r="M1497" s="210">
        <f t="shared" si="128"/>
        <v>1</v>
      </c>
      <c r="N1497" s="64">
        <f t="shared" si="127"/>
        <v>1.0001477777777779</v>
      </c>
    </row>
    <row r="1498" spans="1:16">
      <c r="B1498" s="41"/>
      <c r="C1498" s="103">
        <f t="shared" si="124"/>
        <v>45296</v>
      </c>
      <c r="E1498" s="167"/>
      <c r="F1498" s="58" t="str">
        <f>VLOOKUP(MOD(C1498,7),'CALENDAR INFO'!$I$2:$J$8,2)</f>
        <v>FRI</v>
      </c>
      <c r="G1498" s="214">
        <v>5.33</v>
      </c>
      <c r="H1498" s="425">
        <v>5.31</v>
      </c>
      <c r="I1498" s="457">
        <f t="shared" si="126"/>
        <v>-2.0000000000000462E-2</v>
      </c>
      <c r="J1498" s="15" t="s">
        <v>192</v>
      </c>
      <c r="K1498" s="310">
        <v>1494</v>
      </c>
      <c r="L1498" s="202">
        <f>K1498</f>
        <v>1494</v>
      </c>
      <c r="M1498" s="210">
        <f t="shared" si="128"/>
        <v>3</v>
      </c>
      <c r="N1498" s="64">
        <f t="shared" si="127"/>
        <v>1.0004424999999999</v>
      </c>
    </row>
    <row r="1499" spans="1:16">
      <c r="B1499" s="41"/>
      <c r="C1499" s="103">
        <f t="shared" si="124"/>
        <v>45297</v>
      </c>
      <c r="E1499" s="167"/>
      <c r="F1499" s="58" t="str">
        <f>VLOOKUP(MOD(C1499,7),'CALENDAR INFO'!$I$2:$J$8,2)</f>
        <v>SAT</v>
      </c>
      <c r="G1499" s="214">
        <v>5.33</v>
      </c>
      <c r="H1499" s="425">
        <v>5.31</v>
      </c>
      <c r="I1499" s="457">
        <f t="shared" si="126"/>
        <v>-2.0000000000000462E-2</v>
      </c>
      <c r="J1499" s="15" t="s">
        <v>193</v>
      </c>
      <c r="K1499" s="15">
        <f>K1498+1</f>
        <v>1495</v>
      </c>
      <c r="L1499" s="179">
        <f>K1499</f>
        <v>1495</v>
      </c>
      <c r="M1499" s="210">
        <f t="shared" si="128"/>
        <v>0</v>
      </c>
      <c r="N1499" s="64">
        <f t="shared" si="127"/>
        <v>1</v>
      </c>
    </row>
    <row r="1500" spans="1:16">
      <c r="B1500" s="41"/>
      <c r="C1500" s="103">
        <f t="shared" si="124"/>
        <v>45298</v>
      </c>
      <c r="E1500" s="167"/>
      <c r="F1500" s="58" t="str">
        <f>VLOOKUP(MOD(C1500,7),'CALENDAR INFO'!$I$2:$J$8,2)</f>
        <v>SUN</v>
      </c>
      <c r="G1500" s="214">
        <v>5.33</v>
      </c>
      <c r="H1500" s="425">
        <v>5.31</v>
      </c>
      <c r="I1500" s="457">
        <f t="shared" si="126"/>
        <v>-2.0000000000000462E-2</v>
      </c>
      <c r="K1500" s="152"/>
      <c r="L1500" s="202"/>
      <c r="M1500" s="210">
        <f t="shared" si="128"/>
        <v>0</v>
      </c>
      <c r="N1500" s="64">
        <f t="shared" si="127"/>
        <v>1</v>
      </c>
    </row>
    <row r="1501" spans="1:16">
      <c r="B1501" s="41"/>
      <c r="C1501" s="103">
        <f t="shared" si="124"/>
        <v>45299</v>
      </c>
      <c r="E1501" s="167"/>
      <c r="F1501" s="58" t="str">
        <f>VLOOKUP(MOD(C1501,7),'CALENDAR INFO'!$I$2:$J$8,2)</f>
        <v>MON</v>
      </c>
      <c r="G1501" s="214">
        <v>5.33</v>
      </c>
      <c r="H1501" s="425">
        <v>5.31</v>
      </c>
      <c r="I1501" s="457">
        <f t="shared" si="126"/>
        <v>-2.0000000000000462E-2</v>
      </c>
      <c r="J1501" s="15" t="s">
        <v>153</v>
      </c>
      <c r="K1501" s="182" t="str">
        <f>_xlfn.CONCAT("A",TEXT(K1494,0),":","A",TEXT(K1496,0))</f>
        <v>A1494:A1524</v>
      </c>
      <c r="L1501" s="201" t="str">
        <f>_xlfn.CONCAT("B",TEXT(L1494,0),":","B",TEXT(L1496,0))</f>
        <v>B1494:B1524</v>
      </c>
      <c r="M1501" s="210">
        <f t="shared" si="128"/>
        <v>1</v>
      </c>
      <c r="N1501" s="64">
        <f t="shared" si="127"/>
        <v>1.0001475</v>
      </c>
    </row>
    <row r="1502" spans="1:16">
      <c r="B1502" s="41"/>
      <c r="C1502" s="103">
        <f t="shared" si="124"/>
        <v>45300</v>
      </c>
      <c r="E1502" s="167"/>
      <c r="F1502" s="58" t="str">
        <f>VLOOKUP(MOD(C1502,7),'CALENDAR INFO'!$I$2:$J$8,2)</f>
        <v>TUE</v>
      </c>
      <c r="G1502" s="214">
        <v>5.33</v>
      </c>
      <c r="H1502" s="425">
        <v>5.31</v>
      </c>
      <c r="I1502" s="457">
        <f t="shared" si="126"/>
        <v>-2.0000000000000462E-2</v>
      </c>
      <c r="J1502" s="15" t="s">
        <v>190</v>
      </c>
      <c r="K1502" s="182" t="str">
        <f>_xlfn.CONCAT("F",TEXT(K1494,0),":","F",TEXT(K1498,0))</f>
        <v>F1494:F1494</v>
      </c>
      <c r="L1502" s="201" t="str">
        <f>_xlfn.CONCAT("G",TEXT(L1494,0),":","G",TEXT(L1498,0))</f>
        <v>G1494:G1494</v>
      </c>
      <c r="M1502" s="210">
        <f t="shared" si="128"/>
        <v>1</v>
      </c>
      <c r="N1502" s="64">
        <f t="shared" si="127"/>
        <v>1.0001475</v>
      </c>
    </row>
    <row r="1503" spans="1:16">
      <c r="B1503" s="41"/>
      <c r="C1503" s="103">
        <f t="shared" si="124"/>
        <v>45301</v>
      </c>
      <c r="E1503" s="167" t="s">
        <v>19</v>
      </c>
      <c r="F1503" s="58" t="str">
        <f>VLOOKUP(MOD(C1503,7),'CALENDAR INFO'!$I$2:$J$8,2)</f>
        <v>WED</v>
      </c>
      <c r="G1503" s="214">
        <v>5.33</v>
      </c>
      <c r="H1503" s="425">
        <v>5.31</v>
      </c>
      <c r="I1503" s="457">
        <f t="shared" si="126"/>
        <v>-2.0000000000000462E-2</v>
      </c>
      <c r="J1503" s="15" t="s">
        <v>191</v>
      </c>
      <c r="K1503" s="182" t="str">
        <f>_xlfn.CONCAT("F",TEXT(K1499,0),":","F",TEXT(K1496,0))</f>
        <v>F1495:F1524</v>
      </c>
      <c r="L1503" s="201" t="str">
        <f>_xlfn.CONCAT("G",TEXT(L1499,0),":","G",TEXT(L1496,0))</f>
        <v>G1495:G1524</v>
      </c>
      <c r="M1503" s="210">
        <f t="shared" si="128"/>
        <v>1</v>
      </c>
      <c r="N1503" s="64">
        <f t="shared" si="127"/>
        <v>1.0001475</v>
      </c>
    </row>
    <row r="1504" spans="1:16">
      <c r="B1504" s="41"/>
      <c r="C1504" s="103">
        <f t="shared" si="124"/>
        <v>45302</v>
      </c>
      <c r="E1504" s="170" t="s">
        <v>18</v>
      </c>
      <c r="F1504" s="58" t="str">
        <f>VLOOKUP(MOD(C1504,7),'CALENDAR INFO'!$I$2:$J$8,2)</f>
        <v>THU</v>
      </c>
      <c r="G1504" s="214">
        <v>5.33</v>
      </c>
      <c r="H1504" s="425">
        <v>5.31</v>
      </c>
      <c r="I1504" s="457">
        <f t="shared" si="126"/>
        <v>-2.0000000000000462E-2</v>
      </c>
      <c r="K1504" s="152"/>
      <c r="L1504" s="202"/>
      <c r="M1504" s="210">
        <f t="shared" si="128"/>
        <v>1</v>
      </c>
      <c r="N1504" s="64">
        <f t="shared" si="127"/>
        <v>1.0001475</v>
      </c>
    </row>
    <row r="1505" spans="2:16">
      <c r="B1505" s="41"/>
      <c r="C1505" s="103">
        <f t="shared" si="124"/>
        <v>45303</v>
      </c>
      <c r="E1505" s="170"/>
      <c r="F1505" s="58" t="str">
        <f>VLOOKUP(MOD(C1505,7),'CALENDAR INFO'!$I$2:$J$8,2)</f>
        <v>FRI</v>
      </c>
      <c r="G1505" s="214">
        <v>5.33</v>
      </c>
      <c r="H1505" s="425">
        <v>5.31</v>
      </c>
      <c r="I1505" s="457">
        <f t="shared" si="126"/>
        <v>-2.0000000000000462E-2</v>
      </c>
      <c r="J1505" s="152" t="s">
        <v>194</v>
      </c>
      <c r="K1505" s="290">
        <f t="shared" ref="K1505:L1507" ca="1" si="129">COUNTA(INDIRECT(K1501))</f>
        <v>0</v>
      </c>
      <c r="L1505" s="291">
        <f t="shared" ca="1" si="129"/>
        <v>0</v>
      </c>
      <c r="M1505" s="117">
        <v>4</v>
      </c>
      <c r="N1505" s="64">
        <f t="shared" si="127"/>
        <v>1.0005900000000001</v>
      </c>
    </row>
    <row r="1506" spans="2:16">
      <c r="B1506" s="41"/>
      <c r="C1506" s="103">
        <f t="shared" si="124"/>
        <v>45304</v>
      </c>
      <c r="E1506" s="170"/>
      <c r="F1506" s="58" t="str">
        <f>VLOOKUP(MOD(C1506,7),'CALENDAR INFO'!$I$2:$J$8,2)</f>
        <v>SAT</v>
      </c>
      <c r="G1506" s="214">
        <v>5.33</v>
      </c>
      <c r="H1506" s="425">
        <v>5.31</v>
      </c>
      <c r="I1506" s="457">
        <f t="shared" si="126"/>
        <v>-2.0000000000000462E-2</v>
      </c>
      <c r="J1506" s="152" t="s">
        <v>195</v>
      </c>
      <c r="K1506" s="290">
        <f t="shared" ca="1" si="129"/>
        <v>1</v>
      </c>
      <c r="L1506" s="291">
        <f t="shared" ca="1" si="129"/>
        <v>1</v>
      </c>
      <c r="M1506" s="210">
        <f>IF(MOD(C1506,7)&lt;2,0,IF(MOD(C1506,7)=6,3,1))</f>
        <v>0</v>
      </c>
      <c r="N1506" s="64">
        <f t="shared" si="127"/>
        <v>1</v>
      </c>
    </row>
    <row r="1507" spans="2:16">
      <c r="B1507" s="41"/>
      <c r="C1507" s="103">
        <f t="shared" si="124"/>
        <v>45305</v>
      </c>
      <c r="E1507" s="170"/>
      <c r="F1507" s="58" t="str">
        <f>VLOOKUP(MOD(C1507,7),'CALENDAR INFO'!$I$2:$J$8,2)</f>
        <v>SUN</v>
      </c>
      <c r="G1507" s="214">
        <v>5.33</v>
      </c>
      <c r="H1507" s="425">
        <v>5.31</v>
      </c>
      <c r="I1507" s="457">
        <f t="shared" si="126"/>
        <v>-2.0000000000000462E-2</v>
      </c>
      <c r="J1507" s="152" t="s">
        <v>196</v>
      </c>
      <c r="K1507" s="290">
        <f t="shared" ca="1" si="129"/>
        <v>30</v>
      </c>
      <c r="L1507" s="308">
        <f t="shared" ca="1" si="129"/>
        <v>30</v>
      </c>
      <c r="M1507" s="210">
        <f>IF(MOD(C1507,7)&lt;2,0,IF(MOD(C1507,7)=6,3,1))</f>
        <v>0</v>
      </c>
      <c r="N1507" s="64">
        <f t="shared" si="127"/>
        <v>1</v>
      </c>
    </row>
    <row r="1508" spans="2:16">
      <c r="B1508" s="41"/>
      <c r="C1508" s="103">
        <f t="shared" si="124"/>
        <v>45306</v>
      </c>
      <c r="D1508" s="173" t="s">
        <v>103</v>
      </c>
      <c r="E1508" s="170"/>
      <c r="F1508" s="58" t="str">
        <f>VLOOKUP(MOD(C1508,7),'CALENDAR INFO'!$I$2:$J$8,2)</f>
        <v>MON</v>
      </c>
      <c r="G1508" s="214">
        <v>5.33</v>
      </c>
      <c r="H1508" s="425">
        <v>5.31</v>
      </c>
      <c r="I1508" s="457">
        <f t="shared" si="126"/>
        <v>-2.0000000000000462E-2</v>
      </c>
      <c r="K1508" s="152"/>
      <c r="L1508" s="202"/>
      <c r="M1508" s="117">
        <v>0</v>
      </c>
      <c r="N1508" s="64">
        <f t="shared" si="127"/>
        <v>1</v>
      </c>
    </row>
    <row r="1509" spans="2:16">
      <c r="B1509" s="41"/>
      <c r="C1509" s="103">
        <f t="shared" si="124"/>
        <v>45307</v>
      </c>
      <c r="E1509" s="170"/>
      <c r="F1509" s="58" t="str">
        <f>VLOOKUP(MOD(C1509,7),'CALENDAR INFO'!$I$2:$J$8,2)</f>
        <v>TUE</v>
      </c>
      <c r="G1509" s="214">
        <v>5.33</v>
      </c>
      <c r="H1509" s="425">
        <v>5.32</v>
      </c>
      <c r="I1509" s="457">
        <f t="shared" si="126"/>
        <v>-9.9999999999997868E-3</v>
      </c>
      <c r="J1509" s="152" t="s">
        <v>197</v>
      </c>
      <c r="K1509" s="180" t="e">
        <f>OUTPUT!#REF!</f>
        <v>#REF!</v>
      </c>
      <c r="L1509" s="193" t="e">
        <f>OUTPUT!#REF!</f>
        <v>#REF!</v>
      </c>
      <c r="M1509" s="210">
        <f t="shared" ref="M1509:M1539" si="130">IF(MOD(C1509,7)&lt;2,0,IF(MOD(C1509,7)=6,3,1))</f>
        <v>1</v>
      </c>
      <c r="N1509" s="64">
        <f t="shared" si="127"/>
        <v>1.0001477777777779</v>
      </c>
    </row>
    <row r="1510" spans="2:16">
      <c r="B1510" s="41"/>
      <c r="C1510" s="103">
        <f t="shared" si="124"/>
        <v>45308</v>
      </c>
      <c r="E1510" s="170"/>
      <c r="F1510" s="58" t="str">
        <f>VLOOKUP(MOD(C1510,7),'CALENDAR INFO'!$I$2:$J$8,2)</f>
        <v>WED</v>
      </c>
      <c r="G1510" s="214">
        <v>5.33</v>
      </c>
      <c r="H1510" s="425">
        <v>5.32</v>
      </c>
      <c r="I1510" s="457">
        <f t="shared" si="126"/>
        <v>-9.9999999999997868E-3</v>
      </c>
      <c r="J1510" s="152" t="s">
        <v>118</v>
      </c>
      <c r="K1510" s="307">
        <f>K1495</f>
        <v>31</v>
      </c>
      <c r="L1510" s="309">
        <f>L1495</f>
        <v>31</v>
      </c>
      <c r="M1510" s="210">
        <f t="shared" si="130"/>
        <v>1</v>
      </c>
      <c r="N1510" s="64">
        <f t="shared" si="127"/>
        <v>1.0001477777777779</v>
      </c>
    </row>
    <row r="1511" spans="2:16">
      <c r="B1511" s="41"/>
      <c r="C1511" s="103">
        <f t="shared" si="124"/>
        <v>45309</v>
      </c>
      <c r="E1511" s="170"/>
      <c r="F1511" s="58" t="str">
        <f>VLOOKUP(MOD(C1511,7),'CALENDAR INFO'!$I$2:$J$8,2)</f>
        <v>THU</v>
      </c>
      <c r="G1511" s="214">
        <v>5.33</v>
      </c>
      <c r="H1511" s="425">
        <v>5.31</v>
      </c>
      <c r="I1511" s="457">
        <f t="shared" si="126"/>
        <v>-2.0000000000000462E-2</v>
      </c>
      <c r="J1511" s="152" t="s">
        <v>184</v>
      </c>
      <c r="K1511" s="178" t="e">
        <f>K1509*K1510</f>
        <v>#REF!</v>
      </c>
      <c r="L1511" s="192" t="e">
        <f>L1509*L1510</f>
        <v>#REF!</v>
      </c>
      <c r="M1511" s="210">
        <f t="shared" si="130"/>
        <v>1</v>
      </c>
      <c r="N1511" s="64">
        <f t="shared" si="127"/>
        <v>1.0001475</v>
      </c>
    </row>
    <row r="1512" spans="2:16">
      <c r="B1512" s="41"/>
      <c r="C1512" s="103">
        <f t="shared" si="124"/>
        <v>45310</v>
      </c>
      <c r="E1512" s="170"/>
      <c r="F1512" s="58" t="str">
        <f>VLOOKUP(MOD(C1512,7),'CALENDAR INFO'!$I$2:$J$8,2)</f>
        <v>FRI</v>
      </c>
      <c r="G1512" s="214">
        <v>5.33</v>
      </c>
      <c r="H1512" s="425">
        <v>5.31</v>
      </c>
      <c r="I1512" s="457">
        <f t="shared" si="126"/>
        <v>-2.0000000000000462E-2</v>
      </c>
      <c r="K1512" s="221"/>
      <c r="L1512" s="223"/>
      <c r="M1512" s="210">
        <f t="shared" si="130"/>
        <v>3</v>
      </c>
      <c r="N1512" s="64">
        <f t="shared" si="127"/>
        <v>1.0004424999999999</v>
      </c>
    </row>
    <row r="1513" spans="2:16">
      <c r="B1513" s="41"/>
      <c r="C1513" s="103">
        <f t="shared" si="124"/>
        <v>45311</v>
      </c>
      <c r="E1513" s="170"/>
      <c r="F1513" s="58" t="str">
        <f>VLOOKUP(MOD(C1513,7),'CALENDAR INFO'!$I$2:$J$8,2)</f>
        <v>SAT</v>
      </c>
      <c r="G1513" s="214">
        <v>5.33</v>
      </c>
      <c r="H1513" s="425">
        <v>5.31</v>
      </c>
      <c r="I1513" s="457">
        <f t="shared" si="126"/>
        <v>-2.0000000000000462E-2</v>
      </c>
      <c r="J1513" s="15" t="s">
        <v>187</v>
      </c>
      <c r="K1513" s="207" t="e">
        <f>K1511</f>
        <v>#REF!</v>
      </c>
      <c r="L1513" s="208" t="e">
        <f>L1511</f>
        <v>#REF!</v>
      </c>
      <c r="M1513" s="210">
        <f t="shared" si="130"/>
        <v>0</v>
      </c>
      <c r="N1513" s="64">
        <f t="shared" si="127"/>
        <v>1</v>
      </c>
    </row>
    <row r="1514" spans="2:16">
      <c r="B1514" s="41"/>
      <c r="C1514" s="103">
        <f t="shared" si="124"/>
        <v>45312</v>
      </c>
      <c r="E1514" s="170"/>
      <c r="F1514" s="58" t="str">
        <f>VLOOKUP(MOD(C1514,7),'CALENDAR INFO'!$I$2:$J$8,2)</f>
        <v>SUN</v>
      </c>
      <c r="G1514" s="214">
        <v>5.33</v>
      </c>
      <c r="H1514" s="425">
        <v>5.31</v>
      </c>
      <c r="I1514" s="457">
        <f t="shared" si="126"/>
        <v>-2.0000000000000462E-2</v>
      </c>
      <c r="J1514" s="152" t="s">
        <v>155</v>
      </c>
      <c r="K1514" s="178">
        <f ca="1">SUM(INDIRECT(K1501))</f>
        <v>0</v>
      </c>
      <c r="L1514" s="192">
        <f ca="1">SUM(INDIRECT(L1501))</f>
        <v>0</v>
      </c>
      <c r="M1514" s="210">
        <f t="shared" si="130"/>
        <v>0</v>
      </c>
      <c r="N1514" s="64">
        <f t="shared" si="127"/>
        <v>1</v>
      </c>
    </row>
    <row r="1515" spans="2:16">
      <c r="B1515" s="41"/>
      <c r="C1515" s="103">
        <f t="shared" si="124"/>
        <v>45313</v>
      </c>
      <c r="E1515" s="170"/>
      <c r="F1515" s="58" t="str">
        <f>VLOOKUP(MOD(C1515,7),'CALENDAR INFO'!$I$2:$J$8,2)</f>
        <v>MON</v>
      </c>
      <c r="G1515" s="214">
        <v>5.33</v>
      </c>
      <c r="H1515" s="425">
        <v>5.31</v>
      </c>
      <c r="I1515" s="457">
        <f t="shared" si="126"/>
        <v>-2.0000000000000462E-2</v>
      </c>
      <c r="J1515" s="15" t="s">
        <v>185</v>
      </c>
      <c r="K1515" s="178">
        <f ca="1">SUM(INDIRECT(K1502))</f>
        <v>0</v>
      </c>
      <c r="L1515" s="192">
        <f ca="1">SUM(INDIRECT(L1502))</f>
        <v>5.33</v>
      </c>
      <c r="M1515" s="210">
        <f t="shared" si="130"/>
        <v>1</v>
      </c>
      <c r="N1515" s="64">
        <f t="shared" si="127"/>
        <v>1.0001475</v>
      </c>
    </row>
    <row r="1516" spans="2:16">
      <c r="B1516" s="41"/>
      <c r="C1516" s="103">
        <f t="shared" si="124"/>
        <v>45314</v>
      </c>
      <c r="E1516" s="170"/>
      <c r="F1516" s="58" t="str">
        <f>VLOOKUP(MOD(C1516,7),'CALENDAR INFO'!$I$2:$J$8,2)</f>
        <v>TUE</v>
      </c>
      <c r="G1516" s="214">
        <v>5.33</v>
      </c>
      <c r="H1516" s="425">
        <v>5.31</v>
      </c>
      <c r="I1516" s="457">
        <f t="shared" si="126"/>
        <v>-2.0000000000000462E-2</v>
      </c>
      <c r="J1516" s="152" t="s">
        <v>186</v>
      </c>
      <c r="K1516" s="178" t="e">
        <f ca="1">K1513-K1514-K1515</f>
        <v>#REF!</v>
      </c>
      <c r="L1516" s="201" t="e">
        <f ca="1">L1513-L1514-L1515</f>
        <v>#REF!</v>
      </c>
      <c r="M1516" s="210">
        <f t="shared" si="130"/>
        <v>1</v>
      </c>
      <c r="N1516" s="64">
        <f t="shared" si="127"/>
        <v>1.0001475</v>
      </c>
    </row>
    <row r="1517" spans="2:16">
      <c r="B1517" s="41"/>
      <c r="C1517" s="103">
        <f t="shared" si="124"/>
        <v>45315</v>
      </c>
      <c r="E1517" s="170" t="s">
        <v>19</v>
      </c>
      <c r="F1517" s="58" t="str">
        <f>VLOOKUP(MOD(C1517,7),'CALENDAR INFO'!$I$2:$J$8,2)</f>
        <v>WED</v>
      </c>
      <c r="G1517" s="214">
        <v>5.33</v>
      </c>
      <c r="H1517" s="425">
        <v>5.31</v>
      </c>
      <c r="I1517" s="457">
        <f t="shared" si="126"/>
        <v>-2.0000000000000462E-2</v>
      </c>
      <c r="K1517" s="152"/>
      <c r="L1517" s="202"/>
      <c r="M1517" s="210">
        <f t="shared" si="130"/>
        <v>1</v>
      </c>
      <c r="N1517" s="64">
        <f t="shared" si="127"/>
        <v>1.0001475</v>
      </c>
    </row>
    <row r="1518" spans="2:16">
      <c r="B1518" s="41"/>
      <c r="C1518" s="103">
        <f t="shared" si="124"/>
        <v>45316</v>
      </c>
      <c r="E1518" s="167" t="s">
        <v>18</v>
      </c>
      <c r="F1518" s="58" t="str">
        <f>VLOOKUP(MOD(C1518,7),'CALENDAR INFO'!$I$2:$J$8,2)</f>
        <v>THU</v>
      </c>
      <c r="G1518" s="214">
        <v>5.33</v>
      </c>
      <c r="H1518" s="425">
        <v>5.32</v>
      </c>
      <c r="I1518" s="457">
        <f t="shared" si="126"/>
        <v>-9.9999999999997868E-3</v>
      </c>
      <c r="J1518" s="152" t="s">
        <v>188</v>
      </c>
      <c r="K1518" s="290">
        <f ca="1">K1495-K1505-K1506</f>
        <v>30</v>
      </c>
      <c r="L1518" s="291">
        <f ca="1">L1495-L1505-L1506</f>
        <v>30</v>
      </c>
      <c r="M1518" s="210">
        <f t="shared" si="130"/>
        <v>1</v>
      </c>
      <c r="N1518" s="64">
        <f t="shared" si="127"/>
        <v>1.0001477777777779</v>
      </c>
    </row>
    <row r="1519" spans="2:16">
      <c r="B1519" s="41"/>
      <c r="C1519" s="103">
        <f t="shared" si="124"/>
        <v>45317</v>
      </c>
      <c r="E1519" s="167"/>
      <c r="F1519" s="58" t="str">
        <f>VLOOKUP(MOD(C1519,7),'CALENDAR INFO'!$I$2:$J$8,2)</f>
        <v>FRI</v>
      </c>
      <c r="G1519" s="214">
        <v>5.33</v>
      </c>
      <c r="H1519" s="425">
        <v>5.32</v>
      </c>
      <c r="I1519" s="457">
        <f t="shared" si="126"/>
        <v>-9.9999999999997868E-3</v>
      </c>
      <c r="J1519" s="152" t="s">
        <v>189</v>
      </c>
      <c r="K1519" s="182" t="e">
        <f ca="1">K1516/K1518</f>
        <v>#REF!</v>
      </c>
      <c r="L1519" s="201" t="e">
        <f ca="1">L1516/L1518</f>
        <v>#REF!</v>
      </c>
      <c r="M1519" s="210">
        <f t="shared" si="130"/>
        <v>3</v>
      </c>
      <c r="N1519" s="64">
        <f t="shared" si="127"/>
        <v>1.0004433333333334</v>
      </c>
    </row>
    <row r="1520" spans="2:16">
      <c r="B1520" s="41"/>
      <c r="C1520" s="103">
        <f t="shared" si="124"/>
        <v>45318</v>
      </c>
      <c r="E1520" s="167"/>
      <c r="F1520" s="58" t="str">
        <f>VLOOKUP(MOD(C1520,7),'CALENDAR INFO'!$I$2:$J$8,2)</f>
        <v>SAT</v>
      </c>
      <c r="G1520" s="214">
        <v>5.33</v>
      </c>
      <c r="H1520" s="425">
        <v>5.32</v>
      </c>
      <c r="I1520" s="457">
        <f t="shared" si="126"/>
        <v>-9.9999999999997868E-3</v>
      </c>
      <c r="J1520" s="152"/>
      <c r="K1520" s="152"/>
      <c r="L1520" s="202"/>
      <c r="M1520" s="210">
        <f t="shared" si="130"/>
        <v>0</v>
      </c>
      <c r="N1520" s="64">
        <f t="shared" si="127"/>
        <v>1</v>
      </c>
      <c r="P1520" s="283"/>
    </row>
    <row r="1521" spans="1:16">
      <c r="B1521" s="41"/>
      <c r="C1521" s="103">
        <f t="shared" si="124"/>
        <v>45319</v>
      </c>
      <c r="E1521" s="167"/>
      <c r="F1521" s="58" t="str">
        <f>VLOOKUP(MOD(C1521,7),'CALENDAR INFO'!$I$2:$J$8,2)</f>
        <v>SUN</v>
      </c>
      <c r="G1521" s="214">
        <v>5.33</v>
      </c>
      <c r="H1521" s="425">
        <v>5.32</v>
      </c>
      <c r="I1521" s="457">
        <f t="shared" si="126"/>
        <v>-9.9999999999997868E-3</v>
      </c>
      <c r="J1521" s="152"/>
      <c r="K1521" s="182"/>
      <c r="L1521" s="201"/>
      <c r="M1521" s="210">
        <f t="shared" si="130"/>
        <v>0</v>
      </c>
      <c r="N1521" s="64">
        <f t="shared" si="127"/>
        <v>1</v>
      </c>
      <c r="P1521" s="284"/>
    </row>
    <row r="1522" spans="1:16">
      <c r="B1522" s="41"/>
      <c r="C1522" s="103">
        <f t="shared" si="124"/>
        <v>45320</v>
      </c>
      <c r="E1522" s="167"/>
      <c r="F1522" s="58" t="str">
        <f>VLOOKUP(MOD(C1522,7),'CALENDAR INFO'!$I$2:$J$8,2)</f>
        <v>MON</v>
      </c>
      <c r="G1522" s="214">
        <v>5.33</v>
      </c>
      <c r="H1522" s="425">
        <v>5.31</v>
      </c>
      <c r="I1522" s="457">
        <f t="shared" si="126"/>
        <v>-2.0000000000000462E-2</v>
      </c>
      <c r="J1522" s="152"/>
      <c r="K1522" s="190"/>
      <c r="L1522" s="203"/>
      <c r="M1522" s="210">
        <f t="shared" si="130"/>
        <v>1</v>
      </c>
      <c r="N1522" s="64">
        <f t="shared" si="127"/>
        <v>1.0001475</v>
      </c>
      <c r="P1522" s="284"/>
    </row>
    <row r="1523" spans="1:16">
      <c r="B1523" s="41"/>
      <c r="C1523" s="103">
        <f t="shared" si="124"/>
        <v>45321</v>
      </c>
      <c r="D1523" s="247" t="s">
        <v>20</v>
      </c>
      <c r="E1523" s="167"/>
      <c r="F1523" s="58" t="str">
        <f>VLOOKUP(MOD(C1523,7),'CALENDAR INFO'!$I$2:$J$8,2)</f>
        <v>TUE</v>
      </c>
      <c r="G1523" s="214">
        <v>5.33</v>
      </c>
      <c r="H1523" s="425">
        <v>5.31</v>
      </c>
      <c r="I1523" s="457">
        <f t="shared" si="126"/>
        <v>-2.0000000000000462E-2</v>
      </c>
      <c r="J1523" s="152"/>
      <c r="K1523" s="182"/>
      <c r="L1523" s="201"/>
      <c r="M1523" s="210">
        <f t="shared" si="130"/>
        <v>1</v>
      </c>
      <c r="N1523" s="64">
        <f t="shared" si="127"/>
        <v>1.0001475</v>
      </c>
    </row>
    <row r="1524" spans="1:16" ht="15.75" thickBot="1">
      <c r="A1524" s="98"/>
      <c r="B1524" s="230"/>
      <c r="C1524" s="104">
        <f t="shared" si="124"/>
        <v>45322</v>
      </c>
      <c r="D1524" s="248" t="s">
        <v>20</v>
      </c>
      <c r="E1524" s="92"/>
      <c r="F1524" s="71" t="str">
        <f>VLOOKUP(MOD(C1524,7),'CALENDAR INFO'!$I$2:$J$8,2)</f>
        <v>WED</v>
      </c>
      <c r="G1524" s="215">
        <v>5.33</v>
      </c>
      <c r="H1524" s="426">
        <v>5.32</v>
      </c>
      <c r="I1524" s="458">
        <f t="shared" si="126"/>
        <v>-9.9999999999997868E-3</v>
      </c>
      <c r="J1524" s="437"/>
      <c r="K1524" s="191"/>
      <c r="L1524" s="204"/>
      <c r="M1524" s="113">
        <f t="shared" si="130"/>
        <v>1</v>
      </c>
      <c r="N1524" s="77">
        <f t="shared" si="127"/>
        <v>1.0001477777777779</v>
      </c>
    </row>
    <row r="1525" spans="1:16">
      <c r="A1525" s="304"/>
      <c r="B1525" s="305"/>
      <c r="C1525" s="103">
        <f t="shared" ref="C1525:C1588" si="131">C1524+1</f>
        <v>45323</v>
      </c>
      <c r="E1525" s="167"/>
      <c r="F1525" s="58" t="str">
        <f>VLOOKUP(MOD(C1525,7),'CALENDAR INFO'!$I$2:$J$8,2)</f>
        <v>THU</v>
      </c>
      <c r="G1525" s="214">
        <v>5.33</v>
      </c>
      <c r="H1525" s="425">
        <v>5.32</v>
      </c>
      <c r="I1525" s="457">
        <f t="shared" si="126"/>
        <v>-9.9999999999997868E-3</v>
      </c>
      <c r="J1525" s="436" t="s">
        <v>151</v>
      </c>
      <c r="K1525" s="15">
        <f>ROW(K1525)</f>
        <v>1525</v>
      </c>
      <c r="L1525" s="179">
        <f>K1525</f>
        <v>1525</v>
      </c>
      <c r="M1525" s="116">
        <f t="shared" si="130"/>
        <v>1</v>
      </c>
      <c r="N1525" s="111">
        <f t="shared" si="127"/>
        <v>1.0001477777777779</v>
      </c>
    </row>
    <row r="1526" spans="1:16">
      <c r="B1526" s="41"/>
      <c r="C1526" s="103">
        <f t="shared" si="131"/>
        <v>45324</v>
      </c>
      <c r="E1526" s="167"/>
      <c r="F1526" s="58" t="str">
        <f>VLOOKUP(MOD(C1526,7),'CALENDAR INFO'!$I$2:$J$8,2)</f>
        <v>FRI</v>
      </c>
      <c r="G1526" s="214">
        <v>5.33</v>
      </c>
      <c r="H1526" s="425">
        <v>5.32</v>
      </c>
      <c r="I1526" s="457">
        <f t="shared" si="126"/>
        <v>-9.9999999999997868E-3</v>
      </c>
      <c r="J1526" s="152" t="s">
        <v>118</v>
      </c>
      <c r="K1526" s="177">
        <v>29</v>
      </c>
      <c r="L1526" s="197">
        <v>29</v>
      </c>
      <c r="M1526" s="210">
        <f t="shared" si="130"/>
        <v>3</v>
      </c>
      <c r="N1526" s="64">
        <f t="shared" si="127"/>
        <v>1.0004433333333334</v>
      </c>
    </row>
    <row r="1527" spans="1:16">
      <c r="B1527" s="41"/>
      <c r="C1527" s="103">
        <f t="shared" si="131"/>
        <v>45325</v>
      </c>
      <c r="E1527" s="167"/>
      <c r="F1527" s="58" t="str">
        <f>VLOOKUP(MOD(C1527,7),'CALENDAR INFO'!$I$2:$J$8,2)</f>
        <v>SAT</v>
      </c>
      <c r="G1527" s="214">
        <v>5.33</v>
      </c>
      <c r="H1527" s="425">
        <v>5.32</v>
      </c>
      <c r="I1527" s="457">
        <f t="shared" si="126"/>
        <v>-9.9999999999997868E-3</v>
      </c>
      <c r="J1527" s="152" t="s">
        <v>152</v>
      </c>
      <c r="K1527" s="15">
        <f>K1526+K1525-1</f>
        <v>1553</v>
      </c>
      <c r="L1527" s="200">
        <f>K1527</f>
        <v>1553</v>
      </c>
      <c r="M1527" s="210">
        <f t="shared" si="130"/>
        <v>0</v>
      </c>
      <c r="N1527" s="64">
        <f t="shared" si="127"/>
        <v>1</v>
      </c>
    </row>
    <row r="1528" spans="1:16">
      <c r="B1528" s="41"/>
      <c r="C1528" s="103">
        <f t="shared" si="131"/>
        <v>45326</v>
      </c>
      <c r="E1528" s="167"/>
      <c r="F1528" s="58" t="str">
        <f>VLOOKUP(MOD(C1528,7),'CALENDAR INFO'!$I$2:$J$8,2)</f>
        <v>SUN</v>
      </c>
      <c r="G1528" s="214">
        <v>5.33</v>
      </c>
      <c r="H1528" s="425">
        <v>5.32</v>
      </c>
      <c r="I1528" s="457">
        <f t="shared" si="126"/>
        <v>-9.9999999999997868E-3</v>
      </c>
      <c r="J1528" s="152"/>
      <c r="K1528" s="182"/>
      <c r="L1528" s="201"/>
      <c r="M1528" s="210">
        <f t="shared" si="130"/>
        <v>0</v>
      </c>
      <c r="N1528" s="64">
        <f t="shared" si="127"/>
        <v>1</v>
      </c>
    </row>
    <row r="1529" spans="1:16">
      <c r="B1529" s="41"/>
      <c r="C1529" s="103">
        <f t="shared" si="131"/>
        <v>45327</v>
      </c>
      <c r="E1529" s="167"/>
      <c r="F1529" s="58" t="str">
        <f>VLOOKUP(MOD(C1529,7),'CALENDAR INFO'!$I$2:$J$8,2)</f>
        <v>MON</v>
      </c>
      <c r="G1529" s="214">
        <v>5.33</v>
      </c>
      <c r="H1529" s="425">
        <v>5.31</v>
      </c>
      <c r="I1529" s="457">
        <f t="shared" si="126"/>
        <v>-2.0000000000000462E-2</v>
      </c>
      <c r="J1529" s="152" t="s">
        <v>192</v>
      </c>
      <c r="K1529" s="311">
        <v>1525</v>
      </c>
      <c r="L1529" s="291">
        <f>K1529</f>
        <v>1525</v>
      </c>
      <c r="M1529" s="210">
        <f t="shared" si="130"/>
        <v>1</v>
      </c>
      <c r="N1529" s="64">
        <f t="shared" si="127"/>
        <v>1.0001475</v>
      </c>
    </row>
    <row r="1530" spans="1:16">
      <c r="B1530" s="41"/>
      <c r="C1530" s="103">
        <f t="shared" si="131"/>
        <v>45328</v>
      </c>
      <c r="E1530" s="167"/>
      <c r="F1530" s="58" t="str">
        <f>VLOOKUP(MOD(C1530,7),'CALENDAR INFO'!$I$2:$J$8,2)</f>
        <v>TUE</v>
      </c>
      <c r="G1530" s="214">
        <v>5.33</v>
      </c>
      <c r="H1530" s="425">
        <v>5.31</v>
      </c>
      <c r="I1530" s="457">
        <f t="shared" si="126"/>
        <v>-2.0000000000000462E-2</v>
      </c>
      <c r="J1530" s="152" t="s">
        <v>193</v>
      </c>
      <c r="K1530" s="290">
        <f>K1529+1</f>
        <v>1526</v>
      </c>
      <c r="L1530" s="291">
        <f>K1530</f>
        <v>1526</v>
      </c>
      <c r="M1530" s="210">
        <f t="shared" si="130"/>
        <v>1</v>
      </c>
      <c r="N1530" s="64">
        <f t="shared" si="127"/>
        <v>1.0001475</v>
      </c>
    </row>
    <row r="1531" spans="1:16">
      <c r="B1531" s="41"/>
      <c r="C1531" s="103">
        <f t="shared" si="131"/>
        <v>45329</v>
      </c>
      <c r="E1531" s="167" t="s">
        <v>19</v>
      </c>
      <c r="F1531" s="58" t="str">
        <f>VLOOKUP(MOD(C1531,7),'CALENDAR INFO'!$I$2:$J$8,2)</f>
        <v>WED</v>
      </c>
      <c r="G1531" s="214">
        <v>5.33</v>
      </c>
      <c r="H1531" s="425">
        <v>5.31</v>
      </c>
      <c r="I1531" s="457">
        <f t="shared" si="126"/>
        <v>-2.0000000000000462E-2</v>
      </c>
      <c r="J1531" s="152"/>
      <c r="K1531" s="152"/>
      <c r="L1531" s="202"/>
      <c r="M1531" s="210">
        <f t="shared" si="130"/>
        <v>1</v>
      </c>
      <c r="N1531" s="64">
        <f t="shared" si="127"/>
        <v>1.0001475</v>
      </c>
    </row>
    <row r="1532" spans="1:16">
      <c r="B1532" s="41"/>
      <c r="C1532" s="103">
        <f t="shared" si="131"/>
        <v>45330</v>
      </c>
      <c r="E1532" s="170" t="s">
        <v>18</v>
      </c>
      <c r="F1532" s="58" t="str">
        <f>VLOOKUP(MOD(C1532,7),'CALENDAR INFO'!$I$2:$J$8,2)</f>
        <v>THU</v>
      </c>
      <c r="G1532" s="214">
        <v>5.33</v>
      </c>
      <c r="H1532" s="425">
        <v>5.31</v>
      </c>
      <c r="I1532" s="457">
        <f t="shared" si="126"/>
        <v>-2.0000000000000462E-2</v>
      </c>
      <c r="J1532" s="152" t="s">
        <v>153</v>
      </c>
      <c r="K1532" s="312" t="str">
        <f>_xlfn.CONCAT("A",TEXT(K1525,0),":","A",TEXT(K1527,0))</f>
        <v>A1525:A1553</v>
      </c>
      <c r="L1532" s="313" t="str">
        <f>_xlfn.CONCAT("B",TEXT(L1525,0),":","B",TEXT(L1527,0))</f>
        <v>B1525:B1553</v>
      </c>
      <c r="M1532" s="210">
        <f t="shared" si="130"/>
        <v>1</v>
      </c>
      <c r="N1532" s="64">
        <f t="shared" si="127"/>
        <v>1.0001475</v>
      </c>
    </row>
    <row r="1533" spans="1:16">
      <c r="B1533" s="41"/>
      <c r="C1533" s="103">
        <f t="shared" si="131"/>
        <v>45331</v>
      </c>
      <c r="E1533" s="170"/>
      <c r="F1533" s="58" t="str">
        <f>VLOOKUP(MOD(C1533,7),'CALENDAR INFO'!$I$2:$J$8,2)</f>
        <v>FRI</v>
      </c>
      <c r="G1533" s="214">
        <v>5.33</v>
      </c>
      <c r="H1533" s="425">
        <v>5.31</v>
      </c>
      <c r="I1533" s="457">
        <f t="shared" si="126"/>
        <v>-2.0000000000000462E-2</v>
      </c>
      <c r="J1533" s="152" t="s">
        <v>190</v>
      </c>
      <c r="K1533" s="182" t="str">
        <f>_xlfn.CONCAT("F",TEXT(K1525,0),":","F",TEXT(K1529,0))</f>
        <v>F1525:F1525</v>
      </c>
      <c r="L1533" s="201" t="str">
        <f>_xlfn.CONCAT("G",TEXT(L1525,0),":","G",TEXT(L1529,0))</f>
        <v>G1525:G1525</v>
      </c>
      <c r="M1533" s="210">
        <f t="shared" si="130"/>
        <v>3</v>
      </c>
      <c r="N1533" s="64">
        <f t="shared" si="127"/>
        <v>1.0004424999999999</v>
      </c>
    </row>
    <row r="1534" spans="1:16">
      <c r="B1534" s="41"/>
      <c r="C1534" s="103">
        <f t="shared" si="131"/>
        <v>45332</v>
      </c>
      <c r="E1534" s="170"/>
      <c r="F1534" s="58" t="str">
        <f>VLOOKUP(MOD(C1534,7),'CALENDAR INFO'!$I$2:$J$8,2)</f>
        <v>SAT</v>
      </c>
      <c r="G1534" s="214">
        <v>5.33</v>
      </c>
      <c r="H1534" s="425">
        <v>5.31</v>
      </c>
      <c r="I1534" s="457">
        <f t="shared" si="126"/>
        <v>-2.0000000000000462E-2</v>
      </c>
      <c r="J1534" s="152" t="s">
        <v>191</v>
      </c>
      <c r="K1534" s="152" t="str">
        <f>_xlfn.CONCAT("F",TEXT(K1530,0),":","F",TEXT(K1527,0))</f>
        <v>F1526:F1553</v>
      </c>
      <c r="L1534" s="201" t="str">
        <f>_xlfn.CONCAT("G",TEXT(L1530,0),":","G",TEXT(L1527,0))</f>
        <v>G1526:G1553</v>
      </c>
      <c r="M1534" s="210">
        <f t="shared" si="130"/>
        <v>0</v>
      </c>
      <c r="N1534" s="64">
        <f t="shared" si="127"/>
        <v>1</v>
      </c>
    </row>
    <row r="1535" spans="1:16">
      <c r="B1535" s="41"/>
      <c r="C1535" s="103">
        <f t="shared" si="131"/>
        <v>45333</v>
      </c>
      <c r="E1535" s="170"/>
      <c r="F1535" s="58" t="str">
        <f>VLOOKUP(MOD(C1535,7),'CALENDAR INFO'!$I$2:$J$8,2)</f>
        <v>SUN</v>
      </c>
      <c r="G1535" s="214">
        <v>5.33</v>
      </c>
      <c r="H1535" s="425">
        <v>5.31</v>
      </c>
      <c r="I1535" s="457">
        <f t="shared" si="126"/>
        <v>-2.0000000000000462E-2</v>
      </c>
      <c r="J1535" s="152"/>
      <c r="K1535" s="182"/>
      <c r="L1535" s="201"/>
      <c r="M1535" s="210">
        <f t="shared" si="130"/>
        <v>0</v>
      </c>
      <c r="N1535" s="64">
        <f t="shared" si="127"/>
        <v>1</v>
      </c>
    </row>
    <row r="1536" spans="1:16">
      <c r="B1536" s="41"/>
      <c r="C1536" s="103">
        <f t="shared" si="131"/>
        <v>45334</v>
      </c>
      <c r="E1536" s="170"/>
      <c r="F1536" s="58" t="str">
        <f>VLOOKUP(MOD(C1536,7),'CALENDAR INFO'!$I$2:$J$8,2)</f>
        <v>MON</v>
      </c>
      <c r="G1536" s="214">
        <v>5.33</v>
      </c>
      <c r="H1536" s="425">
        <v>5.31</v>
      </c>
      <c r="I1536" s="457">
        <f t="shared" si="126"/>
        <v>-2.0000000000000462E-2</v>
      </c>
      <c r="J1536" s="15" t="s">
        <v>194</v>
      </c>
      <c r="K1536" s="152">
        <f t="shared" ref="K1536:L1538" ca="1" si="132">COUNTA(INDIRECT(K1532))</f>
        <v>0</v>
      </c>
      <c r="L1536" s="202">
        <f t="shared" ca="1" si="132"/>
        <v>0</v>
      </c>
      <c r="M1536" s="210">
        <f t="shared" si="130"/>
        <v>1</v>
      </c>
      <c r="N1536" s="64">
        <f t="shared" si="127"/>
        <v>1.0001475</v>
      </c>
    </row>
    <row r="1537" spans="2:28">
      <c r="B1537" s="41"/>
      <c r="C1537" s="103">
        <f t="shared" si="131"/>
        <v>45335</v>
      </c>
      <c r="E1537" s="170"/>
      <c r="F1537" s="58" t="str">
        <f>VLOOKUP(MOD(C1537,7),'CALENDAR INFO'!$I$2:$J$8,2)</f>
        <v>TUE</v>
      </c>
      <c r="G1537" s="214">
        <v>5.33</v>
      </c>
      <c r="H1537" s="425">
        <v>5.31</v>
      </c>
      <c r="I1537" s="457">
        <f t="shared" si="126"/>
        <v>-2.0000000000000462E-2</v>
      </c>
      <c r="J1537" s="152" t="s">
        <v>195</v>
      </c>
      <c r="K1537" s="306">
        <f t="shared" ca="1" si="132"/>
        <v>1</v>
      </c>
      <c r="L1537" s="200">
        <f t="shared" ca="1" si="132"/>
        <v>1</v>
      </c>
      <c r="M1537" s="210">
        <f t="shared" si="130"/>
        <v>1</v>
      </c>
      <c r="N1537" s="64">
        <f t="shared" si="127"/>
        <v>1.0001475</v>
      </c>
    </row>
    <row r="1538" spans="2:28">
      <c r="B1538" s="41"/>
      <c r="C1538" s="103">
        <f t="shared" si="131"/>
        <v>45336</v>
      </c>
      <c r="E1538" s="170"/>
      <c r="F1538" s="58" t="str">
        <f>VLOOKUP(MOD(C1538,7),'CALENDAR INFO'!$I$2:$J$8,2)</f>
        <v>WED</v>
      </c>
      <c r="G1538" s="214">
        <v>5.33</v>
      </c>
      <c r="H1538" s="425">
        <v>5.3</v>
      </c>
      <c r="I1538" s="457">
        <f t="shared" si="126"/>
        <v>-3.0000000000000249E-2</v>
      </c>
      <c r="J1538" s="15" t="s">
        <v>196</v>
      </c>
      <c r="K1538" s="306">
        <f t="shared" ca="1" si="132"/>
        <v>28</v>
      </c>
      <c r="L1538" s="200">
        <f t="shared" ca="1" si="132"/>
        <v>28</v>
      </c>
      <c r="M1538" s="210">
        <f t="shared" si="130"/>
        <v>1</v>
      </c>
      <c r="N1538" s="64">
        <f t="shared" si="127"/>
        <v>1.0001472222222223</v>
      </c>
      <c r="V1538" s="136"/>
    </row>
    <row r="1539" spans="2:28">
      <c r="B1539" s="41"/>
      <c r="C1539" s="103">
        <f t="shared" si="131"/>
        <v>45337</v>
      </c>
      <c r="E1539" s="170"/>
      <c r="F1539" s="58" t="str">
        <f>VLOOKUP(MOD(C1539,7),'CALENDAR INFO'!$I$2:$J$8,2)</f>
        <v>THU</v>
      </c>
      <c r="G1539" s="214">
        <v>5.33</v>
      </c>
      <c r="H1539" s="425">
        <v>5.31</v>
      </c>
      <c r="I1539" s="457">
        <f t="shared" ref="I1539:I1602" si="133">H1539-G1539</f>
        <v>-2.0000000000000462E-2</v>
      </c>
      <c r="K1539" s="178"/>
      <c r="L1539" s="192"/>
      <c r="M1539" s="210">
        <f t="shared" si="130"/>
        <v>1</v>
      </c>
      <c r="N1539" s="64">
        <f t="shared" si="127"/>
        <v>1.0001475</v>
      </c>
      <c r="V1539" s="136"/>
    </row>
    <row r="1540" spans="2:28">
      <c r="B1540" s="41"/>
      <c r="C1540" s="103">
        <f t="shared" si="131"/>
        <v>45338</v>
      </c>
      <c r="E1540" s="170"/>
      <c r="F1540" s="58" t="str">
        <f>VLOOKUP(MOD(C1540,7),'CALENDAR INFO'!$I$2:$J$8,2)</f>
        <v>FRI</v>
      </c>
      <c r="G1540" s="214">
        <v>5.33</v>
      </c>
      <c r="H1540" s="425">
        <v>5.3</v>
      </c>
      <c r="I1540" s="457">
        <f t="shared" si="133"/>
        <v>-3.0000000000000249E-2</v>
      </c>
      <c r="J1540" s="152" t="s">
        <v>197</v>
      </c>
      <c r="K1540" s="180" t="e">
        <f>OUTPUT!#REF!</f>
        <v>#REF!</v>
      </c>
      <c r="L1540" s="193" t="e">
        <f>OUTPUT!#REF!</f>
        <v>#REF!</v>
      </c>
      <c r="M1540" s="117">
        <v>4</v>
      </c>
      <c r="N1540" s="64">
        <f t="shared" si="127"/>
        <v>1.000588888888889</v>
      </c>
      <c r="V1540" s="136"/>
    </row>
    <row r="1541" spans="2:28">
      <c r="B1541" s="41"/>
      <c r="C1541" s="103">
        <f t="shared" si="131"/>
        <v>45339</v>
      </c>
      <c r="E1541" s="170"/>
      <c r="F1541" s="58" t="str">
        <f>VLOOKUP(MOD(C1541,7),'CALENDAR INFO'!$I$2:$J$8,2)</f>
        <v>SAT</v>
      </c>
      <c r="G1541" s="214">
        <v>5.33</v>
      </c>
      <c r="H1541" s="425">
        <v>5.3</v>
      </c>
      <c r="I1541" s="457">
        <f t="shared" si="133"/>
        <v>-3.0000000000000249E-2</v>
      </c>
      <c r="J1541" s="152" t="s">
        <v>118</v>
      </c>
      <c r="K1541" s="314">
        <f>K1526</f>
        <v>29</v>
      </c>
      <c r="L1541" s="315">
        <f>L1526</f>
        <v>29</v>
      </c>
      <c r="M1541" s="210">
        <f>IF(MOD(C1541,7)&lt;2,0,IF(MOD(C1541,7)=6,3,1))</f>
        <v>0</v>
      </c>
      <c r="N1541" s="64">
        <f t="shared" si="127"/>
        <v>1</v>
      </c>
      <c r="V1541" s="136"/>
    </row>
    <row r="1542" spans="2:28">
      <c r="B1542" s="41"/>
      <c r="C1542" s="103">
        <f t="shared" si="131"/>
        <v>45340</v>
      </c>
      <c r="E1542" s="170"/>
      <c r="F1542" s="58" t="str">
        <f>VLOOKUP(MOD(C1542,7),'CALENDAR INFO'!$I$2:$J$8,2)</f>
        <v>SUN</v>
      </c>
      <c r="G1542" s="214">
        <v>5.33</v>
      </c>
      <c r="H1542" s="425">
        <v>5.3</v>
      </c>
      <c r="I1542" s="457">
        <f t="shared" si="133"/>
        <v>-3.0000000000000249E-2</v>
      </c>
      <c r="J1542" s="152" t="s">
        <v>184</v>
      </c>
      <c r="K1542" s="178" t="e">
        <f>K1540*K1541</f>
        <v>#REF!</v>
      </c>
      <c r="L1542" s="192" t="e">
        <f>L1540*L1541</f>
        <v>#REF!</v>
      </c>
      <c r="M1542" s="210">
        <f>IF(MOD(C1542,7)&lt;2,0,IF(MOD(C1542,7)=6,3,1))</f>
        <v>0</v>
      </c>
      <c r="N1542" s="64">
        <f t="shared" si="127"/>
        <v>1</v>
      </c>
      <c r="V1542" s="136"/>
    </row>
    <row r="1543" spans="2:28">
      <c r="B1543" s="41"/>
      <c r="C1543" s="103">
        <f t="shared" si="131"/>
        <v>45341</v>
      </c>
      <c r="D1543" s="173" t="s">
        <v>39</v>
      </c>
      <c r="E1543" s="170"/>
      <c r="F1543" s="58" t="str">
        <f>VLOOKUP(MOD(C1543,7),'CALENDAR INFO'!$I$2:$J$8,2)</f>
        <v>MON</v>
      </c>
      <c r="G1543" s="214">
        <v>5.33</v>
      </c>
      <c r="H1543" s="425">
        <v>5.3</v>
      </c>
      <c r="I1543" s="457">
        <f t="shared" si="133"/>
        <v>-3.0000000000000249E-2</v>
      </c>
      <c r="J1543" s="152"/>
      <c r="K1543" s="306"/>
      <c r="L1543" s="200"/>
      <c r="M1543" s="117">
        <v>0</v>
      </c>
      <c r="N1543" s="64">
        <f t="shared" si="127"/>
        <v>1</v>
      </c>
      <c r="V1543" s="136"/>
    </row>
    <row r="1544" spans="2:28">
      <c r="B1544" s="41"/>
      <c r="C1544" s="103">
        <f t="shared" si="131"/>
        <v>45342</v>
      </c>
      <c r="E1544" s="170"/>
      <c r="F1544" s="58" t="str">
        <f>VLOOKUP(MOD(C1544,7),'CALENDAR INFO'!$I$2:$J$8,2)</f>
        <v>TUE</v>
      </c>
      <c r="G1544" s="214">
        <v>5.33</v>
      </c>
      <c r="H1544" s="425">
        <v>5.3</v>
      </c>
      <c r="I1544" s="457">
        <f t="shared" si="133"/>
        <v>-3.0000000000000249E-2</v>
      </c>
      <c r="J1544" s="152" t="s">
        <v>187</v>
      </c>
      <c r="K1544" s="207" t="e">
        <f>K1542</f>
        <v>#REF!</v>
      </c>
      <c r="L1544" s="208" t="e">
        <f>L1542</f>
        <v>#REF!</v>
      </c>
      <c r="M1544" s="210">
        <f t="shared" ref="M1544:M1580" si="134">IF(MOD(C1544,7)&lt;2,0,IF(MOD(C1544,7)=6,3,1))</f>
        <v>1</v>
      </c>
      <c r="N1544" s="64">
        <f t="shared" si="127"/>
        <v>1.0001472222222223</v>
      </c>
      <c r="V1544" s="136"/>
    </row>
    <row r="1545" spans="2:28">
      <c r="B1545" s="41"/>
      <c r="C1545" s="103">
        <f t="shared" si="131"/>
        <v>45343</v>
      </c>
      <c r="E1545" s="170" t="s">
        <v>19</v>
      </c>
      <c r="F1545" s="58" t="str">
        <f>VLOOKUP(MOD(C1545,7),'CALENDAR INFO'!$I$2:$J$8,2)</f>
        <v>WED</v>
      </c>
      <c r="G1545" s="214">
        <v>5.33</v>
      </c>
      <c r="H1545" s="425">
        <v>5.3</v>
      </c>
      <c r="I1545" s="457">
        <f t="shared" si="133"/>
        <v>-3.0000000000000249E-2</v>
      </c>
      <c r="J1545" s="15" t="s">
        <v>155</v>
      </c>
      <c r="K1545" s="182">
        <f ca="1">SUM(INDIRECT(K1532))</f>
        <v>0</v>
      </c>
      <c r="L1545" s="201">
        <f ca="1">SUM(INDIRECT(L1532))</f>
        <v>0</v>
      </c>
      <c r="M1545" s="210">
        <f t="shared" si="134"/>
        <v>1</v>
      </c>
      <c r="N1545" s="64">
        <f t="shared" si="127"/>
        <v>1.0001472222222223</v>
      </c>
      <c r="V1545" s="136"/>
    </row>
    <row r="1546" spans="2:28">
      <c r="B1546" s="41"/>
      <c r="C1546" s="103">
        <f t="shared" si="131"/>
        <v>45344</v>
      </c>
      <c r="E1546" s="167" t="s">
        <v>18</v>
      </c>
      <c r="F1546" s="58" t="str">
        <f>VLOOKUP(MOD(C1546,7),'CALENDAR INFO'!$I$2:$J$8,2)</f>
        <v>THU</v>
      </c>
      <c r="G1546" s="214">
        <v>5.33</v>
      </c>
      <c r="H1546" s="425">
        <v>5.3</v>
      </c>
      <c r="I1546" s="457">
        <f t="shared" si="133"/>
        <v>-3.0000000000000249E-2</v>
      </c>
      <c r="J1546" s="15" t="s">
        <v>185</v>
      </c>
      <c r="K1546" s="182">
        <f ca="1">SUM(INDIRECT(K1533))</f>
        <v>0</v>
      </c>
      <c r="L1546" s="201">
        <f ca="1">SUM(INDIRECT(L1533))</f>
        <v>5.33</v>
      </c>
      <c r="M1546" s="210">
        <f t="shared" si="134"/>
        <v>1</v>
      </c>
      <c r="N1546" s="64">
        <f t="shared" si="127"/>
        <v>1.0001472222222223</v>
      </c>
      <c r="V1546" s="136"/>
    </row>
    <row r="1547" spans="2:28">
      <c r="B1547" s="41"/>
      <c r="C1547" s="103">
        <f t="shared" si="131"/>
        <v>45345</v>
      </c>
      <c r="E1547" s="167"/>
      <c r="F1547" s="58" t="str">
        <f>VLOOKUP(MOD(C1547,7),'CALENDAR INFO'!$I$2:$J$8,2)</f>
        <v>FRI</v>
      </c>
      <c r="G1547" s="214">
        <v>5.33</v>
      </c>
      <c r="H1547" s="425">
        <v>5.31</v>
      </c>
      <c r="I1547" s="457">
        <f t="shared" si="133"/>
        <v>-2.0000000000000462E-2</v>
      </c>
      <c r="J1547" s="15" t="s">
        <v>186</v>
      </c>
      <c r="K1547" s="182" t="e">
        <f ca="1">K1544-K1545-K1546</f>
        <v>#REF!</v>
      </c>
      <c r="L1547" s="201" t="e">
        <f ca="1">L1544-L1545-L1546</f>
        <v>#REF!</v>
      </c>
      <c r="M1547" s="210">
        <f t="shared" si="134"/>
        <v>3</v>
      </c>
      <c r="N1547" s="64">
        <f t="shared" si="127"/>
        <v>1.0004424999999999</v>
      </c>
      <c r="V1547" s="136"/>
    </row>
    <row r="1548" spans="2:28">
      <c r="B1548" s="41"/>
      <c r="C1548" s="103">
        <f t="shared" si="131"/>
        <v>45346</v>
      </c>
      <c r="E1548" s="167"/>
      <c r="F1548" s="58" t="str">
        <f>VLOOKUP(MOD(C1548,7),'CALENDAR INFO'!$I$2:$J$8,2)</f>
        <v>SAT</v>
      </c>
      <c r="G1548" s="214">
        <v>5.33</v>
      </c>
      <c r="H1548" s="425">
        <v>5.31</v>
      </c>
      <c r="I1548" s="457">
        <f t="shared" si="133"/>
        <v>-2.0000000000000462E-2</v>
      </c>
      <c r="K1548" s="182"/>
      <c r="L1548" s="201"/>
      <c r="M1548" s="210">
        <f t="shared" si="134"/>
        <v>0</v>
      </c>
      <c r="N1548" s="64">
        <f t="shared" si="127"/>
        <v>1</v>
      </c>
      <c r="P1548" s="283"/>
      <c r="V1548" s="136"/>
    </row>
    <row r="1549" spans="2:28">
      <c r="B1549" s="41"/>
      <c r="C1549" s="103">
        <f t="shared" si="131"/>
        <v>45347</v>
      </c>
      <c r="E1549" s="167"/>
      <c r="F1549" s="58" t="str">
        <f>VLOOKUP(MOD(C1549,7),'CALENDAR INFO'!$I$2:$J$8,2)</f>
        <v>SUN</v>
      </c>
      <c r="G1549" s="214">
        <v>5.33</v>
      </c>
      <c r="H1549" s="425">
        <v>5.31</v>
      </c>
      <c r="I1549" s="457">
        <f t="shared" si="133"/>
        <v>-2.0000000000000462E-2</v>
      </c>
      <c r="J1549" s="15" t="s">
        <v>188</v>
      </c>
      <c r="K1549" s="290">
        <f ca="1">K1526-K1536-K1537</f>
        <v>28</v>
      </c>
      <c r="L1549" s="291">
        <f ca="1">L1526-L1536-L1537</f>
        <v>28</v>
      </c>
      <c r="M1549" s="210">
        <f t="shared" si="134"/>
        <v>0</v>
      </c>
      <c r="N1549" s="64">
        <f t="shared" si="127"/>
        <v>1</v>
      </c>
      <c r="P1549" s="284"/>
      <c r="V1549" s="136"/>
    </row>
    <row r="1550" spans="2:28">
      <c r="B1550" s="41"/>
      <c r="C1550" s="103">
        <f t="shared" si="131"/>
        <v>45348</v>
      </c>
      <c r="E1550" s="167"/>
      <c r="F1550" s="58" t="str">
        <f>VLOOKUP(MOD(C1550,7),'CALENDAR INFO'!$I$2:$J$8,2)</f>
        <v>MON</v>
      </c>
      <c r="G1550" s="214">
        <v>5.33</v>
      </c>
      <c r="H1550" s="425">
        <v>5.31</v>
      </c>
      <c r="I1550" s="457">
        <f t="shared" si="133"/>
        <v>-2.0000000000000462E-2</v>
      </c>
      <c r="J1550" s="15" t="s">
        <v>189</v>
      </c>
      <c r="K1550" s="182" t="e">
        <f ca="1">K1547/K1549</f>
        <v>#REF!</v>
      </c>
      <c r="L1550" s="201" t="e">
        <f ca="1">L1547/L1549</f>
        <v>#REF!</v>
      </c>
      <c r="M1550" s="210">
        <f t="shared" si="134"/>
        <v>1</v>
      </c>
      <c r="N1550" s="64">
        <f t="shared" si="127"/>
        <v>1.0001475</v>
      </c>
      <c r="P1550" s="284"/>
      <c r="V1550" s="136"/>
      <c r="AB1550" s="137"/>
    </row>
    <row r="1551" spans="2:28">
      <c r="B1551" s="41"/>
      <c r="C1551" s="103">
        <f t="shared" si="131"/>
        <v>45349</v>
      </c>
      <c r="E1551" s="167"/>
      <c r="F1551" s="58" t="str">
        <f>VLOOKUP(MOD(C1551,7),'CALENDAR INFO'!$I$2:$J$8,2)</f>
        <v>TUE</v>
      </c>
      <c r="G1551" s="214">
        <v>5.33</v>
      </c>
      <c r="H1551" s="425">
        <v>5.31</v>
      </c>
      <c r="I1551" s="457">
        <f t="shared" si="133"/>
        <v>-2.0000000000000462E-2</v>
      </c>
      <c r="J1551" s="152"/>
      <c r="K1551" s="183" t="s">
        <v>202</v>
      </c>
      <c r="L1551" s="199" t="s">
        <v>202</v>
      </c>
      <c r="M1551" s="210">
        <f t="shared" si="134"/>
        <v>1</v>
      </c>
      <c r="N1551" s="64">
        <f t="shared" si="127"/>
        <v>1.0001475</v>
      </c>
    </row>
    <row r="1552" spans="2:28">
      <c r="B1552" s="41"/>
      <c r="C1552" s="103">
        <f t="shared" si="131"/>
        <v>45350</v>
      </c>
      <c r="E1552" s="167"/>
      <c r="F1552" s="58" t="str">
        <f>VLOOKUP(MOD(C1552,7),'CALENDAR INFO'!$I$2:$J$8,2)</f>
        <v>WED</v>
      </c>
      <c r="G1552" s="214">
        <v>5.33</v>
      </c>
      <c r="H1552" s="425">
        <v>5.31</v>
      </c>
      <c r="I1552" s="457">
        <f t="shared" si="133"/>
        <v>-2.0000000000000462E-2</v>
      </c>
      <c r="J1552" s="439" t="s">
        <v>201</v>
      </c>
      <c r="K1552" s="183">
        <f ca="1">100-K1545/K1526</f>
        <v>100</v>
      </c>
      <c r="L1552" s="339">
        <f ca="1">100-L1545/L1526</f>
        <v>100</v>
      </c>
      <c r="M1552" s="210">
        <f t="shared" si="134"/>
        <v>1</v>
      </c>
      <c r="N1552" s="64">
        <f t="shared" si="127"/>
        <v>1.0001475</v>
      </c>
    </row>
    <row r="1553" spans="1:16" ht="15.75" thickBot="1">
      <c r="A1553" s="98"/>
      <c r="B1553" s="230"/>
      <c r="C1553" s="104">
        <f t="shared" si="131"/>
        <v>45351</v>
      </c>
      <c r="D1553" s="112"/>
      <c r="E1553" s="92"/>
      <c r="F1553" s="71" t="str">
        <f>VLOOKUP(MOD(C1553,7),'CALENDAR INFO'!$I$2:$J$8,2)</f>
        <v>THU</v>
      </c>
      <c r="G1553" s="215">
        <v>5.33</v>
      </c>
      <c r="H1553" s="426">
        <v>5.31</v>
      </c>
      <c r="I1553" s="457">
        <f t="shared" si="133"/>
        <v>-2.0000000000000462E-2</v>
      </c>
      <c r="J1553" s="440" t="s">
        <v>200</v>
      </c>
      <c r="K1553" s="340">
        <v>94.67</v>
      </c>
      <c r="L1553" s="341">
        <v>94.691000000000003</v>
      </c>
      <c r="M1553" s="113">
        <f t="shared" si="134"/>
        <v>1</v>
      </c>
      <c r="N1553" s="77">
        <f t="shared" si="127"/>
        <v>1.0001475</v>
      </c>
    </row>
    <row r="1554" spans="1:16">
      <c r="A1554" s="304"/>
      <c r="B1554" s="305"/>
      <c r="C1554" s="103">
        <f t="shared" si="131"/>
        <v>45352</v>
      </c>
      <c r="E1554" s="167"/>
      <c r="F1554" s="58" t="str">
        <f>VLOOKUP(MOD(C1554,7),'CALENDAR INFO'!$I$2:$J$8,2)</f>
        <v>FRI</v>
      </c>
      <c r="G1554" s="214">
        <v>5.33</v>
      </c>
      <c r="H1554" s="425">
        <v>5.31</v>
      </c>
      <c r="I1554" s="457">
        <f t="shared" si="133"/>
        <v>-2.0000000000000462E-2</v>
      </c>
      <c r="J1554" s="438" t="s">
        <v>151</v>
      </c>
      <c r="K1554" s="15">
        <f>ROW(K1554)</f>
        <v>1554</v>
      </c>
      <c r="L1554" s="179">
        <f>K1554</f>
        <v>1554</v>
      </c>
      <c r="M1554" s="116">
        <f t="shared" si="134"/>
        <v>3</v>
      </c>
      <c r="N1554" s="111">
        <f t="shared" si="127"/>
        <v>1.0004424999999999</v>
      </c>
    </row>
    <row r="1555" spans="1:16">
      <c r="A1555" s="304"/>
      <c r="B1555" s="305"/>
      <c r="C1555" s="103">
        <f t="shared" si="131"/>
        <v>45353</v>
      </c>
      <c r="E1555" s="167"/>
      <c r="F1555" s="58" t="str">
        <f>VLOOKUP(MOD(C1555,7),'CALENDAR INFO'!$I$2:$J$8,2)</f>
        <v>SAT</v>
      </c>
      <c r="G1555" s="214">
        <v>5.33</v>
      </c>
      <c r="H1555" s="425">
        <v>5.31</v>
      </c>
      <c r="I1555" s="457">
        <f t="shared" si="133"/>
        <v>-2.0000000000000462E-2</v>
      </c>
      <c r="J1555" s="152" t="s">
        <v>118</v>
      </c>
      <c r="K1555" s="15">
        <f>VLOOKUP(MONTH($C1554),'CALENDAR INFO'!$I$12:$J$23,2)</f>
        <v>31</v>
      </c>
      <c r="L1555" s="179">
        <f>K1555</f>
        <v>31</v>
      </c>
      <c r="M1555" s="210">
        <f t="shared" si="134"/>
        <v>0</v>
      </c>
      <c r="N1555" s="64">
        <f t="shared" ref="N1555:N1618" si="135">1+(M1555/360)*(MAX(H1555,B1555)/100)</f>
        <v>1</v>
      </c>
    </row>
    <row r="1556" spans="1:16">
      <c r="A1556" s="304"/>
      <c r="B1556" s="305"/>
      <c r="C1556" s="103">
        <f t="shared" si="131"/>
        <v>45354</v>
      </c>
      <c r="E1556" s="167"/>
      <c r="F1556" s="58" t="str">
        <f>VLOOKUP(MOD(C1556,7),'CALENDAR INFO'!$I$2:$J$8,2)</f>
        <v>SUN</v>
      </c>
      <c r="G1556" s="214">
        <v>5.33</v>
      </c>
      <c r="H1556" s="425">
        <v>5.31</v>
      </c>
      <c r="I1556" s="457">
        <f t="shared" si="133"/>
        <v>-2.0000000000000462E-2</v>
      </c>
      <c r="J1556" s="15" t="s">
        <v>152</v>
      </c>
      <c r="K1556" s="15">
        <f>K1555+K1554-1</f>
        <v>1584</v>
      </c>
      <c r="L1556" s="179">
        <f>K1556</f>
        <v>1584</v>
      </c>
      <c r="M1556" s="210">
        <f t="shared" si="134"/>
        <v>0</v>
      </c>
      <c r="N1556" s="64">
        <f t="shared" si="135"/>
        <v>1</v>
      </c>
    </row>
    <row r="1557" spans="1:16">
      <c r="A1557" s="304"/>
      <c r="B1557" s="305"/>
      <c r="C1557" s="103">
        <f t="shared" si="131"/>
        <v>45355</v>
      </c>
      <c r="E1557" s="167"/>
      <c r="F1557" s="58" t="str">
        <f>VLOOKUP(MOD(C1557,7),'CALENDAR INFO'!$I$2:$J$8,2)</f>
        <v>MON</v>
      </c>
      <c r="G1557" s="214">
        <v>5.33</v>
      </c>
      <c r="H1557" s="425">
        <v>5.31</v>
      </c>
      <c r="I1557" s="457">
        <f t="shared" si="133"/>
        <v>-2.0000000000000462E-2</v>
      </c>
      <c r="M1557" s="210">
        <f t="shared" si="134"/>
        <v>1</v>
      </c>
      <c r="N1557" s="64">
        <f t="shared" si="135"/>
        <v>1.0001475</v>
      </c>
    </row>
    <row r="1558" spans="1:16">
      <c r="A1558" s="304"/>
      <c r="B1558" s="305"/>
      <c r="C1558" s="103">
        <f t="shared" si="131"/>
        <v>45356</v>
      </c>
      <c r="E1558" s="167"/>
      <c r="F1558" s="58" t="str">
        <f>VLOOKUP(MOD(C1558,7),'CALENDAR INFO'!$I$2:$J$8,2)</f>
        <v>TUE</v>
      </c>
      <c r="G1558" s="214">
        <v>5.33</v>
      </c>
      <c r="H1558" s="425">
        <v>5.31</v>
      </c>
      <c r="I1558" s="457">
        <f t="shared" si="133"/>
        <v>-2.0000000000000462E-2</v>
      </c>
      <c r="J1558" s="15" t="s">
        <v>192</v>
      </c>
      <c r="K1558" s="310">
        <v>1573</v>
      </c>
      <c r="L1558" s="202">
        <f>K1558</f>
        <v>1573</v>
      </c>
      <c r="M1558" s="210">
        <f t="shared" si="134"/>
        <v>1</v>
      </c>
      <c r="N1558" s="64">
        <f t="shared" si="135"/>
        <v>1.0001475</v>
      </c>
    </row>
    <row r="1559" spans="1:16">
      <c r="A1559" s="304"/>
      <c r="B1559" s="305"/>
      <c r="C1559" s="103">
        <f t="shared" si="131"/>
        <v>45357</v>
      </c>
      <c r="E1559" s="167" t="s">
        <v>19</v>
      </c>
      <c r="F1559" s="58" t="str">
        <f>VLOOKUP(MOD(C1559,7),'CALENDAR INFO'!$I$2:$J$8,2)</f>
        <v>WED</v>
      </c>
      <c r="G1559" s="214">
        <v>5.33</v>
      </c>
      <c r="H1559" s="425">
        <v>5.31</v>
      </c>
      <c r="I1559" s="457">
        <f t="shared" si="133"/>
        <v>-2.0000000000000462E-2</v>
      </c>
      <c r="J1559" s="15" t="s">
        <v>193</v>
      </c>
      <c r="K1559" s="15">
        <f>K1558+1</f>
        <v>1574</v>
      </c>
      <c r="L1559" s="179">
        <f>K1559</f>
        <v>1574</v>
      </c>
      <c r="M1559" s="210">
        <f t="shared" si="134"/>
        <v>1</v>
      </c>
      <c r="N1559" s="64">
        <f t="shared" si="135"/>
        <v>1.0001475</v>
      </c>
    </row>
    <row r="1560" spans="1:16">
      <c r="A1560" s="304"/>
      <c r="B1560" s="305"/>
      <c r="C1560" s="103">
        <f t="shared" si="131"/>
        <v>45358</v>
      </c>
      <c r="E1560" s="170" t="s">
        <v>18</v>
      </c>
      <c r="F1560" s="58" t="str">
        <f>VLOOKUP(MOD(C1560,7),'CALENDAR INFO'!$I$2:$J$8,2)</f>
        <v>THU</v>
      </c>
      <c r="G1560" s="219">
        <v>5.33</v>
      </c>
      <c r="H1560" s="431">
        <v>5.31</v>
      </c>
      <c r="I1560" s="457">
        <f t="shared" si="133"/>
        <v>-2.0000000000000462E-2</v>
      </c>
      <c r="K1560" s="152"/>
      <c r="L1560" s="202"/>
      <c r="M1560" s="210">
        <f t="shared" si="134"/>
        <v>1</v>
      </c>
      <c r="N1560" s="64">
        <f t="shared" si="135"/>
        <v>1.0001475</v>
      </c>
    </row>
    <row r="1561" spans="1:16">
      <c r="A1561" s="304"/>
      <c r="B1561" s="305"/>
      <c r="C1561" s="103">
        <f t="shared" si="131"/>
        <v>45359</v>
      </c>
      <c r="E1561" s="170"/>
      <c r="F1561" s="58" t="str">
        <f>VLOOKUP(MOD(C1561,7),'CALENDAR INFO'!$I$2:$J$8,2)</f>
        <v>FRI</v>
      </c>
      <c r="G1561" s="219">
        <v>5.33</v>
      </c>
      <c r="H1561" s="431">
        <v>5.31</v>
      </c>
      <c r="I1561" s="457">
        <f t="shared" si="133"/>
        <v>-2.0000000000000462E-2</v>
      </c>
      <c r="J1561" s="15" t="s">
        <v>153</v>
      </c>
      <c r="K1561" s="182" t="str">
        <f>_xlfn.CONCAT("A",TEXT(K1554,0),":","A",TEXT(K1556,0))</f>
        <v>A1554:A1584</v>
      </c>
      <c r="L1561" s="201" t="str">
        <f>_xlfn.CONCAT("B",TEXT(L1554,0),":","B",TEXT(L1556,0))</f>
        <v>B1554:B1584</v>
      </c>
      <c r="M1561" s="210">
        <f t="shared" si="134"/>
        <v>3</v>
      </c>
      <c r="N1561" s="64">
        <f t="shared" si="135"/>
        <v>1.0004424999999999</v>
      </c>
    </row>
    <row r="1562" spans="1:16">
      <c r="A1562" s="304"/>
      <c r="B1562" s="305"/>
      <c r="C1562" s="103">
        <f t="shared" si="131"/>
        <v>45360</v>
      </c>
      <c r="E1562" s="170"/>
      <c r="F1562" s="58" t="str">
        <f>VLOOKUP(MOD(C1562,7),'CALENDAR INFO'!$I$2:$J$8,2)</f>
        <v>SAT</v>
      </c>
      <c r="G1562" s="219">
        <v>5.33</v>
      </c>
      <c r="H1562" s="431">
        <v>5.31</v>
      </c>
      <c r="I1562" s="457">
        <f t="shared" si="133"/>
        <v>-2.0000000000000462E-2</v>
      </c>
      <c r="J1562" s="15" t="s">
        <v>190</v>
      </c>
      <c r="K1562" s="182" t="str">
        <f>_xlfn.CONCAT("F",TEXT(K1554,0),":","F",TEXT(K1558,0))</f>
        <v>F1554:F1573</v>
      </c>
      <c r="L1562" s="201" t="str">
        <f>_xlfn.CONCAT("G",TEXT(L1554,0),":","G",TEXT(L1558,0))</f>
        <v>G1554:G1573</v>
      </c>
      <c r="M1562" s="210">
        <f t="shared" si="134"/>
        <v>0</v>
      </c>
      <c r="N1562" s="64">
        <f t="shared" si="135"/>
        <v>1</v>
      </c>
    </row>
    <row r="1563" spans="1:16">
      <c r="A1563" s="304"/>
      <c r="B1563" s="305"/>
      <c r="C1563" s="103">
        <f t="shared" si="131"/>
        <v>45361</v>
      </c>
      <c r="E1563" s="170"/>
      <c r="F1563" s="58" t="str">
        <f>VLOOKUP(MOD(C1563,7),'CALENDAR INFO'!$I$2:$J$8,2)</f>
        <v>SUN</v>
      </c>
      <c r="G1563" s="219">
        <v>5.33</v>
      </c>
      <c r="H1563" s="431">
        <v>5.31</v>
      </c>
      <c r="I1563" s="457">
        <f t="shared" si="133"/>
        <v>-2.0000000000000462E-2</v>
      </c>
      <c r="J1563" s="15" t="s">
        <v>191</v>
      </c>
      <c r="K1563" s="182" t="str">
        <f>_xlfn.CONCAT("F",TEXT(K1559,0),":","F",TEXT(K1556,0))</f>
        <v>F1574:F1584</v>
      </c>
      <c r="L1563" s="201" t="str">
        <f>_xlfn.CONCAT("G",TEXT(L1559,0),":","G",TEXT(L1556,0))</f>
        <v>G1574:G1584</v>
      </c>
      <c r="M1563" s="210">
        <f t="shared" si="134"/>
        <v>0</v>
      </c>
      <c r="N1563" s="64">
        <f t="shared" si="135"/>
        <v>1</v>
      </c>
    </row>
    <row r="1564" spans="1:16">
      <c r="A1564" s="304"/>
      <c r="B1564" s="305"/>
      <c r="C1564" s="103">
        <f t="shared" si="131"/>
        <v>45362</v>
      </c>
      <c r="E1564" s="170"/>
      <c r="F1564" s="58" t="str">
        <f>VLOOKUP(MOD(C1564,7),'CALENDAR INFO'!$I$2:$J$8,2)</f>
        <v>MON</v>
      </c>
      <c r="G1564" s="219">
        <v>5.33</v>
      </c>
      <c r="H1564" s="431">
        <v>5.31</v>
      </c>
      <c r="I1564" s="457">
        <f t="shared" si="133"/>
        <v>-2.0000000000000462E-2</v>
      </c>
      <c r="K1564" s="152"/>
      <c r="L1564" s="202"/>
      <c r="M1564" s="210">
        <f t="shared" si="134"/>
        <v>1</v>
      </c>
      <c r="N1564" s="64">
        <f t="shared" si="135"/>
        <v>1.0001475</v>
      </c>
    </row>
    <row r="1565" spans="1:16">
      <c r="A1565" s="304"/>
      <c r="B1565" s="305"/>
      <c r="C1565" s="103">
        <f t="shared" si="131"/>
        <v>45363</v>
      </c>
      <c r="E1565" s="170"/>
      <c r="F1565" s="58" t="str">
        <f>VLOOKUP(MOD(C1565,7),'CALENDAR INFO'!$I$2:$J$8,2)</f>
        <v>TUE</v>
      </c>
      <c r="G1565" s="219">
        <v>5.33</v>
      </c>
      <c r="H1565" s="431">
        <v>5.31</v>
      </c>
      <c r="I1565" s="457">
        <f t="shared" si="133"/>
        <v>-2.0000000000000462E-2</v>
      </c>
      <c r="J1565" s="152" t="s">
        <v>194</v>
      </c>
      <c r="K1565" s="290">
        <f t="shared" ref="K1565:L1567" ca="1" si="136">COUNTA(INDIRECT(K1561))</f>
        <v>0</v>
      </c>
      <c r="L1565" s="291">
        <f t="shared" ca="1" si="136"/>
        <v>0</v>
      </c>
      <c r="M1565" s="210">
        <f t="shared" si="134"/>
        <v>1</v>
      </c>
      <c r="N1565" s="64">
        <f t="shared" si="135"/>
        <v>1.0001475</v>
      </c>
      <c r="P1565" s="283"/>
    </row>
    <row r="1566" spans="1:16">
      <c r="A1566" s="304"/>
      <c r="B1566" s="305"/>
      <c r="C1566" s="103">
        <f t="shared" si="131"/>
        <v>45364</v>
      </c>
      <c r="E1566" s="170"/>
      <c r="F1566" s="58" t="str">
        <f>VLOOKUP(MOD(C1566,7),'CALENDAR INFO'!$I$2:$J$8,2)</f>
        <v>WED</v>
      </c>
      <c r="G1566" s="219">
        <v>5.33</v>
      </c>
      <c r="H1566" s="431">
        <v>5.31</v>
      </c>
      <c r="I1566" s="457">
        <f t="shared" si="133"/>
        <v>-2.0000000000000462E-2</v>
      </c>
      <c r="J1566" s="152" t="s">
        <v>195</v>
      </c>
      <c r="K1566" s="290">
        <f t="shared" ca="1" si="136"/>
        <v>20</v>
      </c>
      <c r="L1566" s="291">
        <f t="shared" ca="1" si="136"/>
        <v>20</v>
      </c>
      <c r="M1566" s="210">
        <f t="shared" si="134"/>
        <v>1</v>
      </c>
      <c r="N1566" s="64">
        <f t="shared" si="135"/>
        <v>1.0001475</v>
      </c>
      <c r="P1566" s="285"/>
    </row>
    <row r="1567" spans="1:16">
      <c r="A1567" s="304"/>
      <c r="B1567" s="305"/>
      <c r="C1567" s="103">
        <f t="shared" si="131"/>
        <v>45365</v>
      </c>
      <c r="E1567" s="170"/>
      <c r="F1567" s="58" t="str">
        <f>VLOOKUP(MOD(C1567,7),'CALENDAR INFO'!$I$2:$J$8,2)</f>
        <v>THU</v>
      </c>
      <c r="G1567" s="219">
        <v>5.33</v>
      </c>
      <c r="H1567" s="431">
        <v>5.31</v>
      </c>
      <c r="I1567" s="457">
        <f t="shared" si="133"/>
        <v>-2.0000000000000462E-2</v>
      </c>
      <c r="J1567" s="152" t="s">
        <v>196</v>
      </c>
      <c r="K1567" s="290">
        <f t="shared" ca="1" si="136"/>
        <v>11</v>
      </c>
      <c r="L1567" s="308">
        <f t="shared" ca="1" si="136"/>
        <v>11</v>
      </c>
      <c r="M1567" s="210">
        <f t="shared" si="134"/>
        <v>1</v>
      </c>
      <c r="N1567" s="64">
        <f t="shared" si="135"/>
        <v>1.0001475</v>
      </c>
    </row>
    <row r="1568" spans="1:16">
      <c r="A1568" s="304"/>
      <c r="B1568" s="305"/>
      <c r="C1568" s="103">
        <f t="shared" si="131"/>
        <v>45366</v>
      </c>
      <c r="E1568" s="170"/>
      <c r="F1568" s="58" t="str">
        <f>VLOOKUP(MOD(C1568,7),'CALENDAR INFO'!$I$2:$J$8,2)</f>
        <v>FRI</v>
      </c>
      <c r="G1568" s="219">
        <v>5.33</v>
      </c>
      <c r="H1568" s="431">
        <v>5.31</v>
      </c>
      <c r="I1568" s="457">
        <f t="shared" si="133"/>
        <v>-2.0000000000000462E-2</v>
      </c>
      <c r="K1568" s="152"/>
      <c r="L1568" s="202"/>
      <c r="M1568" s="210">
        <f t="shared" si="134"/>
        <v>3</v>
      </c>
      <c r="N1568" s="64">
        <f t="shared" si="135"/>
        <v>1.0004424999999999</v>
      </c>
    </row>
    <row r="1569" spans="1:16">
      <c r="A1569" s="304"/>
      <c r="B1569" s="305"/>
      <c r="C1569" s="103">
        <f t="shared" si="131"/>
        <v>45367</v>
      </c>
      <c r="E1569" s="170"/>
      <c r="F1569" s="58" t="str">
        <f>VLOOKUP(MOD(C1569,7),'CALENDAR INFO'!$I$2:$J$8,2)</f>
        <v>SAT</v>
      </c>
      <c r="G1569" s="219">
        <v>5.33</v>
      </c>
      <c r="H1569" s="431">
        <v>5.31</v>
      </c>
      <c r="I1569" s="457">
        <f t="shared" si="133"/>
        <v>-2.0000000000000462E-2</v>
      </c>
      <c r="J1569" s="152" t="s">
        <v>197</v>
      </c>
      <c r="K1569" s="180" t="e">
        <f>OUTPUT!#REF!</f>
        <v>#REF!</v>
      </c>
      <c r="L1569" s="193" t="e">
        <f>OUTPUT!#REF!</f>
        <v>#REF!</v>
      </c>
      <c r="M1569" s="210">
        <f t="shared" si="134"/>
        <v>0</v>
      </c>
      <c r="N1569" s="64">
        <f t="shared" si="135"/>
        <v>1</v>
      </c>
    </row>
    <row r="1570" spans="1:16">
      <c r="A1570" s="304"/>
      <c r="B1570" s="305"/>
      <c r="C1570" s="103">
        <f t="shared" si="131"/>
        <v>45368</v>
      </c>
      <c r="E1570" s="170"/>
      <c r="F1570" s="58" t="str">
        <f>VLOOKUP(MOD(C1570,7),'CALENDAR INFO'!$I$2:$J$8,2)</f>
        <v>SUN</v>
      </c>
      <c r="G1570" s="219">
        <v>5.33</v>
      </c>
      <c r="H1570" s="431">
        <v>5.31</v>
      </c>
      <c r="I1570" s="457">
        <f t="shared" si="133"/>
        <v>-2.0000000000000462E-2</v>
      </c>
      <c r="J1570" s="152" t="s">
        <v>118</v>
      </c>
      <c r="K1570" s="307">
        <f>K1555</f>
        <v>31</v>
      </c>
      <c r="L1570" s="309">
        <f>L1555</f>
        <v>31</v>
      </c>
      <c r="M1570" s="210">
        <f t="shared" si="134"/>
        <v>0</v>
      </c>
      <c r="N1570" s="64">
        <f t="shared" si="135"/>
        <v>1</v>
      </c>
    </row>
    <row r="1571" spans="1:16">
      <c r="A1571" s="304"/>
      <c r="B1571" s="305"/>
      <c r="C1571" s="103">
        <f t="shared" si="131"/>
        <v>45369</v>
      </c>
      <c r="E1571" s="170"/>
      <c r="F1571" s="58" t="str">
        <f>VLOOKUP(MOD(C1571,7),'CALENDAR INFO'!$I$2:$J$8,2)</f>
        <v>MON</v>
      </c>
      <c r="G1571" s="219">
        <v>5.33</v>
      </c>
      <c r="H1571" s="431">
        <v>5.31</v>
      </c>
      <c r="I1571" s="457">
        <f t="shared" si="133"/>
        <v>-2.0000000000000462E-2</v>
      </c>
      <c r="J1571" s="152" t="s">
        <v>184</v>
      </c>
      <c r="K1571" s="178" t="e">
        <f>K1569*K1570</f>
        <v>#REF!</v>
      </c>
      <c r="L1571" s="192" t="e">
        <f>L1569*L1570</f>
        <v>#REF!</v>
      </c>
      <c r="M1571" s="210">
        <f t="shared" si="134"/>
        <v>1</v>
      </c>
      <c r="N1571" s="64">
        <f t="shared" si="135"/>
        <v>1.0001475</v>
      </c>
    </row>
    <row r="1572" spans="1:16">
      <c r="A1572" s="304"/>
      <c r="B1572" s="305"/>
      <c r="C1572" s="103">
        <f t="shared" si="131"/>
        <v>45370</v>
      </c>
      <c r="D1572" s="153" t="s">
        <v>20</v>
      </c>
      <c r="E1572" s="170"/>
      <c r="F1572" s="58" t="str">
        <f>VLOOKUP(MOD(C1572,7),'CALENDAR INFO'!$I$2:$J$8,2)</f>
        <v>TUE</v>
      </c>
      <c r="G1572" s="219">
        <v>5.33</v>
      </c>
      <c r="H1572" s="431">
        <v>5.31</v>
      </c>
      <c r="I1572" s="457">
        <f t="shared" si="133"/>
        <v>-2.0000000000000462E-2</v>
      </c>
      <c r="K1572" s="221"/>
      <c r="L1572" s="223"/>
      <c r="M1572" s="210">
        <f t="shared" si="134"/>
        <v>1</v>
      </c>
      <c r="N1572" s="64">
        <f t="shared" si="135"/>
        <v>1.0001475</v>
      </c>
    </row>
    <row r="1573" spans="1:16">
      <c r="A1573" s="304"/>
      <c r="B1573" s="305"/>
      <c r="C1573" s="103">
        <f t="shared" si="131"/>
        <v>45371</v>
      </c>
      <c r="D1573" s="153" t="s">
        <v>20</v>
      </c>
      <c r="E1573" s="170" t="s">
        <v>19</v>
      </c>
      <c r="F1573" s="58" t="str">
        <f>VLOOKUP(MOD(C1573,7),'CALENDAR INFO'!$I$2:$J$8,2)</f>
        <v>WED</v>
      </c>
      <c r="G1573" s="219">
        <v>5.33</v>
      </c>
      <c r="H1573" s="431">
        <v>5.31</v>
      </c>
      <c r="I1573" s="457">
        <f t="shared" si="133"/>
        <v>-2.0000000000000462E-2</v>
      </c>
      <c r="J1573" s="15" t="s">
        <v>187</v>
      </c>
      <c r="K1573" s="207" t="e">
        <f>K1571</f>
        <v>#REF!</v>
      </c>
      <c r="L1573" s="208" t="e">
        <f>L1571</f>
        <v>#REF!</v>
      </c>
      <c r="M1573" s="210">
        <f t="shared" si="134"/>
        <v>1</v>
      </c>
      <c r="N1573" s="64">
        <f t="shared" si="135"/>
        <v>1.0001475</v>
      </c>
    </row>
    <row r="1574" spans="1:16">
      <c r="B1574" s="41"/>
      <c r="C1574" s="103">
        <f t="shared" si="131"/>
        <v>45372</v>
      </c>
      <c r="E1574" s="167" t="s">
        <v>18</v>
      </c>
      <c r="F1574" s="58" t="str">
        <f>VLOOKUP(MOD(C1574,7),'CALENDAR INFO'!$I$2:$J$8,2)</f>
        <v>THU</v>
      </c>
      <c r="G1574" s="219">
        <v>5.33</v>
      </c>
      <c r="H1574" s="431">
        <v>5.31</v>
      </c>
      <c r="I1574" s="457">
        <f t="shared" si="133"/>
        <v>-2.0000000000000462E-2</v>
      </c>
      <c r="J1574" s="152" t="s">
        <v>155</v>
      </c>
      <c r="K1574" s="178">
        <f ca="1">SUM(INDIRECT(K1561))</f>
        <v>0</v>
      </c>
      <c r="L1574" s="192">
        <f ca="1">SUM(INDIRECT(L1561))</f>
        <v>0</v>
      </c>
      <c r="M1574" s="210">
        <f t="shared" si="134"/>
        <v>1</v>
      </c>
      <c r="N1574" s="64">
        <f t="shared" si="135"/>
        <v>1.0001475</v>
      </c>
    </row>
    <row r="1575" spans="1:16">
      <c r="B1575" s="41"/>
      <c r="C1575" s="103">
        <f t="shared" si="131"/>
        <v>45373</v>
      </c>
      <c r="E1575" s="167"/>
      <c r="F1575" s="58" t="str">
        <f>VLOOKUP(MOD(C1575,7),'CALENDAR INFO'!$I$2:$J$8,2)</f>
        <v>FRI</v>
      </c>
      <c r="G1575" s="219">
        <v>5.33</v>
      </c>
      <c r="H1575" s="431">
        <v>5.31</v>
      </c>
      <c r="I1575" s="457">
        <f t="shared" si="133"/>
        <v>-2.0000000000000462E-2</v>
      </c>
      <c r="J1575" s="15" t="s">
        <v>185</v>
      </c>
      <c r="K1575" s="178">
        <f ca="1">SUM(INDIRECT(K1562))</f>
        <v>0</v>
      </c>
      <c r="L1575" s="192">
        <f ca="1">SUM(INDIRECT(L1562))</f>
        <v>106.59999999999998</v>
      </c>
      <c r="M1575" s="210">
        <f t="shared" si="134"/>
        <v>3</v>
      </c>
      <c r="N1575" s="64">
        <f t="shared" si="135"/>
        <v>1.0004424999999999</v>
      </c>
    </row>
    <row r="1576" spans="1:16">
      <c r="B1576" s="41"/>
      <c r="C1576" s="103">
        <f t="shared" si="131"/>
        <v>45374</v>
      </c>
      <c r="E1576" s="167"/>
      <c r="F1576" s="58" t="str">
        <f>VLOOKUP(MOD(C1576,7),'CALENDAR INFO'!$I$2:$J$8,2)</f>
        <v>SAT</v>
      </c>
      <c r="G1576" s="219">
        <v>5.33</v>
      </c>
      <c r="H1576" s="431">
        <v>5.31</v>
      </c>
      <c r="I1576" s="457">
        <f t="shared" si="133"/>
        <v>-2.0000000000000462E-2</v>
      </c>
      <c r="J1576" s="152" t="s">
        <v>186</v>
      </c>
      <c r="K1576" s="178" t="e">
        <f ca="1">K1573-K1574-K1575</f>
        <v>#REF!</v>
      </c>
      <c r="L1576" s="201" t="e">
        <f ca="1">L1573-L1574-L1575</f>
        <v>#REF!</v>
      </c>
      <c r="M1576" s="210">
        <f t="shared" si="134"/>
        <v>0</v>
      </c>
      <c r="N1576" s="64">
        <f t="shared" si="135"/>
        <v>1</v>
      </c>
    </row>
    <row r="1577" spans="1:16">
      <c r="B1577" s="41"/>
      <c r="C1577" s="103">
        <f t="shared" si="131"/>
        <v>45375</v>
      </c>
      <c r="E1577" s="167"/>
      <c r="F1577" s="58" t="str">
        <f>VLOOKUP(MOD(C1577,7),'CALENDAR INFO'!$I$2:$J$8,2)</f>
        <v>SUN</v>
      </c>
      <c r="G1577" s="219">
        <v>5.33</v>
      </c>
      <c r="H1577" s="431">
        <v>5.31</v>
      </c>
      <c r="I1577" s="457">
        <f t="shared" si="133"/>
        <v>-2.0000000000000462E-2</v>
      </c>
      <c r="K1577" s="152"/>
      <c r="L1577" s="202"/>
      <c r="M1577" s="210">
        <f t="shared" si="134"/>
        <v>0</v>
      </c>
      <c r="N1577" s="64">
        <f t="shared" si="135"/>
        <v>1</v>
      </c>
    </row>
    <row r="1578" spans="1:16">
      <c r="B1578" s="41"/>
      <c r="C1578" s="103">
        <f t="shared" si="131"/>
        <v>45376</v>
      </c>
      <c r="E1578" s="167"/>
      <c r="F1578" s="58" t="str">
        <f>VLOOKUP(MOD(C1578,7),'CALENDAR INFO'!$I$2:$J$8,2)</f>
        <v>MON</v>
      </c>
      <c r="G1578" s="219">
        <v>5.33</v>
      </c>
      <c r="H1578" s="431">
        <v>5.31</v>
      </c>
      <c r="I1578" s="457">
        <f t="shared" si="133"/>
        <v>-2.0000000000000462E-2</v>
      </c>
      <c r="J1578" s="152" t="s">
        <v>188</v>
      </c>
      <c r="K1578" s="290">
        <f ca="1">K1555-K1565-K1566</f>
        <v>11</v>
      </c>
      <c r="L1578" s="291">
        <f ca="1">L1555-L1565-L1566</f>
        <v>11</v>
      </c>
      <c r="M1578" s="210">
        <f t="shared" si="134"/>
        <v>1</v>
      </c>
      <c r="N1578" s="64">
        <f t="shared" si="135"/>
        <v>1.0001475</v>
      </c>
    </row>
    <row r="1579" spans="1:16">
      <c r="B1579" s="41"/>
      <c r="C1579" s="103">
        <f t="shared" si="131"/>
        <v>45377</v>
      </c>
      <c r="E1579" s="167"/>
      <c r="F1579" s="58" t="str">
        <f>VLOOKUP(MOD(C1579,7),'CALENDAR INFO'!$I$2:$J$8,2)</f>
        <v>TUE</v>
      </c>
      <c r="G1579" s="214">
        <v>5.33</v>
      </c>
      <c r="H1579" s="425">
        <v>5.32</v>
      </c>
      <c r="I1579" s="457">
        <f t="shared" si="133"/>
        <v>-9.9999999999997868E-3</v>
      </c>
      <c r="J1579" s="152" t="s">
        <v>189</v>
      </c>
      <c r="K1579" s="182" t="e">
        <f ca="1">K1576/K1578</f>
        <v>#REF!</v>
      </c>
      <c r="L1579" s="201" t="e">
        <f ca="1">L1576/L1578</f>
        <v>#REF!</v>
      </c>
      <c r="M1579" s="210">
        <f t="shared" si="134"/>
        <v>1</v>
      </c>
      <c r="N1579" s="64">
        <f t="shared" si="135"/>
        <v>1.0001477777777779</v>
      </c>
      <c r="P1579" s="283"/>
    </row>
    <row r="1580" spans="1:16">
      <c r="B1580" s="41"/>
      <c r="C1580" s="103">
        <f t="shared" si="131"/>
        <v>45378</v>
      </c>
      <c r="E1580" s="167"/>
      <c r="F1580" s="58" t="str">
        <f>VLOOKUP(MOD(C1580,7),'CALENDAR INFO'!$I$2:$J$8,2)</f>
        <v>WED</v>
      </c>
      <c r="G1580" s="214">
        <v>5.33</v>
      </c>
      <c r="H1580" s="425">
        <v>5.33</v>
      </c>
      <c r="I1580" s="457">
        <f t="shared" si="133"/>
        <v>0</v>
      </c>
      <c r="J1580" s="152"/>
      <c r="K1580" s="152"/>
      <c r="L1580" s="202"/>
      <c r="M1580" s="210">
        <f t="shared" si="134"/>
        <v>1</v>
      </c>
      <c r="N1580" s="64">
        <f t="shared" si="135"/>
        <v>1.0001480555555555</v>
      </c>
      <c r="P1580" s="284"/>
    </row>
    <row r="1581" spans="1:16">
      <c r="B1581" s="41"/>
      <c r="C1581" s="103">
        <f t="shared" si="131"/>
        <v>45379</v>
      </c>
      <c r="E1581" s="167"/>
      <c r="F1581" s="58" t="str">
        <f>VLOOKUP(MOD(C1581,7),'CALENDAR INFO'!$I$2:$J$8,2)</f>
        <v>THU</v>
      </c>
      <c r="G1581" s="214">
        <v>5.33</v>
      </c>
      <c r="H1581" s="425">
        <v>5.34</v>
      </c>
      <c r="I1581" s="457">
        <f t="shared" si="133"/>
        <v>9.9999999999997868E-3</v>
      </c>
      <c r="J1581" s="152"/>
      <c r="K1581" s="182"/>
      <c r="L1581" s="201"/>
      <c r="M1581" s="210">
        <v>4</v>
      </c>
      <c r="N1581" s="64">
        <f t="shared" si="135"/>
        <v>1.0005933333333332</v>
      </c>
      <c r="P1581" s="284"/>
    </row>
    <row r="1582" spans="1:16">
      <c r="B1582" s="41"/>
      <c r="C1582" s="103">
        <f t="shared" si="131"/>
        <v>45380</v>
      </c>
      <c r="D1582" s="173" t="s">
        <v>44</v>
      </c>
      <c r="E1582" s="167"/>
      <c r="F1582" s="58" t="str">
        <f>VLOOKUP(MOD(C1582,7),'CALENDAR INFO'!$I$2:$J$8,2)</f>
        <v>FRI</v>
      </c>
      <c r="G1582" s="214">
        <v>5.33</v>
      </c>
      <c r="H1582" s="425">
        <v>5.34</v>
      </c>
      <c r="I1582" s="457">
        <f t="shared" si="133"/>
        <v>9.9999999999997868E-3</v>
      </c>
      <c r="J1582" s="152"/>
      <c r="K1582" s="187" t="s">
        <v>202</v>
      </c>
      <c r="L1582" s="339" t="s">
        <v>202</v>
      </c>
      <c r="M1582" s="210">
        <v>0</v>
      </c>
      <c r="N1582" s="64">
        <f t="shared" si="135"/>
        <v>1</v>
      </c>
    </row>
    <row r="1583" spans="1:16">
      <c r="B1583" s="41"/>
      <c r="C1583" s="103">
        <f t="shared" si="131"/>
        <v>45381</v>
      </c>
      <c r="E1583" s="167"/>
      <c r="F1583" s="58" t="str">
        <f>VLOOKUP(MOD(C1583,7),'CALENDAR INFO'!$I$2:$J$8,2)</f>
        <v>SAT</v>
      </c>
      <c r="G1583" s="214">
        <v>5.33</v>
      </c>
      <c r="H1583" s="425">
        <v>5.34</v>
      </c>
      <c r="I1583" s="457">
        <f t="shared" si="133"/>
        <v>9.9999999999997868E-3</v>
      </c>
      <c r="J1583" s="439" t="s">
        <v>201</v>
      </c>
      <c r="K1583" s="183">
        <f ca="1">100-K1574/K1555</f>
        <v>100</v>
      </c>
      <c r="L1583" s="339">
        <f ca="1">100-L1574/L1555</f>
        <v>100</v>
      </c>
      <c r="M1583" s="210">
        <f t="shared" ref="M1583:M1614" si="137">IF(MOD(C1583,7)&lt;2,0,IF(MOD(C1583,7)=6,3,1))</f>
        <v>0</v>
      </c>
      <c r="N1583" s="64">
        <f t="shared" si="135"/>
        <v>1</v>
      </c>
    </row>
    <row r="1584" spans="1:16" ht="15.75" thickBot="1">
      <c r="A1584" s="98"/>
      <c r="B1584" s="230"/>
      <c r="C1584" s="104">
        <f t="shared" si="131"/>
        <v>45382</v>
      </c>
      <c r="D1584" s="112"/>
      <c r="E1584" s="92"/>
      <c r="F1584" s="71" t="str">
        <f>VLOOKUP(MOD(C1584,7),'CALENDAR INFO'!$I$2:$J$8,2)</f>
        <v>SUN</v>
      </c>
      <c r="G1584" s="215">
        <v>5.33</v>
      </c>
      <c r="H1584" s="426">
        <v>5.34</v>
      </c>
      <c r="I1584" s="457">
        <f t="shared" si="133"/>
        <v>9.9999999999997868E-3</v>
      </c>
      <c r="J1584" s="440" t="s">
        <v>200</v>
      </c>
      <c r="K1584" s="340">
        <v>94.67</v>
      </c>
      <c r="L1584" s="341">
        <v>94.685000000000002</v>
      </c>
      <c r="M1584" s="113">
        <f t="shared" si="137"/>
        <v>0</v>
      </c>
      <c r="N1584" s="77">
        <f t="shared" si="135"/>
        <v>1</v>
      </c>
    </row>
    <row r="1585" spans="1:14">
      <c r="A1585" s="304"/>
      <c r="B1585" s="305"/>
      <c r="C1585" s="103">
        <f t="shared" si="131"/>
        <v>45383</v>
      </c>
      <c r="E1585" s="167"/>
      <c r="F1585" s="58" t="str">
        <f>VLOOKUP(MOD(C1585,7),'CALENDAR INFO'!$I$2:$J$8,2)</f>
        <v>MON</v>
      </c>
      <c r="G1585" s="214">
        <v>5.33</v>
      </c>
      <c r="H1585" s="425">
        <v>5.35</v>
      </c>
      <c r="I1585" s="457">
        <f t="shared" si="133"/>
        <v>1.9999999999999574E-2</v>
      </c>
      <c r="J1585" s="436" t="s">
        <v>151</v>
      </c>
      <c r="K1585" s="15">
        <f>ROW(K1585)</f>
        <v>1585</v>
      </c>
      <c r="L1585" s="179">
        <f>K1585</f>
        <v>1585</v>
      </c>
      <c r="M1585" s="116">
        <f t="shared" si="137"/>
        <v>1</v>
      </c>
      <c r="N1585" s="111">
        <f t="shared" si="135"/>
        <v>1.0001486111111111</v>
      </c>
    </row>
    <row r="1586" spans="1:14">
      <c r="B1586" s="41"/>
      <c r="C1586" s="103">
        <f t="shared" si="131"/>
        <v>45384</v>
      </c>
      <c r="E1586" s="167"/>
      <c r="F1586" s="58" t="str">
        <f>VLOOKUP(MOD(C1586,7),'CALENDAR INFO'!$I$2:$J$8,2)</f>
        <v>TUE</v>
      </c>
      <c r="G1586" s="214">
        <v>5.33</v>
      </c>
      <c r="H1586" s="425">
        <v>5.34</v>
      </c>
      <c r="I1586" s="457">
        <f t="shared" si="133"/>
        <v>9.9999999999997868E-3</v>
      </c>
      <c r="J1586" s="152" t="s">
        <v>118</v>
      </c>
      <c r="K1586" s="15">
        <f>VLOOKUP(MONTH($C1585),'CALENDAR INFO'!$I$12:$J$23,2)</f>
        <v>30</v>
      </c>
      <c r="L1586" s="179">
        <f>K1586</f>
        <v>30</v>
      </c>
      <c r="M1586" s="211">
        <f t="shared" si="137"/>
        <v>1</v>
      </c>
      <c r="N1586" s="64">
        <f t="shared" si="135"/>
        <v>1.0001483333333334</v>
      </c>
    </row>
    <row r="1587" spans="1:14">
      <c r="B1587" s="41"/>
      <c r="C1587" s="103">
        <f t="shared" si="131"/>
        <v>45385</v>
      </c>
      <c r="E1587" s="167" t="s">
        <v>19</v>
      </c>
      <c r="F1587" s="58" t="str">
        <f>VLOOKUP(MOD(C1587,7),'CALENDAR INFO'!$I$2:$J$8,2)</f>
        <v>WED</v>
      </c>
      <c r="G1587" s="214">
        <v>5.33</v>
      </c>
      <c r="H1587" s="425">
        <v>5.32</v>
      </c>
      <c r="I1587" s="457">
        <f t="shared" si="133"/>
        <v>-9.9999999999997868E-3</v>
      </c>
      <c r="J1587" s="152" t="s">
        <v>152</v>
      </c>
      <c r="K1587" s="15">
        <f>K1586+K1585-1</f>
        <v>1614</v>
      </c>
      <c r="L1587" s="200">
        <f>K1587</f>
        <v>1614</v>
      </c>
      <c r="M1587" s="211">
        <f t="shared" si="137"/>
        <v>1</v>
      </c>
      <c r="N1587" s="64">
        <f t="shared" si="135"/>
        <v>1.0001477777777779</v>
      </c>
    </row>
    <row r="1588" spans="1:14">
      <c r="B1588" s="41"/>
      <c r="C1588" s="103">
        <f t="shared" si="131"/>
        <v>45386</v>
      </c>
      <c r="E1588" s="170" t="s">
        <v>18</v>
      </c>
      <c r="F1588" s="58" t="str">
        <f>VLOOKUP(MOD(C1588,7),'CALENDAR INFO'!$I$2:$J$8,2)</f>
        <v>THU</v>
      </c>
      <c r="G1588" s="214">
        <v>5.33</v>
      </c>
      <c r="H1588" s="425">
        <v>5.32</v>
      </c>
      <c r="I1588" s="457">
        <f t="shared" si="133"/>
        <v>-9.9999999999997868E-3</v>
      </c>
      <c r="J1588" s="152"/>
      <c r="K1588" s="182"/>
      <c r="L1588" s="201"/>
      <c r="M1588" s="211">
        <f t="shared" si="137"/>
        <v>1</v>
      </c>
      <c r="N1588" s="64">
        <f t="shared" si="135"/>
        <v>1.0001477777777779</v>
      </c>
    </row>
    <row r="1589" spans="1:14">
      <c r="B1589" s="41"/>
      <c r="C1589" s="103">
        <f t="shared" ref="C1589:C1652" si="138">C1588+1</f>
        <v>45387</v>
      </c>
      <c r="E1589" s="170"/>
      <c r="F1589" s="58" t="str">
        <f>VLOOKUP(MOD(C1589,7),'CALENDAR INFO'!$I$2:$J$8,2)</f>
        <v>FRI</v>
      </c>
      <c r="G1589" s="214">
        <v>5.33</v>
      </c>
      <c r="H1589" s="425">
        <v>5.32</v>
      </c>
      <c r="I1589" s="457">
        <f t="shared" si="133"/>
        <v>-9.9999999999997868E-3</v>
      </c>
      <c r="J1589" s="152" t="s">
        <v>192</v>
      </c>
      <c r="K1589" s="311">
        <v>1585</v>
      </c>
      <c r="L1589" s="291">
        <f>K1589</f>
        <v>1585</v>
      </c>
      <c r="M1589" s="211">
        <f t="shared" si="137"/>
        <v>3</v>
      </c>
      <c r="N1589" s="64">
        <f t="shared" si="135"/>
        <v>1.0004433333333334</v>
      </c>
    </row>
    <row r="1590" spans="1:14">
      <c r="B1590" s="41"/>
      <c r="C1590" s="103">
        <f t="shared" si="138"/>
        <v>45388</v>
      </c>
      <c r="E1590" s="170"/>
      <c r="F1590" s="58" t="str">
        <f>VLOOKUP(MOD(C1590,7),'CALENDAR INFO'!$I$2:$J$8,2)</f>
        <v>SAT</v>
      </c>
      <c r="G1590" s="214">
        <v>5.33</v>
      </c>
      <c r="H1590" s="425">
        <v>5.32</v>
      </c>
      <c r="I1590" s="457">
        <f t="shared" si="133"/>
        <v>-9.9999999999997868E-3</v>
      </c>
      <c r="J1590" s="152" t="s">
        <v>193</v>
      </c>
      <c r="K1590" s="290">
        <f>K1589+1</f>
        <v>1586</v>
      </c>
      <c r="L1590" s="291">
        <f>K1590</f>
        <v>1586</v>
      </c>
      <c r="M1590" s="211">
        <f t="shared" si="137"/>
        <v>0</v>
      </c>
      <c r="N1590" s="64">
        <f t="shared" si="135"/>
        <v>1</v>
      </c>
    </row>
    <row r="1591" spans="1:14">
      <c r="B1591" s="41"/>
      <c r="C1591" s="103">
        <f t="shared" si="138"/>
        <v>45389</v>
      </c>
      <c r="E1591" s="170"/>
      <c r="F1591" s="58" t="str">
        <f>VLOOKUP(MOD(C1591,7),'CALENDAR INFO'!$I$2:$J$8,2)</f>
        <v>SUN</v>
      </c>
      <c r="G1591" s="214">
        <v>5.33</v>
      </c>
      <c r="H1591" s="425">
        <v>5.32</v>
      </c>
      <c r="I1591" s="457">
        <f t="shared" si="133"/>
        <v>-9.9999999999997868E-3</v>
      </c>
      <c r="J1591" s="152"/>
      <c r="K1591" s="152"/>
      <c r="L1591" s="202"/>
      <c r="M1591" s="211">
        <f t="shared" si="137"/>
        <v>0</v>
      </c>
      <c r="N1591" s="64">
        <f t="shared" si="135"/>
        <v>1</v>
      </c>
    </row>
    <row r="1592" spans="1:14">
      <c r="B1592" s="41"/>
      <c r="C1592" s="103">
        <f t="shared" si="138"/>
        <v>45390</v>
      </c>
      <c r="E1592" s="170"/>
      <c r="F1592" s="58" t="str">
        <f>VLOOKUP(MOD(C1592,7),'CALENDAR INFO'!$I$2:$J$8,2)</f>
        <v>MON</v>
      </c>
      <c r="G1592" s="214">
        <v>5.33</v>
      </c>
      <c r="H1592" s="425">
        <v>5.31</v>
      </c>
      <c r="I1592" s="457">
        <f t="shared" si="133"/>
        <v>-2.0000000000000462E-2</v>
      </c>
      <c r="J1592" s="152" t="s">
        <v>153</v>
      </c>
      <c r="K1592" s="312" t="str">
        <f>_xlfn.CONCAT("A",TEXT(K1585,0),":","A",TEXT(K1587,0))</f>
        <v>A1585:A1614</v>
      </c>
      <c r="L1592" s="313" t="str">
        <f>_xlfn.CONCAT("B",TEXT(L1585,0),":","B",TEXT(L1587,0))</f>
        <v>B1585:B1614</v>
      </c>
      <c r="M1592" s="211">
        <f t="shared" si="137"/>
        <v>1</v>
      </c>
      <c r="N1592" s="64">
        <f t="shared" si="135"/>
        <v>1.0001475</v>
      </c>
    </row>
    <row r="1593" spans="1:14">
      <c r="B1593" s="41"/>
      <c r="C1593" s="103">
        <f t="shared" si="138"/>
        <v>45391</v>
      </c>
      <c r="E1593" s="170"/>
      <c r="F1593" s="58" t="str">
        <f>VLOOKUP(MOD(C1593,7),'CALENDAR INFO'!$I$2:$J$8,2)</f>
        <v>TUE</v>
      </c>
      <c r="G1593" s="214">
        <v>5.33</v>
      </c>
      <c r="H1593" s="425">
        <v>5.31</v>
      </c>
      <c r="I1593" s="457">
        <f t="shared" si="133"/>
        <v>-2.0000000000000462E-2</v>
      </c>
      <c r="J1593" s="152" t="s">
        <v>190</v>
      </c>
      <c r="K1593" s="182" t="str">
        <f>_xlfn.CONCAT("F",TEXT(K1585,0),":","F",TEXT(K1589,0))</f>
        <v>F1585:F1585</v>
      </c>
      <c r="L1593" s="201" t="str">
        <f>_xlfn.CONCAT("G",TEXT(L1585,0),":","G",TEXT(L1589,0))</f>
        <v>G1585:G1585</v>
      </c>
      <c r="M1593" s="211">
        <f t="shared" si="137"/>
        <v>1</v>
      </c>
      <c r="N1593" s="64">
        <f t="shared" si="135"/>
        <v>1.0001475</v>
      </c>
    </row>
    <row r="1594" spans="1:14">
      <c r="B1594" s="41"/>
      <c r="C1594" s="103">
        <f t="shared" si="138"/>
        <v>45392</v>
      </c>
      <c r="E1594" s="170"/>
      <c r="F1594" s="58" t="str">
        <f>VLOOKUP(MOD(C1594,7),'CALENDAR INFO'!$I$2:$J$8,2)</f>
        <v>WED</v>
      </c>
      <c r="G1594" s="214">
        <v>5.33</v>
      </c>
      <c r="H1594" s="425">
        <v>5.31</v>
      </c>
      <c r="I1594" s="457">
        <f t="shared" si="133"/>
        <v>-2.0000000000000462E-2</v>
      </c>
      <c r="J1594" s="152" t="s">
        <v>191</v>
      </c>
      <c r="K1594" s="152" t="str">
        <f>_xlfn.CONCAT("F",TEXT(K1590,0),":","F",TEXT(K1587,0))</f>
        <v>F1586:F1614</v>
      </c>
      <c r="L1594" s="201" t="str">
        <f>_xlfn.CONCAT("G",TEXT(L1590,0),":","G",TEXT(L1587,0))</f>
        <v>G1586:G1614</v>
      </c>
      <c r="M1594" s="211">
        <f t="shared" si="137"/>
        <v>1</v>
      </c>
      <c r="N1594" s="64">
        <f t="shared" si="135"/>
        <v>1.0001475</v>
      </c>
    </row>
    <row r="1595" spans="1:14">
      <c r="B1595" s="41"/>
      <c r="C1595" s="103">
        <f t="shared" si="138"/>
        <v>45393</v>
      </c>
      <c r="E1595" s="170"/>
      <c r="F1595" s="58" t="str">
        <f>VLOOKUP(MOD(C1595,7),'CALENDAR INFO'!$I$2:$J$8,2)</f>
        <v>THU</v>
      </c>
      <c r="G1595" s="214">
        <v>5.33</v>
      </c>
      <c r="H1595" s="425">
        <v>5.31</v>
      </c>
      <c r="I1595" s="457">
        <f t="shared" si="133"/>
        <v>-2.0000000000000462E-2</v>
      </c>
      <c r="J1595" s="152"/>
      <c r="K1595" s="182"/>
      <c r="L1595" s="201"/>
      <c r="M1595" s="211">
        <f t="shared" si="137"/>
        <v>1</v>
      </c>
      <c r="N1595" s="64">
        <f t="shared" si="135"/>
        <v>1.0001475</v>
      </c>
    </row>
    <row r="1596" spans="1:14">
      <c r="B1596" s="41"/>
      <c r="C1596" s="103">
        <f t="shared" si="138"/>
        <v>45394</v>
      </c>
      <c r="E1596" s="170"/>
      <c r="F1596" s="58" t="str">
        <f>VLOOKUP(MOD(C1596,7),'CALENDAR INFO'!$I$2:$J$8,2)</f>
        <v>FRI</v>
      </c>
      <c r="G1596" s="214">
        <v>5.33</v>
      </c>
      <c r="H1596" s="425">
        <v>5.31</v>
      </c>
      <c r="I1596" s="457">
        <f t="shared" si="133"/>
        <v>-2.0000000000000462E-2</v>
      </c>
      <c r="J1596" s="15" t="s">
        <v>194</v>
      </c>
      <c r="K1596" s="152">
        <f t="shared" ref="K1596:L1598" ca="1" si="139">COUNTA(INDIRECT(K1592))</f>
        <v>0</v>
      </c>
      <c r="L1596" s="202">
        <f t="shared" ca="1" si="139"/>
        <v>0</v>
      </c>
      <c r="M1596" s="211">
        <f t="shared" si="137"/>
        <v>3</v>
      </c>
      <c r="N1596" s="64">
        <f t="shared" si="135"/>
        <v>1.0004424999999999</v>
      </c>
    </row>
    <row r="1597" spans="1:14">
      <c r="B1597" s="41"/>
      <c r="C1597" s="103">
        <f t="shared" si="138"/>
        <v>45395</v>
      </c>
      <c r="E1597" s="170"/>
      <c r="F1597" s="58" t="str">
        <f>VLOOKUP(MOD(C1597,7),'CALENDAR INFO'!$I$2:$J$8,2)</f>
        <v>SAT</v>
      </c>
      <c r="G1597" s="214">
        <v>5.33</v>
      </c>
      <c r="H1597" s="425">
        <v>5.31</v>
      </c>
      <c r="I1597" s="457">
        <f t="shared" si="133"/>
        <v>-2.0000000000000462E-2</v>
      </c>
      <c r="J1597" s="152" t="s">
        <v>195</v>
      </c>
      <c r="K1597" s="306">
        <f t="shared" ca="1" si="139"/>
        <v>1</v>
      </c>
      <c r="L1597" s="200">
        <f t="shared" ca="1" si="139"/>
        <v>1</v>
      </c>
      <c r="M1597" s="211">
        <f t="shared" si="137"/>
        <v>0</v>
      </c>
      <c r="N1597" s="64">
        <f t="shared" si="135"/>
        <v>1</v>
      </c>
    </row>
    <row r="1598" spans="1:14">
      <c r="B1598" s="41"/>
      <c r="C1598" s="103">
        <f t="shared" si="138"/>
        <v>45396</v>
      </c>
      <c r="E1598" s="170"/>
      <c r="F1598" s="58" t="str">
        <f>VLOOKUP(MOD(C1598,7),'CALENDAR INFO'!$I$2:$J$8,2)</f>
        <v>SUN</v>
      </c>
      <c r="G1598" s="214">
        <v>5.33</v>
      </c>
      <c r="H1598" s="425">
        <v>5.31</v>
      </c>
      <c r="I1598" s="457">
        <f t="shared" si="133"/>
        <v>-2.0000000000000462E-2</v>
      </c>
      <c r="J1598" s="15" t="s">
        <v>196</v>
      </c>
      <c r="K1598" s="306">
        <f t="shared" ca="1" si="139"/>
        <v>29</v>
      </c>
      <c r="L1598" s="200">
        <f t="shared" ca="1" si="139"/>
        <v>29</v>
      </c>
      <c r="M1598" s="211">
        <f t="shared" si="137"/>
        <v>0</v>
      </c>
      <c r="N1598" s="64">
        <f t="shared" si="135"/>
        <v>1</v>
      </c>
    </row>
    <row r="1599" spans="1:14">
      <c r="B1599" s="41"/>
      <c r="C1599" s="103">
        <f t="shared" si="138"/>
        <v>45397</v>
      </c>
      <c r="E1599" s="170"/>
      <c r="F1599" s="58" t="str">
        <f>VLOOKUP(MOD(C1599,7),'CALENDAR INFO'!$I$2:$J$8,2)</f>
        <v>MON</v>
      </c>
      <c r="G1599" s="214">
        <v>5.33</v>
      </c>
      <c r="H1599" s="425">
        <v>5.32</v>
      </c>
      <c r="I1599" s="457">
        <f t="shared" si="133"/>
        <v>-9.9999999999997868E-3</v>
      </c>
      <c r="K1599" s="178"/>
      <c r="L1599" s="192"/>
      <c r="M1599" s="211">
        <f t="shared" si="137"/>
        <v>1</v>
      </c>
      <c r="N1599" s="64">
        <f t="shared" si="135"/>
        <v>1.0001477777777779</v>
      </c>
    </row>
    <row r="1600" spans="1:14">
      <c r="B1600" s="41"/>
      <c r="C1600" s="103">
        <f t="shared" si="138"/>
        <v>45398</v>
      </c>
      <c r="E1600" s="170"/>
      <c r="F1600" s="58" t="str">
        <f>VLOOKUP(MOD(C1600,7),'CALENDAR INFO'!$I$2:$J$8,2)</f>
        <v>TUE</v>
      </c>
      <c r="G1600" s="214">
        <v>5.33</v>
      </c>
      <c r="H1600" s="425">
        <v>5.31</v>
      </c>
      <c r="I1600" s="457">
        <f t="shared" si="133"/>
        <v>-2.0000000000000462E-2</v>
      </c>
      <c r="J1600" s="152" t="s">
        <v>197</v>
      </c>
      <c r="K1600" s="180" t="e">
        <f>OUTPUT!#REF!</f>
        <v>#REF!</v>
      </c>
      <c r="L1600" s="193" t="e">
        <f>OUTPUT!#REF!</f>
        <v>#REF!</v>
      </c>
      <c r="M1600" s="211">
        <f t="shared" si="137"/>
        <v>1</v>
      </c>
      <c r="N1600" s="64">
        <f t="shared" si="135"/>
        <v>1.0001475</v>
      </c>
    </row>
    <row r="1601" spans="1:16">
      <c r="B1601" s="41"/>
      <c r="C1601" s="103">
        <f t="shared" si="138"/>
        <v>45399</v>
      </c>
      <c r="E1601" s="170" t="s">
        <v>19</v>
      </c>
      <c r="F1601" s="58" t="str">
        <f>VLOOKUP(MOD(C1601,7),'CALENDAR INFO'!$I$2:$J$8,2)</f>
        <v>WED</v>
      </c>
      <c r="G1601" s="214">
        <v>5.33</v>
      </c>
      <c r="H1601" s="425">
        <v>5.31</v>
      </c>
      <c r="I1601" s="457">
        <f t="shared" si="133"/>
        <v>-2.0000000000000462E-2</v>
      </c>
      <c r="J1601" s="152" t="s">
        <v>118</v>
      </c>
      <c r="K1601" s="314">
        <f>K1586</f>
        <v>30</v>
      </c>
      <c r="L1601" s="315">
        <f>L1586</f>
        <v>30</v>
      </c>
      <c r="M1601" s="211">
        <f t="shared" si="137"/>
        <v>1</v>
      </c>
      <c r="N1601" s="64">
        <f t="shared" si="135"/>
        <v>1.0001475</v>
      </c>
    </row>
    <row r="1602" spans="1:16">
      <c r="B1602" s="41"/>
      <c r="C1602" s="103">
        <f t="shared" si="138"/>
        <v>45400</v>
      </c>
      <c r="E1602" s="167" t="s">
        <v>18</v>
      </c>
      <c r="F1602" s="58" t="str">
        <f>VLOOKUP(MOD(C1602,7),'CALENDAR INFO'!$I$2:$J$8,2)</f>
        <v>THU</v>
      </c>
      <c r="G1602" s="214">
        <v>5.33</v>
      </c>
      <c r="H1602" s="425">
        <v>5.3</v>
      </c>
      <c r="I1602" s="457">
        <f t="shared" si="133"/>
        <v>-3.0000000000000249E-2</v>
      </c>
      <c r="J1602" s="152" t="s">
        <v>184</v>
      </c>
      <c r="K1602" s="178" t="e">
        <f>K1600*K1601</f>
        <v>#REF!</v>
      </c>
      <c r="L1602" s="192" t="e">
        <f>L1600*L1601</f>
        <v>#REF!</v>
      </c>
      <c r="M1602" s="211">
        <f t="shared" si="137"/>
        <v>1</v>
      </c>
      <c r="N1602" s="64">
        <f t="shared" si="135"/>
        <v>1.0001472222222223</v>
      </c>
    </row>
    <row r="1603" spans="1:16">
      <c r="B1603" s="41"/>
      <c r="C1603" s="103">
        <f t="shared" si="138"/>
        <v>45401</v>
      </c>
      <c r="E1603" s="167"/>
      <c r="F1603" s="58" t="str">
        <f>VLOOKUP(MOD(C1603,7),'CALENDAR INFO'!$I$2:$J$8,2)</f>
        <v>FRI</v>
      </c>
      <c r="G1603" s="214">
        <v>5.33</v>
      </c>
      <c r="H1603" s="425">
        <v>5.31</v>
      </c>
      <c r="I1603" s="457">
        <f t="shared" ref="I1603:I1666" si="140">H1603-G1603</f>
        <v>-2.0000000000000462E-2</v>
      </c>
      <c r="J1603" s="152"/>
      <c r="K1603" s="306"/>
      <c r="L1603" s="200"/>
      <c r="M1603" s="211">
        <f t="shared" si="137"/>
        <v>3</v>
      </c>
      <c r="N1603" s="64">
        <f t="shared" si="135"/>
        <v>1.0004424999999999</v>
      </c>
    </row>
    <row r="1604" spans="1:16">
      <c r="B1604" s="41"/>
      <c r="C1604" s="103">
        <f t="shared" si="138"/>
        <v>45402</v>
      </c>
      <c r="E1604" s="167"/>
      <c r="F1604" s="58" t="str">
        <f>VLOOKUP(MOD(C1604,7),'CALENDAR INFO'!$I$2:$J$8,2)</f>
        <v>SAT</v>
      </c>
      <c r="G1604" s="214">
        <v>5.33</v>
      </c>
      <c r="H1604" s="425">
        <v>5.31</v>
      </c>
      <c r="I1604" s="457">
        <f t="shared" si="140"/>
        <v>-2.0000000000000462E-2</v>
      </c>
      <c r="J1604" s="152" t="s">
        <v>187</v>
      </c>
      <c r="K1604" s="207" t="e">
        <f>K1602</f>
        <v>#REF!</v>
      </c>
      <c r="L1604" s="208" t="e">
        <f>L1602</f>
        <v>#REF!</v>
      </c>
      <c r="M1604" s="211">
        <f t="shared" si="137"/>
        <v>0</v>
      </c>
      <c r="N1604" s="64">
        <f t="shared" si="135"/>
        <v>1</v>
      </c>
    </row>
    <row r="1605" spans="1:16">
      <c r="B1605" s="41"/>
      <c r="C1605" s="103">
        <f t="shared" si="138"/>
        <v>45403</v>
      </c>
      <c r="E1605" s="167"/>
      <c r="F1605" s="58" t="str">
        <f>VLOOKUP(MOD(C1605,7),'CALENDAR INFO'!$I$2:$J$8,2)</f>
        <v>SUN</v>
      </c>
      <c r="G1605" s="214">
        <v>5.33</v>
      </c>
      <c r="H1605" s="425">
        <v>5.31</v>
      </c>
      <c r="I1605" s="457">
        <f t="shared" si="140"/>
        <v>-2.0000000000000462E-2</v>
      </c>
      <c r="J1605" s="15" t="s">
        <v>155</v>
      </c>
      <c r="K1605" s="182">
        <f ca="1">SUM(INDIRECT(K1592))</f>
        <v>0</v>
      </c>
      <c r="L1605" s="201">
        <f ca="1">SUM(INDIRECT(L1592))</f>
        <v>0</v>
      </c>
      <c r="M1605" s="211">
        <f t="shared" si="137"/>
        <v>0</v>
      </c>
      <c r="N1605" s="64">
        <f t="shared" si="135"/>
        <v>1</v>
      </c>
    </row>
    <row r="1606" spans="1:16">
      <c r="B1606" s="41"/>
      <c r="C1606" s="103">
        <f t="shared" si="138"/>
        <v>45404</v>
      </c>
      <c r="E1606" s="167"/>
      <c r="F1606" s="58" t="str">
        <f>VLOOKUP(MOD(C1606,7),'CALENDAR INFO'!$I$2:$J$8,2)</f>
        <v>MON</v>
      </c>
      <c r="G1606" s="214">
        <v>5.33</v>
      </c>
      <c r="H1606" s="425">
        <v>5.31</v>
      </c>
      <c r="I1606" s="457">
        <f t="shared" si="140"/>
        <v>-2.0000000000000462E-2</v>
      </c>
      <c r="J1606" s="15" t="s">
        <v>185</v>
      </c>
      <c r="K1606" s="182">
        <f ca="1">SUM(INDIRECT(K1593))</f>
        <v>0</v>
      </c>
      <c r="L1606" s="201">
        <f ca="1">SUM(INDIRECT(L1593))</f>
        <v>5.33</v>
      </c>
      <c r="M1606" s="211">
        <f t="shared" si="137"/>
        <v>1</v>
      </c>
      <c r="N1606" s="64">
        <f t="shared" si="135"/>
        <v>1.0001475</v>
      </c>
    </row>
    <row r="1607" spans="1:16">
      <c r="B1607" s="41"/>
      <c r="C1607" s="103">
        <f t="shared" si="138"/>
        <v>45405</v>
      </c>
      <c r="E1607" s="167"/>
      <c r="F1607" s="58" t="str">
        <f>VLOOKUP(MOD(C1607,7),'CALENDAR INFO'!$I$2:$J$8,2)</f>
        <v>TUE</v>
      </c>
      <c r="G1607" s="214">
        <v>5.33</v>
      </c>
      <c r="H1607" s="425">
        <v>5.31</v>
      </c>
      <c r="I1607" s="457">
        <f t="shared" si="140"/>
        <v>-2.0000000000000462E-2</v>
      </c>
      <c r="J1607" s="15" t="s">
        <v>186</v>
      </c>
      <c r="K1607" s="182" t="e">
        <f ca="1">K1604-K1605-K1606</f>
        <v>#REF!</v>
      </c>
      <c r="L1607" s="201" t="e">
        <f ca="1">L1604-L1605-L1606</f>
        <v>#REF!</v>
      </c>
      <c r="M1607" s="211">
        <f t="shared" si="137"/>
        <v>1</v>
      </c>
      <c r="N1607" s="64">
        <f t="shared" si="135"/>
        <v>1.0001475</v>
      </c>
    </row>
    <row r="1608" spans="1:16">
      <c r="B1608" s="41"/>
      <c r="C1608" s="103">
        <f t="shared" si="138"/>
        <v>45406</v>
      </c>
      <c r="E1608" s="167"/>
      <c r="F1608" s="58" t="str">
        <f>VLOOKUP(MOD(C1608,7),'CALENDAR INFO'!$I$2:$J$8,2)</f>
        <v>WED</v>
      </c>
      <c r="G1608" s="214">
        <v>5.33</v>
      </c>
      <c r="H1608" s="425">
        <v>5.31</v>
      </c>
      <c r="I1608" s="457">
        <f t="shared" si="140"/>
        <v>-2.0000000000000462E-2</v>
      </c>
      <c r="K1608" s="182"/>
      <c r="L1608" s="201"/>
      <c r="M1608" s="211">
        <f t="shared" si="137"/>
        <v>1</v>
      </c>
      <c r="N1608" s="64">
        <f t="shared" si="135"/>
        <v>1.0001475</v>
      </c>
    </row>
    <row r="1609" spans="1:16">
      <c r="B1609" s="41"/>
      <c r="C1609" s="103">
        <f t="shared" si="138"/>
        <v>45407</v>
      </c>
      <c r="E1609" s="167"/>
      <c r="F1609" s="58" t="str">
        <f>VLOOKUP(MOD(C1609,7),'CALENDAR INFO'!$I$2:$J$8,2)</f>
        <v>THU</v>
      </c>
      <c r="G1609" s="214">
        <v>5.33</v>
      </c>
      <c r="H1609" s="425">
        <v>5.31</v>
      </c>
      <c r="I1609" s="457">
        <f t="shared" si="140"/>
        <v>-2.0000000000000462E-2</v>
      </c>
      <c r="J1609" s="15" t="s">
        <v>188</v>
      </c>
      <c r="K1609" s="290">
        <f ca="1">K1586-K1596-K1597</f>
        <v>29</v>
      </c>
      <c r="L1609" s="291">
        <f ca="1">L1586-L1596-L1597</f>
        <v>29</v>
      </c>
      <c r="M1609" s="211">
        <f t="shared" si="137"/>
        <v>1</v>
      </c>
      <c r="N1609" s="64">
        <f t="shared" si="135"/>
        <v>1.0001475</v>
      </c>
      <c r="P1609" s="283"/>
    </row>
    <row r="1610" spans="1:16">
      <c r="B1610" s="41"/>
      <c r="C1610" s="103">
        <f t="shared" si="138"/>
        <v>45408</v>
      </c>
      <c r="E1610" s="167"/>
      <c r="F1610" s="58" t="str">
        <f>VLOOKUP(MOD(C1610,7),'CALENDAR INFO'!$I$2:$J$8,2)</f>
        <v>FRI</v>
      </c>
      <c r="G1610" s="214">
        <v>5.33</v>
      </c>
      <c r="H1610" s="425">
        <v>5.32</v>
      </c>
      <c r="I1610" s="457">
        <f t="shared" si="140"/>
        <v>-9.9999999999997868E-3</v>
      </c>
      <c r="J1610" s="15" t="s">
        <v>189</v>
      </c>
      <c r="K1610" s="182" t="e">
        <f ca="1">K1607/K1609</f>
        <v>#REF!</v>
      </c>
      <c r="L1610" s="201" t="e">
        <f ca="1">L1607/L1609</f>
        <v>#REF!</v>
      </c>
      <c r="M1610" s="211">
        <f t="shared" si="137"/>
        <v>3</v>
      </c>
      <c r="N1610" s="64">
        <f t="shared" si="135"/>
        <v>1.0004433333333334</v>
      </c>
      <c r="P1610" s="284"/>
    </row>
    <row r="1611" spans="1:16">
      <c r="B1611" s="41"/>
      <c r="C1611" s="103">
        <f t="shared" si="138"/>
        <v>45409</v>
      </c>
      <c r="E1611" s="167"/>
      <c r="F1611" s="58" t="str">
        <f>VLOOKUP(MOD(C1611,7),'CALENDAR INFO'!$I$2:$J$8,2)</f>
        <v>SAT</v>
      </c>
      <c r="G1611" s="214">
        <v>5.33</v>
      </c>
      <c r="H1611" s="425">
        <v>5.32</v>
      </c>
      <c r="I1611" s="457">
        <f t="shared" si="140"/>
        <v>-9.9999999999997868E-3</v>
      </c>
      <c r="J1611" s="152"/>
      <c r="K1611" s="182"/>
      <c r="L1611" s="201"/>
      <c r="M1611" s="211">
        <f t="shared" si="137"/>
        <v>0</v>
      </c>
      <c r="N1611" s="64">
        <f t="shared" si="135"/>
        <v>1</v>
      </c>
      <c r="P1611" s="284"/>
    </row>
    <row r="1612" spans="1:16">
      <c r="B1612" s="41"/>
      <c r="C1612" s="103">
        <f t="shared" si="138"/>
        <v>45410</v>
      </c>
      <c r="E1612" s="167"/>
      <c r="F1612" s="58" t="str">
        <f>VLOOKUP(MOD(C1612,7),'CALENDAR INFO'!$I$2:$J$8,2)</f>
        <v>SUN</v>
      </c>
      <c r="G1612" s="214">
        <v>5.33</v>
      </c>
      <c r="H1612" s="425">
        <v>5.32</v>
      </c>
      <c r="I1612" s="457">
        <f t="shared" si="140"/>
        <v>-9.9999999999997868E-3</v>
      </c>
      <c r="J1612" s="433"/>
      <c r="K1612" s="183" t="s">
        <v>202</v>
      </c>
      <c r="L1612" s="199" t="s">
        <v>202</v>
      </c>
      <c r="M1612" s="211">
        <f t="shared" si="137"/>
        <v>0</v>
      </c>
      <c r="N1612" s="64">
        <f t="shared" si="135"/>
        <v>1</v>
      </c>
    </row>
    <row r="1613" spans="1:16">
      <c r="B1613" s="41"/>
      <c r="C1613" s="103">
        <f t="shared" si="138"/>
        <v>45411</v>
      </c>
      <c r="E1613" s="167"/>
      <c r="F1613" s="58" t="str">
        <f>VLOOKUP(MOD(C1613,7),'CALENDAR INFO'!$I$2:$J$8,2)</f>
        <v>MON</v>
      </c>
      <c r="G1613" s="214">
        <v>5.33</v>
      </c>
      <c r="H1613" s="425">
        <v>5.32</v>
      </c>
      <c r="I1613" s="457">
        <f t="shared" si="140"/>
        <v>-9.9999999999997868E-3</v>
      </c>
      <c r="J1613" s="433" t="s">
        <v>201</v>
      </c>
      <c r="K1613" s="187">
        <f ca="1">100-K1605/K1586</f>
        <v>100</v>
      </c>
      <c r="L1613" s="339">
        <f ca="1">100-L1605/L1586</f>
        <v>100</v>
      </c>
      <c r="M1613" s="211">
        <f t="shared" si="137"/>
        <v>1</v>
      </c>
      <c r="N1613" s="64">
        <f t="shared" si="135"/>
        <v>1.0001477777777779</v>
      </c>
    </row>
    <row r="1614" spans="1:16" ht="15.75" thickBot="1">
      <c r="A1614" s="98"/>
      <c r="B1614" s="230"/>
      <c r="C1614" s="104">
        <f t="shared" si="138"/>
        <v>45412</v>
      </c>
      <c r="D1614" s="162" t="s">
        <v>20</v>
      </c>
      <c r="E1614" s="246"/>
      <c r="F1614" s="71" t="str">
        <f>VLOOKUP(MOD(C1614,7),'CALENDAR INFO'!$I$2:$J$8,2)</f>
        <v>TUE</v>
      </c>
      <c r="G1614" s="215">
        <v>5.33</v>
      </c>
      <c r="H1614" s="426">
        <v>5.34</v>
      </c>
      <c r="I1614" s="458">
        <f t="shared" si="140"/>
        <v>9.9999999999997868E-3</v>
      </c>
      <c r="J1614" s="424" t="s">
        <v>200</v>
      </c>
      <c r="K1614" s="340">
        <v>94.67</v>
      </c>
      <c r="L1614" s="341">
        <v>94.683999999999997</v>
      </c>
      <c r="M1614" s="113">
        <f t="shared" si="137"/>
        <v>1</v>
      </c>
      <c r="N1614" s="77">
        <f t="shared" si="135"/>
        <v>1.0001483333333334</v>
      </c>
      <c r="O1614" s="331"/>
    </row>
    <row r="1615" spans="1:16">
      <c r="A1615" s="304"/>
      <c r="B1615" s="305"/>
      <c r="C1615" s="103">
        <f t="shared" si="138"/>
        <v>45413</v>
      </c>
      <c r="D1615" s="153" t="s">
        <v>20</v>
      </c>
      <c r="E1615" s="167" t="s">
        <v>19</v>
      </c>
      <c r="F1615" s="58" t="str">
        <f>VLOOKUP(MOD(C1615,7),'CALENDAR INFO'!$I$2:$J$8,2)</f>
        <v>WED</v>
      </c>
      <c r="G1615" s="214">
        <v>5.33</v>
      </c>
      <c r="H1615" s="425">
        <v>5.32</v>
      </c>
      <c r="I1615" s="457">
        <f t="shared" si="140"/>
        <v>-9.9999999999997868E-3</v>
      </c>
      <c r="J1615" s="438" t="s">
        <v>151</v>
      </c>
      <c r="K1615" s="15">
        <f>ROW(K1615)</f>
        <v>1615</v>
      </c>
      <c r="L1615" s="179">
        <f>K1615</f>
        <v>1615</v>
      </c>
      <c r="M1615" s="116">
        <f t="shared" ref="M1615:M1637" si="141">IF(MOD(C1615,7)&lt;2,0,IF(MOD(C1615,7)=6,3,1))</f>
        <v>1</v>
      </c>
      <c r="N1615" s="111">
        <f t="shared" si="135"/>
        <v>1.0001477777777779</v>
      </c>
    </row>
    <row r="1616" spans="1:16">
      <c r="B1616" s="41"/>
      <c r="C1616" s="103">
        <f t="shared" si="138"/>
        <v>45414</v>
      </c>
      <c r="E1616" s="170" t="s">
        <v>18</v>
      </c>
      <c r="F1616" s="58" t="str">
        <f>VLOOKUP(MOD(C1616,7),'CALENDAR INFO'!$I$2:$J$8,2)</f>
        <v>THU</v>
      </c>
      <c r="G1616" s="214">
        <v>5.33</v>
      </c>
      <c r="H1616" s="425">
        <v>5.31</v>
      </c>
      <c r="I1616" s="457">
        <f t="shared" si="140"/>
        <v>-2.0000000000000462E-2</v>
      </c>
      <c r="J1616" s="152" t="s">
        <v>118</v>
      </c>
      <c r="K1616" s="15">
        <f>VLOOKUP(MONTH($C1615),'CALENDAR INFO'!$I$12:$J$23,2)</f>
        <v>31</v>
      </c>
      <c r="L1616" s="179">
        <f>K1616</f>
        <v>31</v>
      </c>
      <c r="M1616" s="211">
        <f t="shared" si="141"/>
        <v>1</v>
      </c>
      <c r="N1616" s="64">
        <f t="shared" si="135"/>
        <v>1.0001475</v>
      </c>
    </row>
    <row r="1617" spans="2:14">
      <c r="B1617" s="41"/>
      <c r="C1617" s="103">
        <f t="shared" si="138"/>
        <v>45415</v>
      </c>
      <c r="E1617" s="170"/>
      <c r="F1617" s="58" t="str">
        <f>VLOOKUP(MOD(C1617,7),'CALENDAR INFO'!$I$2:$J$8,2)</f>
        <v>FRI</v>
      </c>
      <c r="G1617" s="214">
        <v>5.33</v>
      </c>
      <c r="H1617" s="425">
        <v>5.31</v>
      </c>
      <c r="I1617" s="457">
        <f t="shared" si="140"/>
        <v>-2.0000000000000462E-2</v>
      </c>
      <c r="J1617" s="15" t="s">
        <v>152</v>
      </c>
      <c r="K1617" s="15">
        <f>K1616+K1615-1</f>
        <v>1645</v>
      </c>
      <c r="L1617" s="179">
        <f>K1617</f>
        <v>1645</v>
      </c>
      <c r="M1617" s="211">
        <f t="shared" si="141"/>
        <v>3</v>
      </c>
      <c r="N1617" s="64">
        <f t="shared" si="135"/>
        <v>1.0004424999999999</v>
      </c>
    </row>
    <row r="1618" spans="2:14">
      <c r="B1618" s="41"/>
      <c r="C1618" s="103">
        <f t="shared" si="138"/>
        <v>45416</v>
      </c>
      <c r="E1618" s="170"/>
      <c r="F1618" s="58" t="str">
        <f>VLOOKUP(MOD(C1618,7),'CALENDAR INFO'!$I$2:$J$8,2)</f>
        <v>SAT</v>
      </c>
      <c r="G1618" s="214">
        <v>5.33</v>
      </c>
      <c r="H1618" s="425">
        <v>5.31</v>
      </c>
      <c r="I1618" s="457">
        <f t="shared" si="140"/>
        <v>-2.0000000000000462E-2</v>
      </c>
      <c r="M1618" s="211">
        <f t="shared" si="141"/>
        <v>0</v>
      </c>
      <c r="N1618" s="64">
        <f t="shared" si="135"/>
        <v>1</v>
      </c>
    </row>
    <row r="1619" spans="2:14">
      <c r="B1619" s="41"/>
      <c r="C1619" s="103">
        <f t="shared" si="138"/>
        <v>45417</v>
      </c>
      <c r="E1619" s="170"/>
      <c r="F1619" s="58" t="str">
        <f>VLOOKUP(MOD(C1619,7),'CALENDAR INFO'!$I$2:$J$8,2)</f>
        <v>SUN</v>
      </c>
      <c r="G1619" s="214">
        <v>5.33</v>
      </c>
      <c r="H1619" s="425">
        <v>5.31</v>
      </c>
      <c r="I1619" s="457">
        <f t="shared" si="140"/>
        <v>-2.0000000000000462E-2</v>
      </c>
      <c r="J1619" s="15" t="s">
        <v>192</v>
      </c>
      <c r="K1619" s="310">
        <v>1615</v>
      </c>
      <c r="L1619" s="202">
        <f>K1619</f>
        <v>1615</v>
      </c>
      <c r="M1619" s="211">
        <f t="shared" si="141"/>
        <v>0</v>
      </c>
      <c r="N1619" s="64">
        <f t="shared" ref="N1619:N1682" si="142">1+(M1619/360)*(MAX(H1619,B1619)/100)</f>
        <v>1</v>
      </c>
    </row>
    <row r="1620" spans="2:14">
      <c r="B1620" s="41"/>
      <c r="C1620" s="103">
        <f t="shared" si="138"/>
        <v>45418</v>
      </c>
      <c r="E1620" s="170"/>
      <c r="F1620" s="58" t="str">
        <f>VLOOKUP(MOD(C1620,7),'CALENDAR INFO'!$I$2:$J$8,2)</f>
        <v>MON</v>
      </c>
      <c r="G1620" s="214">
        <v>5.33</v>
      </c>
      <c r="H1620" s="425">
        <v>5.31</v>
      </c>
      <c r="I1620" s="457">
        <f t="shared" si="140"/>
        <v>-2.0000000000000462E-2</v>
      </c>
      <c r="J1620" s="15" t="s">
        <v>193</v>
      </c>
      <c r="K1620" s="15">
        <f>K1619+1</f>
        <v>1616</v>
      </c>
      <c r="L1620" s="179">
        <f>K1620</f>
        <v>1616</v>
      </c>
      <c r="M1620" s="211">
        <f t="shared" si="141"/>
        <v>1</v>
      </c>
      <c r="N1620" s="64">
        <f t="shared" si="142"/>
        <v>1.0001475</v>
      </c>
    </row>
    <row r="1621" spans="2:14">
      <c r="B1621" s="41"/>
      <c r="C1621" s="103">
        <f t="shared" si="138"/>
        <v>45419</v>
      </c>
      <c r="E1621" s="170"/>
      <c r="F1621" s="58" t="str">
        <f>VLOOKUP(MOD(C1621,7),'CALENDAR INFO'!$I$2:$J$8,2)</f>
        <v>TUE</v>
      </c>
      <c r="G1621" s="214">
        <v>5.33</v>
      </c>
      <c r="H1621" s="425">
        <v>5.31</v>
      </c>
      <c r="I1621" s="457">
        <f t="shared" si="140"/>
        <v>-2.0000000000000462E-2</v>
      </c>
      <c r="K1621" s="152"/>
      <c r="L1621" s="202"/>
      <c r="M1621" s="211">
        <f t="shared" si="141"/>
        <v>1</v>
      </c>
      <c r="N1621" s="64">
        <f t="shared" si="142"/>
        <v>1.0001475</v>
      </c>
    </row>
    <row r="1622" spans="2:14">
      <c r="B1622" s="41"/>
      <c r="C1622" s="103">
        <f t="shared" si="138"/>
        <v>45420</v>
      </c>
      <c r="E1622" s="170"/>
      <c r="F1622" s="58" t="str">
        <f>VLOOKUP(MOD(C1622,7),'CALENDAR INFO'!$I$2:$J$8,2)</f>
        <v>WED</v>
      </c>
      <c r="G1622" s="214">
        <v>5.33</v>
      </c>
      <c r="H1622" s="425">
        <v>5.31</v>
      </c>
      <c r="I1622" s="457">
        <f t="shared" si="140"/>
        <v>-2.0000000000000462E-2</v>
      </c>
      <c r="J1622" s="15" t="s">
        <v>153</v>
      </c>
      <c r="K1622" s="182" t="str">
        <f>_xlfn.CONCAT("A",TEXT(K1615,0),":","A",TEXT(K1617,0))</f>
        <v>A1615:A1645</v>
      </c>
      <c r="L1622" s="201" t="str">
        <f>_xlfn.CONCAT("B",TEXT(L1615,0),":","B",TEXT(L1617,0))</f>
        <v>B1615:B1645</v>
      </c>
      <c r="M1622" s="211">
        <f t="shared" si="141"/>
        <v>1</v>
      </c>
      <c r="N1622" s="64">
        <f t="shared" si="142"/>
        <v>1.0001475</v>
      </c>
    </row>
    <row r="1623" spans="2:14">
      <c r="B1623" s="41"/>
      <c r="C1623" s="103">
        <f t="shared" si="138"/>
        <v>45421</v>
      </c>
      <c r="E1623" s="170"/>
      <c r="F1623" s="58" t="str">
        <f>VLOOKUP(MOD(C1623,7),'CALENDAR INFO'!$I$2:$J$8,2)</f>
        <v>THU</v>
      </c>
      <c r="G1623" s="214">
        <v>5.33</v>
      </c>
      <c r="H1623" s="425">
        <v>5.31</v>
      </c>
      <c r="I1623" s="457">
        <f t="shared" si="140"/>
        <v>-2.0000000000000462E-2</v>
      </c>
      <c r="J1623" s="15" t="s">
        <v>190</v>
      </c>
      <c r="K1623" s="182" t="str">
        <f>_xlfn.CONCAT("F",TEXT(K1615,0),":","F",TEXT(K1619,0))</f>
        <v>F1615:F1615</v>
      </c>
      <c r="L1623" s="201" t="str">
        <f>_xlfn.CONCAT("G",TEXT(L1615,0),":","G",TEXT(L1619,0))</f>
        <v>G1615:G1615</v>
      </c>
      <c r="M1623" s="211">
        <f t="shared" si="141"/>
        <v>1</v>
      </c>
      <c r="N1623" s="64">
        <f t="shared" si="142"/>
        <v>1.0001475</v>
      </c>
    </row>
    <row r="1624" spans="2:14">
      <c r="B1624" s="41"/>
      <c r="C1624" s="103">
        <f t="shared" si="138"/>
        <v>45422</v>
      </c>
      <c r="E1624" s="170"/>
      <c r="F1624" s="58" t="str">
        <f>VLOOKUP(MOD(C1624,7),'CALENDAR INFO'!$I$2:$J$8,2)</f>
        <v>FRI</v>
      </c>
      <c r="G1624" s="214">
        <v>5.33</v>
      </c>
      <c r="H1624" s="425">
        <v>5.31</v>
      </c>
      <c r="I1624" s="457">
        <f t="shared" si="140"/>
        <v>-2.0000000000000462E-2</v>
      </c>
      <c r="J1624" s="15" t="s">
        <v>191</v>
      </c>
      <c r="K1624" s="182" t="str">
        <f>_xlfn.CONCAT("F",TEXT(K1620,0),":","F",TEXT(K1617,0))</f>
        <v>F1616:F1645</v>
      </c>
      <c r="L1624" s="201" t="str">
        <f>_xlfn.CONCAT("G",TEXT(L1620,0),":","G",TEXT(L1617,0))</f>
        <v>G1616:G1645</v>
      </c>
      <c r="M1624" s="211">
        <f t="shared" si="141"/>
        <v>3</v>
      </c>
      <c r="N1624" s="64">
        <f t="shared" si="142"/>
        <v>1.0004424999999999</v>
      </c>
    </row>
    <row r="1625" spans="2:14">
      <c r="B1625" s="41"/>
      <c r="C1625" s="103">
        <f t="shared" si="138"/>
        <v>45423</v>
      </c>
      <c r="E1625" s="170"/>
      <c r="F1625" s="58" t="str">
        <f>VLOOKUP(MOD(C1625,7),'CALENDAR INFO'!$I$2:$J$8,2)</f>
        <v>SAT</v>
      </c>
      <c r="G1625" s="214">
        <v>5.33</v>
      </c>
      <c r="H1625" s="425">
        <v>5.31</v>
      </c>
      <c r="I1625" s="457">
        <f t="shared" si="140"/>
        <v>-2.0000000000000462E-2</v>
      </c>
      <c r="K1625" s="152"/>
      <c r="L1625" s="202"/>
      <c r="M1625" s="211">
        <f t="shared" si="141"/>
        <v>0</v>
      </c>
      <c r="N1625" s="64">
        <f t="shared" si="142"/>
        <v>1</v>
      </c>
    </row>
    <row r="1626" spans="2:14">
      <c r="B1626" s="41"/>
      <c r="C1626" s="103">
        <f t="shared" si="138"/>
        <v>45424</v>
      </c>
      <c r="E1626" s="170"/>
      <c r="F1626" s="58" t="str">
        <f>VLOOKUP(MOD(C1626,7),'CALENDAR INFO'!$I$2:$J$8,2)</f>
        <v>SUN</v>
      </c>
      <c r="G1626" s="214">
        <v>5.33</v>
      </c>
      <c r="H1626" s="425">
        <v>5.31</v>
      </c>
      <c r="I1626" s="457">
        <f t="shared" si="140"/>
        <v>-2.0000000000000462E-2</v>
      </c>
      <c r="J1626" s="152" t="s">
        <v>194</v>
      </c>
      <c r="K1626" s="290">
        <f t="shared" ref="K1626:L1628" ca="1" si="143">COUNTA(INDIRECT(K1622))</f>
        <v>0</v>
      </c>
      <c r="L1626" s="291">
        <f t="shared" ca="1" si="143"/>
        <v>0</v>
      </c>
      <c r="M1626" s="211">
        <f t="shared" si="141"/>
        <v>0</v>
      </c>
      <c r="N1626" s="64">
        <f t="shared" si="142"/>
        <v>1</v>
      </c>
    </row>
    <row r="1627" spans="2:14">
      <c r="B1627" s="41"/>
      <c r="C1627" s="103">
        <f t="shared" si="138"/>
        <v>45425</v>
      </c>
      <c r="E1627" s="170"/>
      <c r="F1627" s="58" t="str">
        <f>VLOOKUP(MOD(C1627,7),'CALENDAR INFO'!$I$2:$J$8,2)</f>
        <v>MON</v>
      </c>
      <c r="G1627" s="214">
        <v>5.33</v>
      </c>
      <c r="H1627" s="425">
        <v>5.31</v>
      </c>
      <c r="I1627" s="457">
        <f t="shared" si="140"/>
        <v>-2.0000000000000462E-2</v>
      </c>
      <c r="J1627" s="152" t="s">
        <v>195</v>
      </c>
      <c r="K1627" s="290">
        <f t="shared" ca="1" si="143"/>
        <v>1</v>
      </c>
      <c r="L1627" s="291">
        <f t="shared" ca="1" si="143"/>
        <v>1</v>
      </c>
      <c r="M1627" s="211">
        <f t="shared" si="141"/>
        <v>1</v>
      </c>
      <c r="N1627" s="64">
        <f t="shared" si="142"/>
        <v>1.0001475</v>
      </c>
    </row>
    <row r="1628" spans="2:14">
      <c r="B1628" s="41"/>
      <c r="C1628" s="103">
        <f t="shared" si="138"/>
        <v>45426</v>
      </c>
      <c r="E1628" s="170"/>
      <c r="F1628" s="58" t="str">
        <f>VLOOKUP(MOD(C1628,7),'CALENDAR INFO'!$I$2:$J$8,2)</f>
        <v>TUE</v>
      </c>
      <c r="G1628" s="214">
        <v>5.33</v>
      </c>
      <c r="H1628" s="425">
        <v>5.31</v>
      </c>
      <c r="I1628" s="457">
        <f t="shared" si="140"/>
        <v>-2.0000000000000462E-2</v>
      </c>
      <c r="J1628" s="152" t="s">
        <v>196</v>
      </c>
      <c r="K1628" s="290">
        <f t="shared" ca="1" si="143"/>
        <v>30</v>
      </c>
      <c r="L1628" s="308">
        <f t="shared" ca="1" si="143"/>
        <v>30</v>
      </c>
      <c r="M1628" s="211">
        <f t="shared" si="141"/>
        <v>1</v>
      </c>
      <c r="N1628" s="64">
        <f t="shared" si="142"/>
        <v>1.0001475</v>
      </c>
    </row>
    <row r="1629" spans="2:14">
      <c r="B1629" s="41"/>
      <c r="C1629" s="103">
        <f t="shared" si="138"/>
        <v>45427</v>
      </c>
      <c r="E1629" s="170" t="s">
        <v>19</v>
      </c>
      <c r="F1629" s="58" t="str">
        <f>VLOOKUP(MOD(C1629,7),'CALENDAR INFO'!$I$2:$J$8,2)</f>
        <v>WED</v>
      </c>
      <c r="G1629" s="214">
        <v>5.33</v>
      </c>
      <c r="H1629" s="425">
        <v>5.31</v>
      </c>
      <c r="I1629" s="457">
        <f t="shared" si="140"/>
        <v>-2.0000000000000462E-2</v>
      </c>
      <c r="K1629" s="152"/>
      <c r="L1629" s="202"/>
      <c r="M1629" s="211">
        <f t="shared" si="141"/>
        <v>1</v>
      </c>
      <c r="N1629" s="64">
        <f t="shared" si="142"/>
        <v>1.0001475</v>
      </c>
    </row>
    <row r="1630" spans="2:14">
      <c r="B1630" s="41"/>
      <c r="C1630" s="103">
        <f t="shared" si="138"/>
        <v>45428</v>
      </c>
      <c r="E1630" s="167" t="s">
        <v>18</v>
      </c>
      <c r="F1630" s="58" t="str">
        <f>VLOOKUP(MOD(C1630,7),'CALENDAR INFO'!$I$2:$J$8,2)</f>
        <v>THU</v>
      </c>
      <c r="G1630" s="214">
        <v>5.33</v>
      </c>
      <c r="H1630" s="425">
        <v>5.31</v>
      </c>
      <c r="I1630" s="457">
        <f t="shared" si="140"/>
        <v>-2.0000000000000462E-2</v>
      </c>
      <c r="J1630" s="152" t="s">
        <v>197</v>
      </c>
      <c r="K1630" s="180" t="e">
        <f>OUTPUT!#REF!</f>
        <v>#REF!</v>
      </c>
      <c r="L1630" s="193" t="e">
        <f>OUTPUT!#REF!</f>
        <v>#REF!</v>
      </c>
      <c r="M1630" s="211">
        <f t="shared" si="141"/>
        <v>1</v>
      </c>
      <c r="N1630" s="64">
        <f t="shared" si="142"/>
        <v>1.0001475</v>
      </c>
    </row>
    <row r="1631" spans="2:14">
      <c r="B1631" s="41"/>
      <c r="C1631" s="103">
        <f t="shared" si="138"/>
        <v>45429</v>
      </c>
      <c r="E1631" s="167"/>
      <c r="F1631" s="58" t="str">
        <f>VLOOKUP(MOD(C1631,7),'CALENDAR INFO'!$I$2:$J$8,2)</f>
        <v>FRI</v>
      </c>
      <c r="G1631" s="214">
        <v>5.33</v>
      </c>
      <c r="H1631" s="425">
        <v>5.31</v>
      </c>
      <c r="I1631" s="457">
        <f t="shared" si="140"/>
        <v>-2.0000000000000462E-2</v>
      </c>
      <c r="J1631" s="152" t="s">
        <v>118</v>
      </c>
      <c r="K1631" s="307">
        <f>K1616</f>
        <v>31</v>
      </c>
      <c r="L1631" s="309">
        <f>L1616</f>
        <v>31</v>
      </c>
      <c r="M1631" s="211">
        <f t="shared" si="141"/>
        <v>3</v>
      </c>
      <c r="N1631" s="64">
        <f t="shared" si="142"/>
        <v>1.0004424999999999</v>
      </c>
    </row>
    <row r="1632" spans="2:14">
      <c r="B1632" s="41"/>
      <c r="C1632" s="103">
        <f t="shared" si="138"/>
        <v>45430</v>
      </c>
      <c r="E1632" s="167"/>
      <c r="F1632" s="58" t="str">
        <f>VLOOKUP(MOD(C1632,7),'CALENDAR INFO'!$I$2:$J$8,2)</f>
        <v>SAT</v>
      </c>
      <c r="G1632" s="214">
        <v>5.33</v>
      </c>
      <c r="H1632" s="425">
        <v>5.31</v>
      </c>
      <c r="I1632" s="457">
        <f t="shared" si="140"/>
        <v>-2.0000000000000462E-2</v>
      </c>
      <c r="J1632" s="152" t="s">
        <v>184</v>
      </c>
      <c r="K1632" s="178" t="e">
        <f>K1630*K1631</f>
        <v>#REF!</v>
      </c>
      <c r="L1632" s="192" t="e">
        <f>L1630*L1631</f>
        <v>#REF!</v>
      </c>
      <c r="M1632" s="211">
        <f t="shared" si="141"/>
        <v>0</v>
      </c>
      <c r="N1632" s="64">
        <f t="shared" si="142"/>
        <v>1</v>
      </c>
    </row>
    <row r="1633" spans="1:16">
      <c r="B1633" s="41"/>
      <c r="C1633" s="103">
        <f t="shared" si="138"/>
        <v>45431</v>
      </c>
      <c r="E1633" s="167"/>
      <c r="F1633" s="58" t="str">
        <f>VLOOKUP(MOD(C1633,7),'CALENDAR INFO'!$I$2:$J$8,2)</f>
        <v>SUN</v>
      </c>
      <c r="G1633" s="214">
        <v>5.33</v>
      </c>
      <c r="H1633" s="425">
        <v>5.31</v>
      </c>
      <c r="I1633" s="457">
        <f t="shared" si="140"/>
        <v>-2.0000000000000462E-2</v>
      </c>
      <c r="K1633" s="221"/>
      <c r="L1633" s="223"/>
      <c r="M1633" s="211">
        <f t="shared" si="141"/>
        <v>0</v>
      </c>
      <c r="N1633" s="64">
        <f t="shared" si="142"/>
        <v>1</v>
      </c>
    </row>
    <row r="1634" spans="1:16">
      <c r="B1634" s="41"/>
      <c r="C1634" s="103">
        <f t="shared" si="138"/>
        <v>45432</v>
      </c>
      <c r="E1634" s="167"/>
      <c r="F1634" s="58" t="str">
        <f>VLOOKUP(MOD(C1634,7),'CALENDAR INFO'!$I$2:$J$8,2)</f>
        <v>MON</v>
      </c>
      <c r="G1634" s="214">
        <v>5.33</v>
      </c>
      <c r="H1634" s="425">
        <v>5.31</v>
      </c>
      <c r="I1634" s="457">
        <f t="shared" si="140"/>
        <v>-2.0000000000000462E-2</v>
      </c>
      <c r="J1634" s="15" t="s">
        <v>187</v>
      </c>
      <c r="K1634" s="207" t="e">
        <f>K1632</f>
        <v>#REF!</v>
      </c>
      <c r="L1634" s="208" t="e">
        <f>L1632</f>
        <v>#REF!</v>
      </c>
      <c r="M1634" s="211">
        <f t="shared" si="141"/>
        <v>1</v>
      </c>
      <c r="N1634" s="64">
        <f t="shared" si="142"/>
        <v>1.0001475</v>
      </c>
    </row>
    <row r="1635" spans="1:16">
      <c r="B1635" s="41"/>
      <c r="C1635" s="103">
        <f t="shared" si="138"/>
        <v>45433</v>
      </c>
      <c r="E1635" s="167"/>
      <c r="F1635" s="58" t="str">
        <f>VLOOKUP(MOD(C1635,7),'CALENDAR INFO'!$I$2:$J$8,2)</f>
        <v>TUE</v>
      </c>
      <c r="G1635" s="214">
        <v>5.33</v>
      </c>
      <c r="H1635" s="425">
        <v>5.31</v>
      </c>
      <c r="I1635" s="457">
        <f t="shared" si="140"/>
        <v>-2.0000000000000462E-2</v>
      </c>
      <c r="J1635" s="152" t="s">
        <v>155</v>
      </c>
      <c r="K1635" s="178">
        <f ca="1">SUM(INDIRECT(K1622))</f>
        <v>0</v>
      </c>
      <c r="L1635" s="192">
        <f ca="1">SUM(INDIRECT(L1622))</f>
        <v>0</v>
      </c>
      <c r="M1635" s="211">
        <f t="shared" si="141"/>
        <v>1</v>
      </c>
      <c r="N1635" s="64">
        <f t="shared" si="142"/>
        <v>1.0001475</v>
      </c>
    </row>
    <row r="1636" spans="1:16">
      <c r="B1636" s="41"/>
      <c r="C1636" s="103">
        <f t="shared" si="138"/>
        <v>45434</v>
      </c>
      <c r="E1636" s="167"/>
      <c r="F1636" s="58" t="str">
        <f>VLOOKUP(MOD(C1636,7),'CALENDAR INFO'!$I$2:$J$8,2)</f>
        <v>WED</v>
      </c>
      <c r="G1636" s="214">
        <v>5.33</v>
      </c>
      <c r="H1636" s="425">
        <v>5.31</v>
      </c>
      <c r="I1636" s="457">
        <f t="shared" si="140"/>
        <v>-2.0000000000000462E-2</v>
      </c>
      <c r="J1636" s="15" t="s">
        <v>185</v>
      </c>
      <c r="K1636" s="178">
        <f ca="1">SUM(INDIRECT(K1623))</f>
        <v>0</v>
      </c>
      <c r="L1636" s="192">
        <f ca="1">SUM(INDIRECT(L1623))</f>
        <v>5.33</v>
      </c>
      <c r="M1636" s="211">
        <f t="shared" si="141"/>
        <v>1</v>
      </c>
      <c r="N1636" s="64">
        <f t="shared" si="142"/>
        <v>1.0001475</v>
      </c>
    </row>
    <row r="1637" spans="1:16">
      <c r="B1637" s="41"/>
      <c r="C1637" s="103">
        <f t="shared" si="138"/>
        <v>45435</v>
      </c>
      <c r="E1637" s="167"/>
      <c r="F1637" s="58" t="str">
        <f>VLOOKUP(MOD(C1637,7),'CALENDAR INFO'!$I$2:$J$8,2)</f>
        <v>THU</v>
      </c>
      <c r="G1637" s="214">
        <v>5.33</v>
      </c>
      <c r="H1637" s="425">
        <v>5.31</v>
      </c>
      <c r="I1637" s="457">
        <f t="shared" si="140"/>
        <v>-2.0000000000000462E-2</v>
      </c>
      <c r="J1637" s="152" t="s">
        <v>186</v>
      </c>
      <c r="K1637" s="178" t="e">
        <f ca="1">K1634-K1635-K1636</f>
        <v>#REF!</v>
      </c>
      <c r="L1637" s="201" t="e">
        <f ca="1">L1634-L1635-L1636</f>
        <v>#REF!</v>
      </c>
      <c r="M1637" s="211">
        <f t="shared" si="141"/>
        <v>1</v>
      </c>
      <c r="N1637" s="64">
        <f t="shared" si="142"/>
        <v>1.0001475</v>
      </c>
    </row>
    <row r="1638" spans="1:16">
      <c r="B1638" s="41"/>
      <c r="C1638" s="103">
        <f t="shared" si="138"/>
        <v>45436</v>
      </c>
      <c r="E1638" s="167"/>
      <c r="F1638" s="58" t="str">
        <f>VLOOKUP(MOD(C1638,7),'CALENDAR INFO'!$I$2:$J$8,2)</f>
        <v>FRI</v>
      </c>
      <c r="G1638" s="214">
        <v>5.33</v>
      </c>
      <c r="H1638" s="425">
        <v>5.32</v>
      </c>
      <c r="I1638" s="457">
        <f t="shared" si="140"/>
        <v>-9.9999999999997868E-3</v>
      </c>
      <c r="K1638" s="152"/>
      <c r="L1638" s="202"/>
      <c r="M1638" s="117">
        <v>4</v>
      </c>
      <c r="N1638" s="64">
        <f t="shared" si="142"/>
        <v>1.0005911111111112</v>
      </c>
    </row>
    <row r="1639" spans="1:16">
      <c r="B1639" s="41"/>
      <c r="C1639" s="103">
        <f t="shared" si="138"/>
        <v>45437</v>
      </c>
      <c r="E1639" s="167"/>
      <c r="F1639" s="58" t="str">
        <f>VLOOKUP(MOD(C1639,7),'CALENDAR INFO'!$I$2:$J$8,2)</f>
        <v>SAT</v>
      </c>
      <c r="G1639" s="214">
        <v>5.33</v>
      </c>
      <c r="H1639" s="425">
        <v>5.32</v>
      </c>
      <c r="I1639" s="457">
        <f t="shared" si="140"/>
        <v>-9.9999999999997868E-3</v>
      </c>
      <c r="J1639" s="152" t="s">
        <v>188</v>
      </c>
      <c r="K1639" s="290">
        <f ca="1">K1616-K1626-K1627</f>
        <v>30</v>
      </c>
      <c r="L1639" s="291">
        <f ca="1">L1616-L1626-L1627</f>
        <v>30</v>
      </c>
      <c r="M1639" s="211">
        <f>IF(MOD(C1639,7)&lt;2,0,IF(MOD(C1639,7)=6,3,1))</f>
        <v>0</v>
      </c>
      <c r="N1639" s="64">
        <f t="shared" si="142"/>
        <v>1</v>
      </c>
    </row>
    <row r="1640" spans="1:16">
      <c r="B1640" s="41"/>
      <c r="C1640" s="103">
        <f t="shared" si="138"/>
        <v>45438</v>
      </c>
      <c r="E1640" s="167"/>
      <c r="F1640" s="58" t="str">
        <f>VLOOKUP(MOD(C1640,7),'CALENDAR INFO'!$I$2:$J$8,2)</f>
        <v>SUN</v>
      </c>
      <c r="G1640" s="214">
        <v>5.33</v>
      </c>
      <c r="H1640" s="425">
        <v>5.32</v>
      </c>
      <c r="I1640" s="457">
        <f t="shared" si="140"/>
        <v>-9.9999999999997868E-3</v>
      </c>
      <c r="J1640" s="152" t="s">
        <v>189</v>
      </c>
      <c r="K1640" s="182" t="e">
        <f ca="1">K1637/K1639</f>
        <v>#REF!</v>
      </c>
      <c r="L1640" s="201" t="e">
        <f ca="1">L1637/L1639</f>
        <v>#REF!</v>
      </c>
      <c r="M1640" s="211">
        <f>IF(MOD(C1640,7)&lt;2,0,IF(MOD(C1640,7)=6,3,1))</f>
        <v>0</v>
      </c>
      <c r="N1640" s="64">
        <f t="shared" si="142"/>
        <v>1</v>
      </c>
      <c r="P1640" s="283"/>
    </row>
    <row r="1641" spans="1:16">
      <c r="B1641" s="41"/>
      <c r="C1641" s="103">
        <f t="shared" si="138"/>
        <v>45439</v>
      </c>
      <c r="D1641" s="173" t="s">
        <v>40</v>
      </c>
      <c r="E1641" s="167"/>
      <c r="F1641" s="58" t="str">
        <f>VLOOKUP(MOD(C1641,7),'CALENDAR INFO'!$I$2:$J$8,2)</f>
        <v>MON</v>
      </c>
      <c r="G1641" s="214">
        <v>5.33</v>
      </c>
      <c r="H1641" s="425">
        <v>5.32</v>
      </c>
      <c r="I1641" s="457">
        <f t="shared" si="140"/>
        <v>-9.9999999999997868E-3</v>
      </c>
      <c r="J1641" s="152"/>
      <c r="K1641" s="152"/>
      <c r="L1641" s="202"/>
      <c r="M1641" s="117">
        <v>0</v>
      </c>
      <c r="N1641" s="64">
        <f t="shared" si="142"/>
        <v>1</v>
      </c>
      <c r="P1641" s="284"/>
    </row>
    <row r="1642" spans="1:16">
      <c r="B1642" s="41"/>
      <c r="C1642" s="103">
        <f t="shared" si="138"/>
        <v>45440</v>
      </c>
      <c r="E1642" s="167"/>
      <c r="F1642" s="58" t="str">
        <f>VLOOKUP(MOD(C1642,7),'CALENDAR INFO'!$I$2:$J$8,2)</f>
        <v>TUE</v>
      </c>
      <c r="G1642" s="214">
        <v>5.33</v>
      </c>
      <c r="H1642" s="425">
        <v>5.32</v>
      </c>
      <c r="I1642" s="457">
        <f t="shared" si="140"/>
        <v>-9.9999999999997868E-3</v>
      </c>
      <c r="J1642" s="152"/>
      <c r="K1642" s="182"/>
      <c r="L1642" s="201"/>
      <c r="M1642" s="211">
        <f t="shared" ref="M1642:M1662" si="144">IF(MOD(C1642,7)&lt;2,0,IF(MOD(C1642,7)=6,3,1))</f>
        <v>1</v>
      </c>
      <c r="N1642" s="64">
        <f t="shared" si="142"/>
        <v>1.0001477777777779</v>
      </c>
      <c r="P1642" s="284"/>
    </row>
    <row r="1643" spans="1:16">
      <c r="B1643" s="41"/>
      <c r="C1643" s="103">
        <f t="shared" si="138"/>
        <v>45441</v>
      </c>
      <c r="E1643" s="167" t="s">
        <v>19</v>
      </c>
      <c r="F1643" s="58" t="str">
        <f>VLOOKUP(MOD(C1643,7),'CALENDAR INFO'!$I$2:$J$8,2)</f>
        <v>WED</v>
      </c>
      <c r="G1643" s="214">
        <v>5.33</v>
      </c>
      <c r="H1643" s="425">
        <v>5.33</v>
      </c>
      <c r="I1643" s="457">
        <f t="shared" si="140"/>
        <v>0</v>
      </c>
      <c r="J1643" s="433"/>
      <c r="K1643" s="183" t="s">
        <v>202</v>
      </c>
      <c r="L1643" s="199" t="s">
        <v>202</v>
      </c>
      <c r="M1643" s="211">
        <f t="shared" si="144"/>
        <v>1</v>
      </c>
      <c r="N1643" s="64">
        <f t="shared" si="142"/>
        <v>1.0001480555555555</v>
      </c>
    </row>
    <row r="1644" spans="1:16">
      <c r="B1644" s="41"/>
      <c r="C1644" s="103">
        <f t="shared" si="138"/>
        <v>45442</v>
      </c>
      <c r="E1644" s="170" t="s">
        <v>18</v>
      </c>
      <c r="F1644" s="58" t="str">
        <f>VLOOKUP(MOD(C1644,7),'CALENDAR INFO'!$I$2:$J$8,2)</f>
        <v>THU</v>
      </c>
      <c r="G1644" s="214">
        <v>5.33</v>
      </c>
      <c r="H1644" s="425">
        <v>5.33</v>
      </c>
      <c r="I1644" s="457">
        <f t="shared" si="140"/>
        <v>0</v>
      </c>
      <c r="J1644" s="433" t="s">
        <v>201</v>
      </c>
      <c r="K1644" s="187">
        <f ca="1">100-K1635/K1616</f>
        <v>100</v>
      </c>
      <c r="L1644" s="339">
        <f ca="1">100-L1635/L1616</f>
        <v>100</v>
      </c>
      <c r="M1644" s="211">
        <f t="shared" si="144"/>
        <v>1</v>
      </c>
      <c r="N1644" s="64">
        <f t="shared" si="142"/>
        <v>1.0001480555555555</v>
      </c>
    </row>
    <row r="1645" spans="1:16" ht="15.75" thickBot="1">
      <c r="A1645" s="98"/>
      <c r="B1645" s="230"/>
      <c r="C1645" s="104">
        <f t="shared" si="138"/>
        <v>45443</v>
      </c>
      <c r="D1645" s="112"/>
      <c r="E1645" s="245"/>
      <c r="F1645" s="71" t="str">
        <f>VLOOKUP(MOD(C1645,7),'CALENDAR INFO'!$I$2:$J$8,2)</f>
        <v>FRI</v>
      </c>
      <c r="G1645" s="215">
        <v>5.33</v>
      </c>
      <c r="H1645" s="426">
        <v>5.34</v>
      </c>
      <c r="I1645" s="458">
        <f t="shared" si="140"/>
        <v>9.9999999999997868E-3</v>
      </c>
      <c r="J1645" s="424" t="s">
        <v>200</v>
      </c>
      <c r="K1645" s="340">
        <v>94.67</v>
      </c>
      <c r="L1645" s="341">
        <v>94.686000000000007</v>
      </c>
      <c r="M1645" s="113">
        <f t="shared" si="144"/>
        <v>3</v>
      </c>
      <c r="N1645" s="77">
        <f t="shared" si="142"/>
        <v>1.000445</v>
      </c>
    </row>
    <row r="1646" spans="1:16">
      <c r="A1646" s="304"/>
      <c r="B1646" s="305"/>
      <c r="C1646" s="103">
        <f t="shared" si="138"/>
        <v>45444</v>
      </c>
      <c r="E1646" s="170"/>
      <c r="F1646" s="58" t="str">
        <f>VLOOKUP(MOD(C1646,7),'CALENDAR INFO'!$I$2:$J$8,2)</f>
        <v>SAT</v>
      </c>
      <c r="G1646" s="214">
        <v>5.33</v>
      </c>
      <c r="H1646" s="425">
        <v>5.34</v>
      </c>
      <c r="I1646" s="457">
        <f t="shared" si="140"/>
        <v>9.9999999999997868E-3</v>
      </c>
      <c r="J1646" s="436" t="s">
        <v>151</v>
      </c>
      <c r="K1646" s="15">
        <f>ROW(K1646)</f>
        <v>1646</v>
      </c>
      <c r="L1646" s="179">
        <f>K1646</f>
        <v>1646</v>
      </c>
      <c r="M1646" s="116">
        <f t="shared" si="144"/>
        <v>0</v>
      </c>
      <c r="N1646" s="111">
        <f t="shared" si="142"/>
        <v>1</v>
      </c>
    </row>
    <row r="1647" spans="1:16">
      <c r="A1647" s="304"/>
      <c r="B1647" s="305"/>
      <c r="C1647" s="103">
        <f t="shared" si="138"/>
        <v>45445</v>
      </c>
      <c r="E1647" s="170"/>
      <c r="F1647" s="58" t="str">
        <f>VLOOKUP(MOD(C1647,7),'CALENDAR INFO'!$I$2:$J$8,2)</f>
        <v>SUN</v>
      </c>
      <c r="G1647" s="214">
        <v>5.33</v>
      </c>
      <c r="H1647" s="425">
        <v>5.34</v>
      </c>
      <c r="I1647" s="457">
        <f t="shared" si="140"/>
        <v>9.9999999999997868E-3</v>
      </c>
      <c r="J1647" s="152" t="s">
        <v>118</v>
      </c>
      <c r="K1647" s="15">
        <f>VLOOKUP(MONTH($C1646),'CALENDAR INFO'!$I$12:$J$23,2)</f>
        <v>30</v>
      </c>
      <c r="L1647" s="179">
        <f>K1647</f>
        <v>30</v>
      </c>
      <c r="M1647" s="211">
        <f t="shared" si="144"/>
        <v>0</v>
      </c>
      <c r="N1647" s="64">
        <f t="shared" si="142"/>
        <v>1</v>
      </c>
    </row>
    <row r="1648" spans="1:16">
      <c r="A1648" s="304"/>
      <c r="B1648" s="305"/>
      <c r="C1648" s="103">
        <f t="shared" si="138"/>
        <v>45446</v>
      </c>
      <c r="E1648" s="170"/>
      <c r="F1648" s="58" t="str">
        <f>VLOOKUP(MOD(C1648,7),'CALENDAR INFO'!$I$2:$J$8,2)</f>
        <v>MON</v>
      </c>
      <c r="G1648" s="214">
        <v>5.33</v>
      </c>
      <c r="H1648" s="425">
        <v>5.35</v>
      </c>
      <c r="I1648" s="457">
        <f t="shared" si="140"/>
        <v>1.9999999999999574E-2</v>
      </c>
      <c r="J1648" s="152" t="s">
        <v>152</v>
      </c>
      <c r="K1648" s="15">
        <f>K1647+K1646-1</f>
        <v>1675</v>
      </c>
      <c r="L1648" s="200">
        <f>K1648</f>
        <v>1675</v>
      </c>
      <c r="M1648" s="211">
        <f t="shared" si="144"/>
        <v>1</v>
      </c>
      <c r="N1648" s="64">
        <f t="shared" si="142"/>
        <v>1.0001486111111111</v>
      </c>
    </row>
    <row r="1649" spans="1:16">
      <c r="A1649" s="304"/>
      <c r="B1649" s="305"/>
      <c r="C1649" s="103">
        <f t="shared" si="138"/>
        <v>45447</v>
      </c>
      <c r="E1649" s="170"/>
      <c r="F1649" s="58" t="str">
        <f>VLOOKUP(MOD(C1649,7),'CALENDAR INFO'!$I$2:$J$8,2)</f>
        <v>TUE</v>
      </c>
      <c r="G1649" s="214">
        <v>5.33</v>
      </c>
      <c r="H1649" s="425">
        <v>5.33</v>
      </c>
      <c r="I1649" s="457">
        <f t="shared" si="140"/>
        <v>0</v>
      </c>
      <c r="J1649" s="152"/>
      <c r="K1649" s="182"/>
      <c r="L1649" s="201"/>
      <c r="M1649" s="211">
        <f t="shared" si="144"/>
        <v>1</v>
      </c>
      <c r="N1649" s="64">
        <f t="shared" si="142"/>
        <v>1.0001480555555555</v>
      </c>
    </row>
    <row r="1650" spans="1:16">
      <c r="A1650" s="304"/>
      <c r="B1650" s="305"/>
      <c r="C1650" s="103">
        <f t="shared" si="138"/>
        <v>45448</v>
      </c>
      <c r="E1650" s="170"/>
      <c r="F1650" s="58" t="str">
        <f>VLOOKUP(MOD(C1650,7),'CALENDAR INFO'!$I$2:$J$8,2)</f>
        <v>WED</v>
      </c>
      <c r="G1650" s="214">
        <v>5.33</v>
      </c>
      <c r="H1650" s="425">
        <v>5.33</v>
      </c>
      <c r="I1650" s="457">
        <f t="shared" si="140"/>
        <v>0</v>
      </c>
      <c r="J1650" s="152" t="s">
        <v>192</v>
      </c>
      <c r="K1650" s="311">
        <v>1657</v>
      </c>
      <c r="L1650" s="291">
        <f>K1650</f>
        <v>1657</v>
      </c>
      <c r="M1650" s="211">
        <f t="shared" si="144"/>
        <v>1</v>
      </c>
      <c r="N1650" s="64">
        <f t="shared" si="142"/>
        <v>1.0001480555555555</v>
      </c>
    </row>
    <row r="1651" spans="1:16">
      <c r="A1651" s="304"/>
      <c r="B1651" s="305"/>
      <c r="C1651" s="103">
        <f t="shared" si="138"/>
        <v>45449</v>
      </c>
      <c r="E1651" s="170"/>
      <c r="F1651" s="58" t="str">
        <f>VLOOKUP(MOD(C1651,7),'CALENDAR INFO'!$I$2:$J$8,2)</f>
        <v>THU</v>
      </c>
      <c r="G1651" s="214">
        <v>5.33</v>
      </c>
      <c r="H1651" s="425">
        <v>5.33</v>
      </c>
      <c r="I1651" s="457">
        <f t="shared" si="140"/>
        <v>0</v>
      </c>
      <c r="J1651" s="152" t="s">
        <v>193</v>
      </c>
      <c r="K1651" s="290">
        <f>K1650+1</f>
        <v>1658</v>
      </c>
      <c r="L1651" s="291">
        <f>K1651</f>
        <v>1658</v>
      </c>
      <c r="M1651" s="211">
        <f t="shared" si="144"/>
        <v>1</v>
      </c>
      <c r="N1651" s="64">
        <f t="shared" si="142"/>
        <v>1.0001480555555555</v>
      </c>
    </row>
    <row r="1652" spans="1:16">
      <c r="A1652" s="304"/>
      <c r="B1652" s="305"/>
      <c r="C1652" s="103">
        <f t="shared" si="138"/>
        <v>45450</v>
      </c>
      <c r="E1652" s="170"/>
      <c r="F1652" s="58" t="str">
        <f>VLOOKUP(MOD(C1652,7),'CALENDAR INFO'!$I$2:$J$8,2)</f>
        <v>FRI</v>
      </c>
      <c r="G1652" s="214">
        <v>5.33</v>
      </c>
      <c r="H1652" s="425">
        <v>5.33</v>
      </c>
      <c r="I1652" s="457">
        <f t="shared" si="140"/>
        <v>0</v>
      </c>
      <c r="J1652" s="152"/>
      <c r="K1652" s="152"/>
      <c r="L1652" s="202"/>
      <c r="M1652" s="211">
        <f t="shared" si="144"/>
        <v>3</v>
      </c>
      <c r="N1652" s="64">
        <f t="shared" si="142"/>
        <v>1.0004441666666666</v>
      </c>
    </row>
    <row r="1653" spans="1:16">
      <c r="A1653" s="304"/>
      <c r="B1653" s="305"/>
      <c r="C1653" s="103">
        <f t="shared" ref="C1653:C1716" si="145">C1652+1</f>
        <v>45451</v>
      </c>
      <c r="E1653" s="170"/>
      <c r="F1653" s="58" t="str">
        <f>VLOOKUP(MOD(C1653,7),'CALENDAR INFO'!$I$2:$J$8,2)</f>
        <v>SAT</v>
      </c>
      <c r="G1653" s="214">
        <v>5.33</v>
      </c>
      <c r="H1653" s="425">
        <v>5.33</v>
      </c>
      <c r="I1653" s="457">
        <f t="shared" si="140"/>
        <v>0</v>
      </c>
      <c r="J1653" s="152" t="s">
        <v>153</v>
      </c>
      <c r="K1653" s="312" t="str">
        <f>_xlfn.CONCAT("A",TEXT(K1646,0),":","A",TEXT(K1648,0))</f>
        <v>A1646:A1675</v>
      </c>
      <c r="L1653" s="313" t="str">
        <f>_xlfn.CONCAT("B",TEXT(L1646,0),":","B",TEXT(L1648,0))</f>
        <v>B1646:B1675</v>
      </c>
      <c r="M1653" s="211">
        <f t="shared" si="144"/>
        <v>0</v>
      </c>
      <c r="N1653" s="64">
        <f t="shared" si="142"/>
        <v>1</v>
      </c>
    </row>
    <row r="1654" spans="1:16">
      <c r="A1654" s="304"/>
      <c r="B1654" s="305"/>
      <c r="C1654" s="103">
        <f t="shared" si="145"/>
        <v>45452</v>
      </c>
      <c r="E1654" s="170"/>
      <c r="F1654" s="58" t="str">
        <f>VLOOKUP(MOD(C1654,7),'CALENDAR INFO'!$I$2:$J$8,2)</f>
        <v>SUN</v>
      </c>
      <c r="G1654" s="214">
        <v>5.33</v>
      </c>
      <c r="H1654" s="425">
        <v>5.33</v>
      </c>
      <c r="I1654" s="457">
        <f t="shared" si="140"/>
        <v>0</v>
      </c>
      <c r="J1654" s="152" t="s">
        <v>190</v>
      </c>
      <c r="K1654" s="182" t="str">
        <f>_xlfn.CONCAT("F",TEXT(K1646,0),":","F",TEXT(K1650,0))</f>
        <v>F1646:F1657</v>
      </c>
      <c r="L1654" s="201" t="str">
        <f>_xlfn.CONCAT("G",TEXT(L1646,0),":","G",TEXT(L1650,0))</f>
        <v>G1646:G1657</v>
      </c>
      <c r="M1654" s="211">
        <f t="shared" si="144"/>
        <v>0</v>
      </c>
      <c r="N1654" s="64">
        <f t="shared" si="142"/>
        <v>1</v>
      </c>
    </row>
    <row r="1655" spans="1:16">
      <c r="A1655" s="304"/>
      <c r="B1655" s="305"/>
      <c r="C1655" s="103">
        <f t="shared" si="145"/>
        <v>45453</v>
      </c>
      <c r="E1655" s="170"/>
      <c r="F1655" s="58" t="str">
        <f>VLOOKUP(MOD(C1655,7),'CALENDAR INFO'!$I$2:$J$8,2)</f>
        <v>MON</v>
      </c>
      <c r="G1655" s="214">
        <v>5.33</v>
      </c>
      <c r="H1655" s="425">
        <v>5.32</v>
      </c>
      <c r="I1655" s="457">
        <f t="shared" si="140"/>
        <v>-9.9999999999997868E-3</v>
      </c>
      <c r="J1655" s="152" t="s">
        <v>191</v>
      </c>
      <c r="K1655" s="152" t="str">
        <f>_xlfn.CONCAT("F",TEXT(K1651,0),":","F",TEXT(K1648,0))</f>
        <v>F1658:F1675</v>
      </c>
      <c r="L1655" s="201" t="str">
        <f>_xlfn.CONCAT("G",TEXT(L1651,0),":","G",TEXT(L1648,0))</f>
        <v>G1658:G1675</v>
      </c>
      <c r="M1655" s="211">
        <f t="shared" si="144"/>
        <v>1</v>
      </c>
      <c r="N1655" s="64">
        <f t="shared" si="142"/>
        <v>1.0001477777777779</v>
      </c>
    </row>
    <row r="1656" spans="1:16">
      <c r="A1656" s="304"/>
      <c r="B1656" s="305"/>
      <c r="C1656" s="103">
        <f t="shared" si="145"/>
        <v>45454</v>
      </c>
      <c r="D1656" s="153" t="s">
        <v>20</v>
      </c>
      <c r="E1656" s="170"/>
      <c r="F1656" s="58" t="str">
        <f>VLOOKUP(MOD(C1656,7),'CALENDAR INFO'!$I$2:$J$8,2)</f>
        <v>TUE</v>
      </c>
      <c r="G1656" s="214">
        <v>5.33</v>
      </c>
      <c r="H1656" s="425">
        <v>5.32</v>
      </c>
      <c r="I1656" s="457">
        <f t="shared" si="140"/>
        <v>-9.9999999999997868E-3</v>
      </c>
      <c r="J1656" s="152"/>
      <c r="K1656" s="182"/>
      <c r="L1656" s="201"/>
      <c r="M1656" s="211">
        <f t="shared" si="144"/>
        <v>1</v>
      </c>
      <c r="N1656" s="64">
        <f t="shared" si="142"/>
        <v>1.0001477777777779</v>
      </c>
      <c r="P1656" s="283"/>
    </row>
    <row r="1657" spans="1:16">
      <c r="A1657" s="304"/>
      <c r="B1657" s="305"/>
      <c r="C1657" s="103">
        <f t="shared" si="145"/>
        <v>45455</v>
      </c>
      <c r="D1657" s="153" t="s">
        <v>20</v>
      </c>
      <c r="E1657" s="170" t="s">
        <v>19</v>
      </c>
      <c r="F1657" s="58" t="str">
        <f>VLOOKUP(MOD(C1657,7),'CALENDAR INFO'!$I$2:$J$8,2)</f>
        <v>WED</v>
      </c>
      <c r="G1657" s="214">
        <v>5.33</v>
      </c>
      <c r="H1657" s="425">
        <v>5.31</v>
      </c>
      <c r="I1657" s="457">
        <f t="shared" si="140"/>
        <v>-2.0000000000000462E-2</v>
      </c>
      <c r="J1657" s="15" t="s">
        <v>194</v>
      </c>
      <c r="K1657" s="152">
        <f t="shared" ref="K1657:L1659" ca="1" si="146">COUNTA(INDIRECT(K1653))</f>
        <v>0</v>
      </c>
      <c r="L1657" s="202">
        <f t="shared" ca="1" si="146"/>
        <v>0</v>
      </c>
      <c r="M1657" s="211">
        <f t="shared" si="144"/>
        <v>1</v>
      </c>
      <c r="N1657" s="64">
        <f t="shared" si="142"/>
        <v>1.0001475</v>
      </c>
      <c r="P1657" s="284"/>
    </row>
    <row r="1658" spans="1:16">
      <c r="B1658" s="41"/>
      <c r="C1658" s="103">
        <f t="shared" si="145"/>
        <v>45456</v>
      </c>
      <c r="E1658" s="167" t="s">
        <v>18</v>
      </c>
      <c r="F1658" s="58" t="str">
        <f>VLOOKUP(MOD(C1658,7),'CALENDAR INFO'!$I$2:$J$8,2)</f>
        <v>THU</v>
      </c>
      <c r="G1658" s="214">
        <v>5.33</v>
      </c>
      <c r="H1658" s="425">
        <v>5.31</v>
      </c>
      <c r="I1658" s="457">
        <f t="shared" si="140"/>
        <v>-2.0000000000000462E-2</v>
      </c>
      <c r="J1658" s="152" t="s">
        <v>195</v>
      </c>
      <c r="K1658" s="306">
        <f t="shared" ca="1" si="146"/>
        <v>12</v>
      </c>
      <c r="L1658" s="200">
        <f t="shared" ca="1" si="146"/>
        <v>12</v>
      </c>
      <c r="M1658" s="211">
        <f t="shared" si="144"/>
        <v>1</v>
      </c>
      <c r="N1658" s="64">
        <f t="shared" si="142"/>
        <v>1.0001475</v>
      </c>
      <c r="P1658" s="133"/>
    </row>
    <row r="1659" spans="1:16">
      <c r="B1659" s="41"/>
      <c r="C1659" s="103">
        <f t="shared" si="145"/>
        <v>45457</v>
      </c>
      <c r="E1659" s="167"/>
      <c r="F1659" s="58" t="str">
        <f>VLOOKUP(MOD(C1659,7),'CALENDAR INFO'!$I$2:$J$8,2)</f>
        <v>FRI</v>
      </c>
      <c r="G1659" s="214">
        <v>5.33</v>
      </c>
      <c r="H1659" s="425">
        <v>5.31</v>
      </c>
      <c r="I1659" s="457">
        <f t="shared" si="140"/>
        <v>-2.0000000000000462E-2</v>
      </c>
      <c r="J1659" s="15" t="s">
        <v>196</v>
      </c>
      <c r="K1659" s="306">
        <f t="shared" ca="1" si="146"/>
        <v>18</v>
      </c>
      <c r="L1659" s="200">
        <f t="shared" ca="1" si="146"/>
        <v>18</v>
      </c>
      <c r="M1659" s="211">
        <f t="shared" si="144"/>
        <v>3</v>
      </c>
      <c r="N1659" s="64">
        <f t="shared" si="142"/>
        <v>1.0004424999999999</v>
      </c>
    </row>
    <row r="1660" spans="1:16">
      <c r="B1660" s="41"/>
      <c r="C1660" s="103">
        <f t="shared" si="145"/>
        <v>45458</v>
      </c>
      <c r="E1660" s="167"/>
      <c r="F1660" s="58" t="str">
        <f>VLOOKUP(MOD(C1660,7),'CALENDAR INFO'!$I$2:$J$8,2)</f>
        <v>SAT</v>
      </c>
      <c r="G1660" s="214">
        <v>5.33</v>
      </c>
      <c r="H1660" s="425">
        <v>5.31</v>
      </c>
      <c r="I1660" s="457">
        <f t="shared" si="140"/>
        <v>-2.0000000000000462E-2</v>
      </c>
      <c r="K1660" s="178"/>
      <c r="L1660" s="192"/>
      <c r="M1660" s="211">
        <f t="shared" si="144"/>
        <v>0</v>
      </c>
      <c r="N1660" s="64">
        <f t="shared" si="142"/>
        <v>1</v>
      </c>
    </row>
    <row r="1661" spans="1:16">
      <c r="B1661" s="41"/>
      <c r="C1661" s="103">
        <f t="shared" si="145"/>
        <v>45459</v>
      </c>
      <c r="E1661" s="167"/>
      <c r="F1661" s="58" t="str">
        <f>VLOOKUP(MOD(C1661,7),'CALENDAR INFO'!$I$2:$J$8,2)</f>
        <v>SUN</v>
      </c>
      <c r="G1661" s="214">
        <v>5.33</v>
      </c>
      <c r="H1661" s="425">
        <v>5.31</v>
      </c>
      <c r="I1661" s="457">
        <f t="shared" si="140"/>
        <v>-2.0000000000000462E-2</v>
      </c>
      <c r="J1661" s="152" t="s">
        <v>197</v>
      </c>
      <c r="K1661" s="180" t="e">
        <f>OUTPUT!#REF!</f>
        <v>#REF!</v>
      </c>
      <c r="L1661" s="193" t="e">
        <f>OUTPUT!#REF!</f>
        <v>#REF!</v>
      </c>
      <c r="M1661" s="211">
        <f t="shared" si="144"/>
        <v>0</v>
      </c>
      <c r="N1661" s="64">
        <f t="shared" si="142"/>
        <v>1</v>
      </c>
    </row>
    <row r="1662" spans="1:16">
      <c r="B1662" s="41"/>
      <c r="C1662" s="103">
        <f t="shared" si="145"/>
        <v>45460</v>
      </c>
      <c r="E1662" s="167"/>
      <c r="F1662" s="58" t="str">
        <f>VLOOKUP(MOD(C1662,7),'CALENDAR INFO'!$I$2:$J$8,2)</f>
        <v>MON</v>
      </c>
      <c r="G1662" s="214">
        <v>5.33</v>
      </c>
      <c r="H1662" s="425">
        <v>5.33</v>
      </c>
      <c r="I1662" s="457">
        <f t="shared" si="140"/>
        <v>0</v>
      </c>
      <c r="J1662" s="152" t="s">
        <v>118</v>
      </c>
      <c r="K1662" s="314">
        <f>K1647</f>
        <v>30</v>
      </c>
      <c r="L1662" s="315">
        <f>L1647</f>
        <v>30</v>
      </c>
      <c r="M1662" s="211">
        <f t="shared" si="144"/>
        <v>1</v>
      </c>
      <c r="N1662" s="64">
        <f t="shared" si="142"/>
        <v>1.0001480555555555</v>
      </c>
    </row>
    <row r="1663" spans="1:16">
      <c r="B1663" s="41"/>
      <c r="C1663" s="103">
        <f t="shared" si="145"/>
        <v>45461</v>
      </c>
      <c r="E1663" s="167"/>
      <c r="F1663" s="58" t="str">
        <f>VLOOKUP(MOD(C1663,7),'CALENDAR INFO'!$I$2:$J$8,2)</f>
        <v>TUE</v>
      </c>
      <c r="G1663" s="214">
        <v>5.33</v>
      </c>
      <c r="H1663" s="425">
        <v>5.33</v>
      </c>
      <c r="I1663" s="457">
        <f t="shared" si="140"/>
        <v>0</v>
      </c>
      <c r="J1663" s="152" t="s">
        <v>184</v>
      </c>
      <c r="K1663" s="178" t="e">
        <f>K1661*K1662</f>
        <v>#REF!</v>
      </c>
      <c r="L1663" s="192" t="e">
        <f>L1661*L1662</f>
        <v>#REF!</v>
      </c>
      <c r="M1663" s="117">
        <v>2</v>
      </c>
      <c r="N1663" s="64">
        <f t="shared" si="142"/>
        <v>1.0002961111111111</v>
      </c>
    </row>
    <row r="1664" spans="1:16">
      <c r="B1664" s="41"/>
      <c r="C1664" s="103">
        <f t="shared" si="145"/>
        <v>45462</v>
      </c>
      <c r="D1664" s="173" t="s">
        <v>127</v>
      </c>
      <c r="E1664" s="167"/>
      <c r="F1664" s="58" t="str">
        <f>VLOOKUP(MOD(C1664,7),'CALENDAR INFO'!$I$2:$J$8,2)</f>
        <v>WED</v>
      </c>
      <c r="G1664" s="214">
        <v>5.33</v>
      </c>
      <c r="H1664" s="425">
        <v>5.33</v>
      </c>
      <c r="I1664" s="457">
        <f t="shared" si="140"/>
        <v>0</v>
      </c>
      <c r="J1664" s="152"/>
      <c r="K1664" s="306"/>
      <c r="L1664" s="200"/>
      <c r="M1664" s="117">
        <v>0</v>
      </c>
      <c r="N1664" s="64">
        <f t="shared" si="142"/>
        <v>1</v>
      </c>
    </row>
    <row r="1665" spans="1:16">
      <c r="B1665" s="41"/>
      <c r="C1665" s="103">
        <f t="shared" si="145"/>
        <v>45463</v>
      </c>
      <c r="E1665" s="167"/>
      <c r="F1665" s="58" t="str">
        <f>VLOOKUP(MOD(C1665,7),'CALENDAR INFO'!$I$2:$J$8,2)</f>
        <v>THU</v>
      </c>
      <c r="G1665" s="214">
        <v>5.33</v>
      </c>
      <c r="H1665" s="425">
        <v>5.32</v>
      </c>
      <c r="I1665" s="457">
        <f t="shared" si="140"/>
        <v>-9.9999999999997868E-3</v>
      </c>
      <c r="J1665" s="152" t="s">
        <v>187</v>
      </c>
      <c r="K1665" s="207" t="e">
        <f>K1663</f>
        <v>#REF!</v>
      </c>
      <c r="L1665" s="208" t="e">
        <f>L1663</f>
        <v>#REF!</v>
      </c>
      <c r="M1665" s="211">
        <f t="shared" ref="M1665:M1677" si="147">IF(MOD(C1665,7)&lt;2,0,IF(MOD(C1665,7)=6,3,1))</f>
        <v>1</v>
      </c>
      <c r="N1665" s="64">
        <f t="shared" si="142"/>
        <v>1.0001477777777779</v>
      </c>
    </row>
    <row r="1666" spans="1:16">
      <c r="B1666" s="41"/>
      <c r="C1666" s="103">
        <f t="shared" si="145"/>
        <v>45464</v>
      </c>
      <c r="E1666" s="167"/>
      <c r="F1666" s="58" t="str">
        <f>VLOOKUP(MOD(C1666,7),'CALENDAR INFO'!$I$2:$J$8,2)</f>
        <v>FRI</v>
      </c>
      <c r="G1666" s="214">
        <v>5.33</v>
      </c>
      <c r="H1666" s="425">
        <v>5.31</v>
      </c>
      <c r="I1666" s="457">
        <f t="shared" si="140"/>
        <v>-2.0000000000000462E-2</v>
      </c>
      <c r="J1666" s="15" t="s">
        <v>155</v>
      </c>
      <c r="K1666" s="182">
        <f ca="1">SUM(INDIRECT(K1653))</f>
        <v>0</v>
      </c>
      <c r="L1666" s="201">
        <f ca="1">SUM(INDIRECT(L1653))</f>
        <v>0</v>
      </c>
      <c r="M1666" s="211">
        <f t="shared" si="147"/>
        <v>3</v>
      </c>
      <c r="N1666" s="64">
        <f t="shared" si="142"/>
        <v>1.0004424999999999</v>
      </c>
    </row>
    <row r="1667" spans="1:16">
      <c r="B1667" s="41"/>
      <c r="C1667" s="103">
        <f t="shared" si="145"/>
        <v>45465</v>
      </c>
      <c r="E1667" s="167"/>
      <c r="F1667" s="58" t="str">
        <f>VLOOKUP(MOD(C1667,7),'CALENDAR INFO'!$I$2:$J$8,2)</f>
        <v>SAT</v>
      </c>
      <c r="G1667" s="214">
        <v>5.33</v>
      </c>
      <c r="H1667" s="425">
        <v>5.31</v>
      </c>
      <c r="I1667" s="457">
        <f t="shared" ref="I1667:I1730" si="148">H1667-G1667</f>
        <v>-2.0000000000000462E-2</v>
      </c>
      <c r="J1667" s="15" t="s">
        <v>185</v>
      </c>
      <c r="K1667" s="182">
        <f ca="1">SUM(INDIRECT(K1654))</f>
        <v>0</v>
      </c>
      <c r="L1667" s="201">
        <f ca="1">SUM(INDIRECT(L1654))</f>
        <v>63.959999999999987</v>
      </c>
      <c r="M1667" s="211">
        <f t="shared" si="147"/>
        <v>0</v>
      </c>
      <c r="N1667" s="64">
        <f t="shared" si="142"/>
        <v>1</v>
      </c>
    </row>
    <row r="1668" spans="1:16">
      <c r="B1668" s="41"/>
      <c r="C1668" s="103">
        <f t="shared" si="145"/>
        <v>45466</v>
      </c>
      <c r="E1668" s="167"/>
      <c r="F1668" s="58" t="str">
        <f>VLOOKUP(MOD(C1668,7),'CALENDAR INFO'!$I$2:$J$8,2)</f>
        <v>SUN</v>
      </c>
      <c r="G1668" s="214">
        <v>5.33</v>
      </c>
      <c r="H1668" s="425">
        <v>5.31</v>
      </c>
      <c r="I1668" s="457">
        <f t="shared" si="148"/>
        <v>-2.0000000000000462E-2</v>
      </c>
      <c r="J1668" s="15" t="s">
        <v>186</v>
      </c>
      <c r="K1668" s="182" t="e">
        <f ca="1">K1665-K1666-K1667</f>
        <v>#REF!</v>
      </c>
      <c r="L1668" s="201" t="e">
        <f ca="1">L1665-L1666-L1667</f>
        <v>#REF!</v>
      </c>
      <c r="M1668" s="211">
        <f t="shared" si="147"/>
        <v>0</v>
      </c>
      <c r="N1668" s="64">
        <f t="shared" si="142"/>
        <v>1</v>
      </c>
    </row>
    <row r="1669" spans="1:16">
      <c r="B1669" s="41"/>
      <c r="C1669" s="103">
        <f t="shared" si="145"/>
        <v>45467</v>
      </c>
      <c r="E1669" s="167"/>
      <c r="F1669" s="58" t="str">
        <f>VLOOKUP(MOD(C1669,7),'CALENDAR INFO'!$I$2:$J$8,2)</f>
        <v>MON</v>
      </c>
      <c r="G1669" s="214">
        <v>5.33</v>
      </c>
      <c r="H1669" s="425">
        <v>5.31</v>
      </c>
      <c r="I1669" s="457">
        <f t="shared" si="148"/>
        <v>-2.0000000000000462E-2</v>
      </c>
      <c r="K1669" s="182"/>
      <c r="L1669" s="201"/>
      <c r="M1669" s="211">
        <f t="shared" si="147"/>
        <v>1</v>
      </c>
      <c r="N1669" s="64">
        <f t="shared" si="142"/>
        <v>1.0001475</v>
      </c>
    </row>
    <row r="1670" spans="1:16">
      <c r="B1670" s="41"/>
      <c r="C1670" s="103">
        <f t="shared" si="145"/>
        <v>45468</v>
      </c>
      <c r="E1670" s="167"/>
      <c r="F1670" s="58" t="str">
        <f>VLOOKUP(MOD(C1670,7),'CALENDAR INFO'!$I$2:$J$8,2)</f>
        <v>TUE</v>
      </c>
      <c r="G1670" s="214">
        <v>5.33</v>
      </c>
      <c r="H1670" s="425">
        <v>5.33</v>
      </c>
      <c r="I1670" s="457">
        <f t="shared" si="148"/>
        <v>0</v>
      </c>
      <c r="J1670" s="15" t="s">
        <v>188</v>
      </c>
      <c r="K1670" s="290">
        <f ca="1">K1647-K1657-K1658</f>
        <v>18</v>
      </c>
      <c r="L1670" s="291">
        <f ca="1">L1647-L1657-L1658</f>
        <v>18</v>
      </c>
      <c r="M1670" s="211">
        <f t="shared" si="147"/>
        <v>1</v>
      </c>
      <c r="N1670" s="64">
        <f t="shared" si="142"/>
        <v>1.0001480555555555</v>
      </c>
      <c r="O1670" s="282"/>
      <c r="P1670" s="283"/>
    </row>
    <row r="1671" spans="1:16">
      <c r="B1671" s="41"/>
      <c r="C1671" s="103">
        <f t="shared" si="145"/>
        <v>45469</v>
      </c>
      <c r="E1671" s="167" t="s">
        <v>19</v>
      </c>
      <c r="F1671" s="58" t="str">
        <f>VLOOKUP(MOD(C1671,7),'CALENDAR INFO'!$I$2:$J$8,2)</f>
        <v>WED</v>
      </c>
      <c r="G1671" s="214">
        <v>5.33</v>
      </c>
      <c r="H1671" s="425">
        <v>5.34</v>
      </c>
      <c r="I1671" s="457">
        <f t="shared" si="148"/>
        <v>9.9999999999997868E-3</v>
      </c>
      <c r="J1671" s="15" t="s">
        <v>189</v>
      </c>
      <c r="K1671" s="182" t="e">
        <f ca="1">K1668/K1670</f>
        <v>#REF!</v>
      </c>
      <c r="L1671" s="201" t="e">
        <f ca="1">L1668/L1670</f>
        <v>#REF!</v>
      </c>
      <c r="M1671" s="211">
        <f t="shared" si="147"/>
        <v>1</v>
      </c>
      <c r="N1671" s="64">
        <f t="shared" si="142"/>
        <v>1.0001483333333334</v>
      </c>
      <c r="O1671" s="282"/>
      <c r="P1671" s="284"/>
    </row>
    <row r="1672" spans="1:16">
      <c r="B1672" s="41"/>
      <c r="C1672" s="103">
        <f t="shared" si="145"/>
        <v>45470</v>
      </c>
      <c r="E1672" s="170" t="s">
        <v>18</v>
      </c>
      <c r="F1672" s="58" t="str">
        <f>VLOOKUP(MOD(C1672,7),'CALENDAR INFO'!$I$2:$J$8,2)</f>
        <v>THU</v>
      </c>
      <c r="G1672" s="214">
        <v>5.33</v>
      </c>
      <c r="H1672" s="425">
        <v>5.34</v>
      </c>
      <c r="I1672" s="457">
        <f t="shared" si="148"/>
        <v>9.9999999999997868E-3</v>
      </c>
      <c r="J1672" s="152"/>
      <c r="K1672" s="182"/>
      <c r="L1672" s="201"/>
      <c r="M1672" s="211">
        <f t="shared" si="147"/>
        <v>1</v>
      </c>
      <c r="N1672" s="64">
        <f t="shared" si="142"/>
        <v>1.0001483333333334</v>
      </c>
      <c r="O1672" s="282"/>
      <c r="P1672" s="284"/>
    </row>
    <row r="1673" spans="1:16">
      <c r="B1673" s="41"/>
      <c r="C1673" s="103">
        <f t="shared" si="145"/>
        <v>45471</v>
      </c>
      <c r="E1673" s="170"/>
      <c r="F1673" s="58" t="str">
        <f>VLOOKUP(MOD(C1673,7),'CALENDAR INFO'!$I$2:$J$8,2)</f>
        <v>FRI</v>
      </c>
      <c r="G1673" s="214">
        <v>5.33</v>
      </c>
      <c r="H1673" s="425">
        <v>5.33</v>
      </c>
      <c r="I1673" s="457">
        <f t="shared" si="148"/>
        <v>0</v>
      </c>
      <c r="J1673" s="152"/>
      <c r="K1673" s="183" t="s">
        <v>202</v>
      </c>
      <c r="L1673" s="199" t="s">
        <v>202</v>
      </c>
      <c r="M1673" s="211">
        <f t="shared" si="147"/>
        <v>3</v>
      </c>
      <c r="N1673" s="64">
        <f t="shared" si="142"/>
        <v>1.0004441666666666</v>
      </c>
    </row>
    <row r="1674" spans="1:16">
      <c r="B1674" s="41"/>
      <c r="C1674" s="103">
        <f t="shared" si="145"/>
        <v>45472</v>
      </c>
      <c r="E1674" s="170"/>
      <c r="F1674" s="58" t="str">
        <f>VLOOKUP(MOD(C1674,7),'CALENDAR INFO'!$I$2:$J$8,2)</f>
        <v>SAT</v>
      </c>
      <c r="G1674" s="214">
        <v>5.33</v>
      </c>
      <c r="H1674" s="425">
        <v>5.33</v>
      </c>
      <c r="I1674" s="457">
        <f t="shared" si="148"/>
        <v>0</v>
      </c>
      <c r="J1674" s="433" t="s">
        <v>201</v>
      </c>
      <c r="K1674" s="187">
        <f ca="1">100-K1666/K1647</f>
        <v>100</v>
      </c>
      <c r="L1674" s="339">
        <f ca="1">100-L1666/L1647</f>
        <v>100</v>
      </c>
      <c r="M1674" s="211">
        <f t="shared" si="147"/>
        <v>0</v>
      </c>
      <c r="N1674" s="64">
        <f t="shared" si="142"/>
        <v>1</v>
      </c>
    </row>
    <row r="1675" spans="1:16" ht="15.75" thickBot="1">
      <c r="A1675" s="98"/>
      <c r="B1675" s="230"/>
      <c r="C1675" s="104">
        <f t="shared" si="145"/>
        <v>45473</v>
      </c>
      <c r="D1675" s="112"/>
      <c r="E1675" s="245"/>
      <c r="F1675" s="71" t="str">
        <f>VLOOKUP(MOD(C1675,7),'CALENDAR INFO'!$I$2:$J$8,2)</f>
        <v>SUN</v>
      </c>
      <c r="G1675" s="215">
        <v>5.33</v>
      </c>
      <c r="H1675" s="426">
        <v>5.33</v>
      </c>
      <c r="I1675" s="458">
        <f t="shared" si="148"/>
        <v>0</v>
      </c>
      <c r="J1675" s="424" t="s">
        <v>200</v>
      </c>
      <c r="K1675" s="340">
        <v>94.67</v>
      </c>
      <c r="L1675" s="341">
        <v>94.674999999999997</v>
      </c>
      <c r="M1675" s="113">
        <f t="shared" si="147"/>
        <v>0</v>
      </c>
      <c r="N1675" s="77">
        <f t="shared" si="142"/>
        <v>1</v>
      </c>
    </row>
    <row r="1676" spans="1:16">
      <c r="A1676" s="304"/>
      <c r="B1676" s="305"/>
      <c r="C1676" s="103">
        <f t="shared" si="145"/>
        <v>45474</v>
      </c>
      <c r="E1676" s="170"/>
      <c r="F1676" s="58" t="str">
        <f>VLOOKUP(MOD(C1676,7),'CALENDAR INFO'!$I$2:$J$8,2)</f>
        <v>MON</v>
      </c>
      <c r="G1676" s="214">
        <v>5.33</v>
      </c>
      <c r="H1676" s="425">
        <v>5.4</v>
      </c>
      <c r="I1676" s="457">
        <f t="shared" si="148"/>
        <v>7.0000000000000284E-2</v>
      </c>
      <c r="J1676" s="438" t="s">
        <v>151</v>
      </c>
      <c r="K1676" s="15">
        <f>ROW(K1676)</f>
        <v>1676</v>
      </c>
      <c r="L1676" s="179">
        <f>K1676</f>
        <v>1676</v>
      </c>
      <c r="M1676" s="116">
        <f t="shared" si="147"/>
        <v>1</v>
      </c>
      <c r="N1676" s="111">
        <f t="shared" si="142"/>
        <v>1.0001500000000001</v>
      </c>
    </row>
    <row r="1677" spans="1:16">
      <c r="B1677" s="41"/>
      <c r="C1677" s="103">
        <f t="shared" si="145"/>
        <v>45475</v>
      </c>
      <c r="E1677" s="170"/>
      <c r="F1677" s="58" t="str">
        <f>VLOOKUP(MOD(C1677,7),'CALENDAR INFO'!$I$2:$J$8,2)</f>
        <v>TUE</v>
      </c>
      <c r="G1677" s="214">
        <v>5.33</v>
      </c>
      <c r="H1677" s="425">
        <v>5.35</v>
      </c>
      <c r="I1677" s="457">
        <f t="shared" si="148"/>
        <v>1.9999999999999574E-2</v>
      </c>
      <c r="J1677" s="152" t="s">
        <v>118</v>
      </c>
      <c r="K1677" s="15">
        <f>VLOOKUP(MONTH($C1676),'CALENDAR INFO'!$I$12:$J$23,2)</f>
        <v>31</v>
      </c>
      <c r="L1677" s="179">
        <f>K1677</f>
        <v>31</v>
      </c>
      <c r="M1677" s="211">
        <f t="shared" si="147"/>
        <v>1</v>
      </c>
      <c r="N1677" s="64">
        <f t="shared" si="142"/>
        <v>1.0001486111111111</v>
      </c>
    </row>
    <row r="1678" spans="1:16">
      <c r="B1678" s="41"/>
      <c r="C1678" s="103">
        <f t="shared" si="145"/>
        <v>45476</v>
      </c>
      <c r="E1678" s="170"/>
      <c r="F1678" s="58" t="str">
        <f>VLOOKUP(MOD(C1678,7),'CALENDAR INFO'!$I$2:$J$8,2)</f>
        <v>WED</v>
      </c>
      <c r="G1678" s="214">
        <v>5.33</v>
      </c>
      <c r="H1678" s="425">
        <v>5.33</v>
      </c>
      <c r="I1678" s="457">
        <f t="shared" si="148"/>
        <v>0</v>
      </c>
      <c r="J1678" s="15" t="s">
        <v>152</v>
      </c>
      <c r="K1678" s="15">
        <f>K1677+K1676-1</f>
        <v>1706</v>
      </c>
      <c r="L1678" s="179">
        <f>K1678</f>
        <v>1706</v>
      </c>
      <c r="M1678" s="117">
        <v>2</v>
      </c>
      <c r="N1678" s="64">
        <f t="shared" si="142"/>
        <v>1.0002961111111111</v>
      </c>
    </row>
    <row r="1679" spans="1:16">
      <c r="B1679" s="41"/>
      <c r="C1679" s="103">
        <f t="shared" si="145"/>
        <v>45477</v>
      </c>
      <c r="D1679" s="173" t="s">
        <v>49</v>
      </c>
      <c r="E1679" s="170"/>
      <c r="F1679" s="58" t="str">
        <f>VLOOKUP(MOD(C1679,7),'CALENDAR INFO'!$I$2:$J$8,2)</f>
        <v>THU</v>
      </c>
      <c r="G1679" s="214">
        <v>5.33</v>
      </c>
      <c r="H1679" s="425">
        <v>5.33</v>
      </c>
      <c r="I1679" s="457">
        <f t="shared" si="148"/>
        <v>0</v>
      </c>
      <c r="M1679" s="117">
        <v>0</v>
      </c>
      <c r="N1679" s="64">
        <f t="shared" si="142"/>
        <v>1</v>
      </c>
    </row>
    <row r="1680" spans="1:16">
      <c r="B1680" s="41"/>
      <c r="C1680" s="103">
        <f t="shared" si="145"/>
        <v>45478</v>
      </c>
      <c r="E1680" s="170"/>
      <c r="F1680" s="58" t="str">
        <f>VLOOKUP(MOD(C1680,7),'CALENDAR INFO'!$I$2:$J$8,2)</f>
        <v>FRI</v>
      </c>
      <c r="G1680" s="214">
        <v>5.33</v>
      </c>
      <c r="H1680" s="425">
        <v>5.32</v>
      </c>
      <c r="I1680" s="457">
        <f t="shared" si="148"/>
        <v>-9.9999999999997868E-3</v>
      </c>
      <c r="J1680" s="15" t="s">
        <v>192</v>
      </c>
      <c r="K1680" s="310">
        <v>1676</v>
      </c>
      <c r="L1680" s="202">
        <f>K1680</f>
        <v>1676</v>
      </c>
      <c r="M1680" s="211">
        <f t="shared" ref="M1680:M1711" si="149">IF(MOD(C1680,7)&lt;2,0,IF(MOD(C1680,7)=6,3,1))</f>
        <v>3</v>
      </c>
      <c r="N1680" s="64">
        <f t="shared" si="142"/>
        <v>1.0004433333333334</v>
      </c>
    </row>
    <row r="1681" spans="2:14">
      <c r="B1681" s="41"/>
      <c r="C1681" s="103">
        <f t="shared" si="145"/>
        <v>45479</v>
      </c>
      <c r="E1681" s="170"/>
      <c r="F1681" s="58" t="str">
        <f>VLOOKUP(MOD(C1681,7),'CALENDAR INFO'!$I$2:$J$8,2)</f>
        <v>SAT</v>
      </c>
      <c r="G1681" s="214">
        <v>5.33</v>
      </c>
      <c r="H1681" s="425">
        <v>5.32</v>
      </c>
      <c r="I1681" s="457">
        <f t="shared" si="148"/>
        <v>-9.9999999999997868E-3</v>
      </c>
      <c r="J1681" s="15" t="s">
        <v>193</v>
      </c>
      <c r="K1681" s="15">
        <f>K1680+1</f>
        <v>1677</v>
      </c>
      <c r="L1681" s="179">
        <f>K1681</f>
        <v>1677</v>
      </c>
      <c r="M1681" s="211">
        <f t="shared" si="149"/>
        <v>0</v>
      </c>
      <c r="N1681" s="64">
        <f t="shared" si="142"/>
        <v>1</v>
      </c>
    </row>
    <row r="1682" spans="2:14">
      <c r="B1682" s="41"/>
      <c r="C1682" s="103">
        <f t="shared" si="145"/>
        <v>45480</v>
      </c>
      <c r="E1682" s="170"/>
      <c r="F1682" s="58" t="str">
        <f>VLOOKUP(MOD(C1682,7),'CALENDAR INFO'!$I$2:$J$8,2)</f>
        <v>SUN</v>
      </c>
      <c r="G1682" s="214">
        <v>5.33</v>
      </c>
      <c r="H1682" s="425">
        <v>5.32</v>
      </c>
      <c r="I1682" s="457">
        <f t="shared" si="148"/>
        <v>-9.9999999999997868E-3</v>
      </c>
      <c r="K1682" s="152"/>
      <c r="L1682" s="202"/>
      <c r="M1682" s="211">
        <f t="shared" si="149"/>
        <v>0</v>
      </c>
      <c r="N1682" s="64">
        <f t="shared" si="142"/>
        <v>1</v>
      </c>
    </row>
    <row r="1683" spans="2:14">
      <c r="B1683" s="41"/>
      <c r="C1683" s="103">
        <f t="shared" si="145"/>
        <v>45481</v>
      </c>
      <c r="E1683" s="170"/>
      <c r="F1683" s="58" t="str">
        <f>VLOOKUP(MOD(C1683,7),'CALENDAR INFO'!$I$2:$J$8,2)</f>
        <v>MON</v>
      </c>
      <c r="G1683" s="214">
        <v>5.33</v>
      </c>
      <c r="H1683" s="425">
        <v>5.32</v>
      </c>
      <c r="I1683" s="457">
        <f t="shared" si="148"/>
        <v>-9.9999999999997868E-3</v>
      </c>
      <c r="J1683" s="15" t="s">
        <v>153</v>
      </c>
      <c r="K1683" s="182" t="str">
        <f>_xlfn.CONCAT("A",TEXT(K1676,0),":","A",TEXT(K1678,0))</f>
        <v>A1676:A1706</v>
      </c>
      <c r="L1683" s="201" t="str">
        <f>_xlfn.CONCAT("B",TEXT(L1676,0),":","B",TEXT(L1678,0))</f>
        <v>B1676:B1706</v>
      </c>
      <c r="M1683" s="211">
        <f t="shared" si="149"/>
        <v>1</v>
      </c>
      <c r="N1683" s="64">
        <f t="shared" ref="N1683:N1746" si="150">1+(M1683/360)*(MAX(H1683,B1683)/100)</f>
        <v>1.0001477777777779</v>
      </c>
    </row>
    <row r="1684" spans="2:14">
      <c r="B1684" s="41"/>
      <c r="C1684" s="103">
        <f t="shared" si="145"/>
        <v>45482</v>
      </c>
      <c r="E1684" s="170"/>
      <c r="F1684" s="58" t="str">
        <f>VLOOKUP(MOD(C1684,7),'CALENDAR INFO'!$I$2:$J$8,2)</f>
        <v>TUE</v>
      </c>
      <c r="G1684" s="214">
        <v>5.33</v>
      </c>
      <c r="H1684" s="425">
        <v>5.34</v>
      </c>
      <c r="I1684" s="457">
        <f t="shared" si="148"/>
        <v>9.9999999999997868E-3</v>
      </c>
      <c r="J1684" s="15" t="s">
        <v>190</v>
      </c>
      <c r="K1684" s="182" t="str">
        <f>_xlfn.CONCAT("F",TEXT(K1676,0),":","F",TEXT(K1680,0))</f>
        <v>F1676:F1676</v>
      </c>
      <c r="L1684" s="201" t="str">
        <f>_xlfn.CONCAT("G",TEXT(L1676,0),":","G",TEXT(L1680,0))</f>
        <v>G1676:G1676</v>
      </c>
      <c r="M1684" s="211">
        <f t="shared" si="149"/>
        <v>1</v>
      </c>
      <c r="N1684" s="64">
        <f t="shared" si="150"/>
        <v>1.0001483333333334</v>
      </c>
    </row>
    <row r="1685" spans="2:14">
      <c r="B1685" s="41"/>
      <c r="C1685" s="103">
        <f t="shared" si="145"/>
        <v>45483</v>
      </c>
      <c r="E1685" s="170" t="s">
        <v>19</v>
      </c>
      <c r="F1685" s="58" t="str">
        <f>VLOOKUP(MOD(C1685,7),'CALENDAR INFO'!$I$2:$J$8,2)</f>
        <v>WED</v>
      </c>
      <c r="G1685" s="214">
        <v>5.33</v>
      </c>
      <c r="H1685" s="425">
        <v>5.34</v>
      </c>
      <c r="I1685" s="457">
        <f t="shared" si="148"/>
        <v>9.9999999999997868E-3</v>
      </c>
      <c r="J1685" s="15" t="s">
        <v>191</v>
      </c>
      <c r="K1685" s="182" t="str">
        <f>_xlfn.CONCAT("F",TEXT(K1681,0),":","F",TEXT(K1678,0))</f>
        <v>F1677:F1706</v>
      </c>
      <c r="L1685" s="201" t="str">
        <f>_xlfn.CONCAT("G",TEXT(L1681,0),":","G",TEXT(L1678,0))</f>
        <v>G1677:G1706</v>
      </c>
      <c r="M1685" s="211">
        <f t="shared" si="149"/>
        <v>1</v>
      </c>
      <c r="N1685" s="64">
        <f t="shared" si="150"/>
        <v>1.0001483333333334</v>
      </c>
    </row>
    <row r="1686" spans="2:14">
      <c r="B1686" s="41"/>
      <c r="C1686" s="103">
        <f t="shared" si="145"/>
        <v>45484</v>
      </c>
      <c r="E1686" s="167" t="s">
        <v>18</v>
      </c>
      <c r="F1686" s="58" t="str">
        <f>VLOOKUP(MOD(C1686,7),'CALENDAR INFO'!$I$2:$J$8,2)</f>
        <v>THU</v>
      </c>
      <c r="G1686" s="214">
        <v>5.33</v>
      </c>
      <c r="H1686" s="425">
        <v>5.34</v>
      </c>
      <c r="I1686" s="457">
        <f t="shared" si="148"/>
        <v>9.9999999999997868E-3</v>
      </c>
      <c r="K1686" s="152"/>
      <c r="L1686" s="202"/>
      <c r="M1686" s="211">
        <f t="shared" si="149"/>
        <v>1</v>
      </c>
      <c r="N1686" s="64">
        <f t="shared" si="150"/>
        <v>1.0001483333333334</v>
      </c>
    </row>
    <row r="1687" spans="2:14">
      <c r="B1687" s="41"/>
      <c r="C1687" s="103">
        <f t="shared" si="145"/>
        <v>45485</v>
      </c>
      <c r="E1687" s="167"/>
      <c r="F1687" s="58" t="str">
        <f>VLOOKUP(MOD(C1687,7),'CALENDAR INFO'!$I$2:$J$8,2)</f>
        <v>FRI</v>
      </c>
      <c r="G1687" s="214">
        <v>5.33</v>
      </c>
      <c r="H1687" s="425">
        <v>5.34</v>
      </c>
      <c r="I1687" s="457">
        <f t="shared" si="148"/>
        <v>9.9999999999997868E-3</v>
      </c>
      <c r="J1687" s="152" t="s">
        <v>194</v>
      </c>
      <c r="K1687" s="290">
        <f t="shared" ref="K1687:L1689" ca="1" si="151">COUNTA(INDIRECT(K1683))</f>
        <v>0</v>
      </c>
      <c r="L1687" s="291">
        <f t="shared" ca="1" si="151"/>
        <v>0</v>
      </c>
      <c r="M1687" s="211">
        <f t="shared" si="149"/>
        <v>3</v>
      </c>
      <c r="N1687" s="64">
        <f t="shared" si="150"/>
        <v>1.000445</v>
      </c>
    </row>
    <row r="1688" spans="2:14">
      <c r="B1688" s="41"/>
      <c r="C1688" s="103">
        <f t="shared" si="145"/>
        <v>45486</v>
      </c>
      <c r="E1688" s="167"/>
      <c r="F1688" s="58" t="str">
        <f>VLOOKUP(MOD(C1688,7),'CALENDAR INFO'!$I$2:$J$8,2)</f>
        <v>SAT</v>
      </c>
      <c r="G1688" s="214">
        <v>5.33</v>
      </c>
      <c r="H1688" s="425">
        <v>5.34</v>
      </c>
      <c r="I1688" s="457">
        <f t="shared" si="148"/>
        <v>9.9999999999997868E-3</v>
      </c>
      <c r="J1688" s="152" t="s">
        <v>195</v>
      </c>
      <c r="K1688" s="290">
        <f t="shared" ca="1" si="151"/>
        <v>1</v>
      </c>
      <c r="L1688" s="291">
        <f t="shared" ca="1" si="151"/>
        <v>1</v>
      </c>
      <c r="M1688" s="211">
        <f t="shared" si="149"/>
        <v>0</v>
      </c>
      <c r="N1688" s="64">
        <f t="shared" si="150"/>
        <v>1</v>
      </c>
    </row>
    <row r="1689" spans="2:14">
      <c r="B1689" s="41"/>
      <c r="C1689" s="103">
        <f t="shared" si="145"/>
        <v>45487</v>
      </c>
      <c r="E1689" s="167"/>
      <c r="F1689" s="58" t="str">
        <f>VLOOKUP(MOD(C1689,7),'CALENDAR INFO'!$I$2:$J$8,2)</f>
        <v>SUN</v>
      </c>
      <c r="G1689" s="214">
        <v>5.33</v>
      </c>
      <c r="H1689" s="425">
        <v>5.34</v>
      </c>
      <c r="I1689" s="457">
        <f t="shared" si="148"/>
        <v>9.9999999999997868E-3</v>
      </c>
      <c r="J1689" s="152" t="s">
        <v>196</v>
      </c>
      <c r="K1689" s="290">
        <f t="shared" ca="1" si="151"/>
        <v>30</v>
      </c>
      <c r="L1689" s="308">
        <f t="shared" ca="1" si="151"/>
        <v>30</v>
      </c>
      <c r="M1689" s="211">
        <f t="shared" si="149"/>
        <v>0</v>
      </c>
      <c r="N1689" s="64">
        <f t="shared" si="150"/>
        <v>1</v>
      </c>
    </row>
    <row r="1690" spans="2:14">
      <c r="B1690" s="41"/>
      <c r="C1690" s="103">
        <f t="shared" si="145"/>
        <v>45488</v>
      </c>
      <c r="E1690" s="167"/>
      <c r="F1690" s="58" t="str">
        <f>VLOOKUP(MOD(C1690,7),'CALENDAR INFO'!$I$2:$J$8,2)</f>
        <v>MON</v>
      </c>
      <c r="G1690" s="214">
        <v>5.33</v>
      </c>
      <c r="H1690" s="425">
        <v>5.34</v>
      </c>
      <c r="I1690" s="457">
        <f t="shared" si="148"/>
        <v>9.9999999999997868E-3</v>
      </c>
      <c r="K1690" s="152"/>
      <c r="L1690" s="202"/>
      <c r="M1690" s="211">
        <f t="shared" si="149"/>
        <v>1</v>
      </c>
      <c r="N1690" s="64">
        <f t="shared" si="150"/>
        <v>1.0001483333333334</v>
      </c>
    </row>
    <row r="1691" spans="2:14">
      <c r="B1691" s="41"/>
      <c r="C1691" s="103">
        <f t="shared" si="145"/>
        <v>45489</v>
      </c>
      <c r="E1691" s="167"/>
      <c r="F1691" s="58" t="str">
        <f>VLOOKUP(MOD(C1691,7),'CALENDAR INFO'!$I$2:$J$8,2)</f>
        <v>TUE</v>
      </c>
      <c r="G1691" s="214">
        <v>5.33</v>
      </c>
      <c r="H1691" s="425">
        <v>5.35</v>
      </c>
      <c r="I1691" s="457">
        <f t="shared" si="148"/>
        <v>1.9999999999999574E-2</v>
      </c>
      <c r="J1691" s="152" t="s">
        <v>197</v>
      </c>
      <c r="K1691" s="180" t="e">
        <f>OUTPUT!#REF!</f>
        <v>#REF!</v>
      </c>
      <c r="L1691" s="193" t="e">
        <f>OUTPUT!#REF!</f>
        <v>#REF!</v>
      </c>
      <c r="M1691" s="211">
        <f t="shared" si="149"/>
        <v>1</v>
      </c>
      <c r="N1691" s="64">
        <f t="shared" si="150"/>
        <v>1.0001486111111111</v>
      </c>
    </row>
    <row r="1692" spans="2:14">
      <c r="B1692" s="41"/>
      <c r="C1692" s="103">
        <f t="shared" si="145"/>
        <v>45490</v>
      </c>
      <c r="E1692" s="167"/>
      <c r="F1692" s="58" t="str">
        <f>VLOOKUP(MOD(C1692,7),'CALENDAR INFO'!$I$2:$J$8,2)</f>
        <v>WED</v>
      </c>
      <c r="G1692" s="214">
        <v>5.33</v>
      </c>
      <c r="H1692" s="425">
        <v>5.35</v>
      </c>
      <c r="I1692" s="457">
        <f t="shared" si="148"/>
        <v>1.9999999999999574E-2</v>
      </c>
      <c r="J1692" s="152" t="s">
        <v>118</v>
      </c>
      <c r="K1692" s="307">
        <f>K1677</f>
        <v>31</v>
      </c>
      <c r="L1692" s="309">
        <f>L1677</f>
        <v>31</v>
      </c>
      <c r="M1692" s="211">
        <f t="shared" si="149"/>
        <v>1</v>
      </c>
      <c r="N1692" s="64">
        <f t="shared" si="150"/>
        <v>1.0001486111111111</v>
      </c>
    </row>
    <row r="1693" spans="2:14">
      <c r="B1693" s="41"/>
      <c r="C1693" s="103">
        <f t="shared" si="145"/>
        <v>45491</v>
      </c>
      <c r="E1693" s="167"/>
      <c r="F1693" s="58" t="str">
        <f>VLOOKUP(MOD(C1693,7),'CALENDAR INFO'!$I$2:$J$8,2)</f>
        <v>THU</v>
      </c>
      <c r="G1693" s="214">
        <v>5.33</v>
      </c>
      <c r="H1693" s="425">
        <v>5.34</v>
      </c>
      <c r="I1693" s="457">
        <f t="shared" si="148"/>
        <v>9.9999999999997868E-3</v>
      </c>
      <c r="J1693" s="152" t="s">
        <v>184</v>
      </c>
      <c r="K1693" s="178" t="e">
        <f>K1691*K1692</f>
        <v>#REF!</v>
      </c>
      <c r="L1693" s="192" t="e">
        <f>L1691*L1692</f>
        <v>#REF!</v>
      </c>
      <c r="M1693" s="211">
        <f t="shared" si="149"/>
        <v>1</v>
      </c>
      <c r="N1693" s="64">
        <f t="shared" si="150"/>
        <v>1.0001483333333334</v>
      </c>
    </row>
    <row r="1694" spans="2:14">
      <c r="B1694" s="41"/>
      <c r="C1694" s="103">
        <f t="shared" si="145"/>
        <v>45492</v>
      </c>
      <c r="E1694" s="167"/>
      <c r="F1694" s="58" t="str">
        <f>VLOOKUP(MOD(C1694,7),'CALENDAR INFO'!$I$2:$J$8,2)</f>
        <v>FRI</v>
      </c>
      <c r="G1694" s="214">
        <v>5.33</v>
      </c>
      <c r="H1694" s="425">
        <v>5.34</v>
      </c>
      <c r="I1694" s="457">
        <f t="shared" si="148"/>
        <v>9.9999999999997868E-3</v>
      </c>
      <c r="K1694" s="221"/>
      <c r="L1694" s="223"/>
      <c r="M1694" s="211">
        <f t="shared" si="149"/>
        <v>3</v>
      </c>
      <c r="N1694" s="64">
        <f t="shared" si="150"/>
        <v>1.000445</v>
      </c>
    </row>
    <row r="1695" spans="2:14">
      <c r="B1695" s="41"/>
      <c r="C1695" s="103">
        <f t="shared" si="145"/>
        <v>45493</v>
      </c>
      <c r="E1695" s="167"/>
      <c r="F1695" s="58" t="str">
        <f>VLOOKUP(MOD(C1695,7),'CALENDAR INFO'!$I$2:$J$8,2)</f>
        <v>SAT</v>
      </c>
      <c r="G1695" s="214">
        <v>5.33</v>
      </c>
      <c r="H1695" s="425">
        <v>5.34</v>
      </c>
      <c r="I1695" s="457">
        <f t="shared" si="148"/>
        <v>9.9999999999997868E-3</v>
      </c>
      <c r="J1695" s="15" t="s">
        <v>187</v>
      </c>
      <c r="K1695" s="207" t="e">
        <f>K1693</f>
        <v>#REF!</v>
      </c>
      <c r="L1695" s="208" t="e">
        <f>L1693</f>
        <v>#REF!</v>
      </c>
      <c r="M1695" s="211">
        <f t="shared" si="149"/>
        <v>0</v>
      </c>
      <c r="N1695" s="64">
        <f t="shared" si="150"/>
        <v>1</v>
      </c>
    </row>
    <row r="1696" spans="2:14">
      <c r="B1696" s="41"/>
      <c r="C1696" s="103">
        <f t="shared" si="145"/>
        <v>45494</v>
      </c>
      <c r="E1696" s="167"/>
      <c r="F1696" s="58" t="str">
        <f>VLOOKUP(MOD(C1696,7),'CALENDAR INFO'!$I$2:$J$8,2)</f>
        <v>SUN</v>
      </c>
      <c r="G1696" s="214">
        <v>5.33</v>
      </c>
      <c r="H1696" s="425">
        <v>5.34</v>
      </c>
      <c r="I1696" s="457">
        <f t="shared" si="148"/>
        <v>9.9999999999997868E-3</v>
      </c>
      <c r="J1696" s="152" t="s">
        <v>155</v>
      </c>
      <c r="K1696" s="178">
        <f ca="1">SUM(INDIRECT(K1683))</f>
        <v>0</v>
      </c>
      <c r="L1696" s="192">
        <f ca="1">SUM(INDIRECT(L1683))</f>
        <v>0</v>
      </c>
      <c r="M1696" s="211">
        <f t="shared" si="149"/>
        <v>0</v>
      </c>
      <c r="N1696" s="64">
        <f t="shared" si="150"/>
        <v>1</v>
      </c>
    </row>
    <row r="1697" spans="1:16">
      <c r="B1697" s="41"/>
      <c r="C1697" s="103">
        <f t="shared" si="145"/>
        <v>45495</v>
      </c>
      <c r="E1697" s="167"/>
      <c r="F1697" s="58" t="str">
        <f>VLOOKUP(MOD(C1697,7),'CALENDAR INFO'!$I$2:$J$8,2)</f>
        <v>MON</v>
      </c>
      <c r="G1697" s="214">
        <v>5.33</v>
      </c>
      <c r="H1697" s="425">
        <v>5.33</v>
      </c>
      <c r="I1697" s="457">
        <f t="shared" si="148"/>
        <v>0</v>
      </c>
      <c r="J1697" s="15" t="s">
        <v>185</v>
      </c>
      <c r="K1697" s="178">
        <f ca="1">SUM(INDIRECT(K1684))</f>
        <v>0</v>
      </c>
      <c r="L1697" s="192">
        <f ca="1">SUM(INDIRECT(L1684))</f>
        <v>5.33</v>
      </c>
      <c r="M1697" s="211">
        <f t="shared" si="149"/>
        <v>1</v>
      </c>
      <c r="N1697" s="64">
        <f t="shared" si="150"/>
        <v>1.0001480555555555</v>
      </c>
    </row>
    <row r="1698" spans="1:16">
      <c r="B1698" s="41"/>
      <c r="C1698" s="103">
        <f t="shared" si="145"/>
        <v>45496</v>
      </c>
      <c r="E1698" s="167"/>
      <c r="F1698" s="58" t="str">
        <f>VLOOKUP(MOD(C1698,7),'CALENDAR INFO'!$I$2:$J$8,2)</f>
        <v>TUE</v>
      </c>
      <c r="G1698" s="214">
        <v>5.33</v>
      </c>
      <c r="H1698" s="425">
        <v>5.34</v>
      </c>
      <c r="I1698" s="457">
        <f t="shared" si="148"/>
        <v>9.9999999999997868E-3</v>
      </c>
      <c r="J1698" s="152" t="s">
        <v>186</v>
      </c>
      <c r="K1698" s="178" t="e">
        <f ca="1">K1695-K1696-K1697</f>
        <v>#REF!</v>
      </c>
      <c r="L1698" s="201" t="e">
        <f ca="1">L1695-L1696-L1697</f>
        <v>#REF!</v>
      </c>
      <c r="M1698" s="211">
        <f t="shared" si="149"/>
        <v>1</v>
      </c>
      <c r="N1698" s="64">
        <f t="shared" si="150"/>
        <v>1.0001483333333334</v>
      </c>
    </row>
    <row r="1699" spans="1:16">
      <c r="B1699" s="41"/>
      <c r="C1699" s="103">
        <f t="shared" si="145"/>
        <v>45497</v>
      </c>
      <c r="E1699" s="167" t="s">
        <v>19</v>
      </c>
      <c r="F1699" s="58" t="str">
        <f>VLOOKUP(MOD(C1699,7),'CALENDAR INFO'!$I$2:$J$8,2)</f>
        <v>WED</v>
      </c>
      <c r="G1699" s="214">
        <v>5.33</v>
      </c>
      <c r="H1699" s="425">
        <v>5.34</v>
      </c>
      <c r="I1699" s="457">
        <f t="shared" si="148"/>
        <v>9.9999999999997868E-3</v>
      </c>
      <c r="K1699" s="152"/>
      <c r="L1699" s="202"/>
      <c r="M1699" s="211">
        <f t="shared" si="149"/>
        <v>1</v>
      </c>
      <c r="N1699" s="64">
        <f t="shared" si="150"/>
        <v>1.0001483333333334</v>
      </c>
    </row>
    <row r="1700" spans="1:16">
      <c r="B1700" s="41"/>
      <c r="C1700" s="103">
        <f t="shared" si="145"/>
        <v>45498</v>
      </c>
      <c r="E1700" s="170" t="s">
        <v>18</v>
      </c>
      <c r="F1700" s="58" t="str">
        <f>VLOOKUP(MOD(C1700,7),'CALENDAR INFO'!$I$2:$J$8,2)</f>
        <v>THU</v>
      </c>
      <c r="G1700" s="214">
        <v>5.33</v>
      </c>
      <c r="H1700" s="425">
        <v>5.35</v>
      </c>
      <c r="I1700" s="457">
        <f t="shared" si="148"/>
        <v>1.9999999999999574E-2</v>
      </c>
      <c r="J1700" s="152" t="s">
        <v>188</v>
      </c>
      <c r="K1700" s="290">
        <f ca="1">K1677-K1687-K1688</f>
        <v>30</v>
      </c>
      <c r="L1700" s="291">
        <f ca="1">L1677-L1687-L1688</f>
        <v>30</v>
      </c>
      <c r="M1700" s="211">
        <f t="shared" si="149"/>
        <v>1</v>
      </c>
      <c r="N1700" s="64">
        <f t="shared" si="150"/>
        <v>1.0001486111111111</v>
      </c>
    </row>
    <row r="1701" spans="1:16">
      <c r="B1701" s="41"/>
      <c r="C1701" s="103">
        <f t="shared" si="145"/>
        <v>45499</v>
      </c>
      <c r="E1701" s="170"/>
      <c r="F1701" s="58" t="str">
        <f>VLOOKUP(MOD(C1701,7),'CALENDAR INFO'!$I$2:$J$8,2)</f>
        <v>FRI</v>
      </c>
      <c r="G1701" s="214">
        <v>5.33</v>
      </c>
      <c r="H1701" s="425">
        <v>5.35</v>
      </c>
      <c r="I1701" s="457">
        <f t="shared" si="148"/>
        <v>1.9999999999999574E-2</v>
      </c>
      <c r="J1701" s="152" t="s">
        <v>189</v>
      </c>
      <c r="K1701" s="182" t="e">
        <f ca="1">K1698/K1700</f>
        <v>#REF!</v>
      </c>
      <c r="L1701" s="201" t="e">
        <f ca="1">L1698/L1700</f>
        <v>#REF!</v>
      </c>
      <c r="M1701" s="211">
        <f t="shared" si="149"/>
        <v>3</v>
      </c>
      <c r="N1701" s="64">
        <f t="shared" si="150"/>
        <v>1.0004458333333333</v>
      </c>
      <c r="O1701" s="282"/>
      <c r="P1701" s="283"/>
    </row>
    <row r="1702" spans="1:16">
      <c r="B1702" s="41"/>
      <c r="C1702" s="103">
        <f t="shared" si="145"/>
        <v>45500</v>
      </c>
      <c r="E1702" s="170"/>
      <c r="F1702" s="58" t="str">
        <f>VLOOKUP(MOD(C1702,7),'CALENDAR INFO'!$I$2:$J$8,2)</f>
        <v>SAT</v>
      </c>
      <c r="G1702" s="214">
        <v>5.33</v>
      </c>
      <c r="H1702" s="425">
        <v>5.35</v>
      </c>
      <c r="I1702" s="457">
        <f t="shared" si="148"/>
        <v>1.9999999999999574E-2</v>
      </c>
      <c r="J1702" s="152"/>
      <c r="K1702" s="152"/>
      <c r="L1702" s="202"/>
      <c r="M1702" s="211">
        <f t="shared" si="149"/>
        <v>0</v>
      </c>
      <c r="N1702" s="64">
        <f t="shared" si="150"/>
        <v>1</v>
      </c>
      <c r="O1702" s="282"/>
      <c r="P1702" s="284"/>
    </row>
    <row r="1703" spans="1:16">
      <c r="B1703" s="41"/>
      <c r="C1703" s="103">
        <f t="shared" si="145"/>
        <v>45501</v>
      </c>
      <c r="E1703" s="170"/>
      <c r="F1703" s="58" t="str">
        <f>VLOOKUP(MOD(C1703,7),'CALENDAR INFO'!$I$2:$J$8,2)</f>
        <v>SUN</v>
      </c>
      <c r="G1703" s="214">
        <v>5.33</v>
      </c>
      <c r="H1703" s="425">
        <v>5.35</v>
      </c>
      <c r="I1703" s="457">
        <f t="shared" si="148"/>
        <v>1.9999999999999574E-2</v>
      </c>
      <c r="J1703" s="152"/>
      <c r="K1703" s="182"/>
      <c r="L1703" s="201"/>
      <c r="M1703" s="211">
        <f t="shared" si="149"/>
        <v>0</v>
      </c>
      <c r="N1703" s="64">
        <f t="shared" si="150"/>
        <v>1</v>
      </c>
      <c r="O1703" s="282"/>
      <c r="P1703" s="284"/>
    </row>
    <row r="1704" spans="1:16">
      <c r="B1704" s="41"/>
      <c r="C1704" s="103">
        <f t="shared" si="145"/>
        <v>45502</v>
      </c>
      <c r="E1704" s="170"/>
      <c r="F1704" s="58" t="str">
        <f>VLOOKUP(MOD(C1704,7),'CALENDAR INFO'!$I$2:$J$8,2)</f>
        <v>MON</v>
      </c>
      <c r="G1704" s="214">
        <v>5.33</v>
      </c>
      <c r="H1704" s="425">
        <v>5.33</v>
      </c>
      <c r="I1704" s="457">
        <f t="shared" si="148"/>
        <v>0</v>
      </c>
      <c r="J1704" s="152"/>
      <c r="K1704" s="183" t="s">
        <v>202</v>
      </c>
      <c r="L1704" s="199" t="s">
        <v>202</v>
      </c>
      <c r="M1704" s="211">
        <f t="shared" si="149"/>
        <v>1</v>
      </c>
      <c r="N1704" s="64">
        <f t="shared" si="150"/>
        <v>1.0001480555555555</v>
      </c>
    </row>
    <row r="1705" spans="1:16">
      <c r="B1705" s="41"/>
      <c r="C1705" s="103">
        <f t="shared" si="145"/>
        <v>45503</v>
      </c>
      <c r="D1705" s="153" t="s">
        <v>20</v>
      </c>
      <c r="E1705" s="170"/>
      <c r="F1705" s="58" t="str">
        <f>VLOOKUP(MOD(C1705,7),'CALENDAR INFO'!$I$2:$J$8,2)</f>
        <v>TUE</v>
      </c>
      <c r="G1705" s="214">
        <v>5.33</v>
      </c>
      <c r="H1705" s="425">
        <v>5.33</v>
      </c>
      <c r="I1705" s="457">
        <f t="shared" si="148"/>
        <v>0</v>
      </c>
      <c r="J1705" s="433" t="s">
        <v>201</v>
      </c>
      <c r="K1705" s="187">
        <f ca="1">100-K1696/K1677</f>
        <v>100</v>
      </c>
      <c r="L1705" s="339">
        <f ca="1">100-L1696/L1677</f>
        <v>100</v>
      </c>
      <c r="M1705" s="211">
        <f t="shared" si="149"/>
        <v>1</v>
      </c>
      <c r="N1705" s="64">
        <f t="shared" si="150"/>
        <v>1.0001480555555555</v>
      </c>
    </row>
    <row r="1706" spans="1:16" ht="15.75" thickBot="1">
      <c r="A1706" s="98"/>
      <c r="B1706" s="230"/>
      <c r="C1706" s="104">
        <f t="shared" si="145"/>
        <v>45504</v>
      </c>
      <c r="D1706" s="162" t="s">
        <v>20</v>
      </c>
      <c r="E1706" s="245"/>
      <c r="F1706" s="71" t="str">
        <f>VLOOKUP(MOD(C1706,7),'CALENDAR INFO'!$I$2:$J$8,2)</f>
        <v>WED</v>
      </c>
      <c r="G1706" s="215">
        <v>5.33</v>
      </c>
      <c r="H1706" s="426">
        <v>5.38</v>
      </c>
      <c r="I1706" s="458">
        <f t="shared" si="148"/>
        <v>4.9999999999999822E-2</v>
      </c>
      <c r="J1706" s="424" t="s">
        <v>200</v>
      </c>
      <c r="K1706" s="340">
        <v>94.67</v>
      </c>
      <c r="L1706" s="341">
        <v>94.659000000000006</v>
      </c>
      <c r="M1706" s="113">
        <f t="shared" si="149"/>
        <v>1</v>
      </c>
      <c r="N1706" s="77">
        <f t="shared" si="150"/>
        <v>1.0001494444444445</v>
      </c>
    </row>
    <row r="1707" spans="1:16">
      <c r="A1707" s="304"/>
      <c r="B1707" s="305"/>
      <c r="C1707" s="103">
        <f t="shared" si="145"/>
        <v>45505</v>
      </c>
      <c r="E1707" s="170"/>
      <c r="F1707" s="58" t="str">
        <f>VLOOKUP(MOD(C1707,7),'CALENDAR INFO'!$I$2:$J$8,2)</f>
        <v>THU</v>
      </c>
      <c r="G1707" s="214">
        <v>5.33</v>
      </c>
      <c r="H1707" s="425">
        <v>5.35</v>
      </c>
      <c r="I1707" s="457">
        <f t="shared" si="148"/>
        <v>1.9999999999999574E-2</v>
      </c>
      <c r="J1707" s="436" t="s">
        <v>151</v>
      </c>
      <c r="K1707" s="15">
        <f>ROW(K1707)</f>
        <v>1707</v>
      </c>
      <c r="L1707" s="179">
        <f>K1707</f>
        <v>1707</v>
      </c>
      <c r="M1707" s="116">
        <f t="shared" si="149"/>
        <v>1</v>
      </c>
      <c r="N1707" s="111">
        <f t="shared" si="150"/>
        <v>1.0001486111111111</v>
      </c>
    </row>
    <row r="1708" spans="1:16">
      <c r="B1708" s="41"/>
      <c r="C1708" s="103">
        <f t="shared" si="145"/>
        <v>45506</v>
      </c>
      <c r="E1708" s="170"/>
      <c r="F1708" s="58" t="str">
        <f>VLOOKUP(MOD(C1708,7),'CALENDAR INFO'!$I$2:$J$8,2)</f>
        <v>FRI</v>
      </c>
      <c r="G1708" s="214">
        <v>5.33</v>
      </c>
      <c r="H1708" s="425">
        <v>5.35</v>
      </c>
      <c r="I1708" s="457">
        <f t="shared" si="148"/>
        <v>1.9999999999999574E-2</v>
      </c>
      <c r="J1708" s="152" t="s">
        <v>118</v>
      </c>
      <c r="K1708" s="15">
        <f>VLOOKUP(MONTH($C1707),'CALENDAR INFO'!$I$12:$J$23,2)</f>
        <v>31</v>
      </c>
      <c r="L1708" s="179">
        <f>K1708</f>
        <v>31</v>
      </c>
      <c r="M1708" s="211">
        <f t="shared" si="149"/>
        <v>3</v>
      </c>
      <c r="N1708" s="64">
        <f t="shared" si="150"/>
        <v>1.0004458333333333</v>
      </c>
    </row>
    <row r="1709" spans="1:16">
      <c r="B1709" s="41"/>
      <c r="C1709" s="103">
        <f t="shared" si="145"/>
        <v>45507</v>
      </c>
      <c r="E1709" s="170"/>
      <c r="F1709" s="58" t="str">
        <f>VLOOKUP(MOD(C1709,7),'CALENDAR INFO'!$I$2:$J$8,2)</f>
        <v>SAT</v>
      </c>
      <c r="G1709" s="214">
        <v>5.33</v>
      </c>
      <c r="H1709" s="425">
        <v>5.35</v>
      </c>
      <c r="I1709" s="457">
        <f t="shared" si="148"/>
        <v>1.9999999999999574E-2</v>
      </c>
      <c r="J1709" s="152" t="s">
        <v>152</v>
      </c>
      <c r="K1709" s="15">
        <f>K1708+K1707-1</f>
        <v>1737</v>
      </c>
      <c r="L1709" s="200">
        <f>K1709</f>
        <v>1737</v>
      </c>
      <c r="M1709" s="211">
        <f t="shared" si="149"/>
        <v>0</v>
      </c>
      <c r="N1709" s="64">
        <f t="shared" si="150"/>
        <v>1</v>
      </c>
    </row>
    <row r="1710" spans="1:16">
      <c r="B1710" s="41"/>
      <c r="C1710" s="103">
        <f t="shared" si="145"/>
        <v>45508</v>
      </c>
      <c r="E1710" s="170"/>
      <c r="F1710" s="58" t="str">
        <f>VLOOKUP(MOD(C1710,7),'CALENDAR INFO'!$I$2:$J$8,2)</f>
        <v>SUN</v>
      </c>
      <c r="G1710" s="214">
        <v>5.33</v>
      </c>
      <c r="H1710" s="425">
        <v>5.35</v>
      </c>
      <c r="I1710" s="457">
        <f t="shared" si="148"/>
        <v>1.9999999999999574E-2</v>
      </c>
      <c r="J1710" s="152"/>
      <c r="K1710" s="182"/>
      <c r="L1710" s="201"/>
      <c r="M1710" s="211">
        <f t="shared" si="149"/>
        <v>0</v>
      </c>
      <c r="N1710" s="64">
        <f t="shared" si="150"/>
        <v>1</v>
      </c>
    </row>
    <row r="1711" spans="1:16">
      <c r="B1711" s="41"/>
      <c r="C1711" s="103">
        <f t="shared" si="145"/>
        <v>45509</v>
      </c>
      <c r="E1711" s="170"/>
      <c r="F1711" s="58" t="str">
        <f>VLOOKUP(MOD(C1711,7),'CALENDAR INFO'!$I$2:$J$8,2)</f>
        <v>MON</v>
      </c>
      <c r="G1711" s="214">
        <v>5.33</v>
      </c>
      <c r="H1711" s="425">
        <v>5.32</v>
      </c>
      <c r="I1711" s="457">
        <f t="shared" si="148"/>
        <v>-9.9999999999997868E-3</v>
      </c>
      <c r="J1711" s="152" t="s">
        <v>192</v>
      </c>
      <c r="K1711" s="311">
        <v>1707</v>
      </c>
      <c r="L1711" s="291">
        <f>K1711</f>
        <v>1707</v>
      </c>
      <c r="M1711" s="211">
        <f t="shared" si="149"/>
        <v>1</v>
      </c>
      <c r="N1711" s="64">
        <f t="shared" si="150"/>
        <v>1.0001477777777779</v>
      </c>
      <c r="P1711" s="118"/>
    </row>
    <row r="1712" spans="1:16">
      <c r="A1712" s="352"/>
      <c r="B1712" s="318"/>
      <c r="C1712" s="103">
        <f t="shared" si="145"/>
        <v>45510</v>
      </c>
      <c r="E1712" s="170"/>
      <c r="F1712" s="58" t="str">
        <f>VLOOKUP(MOD(C1712,7),'CALENDAR INFO'!$I$2:$J$8,2)</f>
        <v>TUE</v>
      </c>
      <c r="G1712" s="214">
        <v>5.33</v>
      </c>
      <c r="H1712" s="425">
        <v>5.33</v>
      </c>
      <c r="I1712" s="457">
        <f t="shared" si="148"/>
        <v>0</v>
      </c>
      <c r="J1712" s="152" t="s">
        <v>193</v>
      </c>
      <c r="K1712" s="290">
        <f>K1711+1</f>
        <v>1708</v>
      </c>
      <c r="L1712" s="291">
        <f>K1712</f>
        <v>1708</v>
      </c>
      <c r="M1712" s="211">
        <f t="shared" ref="M1712:M1735" si="152">IF(MOD(C1712,7)&lt;2,0,IF(MOD(C1712,7)=6,3,1))</f>
        <v>1</v>
      </c>
      <c r="N1712" s="293">
        <f t="shared" si="150"/>
        <v>1.0001480555555555</v>
      </c>
      <c r="P1712" s="118"/>
    </row>
    <row r="1713" spans="1:14">
      <c r="A1713" s="352"/>
      <c r="B1713" s="318"/>
      <c r="C1713" s="103">
        <f t="shared" si="145"/>
        <v>45511</v>
      </c>
      <c r="E1713" s="170" t="s">
        <v>19</v>
      </c>
      <c r="F1713" s="58" t="str">
        <f>VLOOKUP(MOD(C1713,7),'CALENDAR INFO'!$I$2:$J$8,2)</f>
        <v>WED</v>
      </c>
      <c r="G1713" s="214">
        <v>5.33</v>
      </c>
      <c r="H1713" s="425">
        <v>5.33</v>
      </c>
      <c r="I1713" s="457">
        <f t="shared" si="148"/>
        <v>0</v>
      </c>
      <c r="J1713" s="152"/>
      <c r="K1713" s="152"/>
      <c r="L1713" s="202"/>
      <c r="M1713" s="211">
        <f t="shared" si="152"/>
        <v>1</v>
      </c>
      <c r="N1713" s="293">
        <f t="shared" si="150"/>
        <v>1.0001480555555555</v>
      </c>
    </row>
    <row r="1714" spans="1:14">
      <c r="B1714" s="41"/>
      <c r="C1714" s="103">
        <f t="shared" si="145"/>
        <v>45512</v>
      </c>
      <c r="E1714" s="167" t="s">
        <v>18</v>
      </c>
      <c r="F1714" s="58" t="str">
        <f>VLOOKUP(MOD(C1714,7),'CALENDAR INFO'!$I$2:$J$8,2)</f>
        <v>THU</v>
      </c>
      <c r="G1714" s="214">
        <v>5.33</v>
      </c>
      <c r="H1714" s="425">
        <v>5.34</v>
      </c>
      <c r="I1714" s="457">
        <f t="shared" si="148"/>
        <v>9.9999999999997868E-3</v>
      </c>
      <c r="J1714" s="152" t="s">
        <v>153</v>
      </c>
      <c r="K1714" s="312" t="str">
        <f>_xlfn.CONCAT("A",TEXT(K1707,0),":","A",TEXT(K1709,0))</f>
        <v>A1707:A1737</v>
      </c>
      <c r="L1714" s="313" t="str">
        <f>_xlfn.CONCAT("B",TEXT(L1707,0),":","B",TEXT(L1709,0))</f>
        <v>B1707:B1737</v>
      </c>
      <c r="M1714" s="211">
        <f t="shared" si="152"/>
        <v>1</v>
      </c>
      <c r="N1714" s="293">
        <f t="shared" si="150"/>
        <v>1.0001483333333334</v>
      </c>
    </row>
    <row r="1715" spans="1:14">
      <c r="B1715" s="41"/>
      <c r="C1715" s="103">
        <f t="shared" si="145"/>
        <v>45513</v>
      </c>
      <c r="E1715" s="167"/>
      <c r="F1715" s="58" t="str">
        <f>VLOOKUP(MOD(C1715,7),'CALENDAR INFO'!$I$2:$J$8,2)</f>
        <v>FRI</v>
      </c>
      <c r="G1715" s="214">
        <v>5.33</v>
      </c>
      <c r="H1715" s="425">
        <v>5.34</v>
      </c>
      <c r="I1715" s="457">
        <f t="shared" si="148"/>
        <v>9.9999999999997868E-3</v>
      </c>
      <c r="J1715" s="152" t="s">
        <v>190</v>
      </c>
      <c r="K1715" s="182" t="str">
        <f>_xlfn.CONCAT("F",TEXT(K1707,0),":","F",TEXT(K1711,0))</f>
        <v>F1707:F1707</v>
      </c>
      <c r="L1715" s="201" t="str">
        <f>_xlfn.CONCAT("G",TEXT(L1707,0),":","G",TEXT(L1711,0))</f>
        <v>G1707:G1707</v>
      </c>
      <c r="M1715" s="211">
        <f t="shared" si="152"/>
        <v>3</v>
      </c>
      <c r="N1715" s="293">
        <f t="shared" si="150"/>
        <v>1.000445</v>
      </c>
    </row>
    <row r="1716" spans="1:14">
      <c r="B1716" s="41"/>
      <c r="C1716" s="103">
        <f t="shared" si="145"/>
        <v>45514</v>
      </c>
      <c r="E1716" s="167"/>
      <c r="F1716" s="58" t="str">
        <f>VLOOKUP(MOD(C1716,7),'CALENDAR INFO'!$I$2:$J$8,2)</f>
        <v>SAT</v>
      </c>
      <c r="G1716" s="214">
        <v>5.33</v>
      </c>
      <c r="H1716" s="425">
        <v>5.34</v>
      </c>
      <c r="I1716" s="457">
        <f t="shared" si="148"/>
        <v>9.9999999999997868E-3</v>
      </c>
      <c r="J1716" s="152" t="s">
        <v>191</v>
      </c>
      <c r="K1716" s="152" t="str">
        <f>_xlfn.CONCAT("F",TEXT(K1712,0),":","F",TEXT(K1709,0))</f>
        <v>F1708:F1737</v>
      </c>
      <c r="L1716" s="201" t="str">
        <f>_xlfn.CONCAT("G",TEXT(L1712,0),":","G",TEXT(L1709,0))</f>
        <v>G1708:G1737</v>
      </c>
      <c r="M1716" s="211">
        <f t="shared" si="152"/>
        <v>0</v>
      </c>
      <c r="N1716" s="293">
        <f t="shared" si="150"/>
        <v>1</v>
      </c>
    </row>
    <row r="1717" spans="1:14">
      <c r="B1717" s="41"/>
      <c r="C1717" s="103">
        <f t="shared" ref="C1717:C1780" si="153">C1716+1</f>
        <v>45515</v>
      </c>
      <c r="E1717" s="167"/>
      <c r="F1717" s="58" t="str">
        <f>VLOOKUP(MOD(C1717,7),'CALENDAR INFO'!$I$2:$J$8,2)</f>
        <v>SUN</v>
      </c>
      <c r="G1717" s="214">
        <v>5.33</v>
      </c>
      <c r="H1717" s="425">
        <v>5.34</v>
      </c>
      <c r="I1717" s="457">
        <f t="shared" si="148"/>
        <v>9.9999999999997868E-3</v>
      </c>
      <c r="J1717" s="152"/>
      <c r="K1717" s="182"/>
      <c r="L1717" s="201"/>
      <c r="M1717" s="211">
        <f t="shared" si="152"/>
        <v>0</v>
      </c>
      <c r="N1717" s="64">
        <f t="shared" si="150"/>
        <v>1</v>
      </c>
    </row>
    <row r="1718" spans="1:14">
      <c r="B1718" s="41"/>
      <c r="C1718" s="103">
        <f t="shared" si="153"/>
        <v>45516</v>
      </c>
      <c r="E1718" s="167"/>
      <c r="F1718" s="58" t="str">
        <f>VLOOKUP(MOD(C1718,7),'CALENDAR INFO'!$I$2:$J$8,2)</f>
        <v>MON</v>
      </c>
      <c r="G1718" s="214">
        <v>5.33</v>
      </c>
      <c r="H1718" s="425">
        <v>5.34</v>
      </c>
      <c r="I1718" s="457">
        <f t="shared" si="148"/>
        <v>9.9999999999997868E-3</v>
      </c>
      <c r="J1718" s="15" t="s">
        <v>194</v>
      </c>
      <c r="K1718" s="152">
        <f t="shared" ref="K1718:L1720" ca="1" si="154">COUNTA(INDIRECT(K1714))</f>
        <v>0</v>
      </c>
      <c r="L1718" s="202">
        <f t="shared" ca="1" si="154"/>
        <v>0</v>
      </c>
      <c r="M1718" s="211">
        <f t="shared" si="152"/>
        <v>1</v>
      </c>
      <c r="N1718" s="64">
        <f t="shared" si="150"/>
        <v>1.0001483333333334</v>
      </c>
    </row>
    <row r="1719" spans="1:14">
      <c r="B1719" s="41"/>
      <c r="C1719" s="103">
        <f t="shared" si="153"/>
        <v>45517</v>
      </c>
      <c r="E1719" s="167"/>
      <c r="F1719" s="58" t="str">
        <f>VLOOKUP(MOD(C1719,7),'CALENDAR INFO'!$I$2:$J$8,2)</f>
        <v>TUE</v>
      </c>
      <c r="G1719" s="214">
        <v>5.33</v>
      </c>
      <c r="H1719" s="425">
        <v>5.34</v>
      </c>
      <c r="I1719" s="457">
        <f t="shared" si="148"/>
        <v>9.9999999999997868E-3</v>
      </c>
      <c r="J1719" s="152" t="s">
        <v>195</v>
      </c>
      <c r="K1719" s="306">
        <f t="shared" ca="1" si="154"/>
        <v>1</v>
      </c>
      <c r="L1719" s="200">
        <f t="shared" ca="1" si="154"/>
        <v>1</v>
      </c>
      <c r="M1719" s="211">
        <f t="shared" si="152"/>
        <v>1</v>
      </c>
      <c r="N1719" s="64">
        <f t="shared" si="150"/>
        <v>1.0001483333333334</v>
      </c>
    </row>
    <row r="1720" spans="1:14">
      <c r="B1720" s="41"/>
      <c r="C1720" s="103">
        <f t="shared" si="153"/>
        <v>45518</v>
      </c>
      <c r="E1720" s="167"/>
      <c r="F1720" s="58" t="str">
        <f>VLOOKUP(MOD(C1720,7),'CALENDAR INFO'!$I$2:$J$8,2)</f>
        <v>WED</v>
      </c>
      <c r="G1720" s="214">
        <v>5.33</v>
      </c>
      <c r="H1720" s="425">
        <v>5.33</v>
      </c>
      <c r="I1720" s="457">
        <f t="shared" si="148"/>
        <v>0</v>
      </c>
      <c r="J1720" s="15" t="s">
        <v>196</v>
      </c>
      <c r="K1720" s="306">
        <f t="shared" ca="1" si="154"/>
        <v>30</v>
      </c>
      <c r="L1720" s="200">
        <f t="shared" ca="1" si="154"/>
        <v>30</v>
      </c>
      <c r="M1720" s="211">
        <f t="shared" si="152"/>
        <v>1</v>
      </c>
      <c r="N1720" s="64">
        <f t="shared" si="150"/>
        <v>1.0001480555555555</v>
      </c>
    </row>
    <row r="1721" spans="1:14">
      <c r="B1721" s="41"/>
      <c r="C1721" s="103">
        <f t="shared" si="153"/>
        <v>45519</v>
      </c>
      <c r="E1721" s="167"/>
      <c r="F1721" s="58" t="str">
        <f>VLOOKUP(MOD(C1721,7),'CALENDAR INFO'!$I$2:$J$8,2)</f>
        <v>THU</v>
      </c>
      <c r="G1721" s="214">
        <v>5.33</v>
      </c>
      <c r="H1721" s="425">
        <v>5.35</v>
      </c>
      <c r="I1721" s="457">
        <f t="shared" si="148"/>
        <v>1.9999999999999574E-2</v>
      </c>
      <c r="K1721" s="178"/>
      <c r="L1721" s="192"/>
      <c r="M1721" s="211">
        <f t="shared" si="152"/>
        <v>1</v>
      </c>
      <c r="N1721" s="64">
        <f t="shared" si="150"/>
        <v>1.0001486111111111</v>
      </c>
    </row>
    <row r="1722" spans="1:14">
      <c r="B1722" s="41"/>
      <c r="C1722" s="103">
        <f t="shared" si="153"/>
        <v>45520</v>
      </c>
      <c r="E1722" s="167"/>
      <c r="F1722" s="58" t="str">
        <f>VLOOKUP(MOD(C1722,7),'CALENDAR INFO'!$I$2:$J$8,2)</f>
        <v>FRI</v>
      </c>
      <c r="G1722" s="214">
        <v>5.33</v>
      </c>
      <c r="H1722" s="425">
        <v>5.32</v>
      </c>
      <c r="I1722" s="457">
        <f t="shared" si="148"/>
        <v>-9.9999999999997868E-3</v>
      </c>
      <c r="J1722" s="152" t="s">
        <v>197</v>
      </c>
      <c r="K1722" s="180" t="e">
        <f>OUTPUT!#REF!</f>
        <v>#REF!</v>
      </c>
      <c r="L1722" s="193" t="e">
        <f>OUTPUT!#REF!</f>
        <v>#REF!</v>
      </c>
      <c r="M1722" s="211">
        <f t="shared" si="152"/>
        <v>3</v>
      </c>
      <c r="N1722" s="64">
        <f t="shared" si="150"/>
        <v>1.0004433333333334</v>
      </c>
    </row>
    <row r="1723" spans="1:14">
      <c r="B1723" s="41"/>
      <c r="C1723" s="103">
        <f t="shared" si="153"/>
        <v>45521</v>
      </c>
      <c r="E1723" s="167"/>
      <c r="F1723" s="58" t="str">
        <f>VLOOKUP(MOD(C1723,7),'CALENDAR INFO'!$I$2:$J$8,2)</f>
        <v>SAT</v>
      </c>
      <c r="G1723" s="214">
        <v>5.33</v>
      </c>
      <c r="H1723" s="425">
        <v>5.32</v>
      </c>
      <c r="I1723" s="457">
        <f t="shared" si="148"/>
        <v>-9.9999999999997868E-3</v>
      </c>
      <c r="J1723" s="152" t="s">
        <v>118</v>
      </c>
      <c r="K1723" s="314">
        <f>K1708</f>
        <v>31</v>
      </c>
      <c r="L1723" s="315">
        <f>L1708</f>
        <v>31</v>
      </c>
      <c r="M1723" s="211">
        <f t="shared" si="152"/>
        <v>0</v>
      </c>
      <c r="N1723" s="64">
        <f t="shared" si="150"/>
        <v>1</v>
      </c>
    </row>
    <row r="1724" spans="1:14">
      <c r="B1724" s="41"/>
      <c r="C1724" s="103">
        <f t="shared" si="153"/>
        <v>45522</v>
      </c>
      <c r="E1724" s="167"/>
      <c r="F1724" s="58" t="str">
        <f>VLOOKUP(MOD(C1724,7),'CALENDAR INFO'!$I$2:$J$8,2)</f>
        <v>SUN</v>
      </c>
      <c r="G1724" s="214">
        <v>5.33</v>
      </c>
      <c r="H1724" s="425">
        <v>5.32</v>
      </c>
      <c r="I1724" s="457">
        <f t="shared" si="148"/>
        <v>-9.9999999999997868E-3</v>
      </c>
      <c r="J1724" s="152" t="s">
        <v>184</v>
      </c>
      <c r="K1724" s="178" t="e">
        <f>K1722*K1723</f>
        <v>#REF!</v>
      </c>
      <c r="L1724" s="192" t="e">
        <f>L1722*L1723</f>
        <v>#REF!</v>
      </c>
      <c r="M1724" s="211">
        <f t="shared" si="152"/>
        <v>0</v>
      </c>
      <c r="N1724" s="64">
        <f t="shared" si="150"/>
        <v>1</v>
      </c>
    </row>
    <row r="1725" spans="1:14">
      <c r="B1725" s="41"/>
      <c r="C1725" s="103">
        <f t="shared" si="153"/>
        <v>45523</v>
      </c>
      <c r="E1725" s="167"/>
      <c r="F1725" s="58" t="str">
        <f>VLOOKUP(MOD(C1725,7),'CALENDAR INFO'!$I$2:$J$8,2)</f>
        <v>MON</v>
      </c>
      <c r="G1725" s="214">
        <v>5.33</v>
      </c>
      <c r="H1725" s="425">
        <v>5.32</v>
      </c>
      <c r="I1725" s="457">
        <f t="shared" si="148"/>
        <v>-9.9999999999997868E-3</v>
      </c>
      <c r="J1725" s="152"/>
      <c r="K1725" s="306"/>
      <c r="L1725" s="200"/>
      <c r="M1725" s="211">
        <f t="shared" si="152"/>
        <v>1</v>
      </c>
      <c r="N1725" s="64">
        <f t="shared" si="150"/>
        <v>1.0001477777777779</v>
      </c>
    </row>
    <row r="1726" spans="1:14">
      <c r="B1726" s="41"/>
      <c r="C1726" s="103">
        <f t="shared" si="153"/>
        <v>45524</v>
      </c>
      <c r="E1726" s="167"/>
      <c r="F1726" s="58" t="str">
        <f>VLOOKUP(MOD(C1726,7),'CALENDAR INFO'!$I$2:$J$8,2)</f>
        <v>TUE</v>
      </c>
      <c r="G1726" s="214">
        <v>5.33</v>
      </c>
      <c r="H1726" s="425">
        <v>5.32</v>
      </c>
      <c r="I1726" s="457">
        <f t="shared" si="148"/>
        <v>-9.9999999999997868E-3</v>
      </c>
      <c r="J1726" s="152" t="s">
        <v>187</v>
      </c>
      <c r="K1726" s="207" t="e">
        <f>K1724</f>
        <v>#REF!</v>
      </c>
      <c r="L1726" s="208" t="e">
        <f>L1724</f>
        <v>#REF!</v>
      </c>
      <c r="M1726" s="211">
        <f t="shared" si="152"/>
        <v>1</v>
      </c>
      <c r="N1726" s="64">
        <f t="shared" si="150"/>
        <v>1.0001477777777779</v>
      </c>
    </row>
    <row r="1727" spans="1:14">
      <c r="B1727" s="41"/>
      <c r="C1727" s="103">
        <f t="shared" si="153"/>
        <v>45525</v>
      </c>
      <c r="E1727" s="167" t="s">
        <v>19</v>
      </c>
      <c r="F1727" s="58" t="str">
        <f>VLOOKUP(MOD(C1727,7),'CALENDAR INFO'!$I$2:$J$8,2)</f>
        <v>WED</v>
      </c>
      <c r="G1727" s="214">
        <v>5.33</v>
      </c>
      <c r="H1727" s="425">
        <v>5.31</v>
      </c>
      <c r="I1727" s="457">
        <f t="shared" si="148"/>
        <v>-2.0000000000000462E-2</v>
      </c>
      <c r="J1727" s="15" t="s">
        <v>155</v>
      </c>
      <c r="K1727" s="182">
        <f ca="1">SUM(INDIRECT(K1714))</f>
        <v>0</v>
      </c>
      <c r="L1727" s="201">
        <f ca="1">SUM(INDIRECT(L1714))</f>
        <v>0</v>
      </c>
      <c r="M1727" s="211">
        <f t="shared" si="152"/>
        <v>1</v>
      </c>
      <c r="N1727" s="64">
        <f t="shared" si="150"/>
        <v>1.0001475</v>
      </c>
    </row>
    <row r="1728" spans="1:14">
      <c r="B1728" s="41"/>
      <c r="C1728" s="103">
        <f t="shared" si="153"/>
        <v>45526</v>
      </c>
      <c r="E1728" s="170" t="s">
        <v>18</v>
      </c>
      <c r="F1728" s="58" t="str">
        <f>VLOOKUP(MOD(C1728,7),'CALENDAR INFO'!$I$2:$J$8,2)</f>
        <v>THU</v>
      </c>
      <c r="G1728" s="214">
        <v>5.33</v>
      </c>
      <c r="H1728" s="425">
        <v>5.31</v>
      </c>
      <c r="I1728" s="457">
        <f t="shared" si="148"/>
        <v>-2.0000000000000462E-2</v>
      </c>
      <c r="J1728" s="15" t="s">
        <v>185</v>
      </c>
      <c r="K1728" s="182">
        <f ca="1">SUM(INDIRECT(K1715))</f>
        <v>0</v>
      </c>
      <c r="L1728" s="201">
        <f ca="1">SUM(INDIRECT(L1715))</f>
        <v>5.33</v>
      </c>
      <c r="M1728" s="211">
        <f t="shared" si="152"/>
        <v>1</v>
      </c>
      <c r="N1728" s="64">
        <f t="shared" si="150"/>
        <v>1.0001475</v>
      </c>
    </row>
    <row r="1729" spans="1:16">
      <c r="B1729" s="41"/>
      <c r="C1729" s="103">
        <f t="shared" si="153"/>
        <v>45527</v>
      </c>
      <c r="E1729" s="170"/>
      <c r="F1729" s="58" t="str">
        <f>VLOOKUP(MOD(C1729,7),'CALENDAR INFO'!$I$2:$J$8,2)</f>
        <v>FRI</v>
      </c>
      <c r="G1729" s="214">
        <v>5.33</v>
      </c>
      <c r="H1729" s="425">
        <v>5.33</v>
      </c>
      <c r="I1729" s="457">
        <f t="shared" si="148"/>
        <v>0</v>
      </c>
      <c r="J1729" s="15" t="s">
        <v>186</v>
      </c>
      <c r="K1729" s="182" t="e">
        <f ca="1">K1726-K1727-K1728</f>
        <v>#REF!</v>
      </c>
      <c r="L1729" s="201" t="e">
        <f ca="1">L1726-L1727-L1728</f>
        <v>#REF!</v>
      </c>
      <c r="M1729" s="211">
        <f t="shared" si="152"/>
        <v>3</v>
      </c>
      <c r="N1729" s="64">
        <f t="shared" si="150"/>
        <v>1.0004441666666666</v>
      </c>
    </row>
    <row r="1730" spans="1:16">
      <c r="B1730" s="41"/>
      <c r="C1730" s="103">
        <f t="shared" si="153"/>
        <v>45528</v>
      </c>
      <c r="E1730" s="170"/>
      <c r="F1730" s="58" t="str">
        <f>VLOOKUP(MOD(C1730,7),'CALENDAR INFO'!$I$2:$J$8,2)</f>
        <v>SAT</v>
      </c>
      <c r="G1730" s="214">
        <v>5.33</v>
      </c>
      <c r="H1730" s="425">
        <v>5.33</v>
      </c>
      <c r="I1730" s="457">
        <f t="shared" si="148"/>
        <v>0</v>
      </c>
      <c r="K1730" s="182"/>
      <c r="L1730" s="201"/>
      <c r="M1730" s="211">
        <f t="shared" si="152"/>
        <v>0</v>
      </c>
      <c r="N1730" s="64">
        <f t="shared" si="150"/>
        <v>1</v>
      </c>
    </row>
    <row r="1731" spans="1:16">
      <c r="B1731" s="41"/>
      <c r="C1731" s="103">
        <f t="shared" si="153"/>
        <v>45529</v>
      </c>
      <c r="E1731" s="170"/>
      <c r="F1731" s="58" t="str">
        <f>VLOOKUP(MOD(C1731,7),'CALENDAR INFO'!$I$2:$J$8,2)</f>
        <v>SUN</v>
      </c>
      <c r="G1731" s="214">
        <v>5.33</v>
      </c>
      <c r="H1731" s="425">
        <v>5.33</v>
      </c>
      <c r="I1731" s="457">
        <f t="shared" ref="I1731:I1794" si="155">H1731-G1731</f>
        <v>0</v>
      </c>
      <c r="J1731" s="15" t="s">
        <v>188</v>
      </c>
      <c r="K1731" s="290">
        <f ca="1">K1708-K1718-K1719</f>
        <v>30</v>
      </c>
      <c r="L1731" s="291">
        <f ca="1">L1708-L1718-L1719</f>
        <v>30</v>
      </c>
      <c r="M1731" s="211">
        <f t="shared" si="152"/>
        <v>0</v>
      </c>
      <c r="N1731" s="64">
        <f t="shared" si="150"/>
        <v>1</v>
      </c>
    </row>
    <row r="1732" spans="1:16">
      <c r="B1732" s="41"/>
      <c r="C1732" s="103">
        <f t="shared" si="153"/>
        <v>45530</v>
      </c>
      <c r="E1732" s="170"/>
      <c r="F1732" s="58" t="str">
        <f>VLOOKUP(MOD(C1732,7),'CALENDAR INFO'!$I$2:$J$8,2)</f>
        <v>MON</v>
      </c>
      <c r="G1732" s="214">
        <v>5.33</v>
      </c>
      <c r="H1732" s="425">
        <v>5.34</v>
      </c>
      <c r="I1732" s="457">
        <f t="shared" si="155"/>
        <v>9.9999999999997868E-3</v>
      </c>
      <c r="J1732" s="15" t="s">
        <v>189</v>
      </c>
      <c r="K1732" s="182" t="e">
        <f ca="1">K1729/K1731</f>
        <v>#REF!</v>
      </c>
      <c r="L1732" s="201" t="e">
        <f ca="1">L1729/L1731</f>
        <v>#REF!</v>
      </c>
      <c r="M1732" s="211">
        <f t="shared" si="152"/>
        <v>1</v>
      </c>
      <c r="N1732" s="64">
        <f t="shared" si="150"/>
        <v>1.0001483333333334</v>
      </c>
      <c r="O1732" s="282"/>
      <c r="P1732" s="283"/>
    </row>
    <row r="1733" spans="1:16">
      <c r="B1733" s="41"/>
      <c r="C1733" s="103">
        <f t="shared" si="153"/>
        <v>45531</v>
      </c>
      <c r="E1733" s="170"/>
      <c r="F1733" s="58" t="str">
        <f>VLOOKUP(MOD(C1733,7),'CALENDAR INFO'!$I$2:$J$8,2)</f>
        <v>TUE</v>
      </c>
      <c r="G1733" s="214">
        <v>5.33</v>
      </c>
      <c r="H1733" s="425">
        <v>5.35</v>
      </c>
      <c r="I1733" s="457">
        <f t="shared" si="155"/>
        <v>1.9999999999999574E-2</v>
      </c>
      <c r="J1733" s="152"/>
      <c r="K1733" s="182"/>
      <c r="L1733" s="201"/>
      <c r="M1733" s="211">
        <f t="shared" si="152"/>
        <v>1</v>
      </c>
      <c r="N1733" s="64">
        <f t="shared" si="150"/>
        <v>1.0001486111111111</v>
      </c>
      <c r="O1733" s="282"/>
      <c r="P1733" s="284"/>
    </row>
    <row r="1734" spans="1:16">
      <c r="B1734" s="41"/>
      <c r="C1734" s="103">
        <f t="shared" si="153"/>
        <v>45532</v>
      </c>
      <c r="E1734" s="170"/>
      <c r="F1734" s="58" t="str">
        <f>VLOOKUP(MOD(C1734,7),'CALENDAR INFO'!$I$2:$J$8,2)</f>
        <v>WED</v>
      </c>
      <c r="G1734" s="214">
        <v>5.33</v>
      </c>
      <c r="H1734" s="425">
        <v>5.35</v>
      </c>
      <c r="I1734" s="457">
        <f t="shared" si="155"/>
        <v>1.9999999999999574E-2</v>
      </c>
      <c r="J1734" s="152"/>
      <c r="K1734" s="182"/>
      <c r="L1734" s="201"/>
      <c r="M1734" s="211">
        <f t="shared" si="152"/>
        <v>1</v>
      </c>
      <c r="N1734" s="64">
        <f t="shared" si="150"/>
        <v>1.0001486111111111</v>
      </c>
      <c r="O1734" s="282"/>
      <c r="P1734" s="284"/>
    </row>
    <row r="1735" spans="1:16">
      <c r="B1735" s="41"/>
      <c r="C1735" s="103">
        <f t="shared" si="153"/>
        <v>45533</v>
      </c>
      <c r="E1735" s="170"/>
      <c r="F1735" s="58" t="str">
        <f>VLOOKUP(MOD(C1735,7),'CALENDAR INFO'!$I$2:$J$8,2)</f>
        <v>THU</v>
      </c>
      <c r="G1735" s="214">
        <v>5.33</v>
      </c>
      <c r="H1735" s="425">
        <v>5.33</v>
      </c>
      <c r="I1735" s="457">
        <f t="shared" si="155"/>
        <v>0</v>
      </c>
      <c r="J1735" s="152"/>
      <c r="K1735" s="183" t="s">
        <v>202</v>
      </c>
      <c r="L1735" s="199" t="s">
        <v>202</v>
      </c>
      <c r="M1735" s="211">
        <f t="shared" si="152"/>
        <v>1</v>
      </c>
      <c r="N1735" s="64">
        <f t="shared" si="150"/>
        <v>1.0001480555555555</v>
      </c>
    </row>
    <row r="1736" spans="1:16">
      <c r="B1736" s="41"/>
      <c r="C1736" s="103">
        <f t="shared" si="153"/>
        <v>45534</v>
      </c>
      <c r="E1736" s="170"/>
      <c r="F1736" s="58" t="str">
        <f>VLOOKUP(MOD(C1736,7),'CALENDAR INFO'!$I$2:$J$8,2)</f>
        <v>FRI</v>
      </c>
      <c r="G1736" s="214">
        <v>5.33</v>
      </c>
      <c r="H1736" s="425">
        <v>5.32</v>
      </c>
      <c r="I1736" s="457">
        <f t="shared" si="155"/>
        <v>-9.9999999999997868E-3</v>
      </c>
      <c r="J1736" s="433" t="s">
        <v>201</v>
      </c>
      <c r="K1736" s="187">
        <f ca="1">100-K1727/K1708</f>
        <v>100</v>
      </c>
      <c r="L1736" s="339">
        <f ca="1">100-L1727/L1708</f>
        <v>100</v>
      </c>
      <c r="M1736" s="117">
        <v>4</v>
      </c>
      <c r="N1736" s="64">
        <f t="shared" si="150"/>
        <v>1.0005911111111112</v>
      </c>
    </row>
    <row r="1737" spans="1:16" ht="15.75" thickBot="1">
      <c r="A1737" s="358"/>
      <c r="B1737" s="359"/>
      <c r="C1737" s="104">
        <f t="shared" si="153"/>
        <v>45535</v>
      </c>
      <c r="D1737" s="112"/>
      <c r="E1737" s="245"/>
      <c r="F1737" s="71" t="str">
        <f>VLOOKUP(MOD(C1737,7),'CALENDAR INFO'!$I$2:$J$8,2)</f>
        <v>SAT</v>
      </c>
      <c r="G1737" s="215">
        <v>5.33</v>
      </c>
      <c r="H1737" s="426">
        <v>5.32</v>
      </c>
      <c r="I1737" s="458">
        <f t="shared" si="155"/>
        <v>-9.9999999999997868E-3</v>
      </c>
      <c r="J1737" s="424" t="s">
        <v>200</v>
      </c>
      <c r="K1737" s="340">
        <v>94.67</v>
      </c>
      <c r="L1737" s="341">
        <v>94.667000000000002</v>
      </c>
      <c r="M1737" s="113">
        <f>IF(MOD(C1737,7)&lt;2,0,IF(MOD(C1737,7)=6,3,1))</f>
        <v>0</v>
      </c>
      <c r="N1737" s="292">
        <f t="shared" si="150"/>
        <v>1</v>
      </c>
    </row>
    <row r="1738" spans="1:16">
      <c r="A1738" s="304"/>
      <c r="B1738" s="305"/>
      <c r="C1738" s="103">
        <f t="shared" si="153"/>
        <v>45536</v>
      </c>
      <c r="E1738" s="170"/>
      <c r="F1738" s="58" t="str">
        <f>VLOOKUP(MOD(C1738,7),'CALENDAR INFO'!$I$2:$J$8,2)</f>
        <v>SUN</v>
      </c>
      <c r="G1738" s="214">
        <v>5.33</v>
      </c>
      <c r="H1738" s="425">
        <v>5.32</v>
      </c>
      <c r="I1738" s="457">
        <f t="shared" si="155"/>
        <v>-9.9999999999997868E-3</v>
      </c>
      <c r="J1738" s="438" t="s">
        <v>151</v>
      </c>
      <c r="K1738" s="15">
        <f>ROW(K1738)</f>
        <v>1738</v>
      </c>
      <c r="L1738" s="179">
        <f>K1738</f>
        <v>1738</v>
      </c>
      <c r="M1738" s="116">
        <f>IF(MOD(C1738,7)&lt;2,0,IF(MOD(C1738,7)=6,3,1))</f>
        <v>0</v>
      </c>
      <c r="N1738" s="294">
        <f t="shared" si="150"/>
        <v>1</v>
      </c>
      <c r="P1738" s="16"/>
    </row>
    <row r="1739" spans="1:16">
      <c r="A1739" s="304"/>
      <c r="B1739" s="305"/>
      <c r="C1739" s="103">
        <f t="shared" si="153"/>
        <v>45537</v>
      </c>
      <c r="D1739" s="173" t="s">
        <v>112</v>
      </c>
      <c r="E1739" s="170"/>
      <c r="F1739" s="58" t="str">
        <f>VLOOKUP(MOD(C1739,7),'CALENDAR INFO'!$I$2:$J$8,2)</f>
        <v>MON</v>
      </c>
      <c r="G1739" s="214">
        <v>5.33</v>
      </c>
      <c r="H1739" s="425">
        <v>5.32</v>
      </c>
      <c r="I1739" s="457">
        <f t="shared" si="155"/>
        <v>-9.9999999999997868E-3</v>
      </c>
      <c r="J1739" s="152" t="s">
        <v>118</v>
      </c>
      <c r="K1739" s="15">
        <f>VLOOKUP(MONTH($C1738),'CALENDAR INFO'!$I$12:$J$23,2)</f>
        <v>30</v>
      </c>
      <c r="L1739" s="179">
        <f>K1739</f>
        <v>30</v>
      </c>
      <c r="M1739" s="117">
        <v>0</v>
      </c>
      <c r="N1739" s="293">
        <f t="shared" si="150"/>
        <v>1</v>
      </c>
    </row>
    <row r="1740" spans="1:16">
      <c r="A1740" s="304"/>
      <c r="B1740" s="305"/>
      <c r="C1740" s="103">
        <f t="shared" si="153"/>
        <v>45538</v>
      </c>
      <c r="E1740" s="170"/>
      <c r="F1740" s="58" t="str">
        <f>VLOOKUP(MOD(C1740,7),'CALENDAR INFO'!$I$2:$J$8,2)</f>
        <v>TUE</v>
      </c>
      <c r="G1740" s="214">
        <v>5.33</v>
      </c>
      <c r="H1740" s="425">
        <v>5.34</v>
      </c>
      <c r="I1740" s="457">
        <f t="shared" si="155"/>
        <v>9.9999999999997868E-3</v>
      </c>
      <c r="J1740" s="15" t="s">
        <v>152</v>
      </c>
      <c r="K1740" s="15">
        <f>K1739+K1738-1</f>
        <v>1767</v>
      </c>
      <c r="L1740" s="179">
        <f>K1740</f>
        <v>1767</v>
      </c>
      <c r="M1740" s="211">
        <f t="shared" ref="M1740:M1777" si="156">IF(MOD(C1740,7)&lt;2,0,IF(MOD(C1740,7)=6,3,1))</f>
        <v>1</v>
      </c>
      <c r="N1740" s="293">
        <f t="shared" si="150"/>
        <v>1.0001483333333334</v>
      </c>
    </row>
    <row r="1741" spans="1:16">
      <c r="A1741" s="304"/>
      <c r="B1741" s="305"/>
      <c r="C1741" s="103">
        <f t="shared" si="153"/>
        <v>45539</v>
      </c>
      <c r="E1741" s="170" t="s">
        <v>19</v>
      </c>
      <c r="F1741" s="58" t="str">
        <f>VLOOKUP(MOD(C1741,7),'CALENDAR INFO'!$I$2:$J$8,2)</f>
        <v>WED</v>
      </c>
      <c r="G1741" s="214">
        <v>5.33</v>
      </c>
      <c r="H1741" s="425">
        <v>5.35</v>
      </c>
      <c r="I1741" s="457">
        <f t="shared" si="155"/>
        <v>1.9999999999999574E-2</v>
      </c>
      <c r="M1741" s="211">
        <f t="shared" si="156"/>
        <v>1</v>
      </c>
      <c r="N1741" s="293">
        <f t="shared" si="150"/>
        <v>1.0001486111111111</v>
      </c>
    </row>
    <row r="1742" spans="1:16">
      <c r="A1742" s="304"/>
      <c r="B1742" s="305"/>
      <c r="C1742" s="103">
        <f t="shared" si="153"/>
        <v>45540</v>
      </c>
      <c r="D1742" s="175"/>
      <c r="E1742" s="167" t="s">
        <v>18</v>
      </c>
      <c r="F1742" s="58" t="str">
        <f>VLOOKUP(MOD(C1742,7),'CALENDAR INFO'!$I$2:$J$8,2)</f>
        <v>THU</v>
      </c>
      <c r="G1742" s="214">
        <v>5.33</v>
      </c>
      <c r="H1742" s="425">
        <v>5.35</v>
      </c>
      <c r="I1742" s="457">
        <f t="shared" si="155"/>
        <v>1.9999999999999574E-2</v>
      </c>
      <c r="J1742" s="15" t="s">
        <v>192</v>
      </c>
      <c r="K1742" s="310">
        <v>1755</v>
      </c>
      <c r="L1742" s="202">
        <f>K1742</f>
        <v>1755</v>
      </c>
      <c r="M1742" s="211">
        <f t="shared" si="156"/>
        <v>1</v>
      </c>
      <c r="N1742" s="64">
        <f t="shared" si="150"/>
        <v>1.0001486111111111</v>
      </c>
    </row>
    <row r="1743" spans="1:16">
      <c r="A1743" s="304"/>
      <c r="B1743" s="305"/>
      <c r="C1743" s="103">
        <f t="shared" si="153"/>
        <v>45541</v>
      </c>
      <c r="E1743" s="167"/>
      <c r="F1743" s="58" t="str">
        <f>VLOOKUP(MOD(C1743,7),'CALENDAR INFO'!$I$2:$J$8,2)</f>
        <v>FRI</v>
      </c>
      <c r="G1743" s="214">
        <v>5.33</v>
      </c>
      <c r="H1743" s="425">
        <v>5.34</v>
      </c>
      <c r="I1743" s="457">
        <f t="shared" si="155"/>
        <v>9.9999999999997868E-3</v>
      </c>
      <c r="J1743" s="15" t="s">
        <v>193</v>
      </c>
      <c r="K1743" s="15">
        <f>K1742+1</f>
        <v>1756</v>
      </c>
      <c r="L1743" s="179">
        <f>K1743</f>
        <v>1756</v>
      </c>
      <c r="M1743" s="211">
        <f t="shared" si="156"/>
        <v>3</v>
      </c>
      <c r="N1743" s="64">
        <f t="shared" si="150"/>
        <v>1.000445</v>
      </c>
    </row>
    <row r="1744" spans="1:16">
      <c r="A1744" s="304"/>
      <c r="B1744" s="305"/>
      <c r="C1744" s="103">
        <f t="shared" si="153"/>
        <v>45542</v>
      </c>
      <c r="E1744" s="167"/>
      <c r="F1744" s="58" t="str">
        <f>VLOOKUP(MOD(C1744,7),'CALENDAR INFO'!$I$2:$J$8,2)</f>
        <v>SAT</v>
      </c>
      <c r="G1744" s="214">
        <v>5.33</v>
      </c>
      <c r="H1744" s="425">
        <v>5.34</v>
      </c>
      <c r="I1744" s="457">
        <f t="shared" si="155"/>
        <v>9.9999999999997868E-3</v>
      </c>
      <c r="K1744" s="152"/>
      <c r="L1744" s="202"/>
      <c r="M1744" s="211">
        <f t="shared" si="156"/>
        <v>0</v>
      </c>
      <c r="N1744" s="64">
        <f t="shared" si="150"/>
        <v>1</v>
      </c>
    </row>
    <row r="1745" spans="1:16">
      <c r="A1745" s="304"/>
      <c r="B1745" s="305"/>
      <c r="C1745" s="103">
        <f t="shared" si="153"/>
        <v>45543</v>
      </c>
      <c r="E1745" s="167"/>
      <c r="F1745" s="58" t="str">
        <f>VLOOKUP(MOD(C1745,7),'CALENDAR INFO'!$I$2:$J$8,2)</f>
        <v>SUN</v>
      </c>
      <c r="G1745" s="214">
        <v>5.33</v>
      </c>
      <c r="H1745" s="425">
        <v>5.34</v>
      </c>
      <c r="I1745" s="457">
        <f t="shared" si="155"/>
        <v>9.9999999999997868E-3</v>
      </c>
      <c r="J1745" s="15" t="s">
        <v>213</v>
      </c>
      <c r="K1745" s="15" t="str">
        <f>_xlfn.CONCAT("F$",TEXT(K1738-1,0))</f>
        <v>F$1737</v>
      </c>
      <c r="L1745" s="179" t="str">
        <f>_xlfn.CONCAT("G$",TEXT(L1738-1,0))</f>
        <v>G$1737</v>
      </c>
      <c r="M1745" s="211">
        <f t="shared" si="156"/>
        <v>0</v>
      </c>
      <c r="N1745" s="64">
        <f t="shared" si="150"/>
        <v>1</v>
      </c>
    </row>
    <row r="1746" spans="1:16">
      <c r="A1746" s="304"/>
      <c r="B1746" s="305"/>
      <c r="C1746" s="103">
        <f t="shared" si="153"/>
        <v>45544</v>
      </c>
      <c r="E1746" s="167"/>
      <c r="F1746" s="58" t="str">
        <f>VLOOKUP(MOD(C1746,7),'CALENDAR INFO'!$I$2:$J$8,2)</f>
        <v>MON</v>
      </c>
      <c r="G1746" s="214">
        <v>5.33</v>
      </c>
      <c r="H1746" s="425">
        <v>5.34</v>
      </c>
      <c r="I1746" s="457">
        <f t="shared" si="155"/>
        <v>9.9999999999997868E-3</v>
      </c>
      <c r="J1746" s="15" t="s">
        <v>214</v>
      </c>
      <c r="K1746" s="15" t="str">
        <f>_xlfn.CONCAT("K$",TEXT(K1738+27,0))</f>
        <v>K$1765</v>
      </c>
      <c r="L1746" s="179" t="str">
        <f>_xlfn.CONCAT("L$",TEXT(L1738+27,0))</f>
        <v>L$1765</v>
      </c>
      <c r="M1746" s="211">
        <f t="shared" si="156"/>
        <v>1</v>
      </c>
      <c r="N1746" s="64">
        <f t="shared" si="150"/>
        <v>1.0001483333333334</v>
      </c>
    </row>
    <row r="1747" spans="1:16">
      <c r="A1747" s="304"/>
      <c r="B1747" s="305"/>
      <c r="C1747" s="103">
        <f t="shared" si="153"/>
        <v>45545</v>
      </c>
      <c r="E1747" s="167"/>
      <c r="F1747" s="58" t="str">
        <f>VLOOKUP(MOD(C1747,7),'CALENDAR INFO'!$I$2:$J$8,2)</f>
        <v>TUE</v>
      </c>
      <c r="G1747" s="214">
        <v>5.33</v>
      </c>
      <c r="H1747" s="425">
        <v>5.33</v>
      </c>
      <c r="I1747" s="457">
        <f t="shared" si="155"/>
        <v>0</v>
      </c>
      <c r="J1747" s="15" t="s">
        <v>153</v>
      </c>
      <c r="K1747" s="182" t="str">
        <f>_xlfn.CONCAT("A",TEXT(K1738,0),":","A",TEXT(K1740,0))</f>
        <v>A1738:A1767</v>
      </c>
      <c r="L1747" s="201" t="str">
        <f>_xlfn.CONCAT("B",TEXT(L1738,0),":","B",TEXT(L1740,0))</f>
        <v>B1738:B1767</v>
      </c>
      <c r="M1747" s="211">
        <f t="shared" si="156"/>
        <v>1</v>
      </c>
      <c r="N1747" s="64">
        <f t="shared" ref="N1747:N1810" si="157">1+(M1747/360)*(MAX(H1747,B1747)/100)</f>
        <v>1.0001480555555555</v>
      </c>
      <c r="P1747" s="283"/>
    </row>
    <row r="1748" spans="1:16">
      <c r="A1748" s="304"/>
      <c r="B1748" s="305"/>
      <c r="C1748" s="103">
        <f t="shared" si="153"/>
        <v>45546</v>
      </c>
      <c r="E1748" s="167"/>
      <c r="F1748" s="58" t="str">
        <f>VLOOKUP(MOD(C1748,7),'CALENDAR INFO'!$I$2:$J$8,2)</f>
        <v>WED</v>
      </c>
      <c r="G1748" s="214">
        <v>5.33</v>
      </c>
      <c r="H1748" s="425">
        <v>5.32</v>
      </c>
      <c r="I1748" s="457">
        <f t="shared" si="155"/>
        <v>-9.9999999999997868E-3</v>
      </c>
      <c r="J1748" s="15" t="s">
        <v>190</v>
      </c>
      <c r="K1748" s="182" t="str">
        <f>_xlfn.CONCAT("F",TEXT(K1738,0),":","F",TEXT(K1742,0))</f>
        <v>F1738:F1755</v>
      </c>
      <c r="L1748" s="201" t="str">
        <f>_xlfn.CONCAT("G",TEXT(L1738,0),":","G",TEXT(L1742,0))</f>
        <v>G1738:G1755</v>
      </c>
      <c r="M1748" s="211">
        <f t="shared" si="156"/>
        <v>1</v>
      </c>
      <c r="N1748" s="64">
        <f t="shared" si="157"/>
        <v>1.0001477777777779</v>
      </c>
      <c r="P1748" s="284"/>
    </row>
    <row r="1749" spans="1:16">
      <c r="A1749" s="304"/>
      <c r="B1749" s="305"/>
      <c r="C1749" s="103">
        <f t="shared" si="153"/>
        <v>45547</v>
      </c>
      <c r="E1749" s="167"/>
      <c r="F1749" s="58" t="str">
        <f>VLOOKUP(MOD(C1749,7),'CALENDAR INFO'!$I$2:$J$8,2)</f>
        <v>THU</v>
      </c>
      <c r="G1749" s="214">
        <v>5.33</v>
      </c>
      <c r="H1749" s="425">
        <v>5.33</v>
      </c>
      <c r="I1749" s="457">
        <f t="shared" si="155"/>
        <v>0</v>
      </c>
      <c r="J1749" s="15" t="s">
        <v>191</v>
      </c>
      <c r="K1749" s="182" t="str">
        <f>_xlfn.CONCAT("F",TEXT(K1743,0),":","F",TEXT(K1740,0))</f>
        <v>F1756:F1767</v>
      </c>
      <c r="L1749" s="201" t="str">
        <f>_xlfn.CONCAT("G",TEXT(L1743,0),":","G",TEXT(L1740,0))</f>
        <v>G1756:G1767</v>
      </c>
      <c r="M1749" s="211">
        <f t="shared" si="156"/>
        <v>1</v>
      </c>
      <c r="N1749" s="64">
        <f t="shared" si="157"/>
        <v>1.0001480555555555</v>
      </c>
    </row>
    <row r="1750" spans="1:16">
      <c r="A1750" s="304"/>
      <c r="B1750" s="305"/>
      <c r="C1750" s="103">
        <f t="shared" si="153"/>
        <v>45548</v>
      </c>
      <c r="E1750" s="167"/>
      <c r="F1750" s="58" t="str">
        <f>VLOOKUP(MOD(C1750,7),'CALENDAR INFO'!$I$2:$J$8,2)</f>
        <v>FRI</v>
      </c>
      <c r="G1750" s="214">
        <v>5.33</v>
      </c>
      <c r="H1750" s="425">
        <v>5.33</v>
      </c>
      <c r="I1750" s="457">
        <f t="shared" si="155"/>
        <v>0</v>
      </c>
      <c r="K1750" s="152"/>
      <c r="L1750" s="202"/>
      <c r="M1750" s="211">
        <f t="shared" si="156"/>
        <v>3</v>
      </c>
      <c r="N1750" s="64">
        <f t="shared" si="157"/>
        <v>1.0004441666666666</v>
      </c>
    </row>
    <row r="1751" spans="1:16">
      <c r="A1751" s="304"/>
      <c r="B1751" s="305"/>
      <c r="C1751" s="103">
        <f t="shared" si="153"/>
        <v>45549</v>
      </c>
      <c r="E1751" s="167"/>
      <c r="F1751" s="58" t="str">
        <f>VLOOKUP(MOD(C1751,7),'CALENDAR INFO'!$I$2:$J$8,2)</f>
        <v>SAT</v>
      </c>
      <c r="G1751" s="214">
        <v>5.33</v>
      </c>
      <c r="H1751" s="425">
        <v>5.33</v>
      </c>
      <c r="I1751" s="457">
        <f t="shared" si="155"/>
        <v>0</v>
      </c>
      <c r="J1751" s="152" t="s">
        <v>194</v>
      </c>
      <c r="K1751" s="290">
        <f t="shared" ref="K1751:L1753" ca="1" si="158">COUNTA(INDIRECT(K1747))</f>
        <v>0</v>
      </c>
      <c r="L1751" s="291">
        <f t="shared" ca="1" si="158"/>
        <v>0</v>
      </c>
      <c r="M1751" s="211">
        <f t="shared" si="156"/>
        <v>0</v>
      </c>
      <c r="N1751" s="64">
        <f t="shared" si="157"/>
        <v>1</v>
      </c>
    </row>
    <row r="1752" spans="1:16">
      <c r="A1752" s="304"/>
      <c r="B1752" s="305"/>
      <c r="C1752" s="103">
        <f t="shared" si="153"/>
        <v>45550</v>
      </c>
      <c r="E1752" s="167"/>
      <c r="F1752" s="58" t="str">
        <f>VLOOKUP(MOD(C1752,7),'CALENDAR INFO'!$I$2:$J$8,2)</f>
        <v>SUN</v>
      </c>
      <c r="G1752" s="214">
        <v>5.33</v>
      </c>
      <c r="H1752" s="425">
        <v>5.33</v>
      </c>
      <c r="I1752" s="457">
        <f t="shared" si="155"/>
        <v>0</v>
      </c>
      <c r="J1752" s="152" t="s">
        <v>195</v>
      </c>
      <c r="K1752" s="290">
        <f t="shared" ca="1" si="158"/>
        <v>18</v>
      </c>
      <c r="L1752" s="291">
        <f t="shared" ca="1" si="158"/>
        <v>18</v>
      </c>
      <c r="M1752" s="211">
        <f t="shared" si="156"/>
        <v>0</v>
      </c>
      <c r="N1752" s="64">
        <f t="shared" si="157"/>
        <v>1</v>
      </c>
    </row>
    <row r="1753" spans="1:16">
      <c r="A1753" s="304"/>
      <c r="B1753" s="305"/>
      <c r="C1753" s="103">
        <f t="shared" si="153"/>
        <v>45551</v>
      </c>
      <c r="E1753" s="167"/>
      <c r="F1753" s="58" t="str">
        <f>VLOOKUP(MOD(C1753,7),'CALENDAR INFO'!$I$2:$J$8,2)</f>
        <v>MON</v>
      </c>
      <c r="G1753" s="214">
        <v>5.33</v>
      </c>
      <c r="H1753" s="425">
        <v>5.38</v>
      </c>
      <c r="I1753" s="457">
        <f t="shared" si="155"/>
        <v>4.9999999999999822E-2</v>
      </c>
      <c r="J1753" s="152" t="s">
        <v>196</v>
      </c>
      <c r="K1753" s="290">
        <f t="shared" ca="1" si="158"/>
        <v>12</v>
      </c>
      <c r="L1753" s="308">
        <f t="shared" ca="1" si="158"/>
        <v>12</v>
      </c>
      <c r="M1753" s="211">
        <f t="shared" si="156"/>
        <v>1</v>
      </c>
      <c r="N1753" s="64">
        <f t="shared" si="157"/>
        <v>1.0001494444444445</v>
      </c>
    </row>
    <row r="1754" spans="1:16">
      <c r="A1754" s="304"/>
      <c r="B1754" s="305"/>
      <c r="C1754" s="103">
        <f t="shared" si="153"/>
        <v>45552</v>
      </c>
      <c r="D1754" s="153" t="s">
        <v>20</v>
      </c>
      <c r="E1754" s="167"/>
      <c r="F1754" s="58" t="str">
        <f>VLOOKUP(MOD(C1754,7),'CALENDAR INFO'!$I$2:$J$8,2)</f>
        <v>TUE</v>
      </c>
      <c r="G1754" s="214">
        <v>5.33</v>
      </c>
      <c r="H1754" s="425">
        <v>5.38</v>
      </c>
      <c r="I1754" s="457">
        <f t="shared" si="155"/>
        <v>4.9999999999999822E-2</v>
      </c>
      <c r="K1754" s="152"/>
      <c r="L1754" s="202"/>
      <c r="M1754" s="211">
        <f t="shared" si="156"/>
        <v>1</v>
      </c>
      <c r="N1754" s="64">
        <f t="shared" si="157"/>
        <v>1.0001494444444445</v>
      </c>
    </row>
    <row r="1755" spans="1:16">
      <c r="A1755" s="304"/>
      <c r="B1755" s="305"/>
      <c r="C1755" s="103">
        <f t="shared" si="153"/>
        <v>45553</v>
      </c>
      <c r="D1755" s="153" t="s">
        <v>20</v>
      </c>
      <c r="E1755" s="167" t="s">
        <v>19</v>
      </c>
      <c r="F1755" s="58" t="str">
        <f>VLOOKUP(MOD(C1755,7),'CALENDAR INFO'!$I$2:$J$8,2)</f>
        <v>WED</v>
      </c>
      <c r="G1755" s="214">
        <v>5.33</v>
      </c>
      <c r="H1755" s="425">
        <v>5.33</v>
      </c>
      <c r="I1755" s="457">
        <f t="shared" si="155"/>
        <v>0</v>
      </c>
      <c r="J1755" s="152" t="s">
        <v>197</v>
      </c>
      <c r="K1755" s="180" t="e">
        <f>OUTPUT!#REF!</f>
        <v>#REF!</v>
      </c>
      <c r="L1755" s="193" t="e">
        <f>OUTPUT!#REF!</f>
        <v>#REF!</v>
      </c>
      <c r="M1755" s="211">
        <f t="shared" si="156"/>
        <v>1</v>
      </c>
      <c r="N1755" s="64">
        <f t="shared" si="157"/>
        <v>1.0001480555555555</v>
      </c>
    </row>
    <row r="1756" spans="1:16">
      <c r="B1756" s="41"/>
      <c r="C1756" s="103">
        <f t="shared" si="153"/>
        <v>45554</v>
      </c>
      <c r="E1756" s="170" t="s">
        <v>18</v>
      </c>
      <c r="F1756" s="58" t="str">
        <f>VLOOKUP(MOD(C1756,7),'CALENDAR INFO'!$I$2:$J$8,2)</f>
        <v>THU</v>
      </c>
      <c r="G1756" s="214">
        <v>4.83</v>
      </c>
      <c r="H1756" s="425">
        <v>4.82</v>
      </c>
      <c r="I1756" s="457">
        <f t="shared" si="155"/>
        <v>-9.9999999999997868E-3</v>
      </c>
      <c r="J1756" s="152" t="s">
        <v>118</v>
      </c>
      <c r="K1756" s="307">
        <f>K1739</f>
        <v>30</v>
      </c>
      <c r="L1756" s="309">
        <f>L1739</f>
        <v>30</v>
      </c>
      <c r="M1756" s="211">
        <f t="shared" si="156"/>
        <v>1</v>
      </c>
      <c r="N1756" s="293">
        <f t="shared" si="157"/>
        <v>1.0001338888888889</v>
      </c>
    </row>
    <row r="1757" spans="1:16">
      <c r="B1757" s="41"/>
      <c r="C1757" s="103">
        <f t="shared" si="153"/>
        <v>45555</v>
      </c>
      <c r="E1757" s="170"/>
      <c r="F1757" s="58" t="str">
        <f>VLOOKUP(MOD(C1757,7),'CALENDAR INFO'!$I$2:$J$8,2)</f>
        <v>FRI</v>
      </c>
      <c r="G1757" s="214">
        <v>4.83</v>
      </c>
      <c r="H1757" s="425">
        <v>4.83</v>
      </c>
      <c r="I1757" s="457">
        <f t="shared" si="155"/>
        <v>0</v>
      </c>
      <c r="J1757" s="152" t="s">
        <v>184</v>
      </c>
      <c r="K1757" s="178" t="e">
        <f>K1755*K1756</f>
        <v>#REF!</v>
      </c>
      <c r="L1757" s="192" t="e">
        <f>L1755*L1756</f>
        <v>#REF!</v>
      </c>
      <c r="M1757" s="211">
        <f t="shared" si="156"/>
        <v>3</v>
      </c>
      <c r="N1757" s="293">
        <f t="shared" si="157"/>
        <v>1.0004025000000001</v>
      </c>
    </row>
    <row r="1758" spans="1:16">
      <c r="B1758" s="41"/>
      <c r="C1758" s="103">
        <f t="shared" si="153"/>
        <v>45556</v>
      </c>
      <c r="E1758" s="170"/>
      <c r="F1758" s="58" t="str">
        <f>VLOOKUP(MOD(C1758,7),'CALENDAR INFO'!$I$2:$J$8,2)</f>
        <v>SAT</v>
      </c>
      <c r="G1758" s="214">
        <v>4.83</v>
      </c>
      <c r="H1758" s="425">
        <v>4.83</v>
      </c>
      <c r="I1758" s="457">
        <f t="shared" si="155"/>
        <v>0</v>
      </c>
      <c r="K1758" s="221"/>
      <c r="L1758" s="223"/>
      <c r="M1758" s="211">
        <f t="shared" si="156"/>
        <v>0</v>
      </c>
      <c r="N1758" s="293">
        <f t="shared" si="157"/>
        <v>1</v>
      </c>
    </row>
    <row r="1759" spans="1:16">
      <c r="B1759" s="41"/>
      <c r="C1759" s="103">
        <f t="shared" si="153"/>
        <v>45557</v>
      </c>
      <c r="E1759" s="170"/>
      <c r="F1759" s="58" t="str">
        <f>VLOOKUP(MOD(C1759,7),'CALENDAR INFO'!$I$2:$J$8,2)</f>
        <v>SUN</v>
      </c>
      <c r="G1759" s="214">
        <v>4.83</v>
      </c>
      <c r="H1759" s="425">
        <v>4.83</v>
      </c>
      <c r="I1759" s="457">
        <f t="shared" si="155"/>
        <v>0</v>
      </c>
      <c r="J1759" s="15" t="s">
        <v>187</v>
      </c>
      <c r="K1759" s="207" t="e">
        <f>K1757</f>
        <v>#REF!</v>
      </c>
      <c r="L1759" s="208" t="e">
        <f>L1757</f>
        <v>#REF!</v>
      </c>
      <c r="M1759" s="211">
        <f t="shared" si="156"/>
        <v>0</v>
      </c>
      <c r="N1759" s="293">
        <f t="shared" si="157"/>
        <v>1</v>
      </c>
    </row>
    <row r="1760" spans="1:16">
      <c r="B1760" s="41"/>
      <c r="C1760" s="103">
        <f t="shared" si="153"/>
        <v>45558</v>
      </c>
      <c r="E1760" s="170"/>
      <c r="F1760" s="58" t="str">
        <f>VLOOKUP(MOD(C1760,7),'CALENDAR INFO'!$I$2:$J$8,2)</f>
        <v>MON</v>
      </c>
      <c r="G1760" s="214">
        <v>4.83</v>
      </c>
      <c r="H1760" s="425">
        <v>4.83</v>
      </c>
      <c r="I1760" s="457">
        <f t="shared" si="155"/>
        <v>0</v>
      </c>
      <c r="J1760" s="152" t="s">
        <v>155</v>
      </c>
      <c r="K1760" s="178">
        <f ca="1">SUM(INDIRECT(K1747))</f>
        <v>0</v>
      </c>
      <c r="L1760" s="192">
        <f ca="1">SUM(INDIRECT(L1747))</f>
        <v>0</v>
      </c>
      <c r="M1760" s="211">
        <f t="shared" si="156"/>
        <v>1</v>
      </c>
      <c r="N1760" s="293">
        <f t="shared" si="157"/>
        <v>1.0001341666666668</v>
      </c>
    </row>
    <row r="1761" spans="1:16">
      <c r="B1761" s="41"/>
      <c r="C1761" s="103">
        <f t="shared" si="153"/>
        <v>45559</v>
      </c>
      <c r="E1761" s="170"/>
      <c r="F1761" s="58" t="str">
        <f>VLOOKUP(MOD(C1761,7),'CALENDAR INFO'!$I$2:$J$8,2)</f>
        <v>TUE</v>
      </c>
      <c r="G1761" s="214">
        <v>4.83</v>
      </c>
      <c r="H1761" s="425">
        <v>4.84</v>
      </c>
      <c r="I1761" s="457">
        <f t="shared" si="155"/>
        <v>9.9999999999997868E-3</v>
      </c>
      <c r="J1761" s="15" t="s">
        <v>185</v>
      </c>
      <c r="K1761" s="178">
        <f ca="1">SUM(INDIRECT(K1748))</f>
        <v>0</v>
      </c>
      <c r="L1761" s="192">
        <f ca="1">SUM(INDIRECT(L1748))</f>
        <v>95.939999999999984</v>
      </c>
      <c r="M1761" s="211">
        <f t="shared" si="156"/>
        <v>1</v>
      </c>
      <c r="N1761" s="293">
        <f t="shared" si="157"/>
        <v>1.0001344444444444</v>
      </c>
    </row>
    <row r="1762" spans="1:16">
      <c r="B1762" s="41"/>
      <c r="C1762" s="103">
        <f t="shared" si="153"/>
        <v>45560</v>
      </c>
      <c r="E1762" s="170"/>
      <c r="F1762" s="58" t="str">
        <f>VLOOKUP(MOD(C1762,7),'CALENDAR INFO'!$I$2:$J$8,2)</f>
        <v>WED</v>
      </c>
      <c r="G1762" s="214">
        <v>4.83</v>
      </c>
      <c r="H1762" s="425">
        <v>4.84</v>
      </c>
      <c r="I1762" s="457">
        <f t="shared" si="155"/>
        <v>9.9999999999997868E-3</v>
      </c>
      <c r="J1762" s="152" t="s">
        <v>186</v>
      </c>
      <c r="K1762" s="178" t="e">
        <f ca="1">K1759-K1760-K1761</f>
        <v>#REF!</v>
      </c>
      <c r="L1762" s="201" t="e">
        <f ca="1">L1759-L1760-L1761</f>
        <v>#REF!</v>
      </c>
      <c r="M1762" s="211">
        <f t="shared" si="156"/>
        <v>1</v>
      </c>
      <c r="N1762" s="64">
        <f t="shared" si="157"/>
        <v>1.0001344444444444</v>
      </c>
      <c r="P1762" s="283"/>
    </row>
    <row r="1763" spans="1:16">
      <c r="B1763" s="41"/>
      <c r="C1763" s="103">
        <f t="shared" si="153"/>
        <v>45561</v>
      </c>
      <c r="E1763" s="170"/>
      <c r="F1763" s="58" t="str">
        <f>VLOOKUP(MOD(C1763,7),'CALENDAR INFO'!$I$2:$J$8,2)</f>
        <v>THU</v>
      </c>
      <c r="G1763" s="214">
        <v>4.83</v>
      </c>
      <c r="H1763" s="425">
        <v>4.83</v>
      </c>
      <c r="I1763" s="457">
        <f t="shared" si="155"/>
        <v>0</v>
      </c>
      <c r="K1763" s="152"/>
      <c r="L1763" s="202"/>
      <c r="M1763" s="211">
        <f t="shared" si="156"/>
        <v>1</v>
      </c>
      <c r="N1763" s="64">
        <f t="shared" si="157"/>
        <v>1.0001341666666668</v>
      </c>
      <c r="P1763" s="284"/>
    </row>
    <row r="1764" spans="1:16">
      <c r="B1764" s="41"/>
      <c r="C1764" s="103">
        <f t="shared" si="153"/>
        <v>45562</v>
      </c>
      <c r="E1764" s="170"/>
      <c r="F1764" s="58" t="str">
        <f>VLOOKUP(MOD(C1764,7),'CALENDAR INFO'!$I$2:$J$8,2)</f>
        <v>FRI</v>
      </c>
      <c r="G1764" s="214">
        <v>4.83</v>
      </c>
      <c r="H1764" s="425">
        <v>4.84</v>
      </c>
      <c r="I1764" s="457">
        <f t="shared" si="155"/>
        <v>9.9999999999997868E-3</v>
      </c>
      <c r="J1764" s="152" t="s">
        <v>188</v>
      </c>
      <c r="K1764" s="290">
        <f ca="1">K1739-K1751-K1752</f>
        <v>12</v>
      </c>
      <c r="L1764" s="291">
        <f ca="1">L1739-L1751-L1752</f>
        <v>12</v>
      </c>
      <c r="M1764" s="211">
        <f t="shared" si="156"/>
        <v>3</v>
      </c>
      <c r="N1764" s="64">
        <f t="shared" si="157"/>
        <v>1.0004033333333333</v>
      </c>
      <c r="P1764" s="284"/>
    </row>
    <row r="1765" spans="1:16">
      <c r="B1765" s="41"/>
      <c r="C1765" s="103">
        <f t="shared" si="153"/>
        <v>45563</v>
      </c>
      <c r="E1765" s="170"/>
      <c r="F1765" s="58" t="str">
        <f>VLOOKUP(MOD(C1765,7),'CALENDAR INFO'!$I$2:$J$8,2)</f>
        <v>SAT</v>
      </c>
      <c r="G1765" s="214">
        <v>4.83</v>
      </c>
      <c r="H1765" s="425">
        <v>4.84</v>
      </c>
      <c r="I1765" s="457">
        <f t="shared" si="155"/>
        <v>9.9999999999997868E-3</v>
      </c>
      <c r="J1765" s="152" t="s">
        <v>189</v>
      </c>
      <c r="K1765" s="182" t="e">
        <f ca="1">K1762/K1764</f>
        <v>#REF!</v>
      </c>
      <c r="L1765" s="201" t="e">
        <f ca="1">L1762/L1764</f>
        <v>#REF!</v>
      </c>
      <c r="M1765" s="211">
        <f t="shared" si="156"/>
        <v>0</v>
      </c>
      <c r="N1765" s="64">
        <f t="shared" si="157"/>
        <v>1</v>
      </c>
    </row>
    <row r="1766" spans="1:16">
      <c r="B1766" s="41"/>
      <c r="C1766" s="103">
        <f t="shared" si="153"/>
        <v>45564</v>
      </c>
      <c r="E1766" s="170"/>
      <c r="F1766" s="58" t="str">
        <f>VLOOKUP(MOD(C1766,7),'CALENDAR INFO'!$I$2:$J$8,2)</f>
        <v>SUN</v>
      </c>
      <c r="G1766" s="214">
        <v>4.83</v>
      </c>
      <c r="H1766" s="425">
        <v>4.84</v>
      </c>
      <c r="I1766" s="457">
        <f t="shared" si="155"/>
        <v>9.9999999999997868E-3</v>
      </c>
      <c r="J1766" s="152"/>
      <c r="K1766" s="190"/>
      <c r="L1766" s="203"/>
      <c r="M1766" s="211">
        <f t="shared" si="156"/>
        <v>0</v>
      </c>
      <c r="N1766" s="64">
        <f t="shared" si="157"/>
        <v>1</v>
      </c>
    </row>
    <row r="1767" spans="1:16" ht="15.75" thickBot="1">
      <c r="A1767" s="98"/>
      <c r="B1767" s="230"/>
      <c r="C1767" s="104">
        <f t="shared" si="153"/>
        <v>45565</v>
      </c>
      <c r="D1767" s="112"/>
      <c r="E1767" s="245"/>
      <c r="F1767" s="71" t="str">
        <f>VLOOKUP(MOD(C1767,7),'CALENDAR INFO'!$I$2:$J$8,2)</f>
        <v>MON</v>
      </c>
      <c r="G1767" s="215">
        <v>4.83</v>
      </c>
      <c r="H1767" s="426">
        <v>4.96</v>
      </c>
      <c r="I1767" s="458">
        <f t="shared" si="155"/>
        <v>0.12999999999999989</v>
      </c>
      <c r="J1767" s="424" t="s">
        <v>202</v>
      </c>
      <c r="K1767" s="340">
        <f ca="1">100-K1760/K1756</f>
        <v>100</v>
      </c>
      <c r="L1767" s="341">
        <f ca="1">100-L1760/L1756</f>
        <v>100</v>
      </c>
      <c r="M1767" s="113">
        <f t="shared" si="156"/>
        <v>1</v>
      </c>
      <c r="N1767" s="77">
        <f t="shared" si="157"/>
        <v>1.0001377777777778</v>
      </c>
    </row>
    <row r="1768" spans="1:16">
      <c r="A1768" s="364"/>
      <c r="B1768" s="365"/>
      <c r="C1768" s="103">
        <f t="shared" si="153"/>
        <v>45566</v>
      </c>
      <c r="E1768" s="170"/>
      <c r="F1768" s="58" t="str">
        <f>VLOOKUP(MOD(C1768,7),'CALENDAR INFO'!$I$2:$J$8,2)</f>
        <v>TUE</v>
      </c>
      <c r="G1768" s="214">
        <v>4.83</v>
      </c>
      <c r="H1768" s="425">
        <v>5.05</v>
      </c>
      <c r="I1768" s="457">
        <f t="shared" si="155"/>
        <v>0.21999999999999975</v>
      </c>
      <c r="J1768" s="436" t="s">
        <v>151</v>
      </c>
      <c r="K1768" s="15">
        <f>ROW(K1768)</f>
        <v>1768</v>
      </c>
      <c r="L1768" s="179">
        <f>K1768</f>
        <v>1768</v>
      </c>
      <c r="M1768" s="116">
        <f t="shared" si="156"/>
        <v>1</v>
      </c>
      <c r="N1768" s="111">
        <f t="shared" si="157"/>
        <v>1.0001402777777777</v>
      </c>
    </row>
    <row r="1769" spans="1:16">
      <c r="B1769" s="41"/>
      <c r="C1769" s="103">
        <f t="shared" si="153"/>
        <v>45567</v>
      </c>
      <c r="E1769" s="170" t="s">
        <v>19</v>
      </c>
      <c r="F1769" s="58" t="str">
        <f>VLOOKUP(MOD(C1769,7),'CALENDAR INFO'!$I$2:$J$8,2)</f>
        <v>WED</v>
      </c>
      <c r="G1769" s="214">
        <v>4.83</v>
      </c>
      <c r="H1769" s="425">
        <v>4.92</v>
      </c>
      <c r="I1769" s="457">
        <f t="shared" si="155"/>
        <v>8.9999999999999858E-2</v>
      </c>
      <c r="J1769" s="152" t="s">
        <v>118</v>
      </c>
      <c r="K1769" s="15">
        <f>VLOOKUP(MONTH($C1768),'CALENDAR INFO'!$I$12:$J$23,2)</f>
        <v>31</v>
      </c>
      <c r="L1769" s="179">
        <f>K1769</f>
        <v>31</v>
      </c>
      <c r="M1769" s="211">
        <f t="shared" si="156"/>
        <v>1</v>
      </c>
      <c r="N1769" s="64">
        <f t="shared" si="157"/>
        <v>1.0001366666666667</v>
      </c>
    </row>
    <row r="1770" spans="1:16">
      <c r="B1770" s="41"/>
      <c r="C1770" s="103">
        <f t="shared" si="153"/>
        <v>45568</v>
      </c>
      <c r="E1770" s="167" t="s">
        <v>18</v>
      </c>
      <c r="F1770" s="58" t="str">
        <f>VLOOKUP(MOD(C1770,7),'CALENDAR INFO'!$I$2:$J$8,2)</f>
        <v>THU</v>
      </c>
      <c r="G1770" s="214">
        <v>4.83</v>
      </c>
      <c r="H1770" s="425">
        <v>4.8499999999999996</v>
      </c>
      <c r="I1770" s="457">
        <f t="shared" si="155"/>
        <v>1.9999999999999574E-2</v>
      </c>
      <c r="J1770" s="152" t="s">
        <v>152</v>
      </c>
      <c r="K1770" s="15">
        <f>K1769+K1768-1</f>
        <v>1798</v>
      </c>
      <c r="L1770" s="200">
        <f>K1770</f>
        <v>1798</v>
      </c>
      <c r="M1770" s="211">
        <f t="shared" si="156"/>
        <v>1</v>
      </c>
      <c r="N1770" s="293">
        <f t="shared" si="157"/>
        <v>1.0001347222222223</v>
      </c>
    </row>
    <row r="1771" spans="1:16">
      <c r="B1771" s="41"/>
      <c r="C1771" s="103">
        <f t="shared" si="153"/>
        <v>45569</v>
      </c>
      <c r="E1771" s="167"/>
      <c r="F1771" s="58" t="str">
        <f>VLOOKUP(MOD(C1771,7),'CALENDAR INFO'!$I$2:$J$8,2)</f>
        <v>FRI</v>
      </c>
      <c r="G1771" s="214">
        <v>4.83</v>
      </c>
      <c r="H1771" s="425">
        <v>4.83</v>
      </c>
      <c r="I1771" s="457">
        <f t="shared" si="155"/>
        <v>0</v>
      </c>
      <c r="J1771" s="152"/>
      <c r="K1771" s="182"/>
      <c r="L1771" s="201"/>
      <c r="M1771" s="211">
        <f t="shared" si="156"/>
        <v>3</v>
      </c>
      <c r="N1771" s="293">
        <f t="shared" si="157"/>
        <v>1.0004025000000001</v>
      </c>
    </row>
    <row r="1772" spans="1:16">
      <c r="B1772" s="41"/>
      <c r="C1772" s="103">
        <f t="shared" si="153"/>
        <v>45570</v>
      </c>
      <c r="E1772" s="167"/>
      <c r="F1772" s="58" t="str">
        <f>VLOOKUP(MOD(C1772,7),'CALENDAR INFO'!$I$2:$J$8,2)</f>
        <v>SAT</v>
      </c>
      <c r="G1772" s="214">
        <v>4.83</v>
      </c>
      <c r="H1772" s="425">
        <v>4.83</v>
      </c>
      <c r="I1772" s="457">
        <f t="shared" si="155"/>
        <v>0</v>
      </c>
      <c r="J1772" s="152" t="s">
        <v>192</v>
      </c>
      <c r="K1772" s="366">
        <v>1768</v>
      </c>
      <c r="L1772" s="291">
        <f>K1772</f>
        <v>1768</v>
      </c>
      <c r="M1772" s="211">
        <f t="shared" si="156"/>
        <v>0</v>
      </c>
      <c r="N1772" s="293">
        <f t="shared" si="157"/>
        <v>1</v>
      </c>
    </row>
    <row r="1773" spans="1:16">
      <c r="B1773" s="41"/>
      <c r="C1773" s="103">
        <f t="shared" si="153"/>
        <v>45571</v>
      </c>
      <c r="E1773" s="167"/>
      <c r="F1773" s="58" t="str">
        <f>VLOOKUP(MOD(C1773,7),'CALENDAR INFO'!$I$2:$J$8,2)</f>
        <v>SUN</v>
      </c>
      <c r="G1773" s="214">
        <v>4.83</v>
      </c>
      <c r="H1773" s="425">
        <v>4.83</v>
      </c>
      <c r="I1773" s="457">
        <f t="shared" si="155"/>
        <v>0</v>
      </c>
      <c r="J1773" s="152" t="s">
        <v>193</v>
      </c>
      <c r="K1773" s="290">
        <f>K1772+1</f>
        <v>1769</v>
      </c>
      <c r="L1773" s="291">
        <f>K1773</f>
        <v>1769</v>
      </c>
      <c r="M1773" s="211">
        <f t="shared" si="156"/>
        <v>0</v>
      </c>
      <c r="N1773" s="293">
        <f t="shared" si="157"/>
        <v>1</v>
      </c>
    </row>
    <row r="1774" spans="1:16">
      <c r="B1774" s="41"/>
      <c r="C1774" s="103">
        <f t="shared" si="153"/>
        <v>45572</v>
      </c>
      <c r="E1774" s="167"/>
      <c r="F1774" s="58" t="str">
        <f>VLOOKUP(MOD(C1774,7),'CALENDAR INFO'!$I$2:$J$8,2)</f>
        <v>MON</v>
      </c>
      <c r="G1774" s="214">
        <v>4.83</v>
      </c>
      <c r="H1774" s="425">
        <v>4.83</v>
      </c>
      <c r="I1774" s="457">
        <f t="shared" si="155"/>
        <v>0</v>
      </c>
      <c r="J1774" s="152"/>
      <c r="K1774" s="152"/>
      <c r="L1774" s="202"/>
      <c r="M1774" s="211">
        <f t="shared" si="156"/>
        <v>1</v>
      </c>
      <c r="N1774" s="293">
        <f t="shared" si="157"/>
        <v>1.0001341666666668</v>
      </c>
    </row>
    <row r="1775" spans="1:16">
      <c r="B1775" s="41"/>
      <c r="C1775" s="103">
        <f t="shared" si="153"/>
        <v>45573</v>
      </c>
      <c r="E1775" s="167"/>
      <c r="F1775" s="58" t="str">
        <f>VLOOKUP(MOD(C1775,7),'CALENDAR INFO'!$I$2:$J$8,2)</f>
        <v>TUE</v>
      </c>
      <c r="G1775" s="214">
        <v>4.83</v>
      </c>
      <c r="H1775" s="425">
        <v>4.84</v>
      </c>
      <c r="I1775" s="457">
        <f t="shared" si="155"/>
        <v>9.9999999999997868E-3</v>
      </c>
      <c r="J1775" s="15" t="s">
        <v>213</v>
      </c>
      <c r="K1775" s="368" t="s">
        <v>215</v>
      </c>
      <c r="L1775" s="369" t="s">
        <v>216</v>
      </c>
      <c r="M1775" s="211">
        <f t="shared" si="156"/>
        <v>1</v>
      </c>
      <c r="N1775" s="293">
        <f t="shared" si="157"/>
        <v>1.0001344444444444</v>
      </c>
    </row>
    <row r="1776" spans="1:16">
      <c r="B1776" s="41"/>
      <c r="C1776" s="103">
        <f t="shared" si="153"/>
        <v>45574</v>
      </c>
      <c r="E1776" s="167"/>
      <c r="F1776" s="58" t="str">
        <f>VLOOKUP(MOD(C1776,7),'CALENDAR INFO'!$I$2:$J$8,2)</f>
        <v>WED</v>
      </c>
      <c r="G1776" s="214">
        <v>4.83</v>
      </c>
      <c r="H1776" s="425">
        <v>4.83</v>
      </c>
      <c r="I1776" s="457">
        <f t="shared" si="155"/>
        <v>0</v>
      </c>
      <c r="J1776" s="15" t="s">
        <v>214</v>
      </c>
      <c r="K1776" s="15" t="str">
        <f>_xlfn.CONCAT("K$",TEXT(K1768+27,0))</f>
        <v>K$1795</v>
      </c>
      <c r="L1776" s="179" t="str">
        <f>_xlfn.CONCAT("L$",TEXT(L1768+27,0))</f>
        <v>L$1795</v>
      </c>
      <c r="M1776" s="211">
        <f t="shared" si="156"/>
        <v>1</v>
      </c>
      <c r="N1776" s="64">
        <f t="shared" si="157"/>
        <v>1.0001341666666668</v>
      </c>
    </row>
    <row r="1777" spans="2:15">
      <c r="B1777" s="41"/>
      <c r="C1777" s="103">
        <f t="shared" si="153"/>
        <v>45575</v>
      </c>
      <c r="E1777" s="167"/>
      <c r="F1777" s="58" t="str">
        <f>VLOOKUP(MOD(C1777,7),'CALENDAR INFO'!$I$2:$J$8,2)</f>
        <v>THU</v>
      </c>
      <c r="G1777" s="214">
        <v>4.83</v>
      </c>
      <c r="H1777" s="425">
        <v>4.82</v>
      </c>
      <c r="I1777" s="457">
        <f t="shared" si="155"/>
        <v>-9.9999999999997868E-3</v>
      </c>
      <c r="J1777" s="152" t="s">
        <v>153</v>
      </c>
      <c r="K1777" s="312" t="str">
        <f>_xlfn.CONCAT("A",TEXT(K1768,0),":","A",TEXT(K1770,0))</f>
        <v>A1768:A1798</v>
      </c>
      <c r="L1777" s="313" t="str">
        <f>_xlfn.CONCAT("B",TEXT(L1768,0),":","B",TEXT(L1770,0))</f>
        <v>B1768:B1798</v>
      </c>
      <c r="M1777" s="211">
        <f t="shared" si="156"/>
        <v>1</v>
      </c>
      <c r="N1777" s="64">
        <f t="shared" si="157"/>
        <v>1.0001338888888889</v>
      </c>
    </row>
    <row r="1778" spans="2:15">
      <c r="B1778" s="41"/>
      <c r="C1778" s="103">
        <f t="shared" si="153"/>
        <v>45576</v>
      </c>
      <c r="E1778" s="167"/>
      <c r="F1778" s="58" t="str">
        <f>VLOOKUP(MOD(C1778,7),'CALENDAR INFO'!$I$2:$J$8,2)</f>
        <v>FRI</v>
      </c>
      <c r="G1778" s="214">
        <v>4.83</v>
      </c>
      <c r="H1778" s="425">
        <v>4.8099999999999996</v>
      </c>
      <c r="I1778" s="457">
        <f t="shared" si="155"/>
        <v>-2.0000000000000462E-2</v>
      </c>
      <c r="J1778" s="152" t="s">
        <v>190</v>
      </c>
      <c r="K1778" s="182" t="str">
        <f>_xlfn.CONCAT("F",TEXT(K1768,0),":","F",TEXT(K1772,0))</f>
        <v>F1768:F1768</v>
      </c>
      <c r="L1778" s="201" t="str">
        <f>_xlfn.CONCAT("G",TEXT(L1768,0),":","G",TEXT(L1772,0))</f>
        <v>G1768:G1768</v>
      </c>
      <c r="M1778" s="117">
        <v>4</v>
      </c>
      <c r="N1778" s="64">
        <f t="shared" si="157"/>
        <v>1.0005344444444444</v>
      </c>
    </row>
    <row r="1779" spans="2:15">
      <c r="B1779" s="41"/>
      <c r="C1779" s="103">
        <f t="shared" si="153"/>
        <v>45577</v>
      </c>
      <c r="E1779" s="167"/>
      <c r="F1779" s="58" t="str">
        <f>VLOOKUP(MOD(C1779,7),'CALENDAR INFO'!$I$2:$J$8,2)</f>
        <v>SAT</v>
      </c>
      <c r="G1779" s="214">
        <v>4.83</v>
      </c>
      <c r="H1779" s="425">
        <v>4.8099999999999996</v>
      </c>
      <c r="I1779" s="457">
        <f t="shared" si="155"/>
        <v>-2.0000000000000462E-2</v>
      </c>
      <c r="J1779" s="152" t="s">
        <v>191</v>
      </c>
      <c r="K1779" s="152" t="str">
        <f>_xlfn.CONCAT("F",TEXT(K1773,0),":","F",TEXT(K1770,0))</f>
        <v>F1769:F1798</v>
      </c>
      <c r="L1779" s="201" t="str">
        <f>_xlfn.CONCAT("G",TEXT(L1773,0),":","G",TEXT(L1770,0))</f>
        <v>G1769:G1798</v>
      </c>
      <c r="M1779" s="211">
        <f>IF(MOD(C1779,7)&lt;2,0,IF(MOD(C1779,7)=6,3,1))</f>
        <v>0</v>
      </c>
      <c r="N1779" s="64">
        <f t="shared" si="157"/>
        <v>1</v>
      </c>
    </row>
    <row r="1780" spans="2:15">
      <c r="B1780" s="41"/>
      <c r="C1780" s="103">
        <f t="shared" si="153"/>
        <v>45578</v>
      </c>
      <c r="E1780" s="167"/>
      <c r="F1780" s="58" t="str">
        <f>VLOOKUP(MOD(C1780,7),'CALENDAR INFO'!$I$2:$J$8,2)</f>
        <v>SUN</v>
      </c>
      <c r="G1780" s="214">
        <v>4.83</v>
      </c>
      <c r="H1780" s="425">
        <v>4.8099999999999996</v>
      </c>
      <c r="I1780" s="457">
        <f t="shared" si="155"/>
        <v>-2.0000000000000462E-2</v>
      </c>
      <c r="J1780" s="152"/>
      <c r="K1780" s="152"/>
      <c r="L1780" s="201"/>
      <c r="M1780" s="211">
        <f>IF(MOD(C1780,7)&lt;2,0,IF(MOD(C1780,7)=6,3,1))</f>
        <v>0</v>
      </c>
      <c r="N1780" s="64">
        <f t="shared" si="157"/>
        <v>1</v>
      </c>
    </row>
    <row r="1781" spans="2:15">
      <c r="B1781" s="41"/>
      <c r="C1781" s="103">
        <f t="shared" ref="C1781:C1844" si="159">C1780+1</f>
        <v>45579</v>
      </c>
      <c r="D1781" s="173" t="s">
        <v>108</v>
      </c>
      <c r="E1781" s="167"/>
      <c r="F1781" s="58" t="str">
        <f>VLOOKUP(MOD(C1781,7),'CALENDAR INFO'!$I$2:$J$8,2)</f>
        <v>MON</v>
      </c>
      <c r="G1781" s="214">
        <v>4.83</v>
      </c>
      <c r="H1781" s="425">
        <v>4.8099999999999996</v>
      </c>
      <c r="I1781" s="457">
        <f t="shared" si="155"/>
        <v>-2.0000000000000462E-2</v>
      </c>
      <c r="J1781" s="15" t="s">
        <v>194</v>
      </c>
      <c r="K1781" s="152">
        <f t="shared" ref="K1781:L1783" ca="1" si="160">COUNTA(INDIRECT(K1777))</f>
        <v>0</v>
      </c>
      <c r="L1781" s="202">
        <f t="shared" ca="1" si="160"/>
        <v>0</v>
      </c>
      <c r="M1781" s="117">
        <v>0</v>
      </c>
      <c r="N1781" s="64">
        <f t="shared" si="157"/>
        <v>1</v>
      </c>
      <c r="O1781" s="282"/>
    </row>
    <row r="1782" spans="2:15">
      <c r="B1782" s="41"/>
      <c r="C1782" s="103">
        <f t="shared" si="159"/>
        <v>45580</v>
      </c>
      <c r="E1782" s="167"/>
      <c r="F1782" s="58" t="str">
        <f>VLOOKUP(MOD(C1782,7),'CALENDAR INFO'!$I$2:$J$8,2)</f>
        <v>TUE</v>
      </c>
      <c r="G1782" s="214">
        <v>4.83</v>
      </c>
      <c r="H1782" s="425">
        <v>4.8600000000000003</v>
      </c>
      <c r="I1782" s="457">
        <f t="shared" si="155"/>
        <v>3.0000000000000249E-2</v>
      </c>
      <c r="J1782" s="152" t="s">
        <v>195</v>
      </c>
      <c r="K1782" s="306">
        <f t="shared" ca="1" si="160"/>
        <v>1</v>
      </c>
      <c r="L1782" s="200">
        <f t="shared" ca="1" si="160"/>
        <v>1</v>
      </c>
      <c r="M1782" s="211">
        <f t="shared" ref="M1782:M1805" si="161">IF(MOD(C1782,7)&lt;2,0,IF(MOD(C1782,7)=6,3,1))</f>
        <v>1</v>
      </c>
      <c r="N1782" s="64">
        <f t="shared" si="157"/>
        <v>1.000135</v>
      </c>
    </row>
    <row r="1783" spans="2:15">
      <c r="B1783" s="41"/>
      <c r="C1783" s="103">
        <f t="shared" si="159"/>
        <v>45581</v>
      </c>
      <c r="E1783" s="167" t="s">
        <v>19</v>
      </c>
      <c r="F1783" s="58" t="str">
        <f>VLOOKUP(MOD(C1783,7),'CALENDAR INFO'!$I$2:$J$8,2)</f>
        <v>WED</v>
      </c>
      <c r="G1783" s="214">
        <v>4.83</v>
      </c>
      <c r="H1783" s="425">
        <v>4.8600000000000003</v>
      </c>
      <c r="I1783" s="457">
        <f t="shared" si="155"/>
        <v>3.0000000000000249E-2</v>
      </c>
      <c r="J1783" s="15" t="s">
        <v>196</v>
      </c>
      <c r="K1783" s="306">
        <f t="shared" ca="1" si="160"/>
        <v>30</v>
      </c>
      <c r="L1783" s="200">
        <f t="shared" ca="1" si="160"/>
        <v>30</v>
      </c>
      <c r="M1783" s="211">
        <f t="shared" si="161"/>
        <v>1</v>
      </c>
      <c r="N1783" s="64">
        <f t="shared" si="157"/>
        <v>1.000135</v>
      </c>
    </row>
    <row r="1784" spans="2:15">
      <c r="B1784" s="41"/>
      <c r="C1784" s="103">
        <f t="shared" si="159"/>
        <v>45582</v>
      </c>
      <c r="E1784" s="170" t="s">
        <v>18</v>
      </c>
      <c r="F1784" s="58" t="str">
        <f>VLOOKUP(MOD(C1784,7),'CALENDAR INFO'!$I$2:$J$8,2)</f>
        <v>THU</v>
      </c>
      <c r="G1784" s="214">
        <v>4.83</v>
      </c>
      <c r="H1784" s="425">
        <v>4.8499999999999996</v>
      </c>
      <c r="I1784" s="457">
        <f t="shared" si="155"/>
        <v>1.9999999999999574E-2</v>
      </c>
      <c r="K1784" s="178"/>
      <c r="L1784" s="192"/>
      <c r="M1784" s="211">
        <f t="shared" si="161"/>
        <v>1</v>
      </c>
      <c r="N1784" s="64">
        <f t="shared" si="157"/>
        <v>1.0001347222222223</v>
      </c>
    </row>
    <row r="1785" spans="2:15">
      <c r="B1785" s="41"/>
      <c r="C1785" s="103">
        <f t="shared" si="159"/>
        <v>45583</v>
      </c>
      <c r="E1785" s="170"/>
      <c r="F1785" s="58" t="str">
        <f>VLOOKUP(MOD(C1785,7),'CALENDAR INFO'!$I$2:$J$8,2)</f>
        <v>FRI</v>
      </c>
      <c r="G1785" s="214">
        <v>4.83</v>
      </c>
      <c r="H1785" s="425">
        <v>4.84</v>
      </c>
      <c r="I1785" s="457">
        <f t="shared" si="155"/>
        <v>9.9999999999997868E-3</v>
      </c>
      <c r="J1785" s="152" t="s">
        <v>197</v>
      </c>
      <c r="K1785" s="180" t="e">
        <f>OUTPUT!#REF!</f>
        <v>#REF!</v>
      </c>
      <c r="L1785" s="193" t="e">
        <f>OUTPUT!#REF!</f>
        <v>#REF!</v>
      </c>
      <c r="M1785" s="211">
        <f t="shared" si="161"/>
        <v>3</v>
      </c>
      <c r="N1785" s="64">
        <f t="shared" si="157"/>
        <v>1.0004033333333333</v>
      </c>
    </row>
    <row r="1786" spans="2:15">
      <c r="B1786" s="41"/>
      <c r="C1786" s="103">
        <f t="shared" si="159"/>
        <v>45584</v>
      </c>
      <c r="E1786" s="170"/>
      <c r="F1786" s="58" t="str">
        <f>VLOOKUP(MOD(C1786,7),'CALENDAR INFO'!$I$2:$J$8,2)</f>
        <v>SAT</v>
      </c>
      <c r="G1786" s="214">
        <v>4.83</v>
      </c>
      <c r="H1786" s="425">
        <v>4.84</v>
      </c>
      <c r="I1786" s="457">
        <f t="shared" si="155"/>
        <v>9.9999999999997868E-3</v>
      </c>
      <c r="J1786" s="152" t="s">
        <v>118</v>
      </c>
      <c r="K1786" s="314">
        <f>K1769</f>
        <v>31</v>
      </c>
      <c r="L1786" s="315">
        <f>L1769</f>
        <v>31</v>
      </c>
      <c r="M1786" s="211">
        <f t="shared" si="161"/>
        <v>0</v>
      </c>
      <c r="N1786" s="64">
        <f t="shared" si="157"/>
        <v>1</v>
      </c>
    </row>
    <row r="1787" spans="2:15">
      <c r="B1787" s="41"/>
      <c r="C1787" s="103">
        <f t="shared" si="159"/>
        <v>45585</v>
      </c>
      <c r="E1787" s="170"/>
      <c r="F1787" s="58" t="str">
        <f>VLOOKUP(MOD(C1787,7),'CALENDAR INFO'!$I$2:$J$8,2)</f>
        <v>SUN</v>
      </c>
      <c r="G1787" s="214">
        <v>4.83</v>
      </c>
      <c r="H1787" s="425">
        <v>4.84</v>
      </c>
      <c r="I1787" s="457">
        <f t="shared" si="155"/>
        <v>9.9999999999997868E-3</v>
      </c>
      <c r="J1787" s="152" t="s">
        <v>184</v>
      </c>
      <c r="K1787" s="178" t="e">
        <f>K1785*K1786</f>
        <v>#REF!</v>
      </c>
      <c r="L1787" s="192" t="e">
        <f>L1785*L1786</f>
        <v>#REF!</v>
      </c>
      <c r="M1787" s="211">
        <f t="shared" si="161"/>
        <v>0</v>
      </c>
      <c r="N1787" s="64">
        <f t="shared" si="157"/>
        <v>1</v>
      </c>
    </row>
    <row r="1788" spans="2:15">
      <c r="B1788" s="41"/>
      <c r="C1788" s="103">
        <f t="shared" si="159"/>
        <v>45586</v>
      </c>
      <c r="E1788" s="170"/>
      <c r="F1788" s="58" t="str">
        <f>VLOOKUP(MOD(C1788,7),'CALENDAR INFO'!$I$2:$J$8,2)</f>
        <v>MON</v>
      </c>
      <c r="G1788" s="214">
        <v>4.83</v>
      </c>
      <c r="H1788" s="425">
        <v>4.82</v>
      </c>
      <c r="I1788" s="457">
        <f t="shared" si="155"/>
        <v>-9.9999999999997868E-3</v>
      </c>
      <c r="J1788" s="152"/>
      <c r="K1788" s="306"/>
      <c r="L1788" s="200"/>
      <c r="M1788" s="211">
        <f t="shared" si="161"/>
        <v>1</v>
      </c>
      <c r="N1788" s="64">
        <f t="shared" si="157"/>
        <v>1.0001338888888889</v>
      </c>
    </row>
    <row r="1789" spans="2:15">
      <c r="B1789" s="41"/>
      <c r="C1789" s="103">
        <f t="shared" si="159"/>
        <v>45587</v>
      </c>
      <c r="E1789" s="170"/>
      <c r="F1789" s="58" t="str">
        <f>VLOOKUP(MOD(C1789,7),'CALENDAR INFO'!$I$2:$J$8,2)</f>
        <v>TUE</v>
      </c>
      <c r="G1789" s="214">
        <v>4.83</v>
      </c>
      <c r="H1789" s="425">
        <v>4.83</v>
      </c>
      <c r="I1789" s="457">
        <f t="shared" si="155"/>
        <v>0</v>
      </c>
      <c r="J1789" s="152" t="s">
        <v>187</v>
      </c>
      <c r="K1789" s="207" t="e">
        <f>K1787</f>
        <v>#REF!</v>
      </c>
      <c r="L1789" s="208" t="e">
        <f>L1787</f>
        <v>#REF!</v>
      </c>
      <c r="M1789" s="211">
        <f t="shared" si="161"/>
        <v>1</v>
      </c>
      <c r="N1789" s="64">
        <f t="shared" si="157"/>
        <v>1.0001341666666668</v>
      </c>
    </row>
    <row r="1790" spans="2:15">
      <c r="B1790" s="41"/>
      <c r="C1790" s="103">
        <f t="shared" si="159"/>
        <v>45588</v>
      </c>
      <c r="E1790" s="170"/>
      <c r="F1790" s="58" t="str">
        <f>VLOOKUP(MOD(C1790,7),'CALENDAR INFO'!$I$2:$J$8,2)</f>
        <v>WED</v>
      </c>
      <c r="G1790" s="214">
        <v>4.83</v>
      </c>
      <c r="H1790" s="425">
        <v>4.83</v>
      </c>
      <c r="I1790" s="457">
        <f t="shared" si="155"/>
        <v>0</v>
      </c>
      <c r="J1790" s="15" t="s">
        <v>155</v>
      </c>
      <c r="K1790" s="182">
        <f ca="1">SUM(INDIRECT(K1777))</f>
        <v>0</v>
      </c>
      <c r="L1790" s="201">
        <f ca="1">SUM(INDIRECT(L1777))</f>
        <v>0</v>
      </c>
      <c r="M1790" s="211">
        <f t="shared" si="161"/>
        <v>1</v>
      </c>
      <c r="N1790" s="64">
        <f t="shared" si="157"/>
        <v>1.0001341666666668</v>
      </c>
    </row>
    <row r="1791" spans="2:15">
      <c r="B1791" s="41"/>
      <c r="C1791" s="103">
        <f t="shared" si="159"/>
        <v>45589</v>
      </c>
      <c r="E1791" s="170"/>
      <c r="F1791" s="58" t="str">
        <f>VLOOKUP(MOD(C1791,7),'CALENDAR INFO'!$I$2:$J$8,2)</f>
        <v>THU</v>
      </c>
      <c r="G1791" s="214">
        <v>4.83</v>
      </c>
      <c r="H1791" s="425">
        <v>4.83</v>
      </c>
      <c r="I1791" s="457">
        <f t="shared" si="155"/>
        <v>0</v>
      </c>
      <c r="J1791" s="15" t="s">
        <v>185</v>
      </c>
      <c r="K1791" s="182">
        <f ca="1">SUM(INDIRECT(K1778))</f>
        <v>0</v>
      </c>
      <c r="L1791" s="201">
        <f ca="1">SUM(INDIRECT(L1778))</f>
        <v>4.83</v>
      </c>
      <c r="M1791" s="211">
        <f t="shared" si="161"/>
        <v>1</v>
      </c>
      <c r="N1791" s="64">
        <f t="shared" si="157"/>
        <v>1.0001341666666668</v>
      </c>
    </row>
    <row r="1792" spans="2:15">
      <c r="B1792" s="41"/>
      <c r="C1792" s="103">
        <f t="shared" si="159"/>
        <v>45590</v>
      </c>
      <c r="E1792" s="170"/>
      <c r="F1792" s="58" t="str">
        <f>VLOOKUP(MOD(C1792,7),'CALENDAR INFO'!$I$2:$J$8,2)</f>
        <v>FRI</v>
      </c>
      <c r="G1792" s="214">
        <v>4.83</v>
      </c>
      <c r="H1792" s="425">
        <v>4.83</v>
      </c>
      <c r="I1792" s="457">
        <f t="shared" si="155"/>
        <v>0</v>
      </c>
      <c r="J1792" s="15" t="s">
        <v>186</v>
      </c>
      <c r="K1792" s="182" t="e">
        <f ca="1">K1789-K1790-K1791</f>
        <v>#REF!</v>
      </c>
      <c r="L1792" s="201" t="e">
        <f ca="1">L1789-L1790-L1791</f>
        <v>#REF!</v>
      </c>
      <c r="M1792" s="211">
        <f t="shared" si="161"/>
        <v>3</v>
      </c>
      <c r="N1792" s="64">
        <f t="shared" si="157"/>
        <v>1.0004025000000001</v>
      </c>
    </row>
    <row r="1793" spans="1:16">
      <c r="B1793" s="41"/>
      <c r="C1793" s="103">
        <f t="shared" si="159"/>
        <v>45591</v>
      </c>
      <c r="E1793" s="170"/>
      <c r="F1793" s="58" t="str">
        <f>VLOOKUP(MOD(C1793,7),'CALENDAR INFO'!$I$2:$J$8,2)</f>
        <v>SAT</v>
      </c>
      <c r="G1793" s="214">
        <v>4.83</v>
      </c>
      <c r="H1793" s="425">
        <v>4.83</v>
      </c>
      <c r="I1793" s="457">
        <f t="shared" si="155"/>
        <v>0</v>
      </c>
      <c r="K1793" s="182"/>
      <c r="L1793" s="201"/>
      <c r="M1793" s="211">
        <f t="shared" si="161"/>
        <v>0</v>
      </c>
      <c r="N1793" s="64">
        <f t="shared" si="157"/>
        <v>1</v>
      </c>
      <c r="P1793" s="283"/>
    </row>
    <row r="1794" spans="1:16">
      <c r="B1794" s="41"/>
      <c r="C1794" s="103">
        <f t="shared" si="159"/>
        <v>45592</v>
      </c>
      <c r="E1794" s="170"/>
      <c r="F1794" s="58" t="str">
        <f>VLOOKUP(MOD(C1794,7),'CALENDAR INFO'!$I$2:$J$8,2)</f>
        <v>SUN</v>
      </c>
      <c r="G1794" s="214">
        <v>4.83</v>
      </c>
      <c r="H1794" s="425">
        <v>4.83</v>
      </c>
      <c r="I1794" s="457">
        <f t="shared" si="155"/>
        <v>0</v>
      </c>
      <c r="J1794" s="15" t="s">
        <v>188</v>
      </c>
      <c r="K1794" s="290">
        <f ca="1">K1769-K1781-K1782</f>
        <v>30</v>
      </c>
      <c r="L1794" s="291">
        <f ca="1">L1769-L1781-L1782</f>
        <v>30</v>
      </c>
      <c r="M1794" s="211">
        <f t="shared" si="161"/>
        <v>0</v>
      </c>
      <c r="N1794" s="64">
        <f t="shared" si="157"/>
        <v>1</v>
      </c>
      <c r="P1794" s="284"/>
    </row>
    <row r="1795" spans="1:16">
      <c r="B1795" s="41"/>
      <c r="C1795" s="103">
        <f t="shared" si="159"/>
        <v>45593</v>
      </c>
      <c r="E1795" s="170"/>
      <c r="F1795" s="58" t="str">
        <f>VLOOKUP(MOD(C1795,7),'CALENDAR INFO'!$I$2:$J$8,2)</f>
        <v>MON</v>
      </c>
      <c r="G1795" s="214">
        <v>4.83</v>
      </c>
      <c r="H1795" s="425">
        <v>4.82</v>
      </c>
      <c r="I1795" s="457">
        <f t="shared" ref="I1795:I1858" si="162">H1795-G1795</f>
        <v>-9.9999999999997868E-3</v>
      </c>
      <c r="J1795" s="15" t="s">
        <v>189</v>
      </c>
      <c r="K1795" s="182" t="e">
        <f ca="1">K1792/K1794</f>
        <v>#REF!</v>
      </c>
      <c r="L1795" s="201" t="e">
        <f ca="1">L1792/L1794</f>
        <v>#REF!</v>
      </c>
      <c r="M1795" s="211">
        <f t="shared" si="161"/>
        <v>1</v>
      </c>
      <c r="N1795" s="64">
        <f t="shared" si="157"/>
        <v>1.0001338888888889</v>
      </c>
      <c r="O1795" s="282"/>
      <c r="P1795" s="284"/>
    </row>
    <row r="1796" spans="1:16">
      <c r="B1796" s="41"/>
      <c r="C1796" s="103">
        <f t="shared" si="159"/>
        <v>45594</v>
      </c>
      <c r="E1796" s="287"/>
      <c r="F1796" s="58" t="str">
        <f>VLOOKUP(MOD(C1796,7),'CALENDAR INFO'!$I$2:$J$8,2)</f>
        <v>TUE</v>
      </c>
      <c r="G1796" s="214">
        <v>4.83</v>
      </c>
      <c r="H1796" s="425">
        <v>4.82</v>
      </c>
      <c r="I1796" s="457">
        <f t="shared" si="162"/>
        <v>-9.9999999999997868E-3</v>
      </c>
      <c r="J1796" s="152"/>
      <c r="K1796" s="182"/>
      <c r="L1796" s="201"/>
      <c r="M1796" s="211">
        <f t="shared" si="161"/>
        <v>1</v>
      </c>
      <c r="N1796" s="64">
        <f t="shared" si="157"/>
        <v>1.0001338888888889</v>
      </c>
    </row>
    <row r="1797" spans="1:16">
      <c r="B1797" s="41"/>
      <c r="C1797" s="103">
        <f t="shared" si="159"/>
        <v>45595</v>
      </c>
      <c r="E1797" s="287" t="s">
        <v>19</v>
      </c>
      <c r="F1797" s="58" t="str">
        <f>VLOOKUP(MOD(C1797,7),'CALENDAR INFO'!$I$2:$J$8,2)</f>
        <v>WED</v>
      </c>
      <c r="G1797" s="214">
        <v>4.83</v>
      </c>
      <c r="H1797" s="425">
        <v>4.8099999999999996</v>
      </c>
      <c r="I1797" s="457">
        <f t="shared" si="162"/>
        <v>-2.0000000000000462E-2</v>
      </c>
      <c r="J1797" s="152"/>
      <c r="K1797" s="182"/>
      <c r="L1797" s="201"/>
      <c r="M1797" s="211">
        <f t="shared" si="161"/>
        <v>1</v>
      </c>
      <c r="N1797" s="64">
        <f t="shared" si="157"/>
        <v>1.0001336111111112</v>
      </c>
    </row>
    <row r="1798" spans="1:16" ht="15.75" thickBot="1">
      <c r="A1798" s="98"/>
      <c r="B1798" s="230"/>
      <c r="C1798" s="104">
        <f t="shared" si="159"/>
        <v>45596</v>
      </c>
      <c r="D1798" s="112"/>
      <c r="E1798" s="246" t="s">
        <v>18</v>
      </c>
      <c r="F1798" s="71" t="str">
        <f>VLOOKUP(MOD(C1798,7),'CALENDAR INFO'!$I$2:$J$8,2)</f>
        <v>THU</v>
      </c>
      <c r="G1798" s="215">
        <v>4.83</v>
      </c>
      <c r="H1798" s="426">
        <v>4.9000000000000004</v>
      </c>
      <c r="I1798" s="458">
        <f t="shared" si="162"/>
        <v>7.0000000000000284E-2</v>
      </c>
      <c r="J1798" s="424" t="s">
        <v>202</v>
      </c>
      <c r="K1798" s="340">
        <f ca="1">100-K1790/K1786</f>
        <v>100</v>
      </c>
      <c r="L1798" s="341">
        <f ca="1">100-L1790/L1786</f>
        <v>100</v>
      </c>
      <c r="M1798" s="113">
        <f t="shared" si="161"/>
        <v>1</v>
      </c>
      <c r="N1798" s="77">
        <f t="shared" si="157"/>
        <v>1.0001361111111111</v>
      </c>
    </row>
    <row r="1799" spans="1:16">
      <c r="A1799" s="364"/>
      <c r="B1799" s="365"/>
      <c r="C1799" s="103">
        <f t="shared" si="159"/>
        <v>45597</v>
      </c>
      <c r="E1799" s="167"/>
      <c r="F1799" s="58" t="str">
        <f>VLOOKUP(MOD(C1799,7),'CALENDAR INFO'!$I$2:$J$8,2)</f>
        <v>FRI</v>
      </c>
      <c r="G1799" s="214">
        <v>4.83</v>
      </c>
      <c r="H1799" s="425">
        <v>4.8600000000000003</v>
      </c>
      <c r="I1799" s="457">
        <f t="shared" si="162"/>
        <v>3.0000000000000249E-2</v>
      </c>
      <c r="J1799" s="438" t="s">
        <v>151</v>
      </c>
      <c r="K1799" s="15">
        <f>ROW(K1799)</f>
        <v>1799</v>
      </c>
      <c r="L1799" s="179">
        <f>K1799</f>
        <v>1799</v>
      </c>
      <c r="M1799" s="116">
        <f t="shared" si="161"/>
        <v>3</v>
      </c>
      <c r="N1799" s="111">
        <f t="shared" si="157"/>
        <v>1.000405</v>
      </c>
    </row>
    <row r="1800" spans="1:16">
      <c r="A1800" s="364"/>
      <c r="B1800" s="365"/>
      <c r="C1800" s="103">
        <f t="shared" si="159"/>
        <v>45598</v>
      </c>
      <c r="E1800" s="167"/>
      <c r="F1800" s="58" t="str">
        <f>VLOOKUP(MOD(C1800,7),'CALENDAR INFO'!$I$2:$J$8,2)</f>
        <v>SAT</v>
      </c>
      <c r="G1800" s="214">
        <v>4.83</v>
      </c>
      <c r="H1800" s="425">
        <v>4.8600000000000003</v>
      </c>
      <c r="I1800" s="457">
        <f t="shared" si="162"/>
        <v>3.0000000000000249E-2</v>
      </c>
      <c r="J1800" s="152" t="s">
        <v>118</v>
      </c>
      <c r="K1800" s="15">
        <f>VLOOKUP(MONTH($C1799),'CALENDAR INFO'!$I$12:$J$23,2)</f>
        <v>30</v>
      </c>
      <c r="L1800" s="179">
        <f>K1800</f>
        <v>30</v>
      </c>
      <c r="M1800" s="211">
        <f t="shared" si="161"/>
        <v>0</v>
      </c>
      <c r="N1800" s="64">
        <f t="shared" si="157"/>
        <v>1</v>
      </c>
    </row>
    <row r="1801" spans="1:16">
      <c r="A1801" s="364"/>
      <c r="B1801" s="365"/>
      <c r="C1801" s="103">
        <f t="shared" si="159"/>
        <v>45599</v>
      </c>
      <c r="E1801" s="167"/>
      <c r="F1801" s="58" t="str">
        <f>VLOOKUP(MOD(C1801,7),'CALENDAR INFO'!$I$2:$J$8,2)</f>
        <v>SUN</v>
      </c>
      <c r="G1801" s="214">
        <v>4.83</v>
      </c>
      <c r="H1801" s="425">
        <v>4.8600000000000003</v>
      </c>
      <c r="I1801" s="457">
        <f t="shared" si="162"/>
        <v>3.0000000000000249E-2</v>
      </c>
      <c r="J1801" s="15" t="s">
        <v>152</v>
      </c>
      <c r="K1801" s="15">
        <f>K1800+K1799-1</f>
        <v>1828</v>
      </c>
      <c r="L1801" s="179">
        <f>K1801</f>
        <v>1828</v>
      </c>
      <c r="M1801" s="211">
        <f t="shared" si="161"/>
        <v>0</v>
      </c>
      <c r="N1801" s="64">
        <f t="shared" si="157"/>
        <v>1</v>
      </c>
    </row>
    <row r="1802" spans="1:16">
      <c r="A1802" s="364"/>
      <c r="B1802" s="365"/>
      <c r="C1802" s="103">
        <f t="shared" si="159"/>
        <v>45600</v>
      </c>
      <c r="E1802" s="167"/>
      <c r="F1802" s="58" t="str">
        <f>VLOOKUP(MOD(C1802,7),'CALENDAR INFO'!$I$2:$J$8,2)</f>
        <v>MON</v>
      </c>
      <c r="G1802" s="214">
        <v>4.83</v>
      </c>
      <c r="H1802" s="425">
        <v>4.82</v>
      </c>
      <c r="I1802" s="457">
        <f t="shared" si="162"/>
        <v>-9.9999999999997868E-3</v>
      </c>
      <c r="M1802" s="211">
        <f t="shared" si="161"/>
        <v>1</v>
      </c>
      <c r="N1802" s="64">
        <f t="shared" si="157"/>
        <v>1.0001338888888889</v>
      </c>
    </row>
    <row r="1803" spans="1:16">
      <c r="A1803" s="364"/>
      <c r="B1803" s="365"/>
      <c r="C1803" s="103">
        <f t="shared" si="159"/>
        <v>45601</v>
      </c>
      <c r="E1803" s="167"/>
      <c r="F1803" s="58" t="str">
        <f>VLOOKUP(MOD(C1803,7),'CALENDAR INFO'!$I$2:$J$8,2)</f>
        <v>TUE</v>
      </c>
      <c r="G1803" s="214">
        <v>4.83</v>
      </c>
      <c r="H1803" s="425">
        <v>4.82</v>
      </c>
      <c r="I1803" s="457">
        <f t="shared" si="162"/>
        <v>-9.9999999999997868E-3</v>
      </c>
      <c r="J1803" s="15" t="s">
        <v>192</v>
      </c>
      <c r="K1803" s="367">
        <v>1805</v>
      </c>
      <c r="L1803" s="202">
        <f>K1803</f>
        <v>1805</v>
      </c>
      <c r="M1803" s="211">
        <f t="shared" si="161"/>
        <v>1</v>
      </c>
      <c r="N1803" s="64">
        <f t="shared" si="157"/>
        <v>1.0001338888888889</v>
      </c>
    </row>
    <row r="1804" spans="1:16">
      <c r="A1804" s="364"/>
      <c r="B1804" s="365"/>
      <c r="C1804" s="103">
        <f t="shared" si="159"/>
        <v>45602</v>
      </c>
      <c r="D1804" s="288" t="s">
        <v>20</v>
      </c>
      <c r="E1804" s="167"/>
      <c r="F1804" s="58" t="str">
        <f>VLOOKUP(MOD(C1804,7),'CALENDAR INFO'!$I$2:$J$8,2)</f>
        <v>WED</v>
      </c>
      <c r="G1804" s="214">
        <v>4.83</v>
      </c>
      <c r="H1804" s="425">
        <v>4.8099999999999996</v>
      </c>
      <c r="I1804" s="457">
        <f t="shared" si="162"/>
        <v>-2.0000000000000462E-2</v>
      </c>
      <c r="J1804" s="15" t="s">
        <v>193</v>
      </c>
      <c r="K1804" s="15">
        <f>K1803+1</f>
        <v>1806</v>
      </c>
      <c r="L1804" s="179">
        <f>K1804</f>
        <v>1806</v>
      </c>
      <c r="M1804" s="211">
        <f t="shared" si="161"/>
        <v>1</v>
      </c>
      <c r="N1804" s="64">
        <f t="shared" si="157"/>
        <v>1.0001336111111112</v>
      </c>
    </row>
    <row r="1805" spans="1:16">
      <c r="A1805" s="364"/>
      <c r="B1805" s="365"/>
      <c r="C1805" s="103">
        <f t="shared" si="159"/>
        <v>45603</v>
      </c>
      <c r="D1805" s="288" t="s">
        <v>20</v>
      </c>
      <c r="E1805" s="167"/>
      <c r="F1805" s="58" t="str">
        <f>VLOOKUP(MOD(C1805,7),'CALENDAR INFO'!$I$2:$J$8,2)</f>
        <v>THU</v>
      </c>
      <c r="G1805" s="214">
        <v>4.83</v>
      </c>
      <c r="H1805" s="425">
        <v>4.82</v>
      </c>
      <c r="I1805" s="457">
        <f t="shared" si="162"/>
        <v>-9.9999999999997868E-3</v>
      </c>
      <c r="K1805" s="152"/>
      <c r="L1805" s="202"/>
      <c r="M1805" s="211">
        <f t="shared" si="161"/>
        <v>1</v>
      </c>
      <c r="N1805" s="64">
        <f t="shared" si="157"/>
        <v>1.0001338888888889</v>
      </c>
    </row>
    <row r="1806" spans="1:16">
      <c r="B1806" s="41"/>
      <c r="C1806" s="103">
        <f t="shared" si="159"/>
        <v>45604</v>
      </c>
      <c r="E1806" s="167"/>
      <c r="F1806" s="58" t="str">
        <f>VLOOKUP(MOD(C1806,7),'CALENDAR INFO'!$I$2:$J$8,2)</f>
        <v>FRI</v>
      </c>
      <c r="G1806" s="214">
        <v>4.58</v>
      </c>
      <c r="H1806" s="425">
        <v>4.5999999999999996</v>
      </c>
      <c r="I1806" s="457">
        <f t="shared" si="162"/>
        <v>1.9999999999999574E-2</v>
      </c>
      <c r="J1806" s="15" t="s">
        <v>213</v>
      </c>
      <c r="K1806" s="368" t="str">
        <f>_xlfn.CONCAT("A$",TEXT(K1799-1,0))</f>
        <v>A$1798</v>
      </c>
      <c r="L1806" s="179" t="str">
        <f>_xlfn.CONCAT("B$",TEXT(L1799-1,0))</f>
        <v>B$1798</v>
      </c>
      <c r="M1806" s="117">
        <v>4</v>
      </c>
      <c r="N1806" s="64">
        <f t="shared" si="157"/>
        <v>1.0005111111111111</v>
      </c>
    </row>
    <row r="1807" spans="1:16">
      <c r="B1807" s="41"/>
      <c r="C1807" s="103">
        <f t="shared" si="159"/>
        <v>45605</v>
      </c>
      <c r="E1807" s="167"/>
      <c r="F1807" s="58" t="str">
        <f>VLOOKUP(MOD(C1807,7),'CALENDAR INFO'!$I$2:$J$8,2)</f>
        <v>SAT</v>
      </c>
      <c r="G1807" s="214">
        <v>4.58</v>
      </c>
      <c r="H1807" s="425">
        <v>4.5999999999999996</v>
      </c>
      <c r="I1807" s="457">
        <f t="shared" si="162"/>
        <v>1.9999999999999574E-2</v>
      </c>
      <c r="J1807" s="15" t="s">
        <v>214</v>
      </c>
      <c r="K1807" s="15" t="str">
        <f>_xlfn.CONCAT("K$",TEXT(K1799+27,0))</f>
        <v>K$1826</v>
      </c>
      <c r="L1807" s="179" t="str">
        <f>_xlfn.CONCAT("L$",TEXT(L1799+27,0))</f>
        <v>L$1826</v>
      </c>
      <c r="M1807" s="211">
        <f>IF(MOD(C1807,7)&lt;2,0,IF(MOD(C1807,7)=6,3,1))</f>
        <v>0</v>
      </c>
      <c r="N1807" s="64">
        <f t="shared" si="157"/>
        <v>1</v>
      </c>
    </row>
    <row r="1808" spans="1:16">
      <c r="B1808" s="41"/>
      <c r="C1808" s="103">
        <f t="shared" si="159"/>
        <v>45606</v>
      </c>
      <c r="E1808" s="167"/>
      <c r="F1808" s="58" t="str">
        <f>VLOOKUP(MOD(C1808,7),'CALENDAR INFO'!$I$2:$J$8,2)</f>
        <v>SUN</v>
      </c>
      <c r="G1808" s="214">
        <v>4.58</v>
      </c>
      <c r="H1808" s="425">
        <v>4.5999999999999996</v>
      </c>
      <c r="I1808" s="457">
        <f t="shared" si="162"/>
        <v>1.9999999999999574E-2</v>
      </c>
      <c r="J1808" s="15" t="s">
        <v>153</v>
      </c>
      <c r="K1808" s="182" t="str">
        <f>_xlfn.CONCAT("A",TEXT(K1799,0),":","A",TEXT(K1801,0))</f>
        <v>A1799:A1828</v>
      </c>
      <c r="L1808" s="201" t="str">
        <f>_xlfn.CONCAT("B",TEXT(L1799,0),":","B",TEXT(L1801,0))</f>
        <v>B1799:B1828</v>
      </c>
      <c r="M1808" s="211">
        <f>IF(MOD(C1808,7)&lt;2,0,IF(MOD(C1808,7)=6,3,1))</f>
        <v>0</v>
      </c>
      <c r="N1808" s="64">
        <f t="shared" si="157"/>
        <v>1</v>
      </c>
    </row>
    <row r="1809" spans="2:16">
      <c r="B1809" s="41"/>
      <c r="C1809" s="103">
        <f t="shared" si="159"/>
        <v>45607</v>
      </c>
      <c r="D1809" s="173" t="s">
        <v>181</v>
      </c>
      <c r="E1809" s="167"/>
      <c r="F1809" s="58" t="str">
        <f>VLOOKUP(MOD(C1809,7),'CALENDAR INFO'!$I$2:$J$8,2)</f>
        <v>MON</v>
      </c>
      <c r="G1809" s="214">
        <v>4.58</v>
      </c>
      <c r="H1809" s="425">
        <v>4.5999999999999996</v>
      </c>
      <c r="I1809" s="457">
        <f t="shared" si="162"/>
        <v>1.9999999999999574E-2</v>
      </c>
      <c r="J1809" s="15" t="s">
        <v>190</v>
      </c>
      <c r="K1809" s="182" t="str">
        <f>_xlfn.CONCAT("F",TEXT(K1799,0),":","F",TEXT(K1803,0))</f>
        <v>F1799:F1805</v>
      </c>
      <c r="L1809" s="201" t="str">
        <f>_xlfn.CONCAT("G",TEXT(L1799,0),":","G",TEXT(L1803,0))</f>
        <v>G1799:G1805</v>
      </c>
      <c r="M1809" s="117">
        <v>0</v>
      </c>
      <c r="N1809" s="64">
        <f t="shared" si="157"/>
        <v>1</v>
      </c>
    </row>
    <row r="1810" spans="2:16">
      <c r="B1810" s="41"/>
      <c r="C1810" s="103">
        <f t="shared" si="159"/>
        <v>45608</v>
      </c>
      <c r="E1810" s="167"/>
      <c r="F1810" s="58" t="str">
        <f>VLOOKUP(MOD(C1810,7),'CALENDAR INFO'!$I$2:$J$8,2)</f>
        <v>TUE</v>
      </c>
      <c r="G1810" s="214">
        <v>4.58</v>
      </c>
      <c r="H1810" s="425">
        <v>4.5999999999999996</v>
      </c>
      <c r="I1810" s="457">
        <f t="shared" si="162"/>
        <v>1.9999999999999574E-2</v>
      </c>
      <c r="J1810" s="15" t="s">
        <v>191</v>
      </c>
      <c r="K1810" s="182" t="str">
        <f>_xlfn.CONCAT("F",TEXT(K1804,0),":","F",TEXT(K1801,0))</f>
        <v>F1806:F1828</v>
      </c>
      <c r="L1810" s="201" t="str">
        <f>_xlfn.CONCAT("G",TEXT(L1804,0),":","G",TEXT(L1801,0))</f>
        <v>G1806:G1828</v>
      </c>
      <c r="M1810" s="211">
        <f t="shared" ref="M1810:M1824" si="163">IF(MOD(C1810,7)&lt;2,0,IF(MOD(C1810,7)=6,3,1))</f>
        <v>1</v>
      </c>
      <c r="N1810" s="64">
        <f t="shared" si="157"/>
        <v>1.0001277777777777</v>
      </c>
    </row>
    <row r="1811" spans="2:16">
      <c r="B1811" s="41"/>
      <c r="C1811" s="103">
        <f t="shared" si="159"/>
        <v>45609</v>
      </c>
      <c r="E1811" s="167" t="s">
        <v>19</v>
      </c>
      <c r="F1811" s="58" t="str">
        <f>VLOOKUP(MOD(C1811,7),'CALENDAR INFO'!$I$2:$J$8,2)</f>
        <v>WED</v>
      </c>
      <c r="G1811" s="214">
        <v>4.58</v>
      </c>
      <c r="H1811" s="425">
        <v>4.59</v>
      </c>
      <c r="I1811" s="457">
        <f t="shared" si="162"/>
        <v>9.9999999999997868E-3</v>
      </c>
      <c r="K1811" s="152"/>
      <c r="L1811" s="202"/>
      <c r="M1811" s="211">
        <f t="shared" si="163"/>
        <v>1</v>
      </c>
      <c r="N1811" s="64">
        <f t="shared" ref="N1811:N1874" si="164">1+(M1811/360)*(MAX(H1811,B1811)/100)</f>
        <v>1.0001275000000001</v>
      </c>
    </row>
    <row r="1812" spans="2:16">
      <c r="B1812" s="41"/>
      <c r="C1812" s="103">
        <f t="shared" si="159"/>
        <v>45610</v>
      </c>
      <c r="E1812" s="170" t="s">
        <v>18</v>
      </c>
      <c r="F1812" s="58" t="str">
        <f>VLOOKUP(MOD(C1812,7),'CALENDAR INFO'!$I$2:$J$8,2)</f>
        <v>THU</v>
      </c>
      <c r="G1812" s="214">
        <v>4.58</v>
      </c>
      <c r="H1812" s="425">
        <v>4.58</v>
      </c>
      <c r="I1812" s="457">
        <f t="shared" si="162"/>
        <v>0</v>
      </c>
      <c r="J1812" s="152" t="s">
        <v>194</v>
      </c>
      <c r="K1812" s="290">
        <f t="shared" ref="K1812:L1814" ca="1" si="165">COUNTA(INDIRECT(K1808))</f>
        <v>0</v>
      </c>
      <c r="L1812" s="291">
        <f t="shared" ca="1" si="165"/>
        <v>0</v>
      </c>
      <c r="M1812" s="211">
        <f t="shared" si="163"/>
        <v>1</v>
      </c>
      <c r="N1812" s="64">
        <f t="shared" si="164"/>
        <v>1.0001272222222222</v>
      </c>
    </row>
    <row r="1813" spans="2:16">
      <c r="B1813" s="41"/>
      <c r="C1813" s="103">
        <f t="shared" si="159"/>
        <v>45611</v>
      </c>
      <c r="E1813" s="170"/>
      <c r="F1813" s="58" t="str">
        <f>VLOOKUP(MOD(C1813,7),'CALENDAR INFO'!$I$2:$J$8,2)</f>
        <v>FRI</v>
      </c>
      <c r="G1813" s="214">
        <v>4.58</v>
      </c>
      <c r="H1813" s="425">
        <v>4.57</v>
      </c>
      <c r="I1813" s="457">
        <f t="shared" si="162"/>
        <v>-9.9999999999997868E-3</v>
      </c>
      <c r="J1813" s="152" t="s">
        <v>195</v>
      </c>
      <c r="K1813" s="290">
        <f t="shared" ca="1" si="165"/>
        <v>7</v>
      </c>
      <c r="L1813" s="291">
        <f t="shared" ca="1" si="165"/>
        <v>7</v>
      </c>
      <c r="M1813" s="211">
        <f t="shared" si="163"/>
        <v>3</v>
      </c>
      <c r="N1813" s="64">
        <f t="shared" si="164"/>
        <v>1.0003808333333333</v>
      </c>
    </row>
    <row r="1814" spans="2:16">
      <c r="B1814" s="41"/>
      <c r="C1814" s="103">
        <f t="shared" si="159"/>
        <v>45612</v>
      </c>
      <c r="E1814" s="170"/>
      <c r="F1814" s="58" t="str">
        <f>VLOOKUP(MOD(C1814,7),'CALENDAR INFO'!$I$2:$J$8,2)</f>
        <v>SAT</v>
      </c>
      <c r="G1814" s="214">
        <v>4.58</v>
      </c>
      <c r="H1814" s="425">
        <v>4.57</v>
      </c>
      <c r="I1814" s="457">
        <f t="shared" si="162"/>
        <v>-9.9999999999997868E-3</v>
      </c>
      <c r="J1814" s="152" t="s">
        <v>196</v>
      </c>
      <c r="K1814" s="290">
        <f t="shared" ca="1" si="165"/>
        <v>23</v>
      </c>
      <c r="L1814" s="308">
        <f t="shared" ca="1" si="165"/>
        <v>23</v>
      </c>
      <c r="M1814" s="211">
        <f t="shared" si="163"/>
        <v>0</v>
      </c>
      <c r="N1814" s="64">
        <f t="shared" si="164"/>
        <v>1</v>
      </c>
    </row>
    <row r="1815" spans="2:16">
      <c r="B1815" s="41"/>
      <c r="C1815" s="103">
        <f t="shared" si="159"/>
        <v>45613</v>
      </c>
      <c r="E1815" s="170"/>
      <c r="F1815" s="58" t="str">
        <f>VLOOKUP(MOD(C1815,7),'CALENDAR INFO'!$I$2:$J$8,2)</f>
        <v>SUN</v>
      </c>
      <c r="G1815" s="214">
        <v>4.58</v>
      </c>
      <c r="H1815" s="425">
        <v>4.57</v>
      </c>
      <c r="I1815" s="457">
        <f t="shared" si="162"/>
        <v>-9.9999999999997868E-3</v>
      </c>
      <c r="K1815" s="152"/>
      <c r="L1815" s="202"/>
      <c r="M1815" s="211">
        <f t="shared" si="163"/>
        <v>0</v>
      </c>
      <c r="N1815" s="64">
        <f t="shared" si="164"/>
        <v>1</v>
      </c>
    </row>
    <row r="1816" spans="2:16">
      <c r="B1816" s="41"/>
      <c r="C1816" s="103">
        <f t="shared" si="159"/>
        <v>45614</v>
      </c>
      <c r="E1816" s="170"/>
      <c r="F1816" s="58" t="str">
        <f>VLOOKUP(MOD(C1816,7),'CALENDAR INFO'!$I$2:$J$8,2)</f>
        <v>MON</v>
      </c>
      <c r="G1816" s="214">
        <v>4.58</v>
      </c>
      <c r="H1816" s="425">
        <v>4.57</v>
      </c>
      <c r="I1816" s="457">
        <f t="shared" si="162"/>
        <v>-9.9999999999997868E-3</v>
      </c>
      <c r="J1816" s="152" t="s">
        <v>197</v>
      </c>
      <c r="K1816" s="180" t="e">
        <f>OUTPUT!#REF!</f>
        <v>#REF!</v>
      </c>
      <c r="L1816" s="193" t="e">
        <f>OUTPUT!#REF!</f>
        <v>#REF!</v>
      </c>
      <c r="M1816" s="211">
        <f t="shared" si="163"/>
        <v>1</v>
      </c>
      <c r="N1816" s="64">
        <f t="shared" si="164"/>
        <v>1.0001269444444445</v>
      </c>
    </row>
    <row r="1817" spans="2:16">
      <c r="B1817" s="41"/>
      <c r="C1817" s="103">
        <f t="shared" si="159"/>
        <v>45615</v>
      </c>
      <c r="E1817" s="170"/>
      <c r="F1817" s="58" t="str">
        <f>VLOOKUP(MOD(C1817,7),'CALENDAR INFO'!$I$2:$J$8,2)</f>
        <v>TUE</v>
      </c>
      <c r="G1817" s="214">
        <v>4.58</v>
      </c>
      <c r="H1817" s="425">
        <v>4.57</v>
      </c>
      <c r="I1817" s="457">
        <f t="shared" si="162"/>
        <v>-9.9999999999997868E-3</v>
      </c>
      <c r="J1817" s="152" t="s">
        <v>118</v>
      </c>
      <c r="K1817" s="307">
        <f>K1800</f>
        <v>30</v>
      </c>
      <c r="L1817" s="309">
        <f>L1800</f>
        <v>30</v>
      </c>
      <c r="M1817" s="211">
        <f t="shared" si="163"/>
        <v>1</v>
      </c>
      <c r="N1817" s="64">
        <f t="shared" si="164"/>
        <v>1.0001269444444445</v>
      </c>
    </row>
    <row r="1818" spans="2:16">
      <c r="B1818" s="41"/>
      <c r="C1818" s="103">
        <f t="shared" si="159"/>
        <v>45616</v>
      </c>
      <c r="E1818" s="170"/>
      <c r="F1818" s="58" t="str">
        <f>VLOOKUP(MOD(C1818,7),'CALENDAR INFO'!$I$2:$J$8,2)</f>
        <v>WED</v>
      </c>
      <c r="G1818" s="214">
        <v>4.58</v>
      </c>
      <c r="H1818" s="425">
        <v>4.5599999999999996</v>
      </c>
      <c r="I1818" s="457">
        <f t="shared" si="162"/>
        <v>-2.0000000000000462E-2</v>
      </c>
      <c r="J1818" s="152" t="s">
        <v>184</v>
      </c>
      <c r="K1818" s="178" t="e">
        <f>K1816*K1817</f>
        <v>#REF!</v>
      </c>
      <c r="L1818" s="192" t="e">
        <f>L1816*L1817</f>
        <v>#REF!</v>
      </c>
      <c r="M1818" s="211">
        <f t="shared" si="163"/>
        <v>1</v>
      </c>
      <c r="N1818" s="64">
        <f t="shared" si="164"/>
        <v>1.0001266666666666</v>
      </c>
    </row>
    <row r="1819" spans="2:16">
      <c r="B1819" s="41"/>
      <c r="C1819" s="103">
        <f t="shared" si="159"/>
        <v>45617</v>
      </c>
      <c r="E1819" s="170"/>
      <c r="F1819" s="58" t="str">
        <f>VLOOKUP(MOD(C1819,7),'CALENDAR INFO'!$I$2:$J$8,2)</f>
        <v>THU</v>
      </c>
      <c r="G1819" s="214">
        <v>4.58</v>
      </c>
      <c r="H1819" s="425">
        <v>4.57</v>
      </c>
      <c r="I1819" s="457">
        <f t="shared" si="162"/>
        <v>-9.9999999999997868E-3</v>
      </c>
      <c r="K1819" s="221"/>
      <c r="L1819" s="223"/>
      <c r="M1819" s="211">
        <f t="shared" si="163"/>
        <v>1</v>
      </c>
      <c r="N1819" s="64">
        <f t="shared" si="164"/>
        <v>1.0001269444444445</v>
      </c>
    </row>
    <row r="1820" spans="2:16">
      <c r="B1820" s="41"/>
      <c r="C1820" s="103">
        <f t="shared" si="159"/>
        <v>45618</v>
      </c>
      <c r="E1820" s="170"/>
      <c r="F1820" s="58" t="str">
        <f>VLOOKUP(MOD(C1820,7),'CALENDAR INFO'!$I$2:$J$8,2)</f>
        <v>FRI</v>
      </c>
      <c r="G1820" s="214">
        <v>4.58</v>
      </c>
      <c r="H1820" s="425">
        <v>4.57</v>
      </c>
      <c r="I1820" s="457">
        <f t="shared" si="162"/>
        <v>-9.9999999999997868E-3</v>
      </c>
      <c r="J1820" s="15" t="s">
        <v>187</v>
      </c>
      <c r="K1820" s="207" t="e">
        <f>K1818</f>
        <v>#REF!</v>
      </c>
      <c r="L1820" s="208" t="e">
        <f>L1818</f>
        <v>#REF!</v>
      </c>
      <c r="M1820" s="211">
        <f t="shared" si="163"/>
        <v>3</v>
      </c>
      <c r="N1820" s="64">
        <f t="shared" si="164"/>
        <v>1.0003808333333333</v>
      </c>
    </row>
    <row r="1821" spans="2:16">
      <c r="B1821" s="41"/>
      <c r="C1821" s="103">
        <f t="shared" si="159"/>
        <v>45619</v>
      </c>
      <c r="E1821" s="170"/>
      <c r="F1821" s="58" t="str">
        <f>VLOOKUP(MOD(C1821,7),'CALENDAR INFO'!$I$2:$J$8,2)</f>
        <v>SAT</v>
      </c>
      <c r="G1821" s="214">
        <v>4.58</v>
      </c>
      <c r="H1821" s="425">
        <v>4.57</v>
      </c>
      <c r="I1821" s="457">
        <f t="shared" si="162"/>
        <v>-9.9999999999997868E-3</v>
      </c>
      <c r="J1821" s="152" t="s">
        <v>155</v>
      </c>
      <c r="K1821" s="178">
        <f ca="1">SUM(INDIRECT(K1808))</f>
        <v>0</v>
      </c>
      <c r="L1821" s="192">
        <f ca="1">SUM(INDIRECT(L1808))</f>
        <v>0</v>
      </c>
      <c r="M1821" s="211">
        <f t="shared" si="163"/>
        <v>0</v>
      </c>
      <c r="N1821" s="64">
        <f t="shared" si="164"/>
        <v>1</v>
      </c>
    </row>
    <row r="1822" spans="2:16">
      <c r="B1822" s="41"/>
      <c r="C1822" s="103">
        <f t="shared" si="159"/>
        <v>45620</v>
      </c>
      <c r="E1822" s="170"/>
      <c r="F1822" s="58" t="str">
        <f>VLOOKUP(MOD(C1822,7),'CALENDAR INFO'!$I$2:$J$8,2)</f>
        <v>SUN</v>
      </c>
      <c r="G1822" s="214">
        <v>4.58</v>
      </c>
      <c r="H1822" s="425">
        <v>4.57</v>
      </c>
      <c r="I1822" s="457">
        <f t="shared" si="162"/>
        <v>-9.9999999999997868E-3</v>
      </c>
      <c r="J1822" s="15" t="s">
        <v>185</v>
      </c>
      <c r="K1822" s="178">
        <f ca="1">SUM(INDIRECT(K1809))</f>
        <v>0</v>
      </c>
      <c r="L1822" s="192">
        <f ca="1">SUM(INDIRECT(L1809))</f>
        <v>33.809999999999995</v>
      </c>
      <c r="M1822" s="211">
        <f t="shared" si="163"/>
        <v>0</v>
      </c>
      <c r="N1822" s="64">
        <f t="shared" si="164"/>
        <v>1</v>
      </c>
    </row>
    <row r="1823" spans="2:16">
      <c r="B1823" s="41"/>
      <c r="C1823" s="103">
        <f t="shared" si="159"/>
        <v>45621</v>
      </c>
      <c r="E1823" s="170"/>
      <c r="F1823" s="58" t="str">
        <f>VLOOKUP(MOD(C1823,7),'CALENDAR INFO'!$I$2:$J$8,2)</f>
        <v>MON</v>
      </c>
      <c r="G1823" s="214">
        <v>4.58</v>
      </c>
      <c r="H1823" s="425">
        <v>4.58</v>
      </c>
      <c r="I1823" s="457">
        <f t="shared" si="162"/>
        <v>0</v>
      </c>
      <c r="J1823" s="152" t="s">
        <v>186</v>
      </c>
      <c r="K1823" s="178" t="e">
        <f ca="1">K1820-K1821-K1822</f>
        <v>#REF!</v>
      </c>
      <c r="L1823" s="201" t="e">
        <f ca="1">L1820-L1821-L1822</f>
        <v>#REF!</v>
      </c>
      <c r="M1823" s="211">
        <f t="shared" si="163"/>
        <v>1</v>
      </c>
      <c r="N1823" s="64">
        <f t="shared" si="164"/>
        <v>1.0001272222222222</v>
      </c>
      <c r="P1823" s="283"/>
    </row>
    <row r="1824" spans="2:16">
      <c r="B1824" s="41"/>
      <c r="C1824" s="103">
        <f t="shared" si="159"/>
        <v>45622</v>
      </c>
      <c r="E1824" s="170"/>
      <c r="F1824" s="58" t="str">
        <f>VLOOKUP(MOD(C1824,7),'CALENDAR INFO'!$I$2:$J$8,2)</f>
        <v>TUE</v>
      </c>
      <c r="G1824" s="214">
        <v>4.58</v>
      </c>
      <c r="H1824" s="425">
        <v>4.58</v>
      </c>
      <c r="I1824" s="457">
        <f t="shared" si="162"/>
        <v>0</v>
      </c>
      <c r="K1824" s="152"/>
      <c r="L1824" s="202"/>
      <c r="M1824" s="211">
        <f t="shared" si="163"/>
        <v>1</v>
      </c>
      <c r="N1824" s="64">
        <f t="shared" si="164"/>
        <v>1.0001272222222222</v>
      </c>
      <c r="P1824" s="284"/>
    </row>
    <row r="1825" spans="1:16">
      <c r="B1825" s="41"/>
      <c r="C1825" s="103">
        <f t="shared" si="159"/>
        <v>45623</v>
      </c>
      <c r="E1825" s="170" t="s">
        <v>19</v>
      </c>
      <c r="F1825" s="58" t="str">
        <f>VLOOKUP(MOD(C1825,7),'CALENDAR INFO'!$I$2:$J$8,2)</f>
        <v>WED</v>
      </c>
      <c r="G1825" s="214">
        <v>4.58</v>
      </c>
      <c r="H1825" s="425">
        <v>4.57</v>
      </c>
      <c r="I1825" s="457">
        <f t="shared" si="162"/>
        <v>-9.9999999999997868E-3</v>
      </c>
      <c r="J1825" s="152" t="s">
        <v>188</v>
      </c>
      <c r="K1825" s="290">
        <f ca="1">K1800-K1812-K1813</f>
        <v>23</v>
      </c>
      <c r="L1825" s="291">
        <f ca="1">L1800-L1812-L1813</f>
        <v>23</v>
      </c>
      <c r="M1825" s="117">
        <v>2</v>
      </c>
      <c r="N1825" s="64">
        <f t="shared" si="164"/>
        <v>1.000253888888889</v>
      </c>
      <c r="P1825" s="284"/>
    </row>
    <row r="1826" spans="1:16">
      <c r="B1826" s="41"/>
      <c r="C1826" s="103">
        <f t="shared" si="159"/>
        <v>45624</v>
      </c>
      <c r="D1826" s="173" t="s">
        <v>60</v>
      </c>
      <c r="E1826" s="289" t="s">
        <v>18</v>
      </c>
      <c r="F1826" s="58" t="str">
        <f>VLOOKUP(MOD(C1826,7),'CALENDAR INFO'!$I$2:$J$8,2)</f>
        <v>THU</v>
      </c>
      <c r="G1826" s="214">
        <v>4.58</v>
      </c>
      <c r="H1826" s="425">
        <v>4.57</v>
      </c>
      <c r="I1826" s="457">
        <f t="shared" si="162"/>
        <v>-9.9999999999997868E-3</v>
      </c>
      <c r="J1826" s="152" t="s">
        <v>189</v>
      </c>
      <c r="K1826" s="182" t="e">
        <f ca="1">K1823/K1825</f>
        <v>#REF!</v>
      </c>
      <c r="L1826" s="201" t="e">
        <f ca="1">L1823/L1825</f>
        <v>#REF!</v>
      </c>
      <c r="M1826" s="117">
        <v>0</v>
      </c>
      <c r="N1826" s="64">
        <f t="shared" si="164"/>
        <v>1</v>
      </c>
    </row>
    <row r="1827" spans="1:16">
      <c r="B1827" s="41"/>
      <c r="C1827" s="103">
        <f t="shared" si="159"/>
        <v>45625</v>
      </c>
      <c r="E1827" s="289"/>
      <c r="F1827" s="58" t="str">
        <f>VLOOKUP(MOD(C1827,7),'CALENDAR INFO'!$I$2:$J$8,2)</f>
        <v>FRI</v>
      </c>
      <c r="G1827" s="214">
        <v>4.58</v>
      </c>
      <c r="H1827" s="425">
        <v>4.59</v>
      </c>
      <c r="I1827" s="457">
        <f t="shared" si="162"/>
        <v>9.9999999999997868E-3</v>
      </c>
      <c r="J1827" s="152"/>
      <c r="K1827" s="182"/>
      <c r="L1827" s="201"/>
      <c r="M1827" s="211">
        <f t="shared" ref="M1827:M1851" si="166">IF(MOD(C1827,7)&lt;2,0,IF(MOD(C1827,7)=6,3,1))</f>
        <v>3</v>
      </c>
      <c r="N1827" s="64">
        <f t="shared" si="164"/>
        <v>1.0003825</v>
      </c>
    </row>
    <row r="1828" spans="1:16" ht="15.75" thickBot="1">
      <c r="A1828" s="98"/>
      <c r="B1828" s="230"/>
      <c r="C1828" s="104">
        <f t="shared" si="159"/>
        <v>45626</v>
      </c>
      <c r="D1828" s="112"/>
      <c r="E1828" s="246"/>
      <c r="F1828" s="71" t="str">
        <f>VLOOKUP(MOD(C1828,7),'CALENDAR INFO'!$I$2:$J$8,2)</f>
        <v>SAT</v>
      </c>
      <c r="G1828" s="215">
        <v>4.58</v>
      </c>
      <c r="H1828" s="426">
        <v>4.59</v>
      </c>
      <c r="I1828" s="458">
        <f t="shared" si="162"/>
        <v>9.9999999999997868E-3</v>
      </c>
      <c r="J1828" s="424" t="s">
        <v>202</v>
      </c>
      <c r="K1828" s="340">
        <f ca="1">100-K1821/K1817</f>
        <v>100</v>
      </c>
      <c r="L1828" s="341">
        <f ca="1">100-L1821/L1817</f>
        <v>100</v>
      </c>
      <c r="M1828" s="113">
        <f t="shared" si="166"/>
        <v>0</v>
      </c>
      <c r="N1828" s="77">
        <f t="shared" si="164"/>
        <v>1</v>
      </c>
    </row>
    <row r="1829" spans="1:16">
      <c r="A1829" s="364"/>
      <c r="B1829" s="365"/>
      <c r="C1829" s="103">
        <f t="shared" si="159"/>
        <v>45627</v>
      </c>
      <c r="E1829" s="167"/>
      <c r="F1829" s="58" t="str">
        <f>VLOOKUP(MOD(C1829,7),'CALENDAR INFO'!$I$2:$J$8,2)</f>
        <v>SUN</v>
      </c>
      <c r="G1829" s="214">
        <v>4.58</v>
      </c>
      <c r="H1829" s="425">
        <v>4.59</v>
      </c>
      <c r="I1829" s="457">
        <f t="shared" si="162"/>
        <v>9.9999999999997868E-3</v>
      </c>
      <c r="J1829" s="436" t="s">
        <v>151</v>
      </c>
      <c r="K1829" s="15">
        <f>ROW(K1829)</f>
        <v>1829</v>
      </c>
      <c r="L1829" s="179">
        <f>K1829</f>
        <v>1829</v>
      </c>
      <c r="M1829" s="116">
        <f t="shared" si="166"/>
        <v>0</v>
      </c>
      <c r="N1829" s="111">
        <f t="shared" si="164"/>
        <v>1</v>
      </c>
    </row>
    <row r="1830" spans="1:16">
      <c r="A1830" s="364"/>
      <c r="B1830" s="365"/>
      <c r="C1830" s="103">
        <f t="shared" si="159"/>
        <v>45628</v>
      </c>
      <c r="E1830" s="167"/>
      <c r="F1830" s="58" t="str">
        <f>VLOOKUP(MOD(C1830,7),'CALENDAR INFO'!$I$2:$J$8,2)</f>
        <v>MON</v>
      </c>
      <c r="G1830" s="214">
        <v>4.58</v>
      </c>
      <c r="H1830" s="425">
        <v>4.6399999999999997</v>
      </c>
      <c r="I1830" s="457">
        <f t="shared" si="162"/>
        <v>5.9999999999999609E-2</v>
      </c>
      <c r="J1830" s="152" t="s">
        <v>118</v>
      </c>
      <c r="K1830" s="15">
        <f>VLOOKUP(MONTH($C1829),'CALENDAR INFO'!$I$12:$J$23,2)</f>
        <v>31</v>
      </c>
      <c r="L1830" s="179">
        <f>K1830</f>
        <v>31</v>
      </c>
      <c r="M1830" s="211">
        <f t="shared" si="166"/>
        <v>1</v>
      </c>
      <c r="N1830" s="64">
        <f t="shared" si="164"/>
        <v>1.0001288888888888</v>
      </c>
    </row>
    <row r="1831" spans="1:16">
      <c r="A1831" s="364"/>
      <c r="B1831" s="365"/>
      <c r="C1831" s="103">
        <f t="shared" si="159"/>
        <v>45629</v>
      </c>
      <c r="E1831" s="167"/>
      <c r="F1831" s="58" t="str">
        <f>VLOOKUP(MOD(C1831,7),'CALENDAR INFO'!$I$2:$J$8,2)</f>
        <v>TUE</v>
      </c>
      <c r="G1831" s="214">
        <v>4.58</v>
      </c>
      <c r="H1831" s="425">
        <v>4.6399999999999997</v>
      </c>
      <c r="I1831" s="457">
        <f t="shared" si="162"/>
        <v>5.9999999999999609E-2</v>
      </c>
      <c r="J1831" s="152" t="s">
        <v>152</v>
      </c>
      <c r="K1831" s="15">
        <f>K1830+K1829-1</f>
        <v>1859</v>
      </c>
      <c r="L1831" s="200">
        <f>K1831</f>
        <v>1859</v>
      </c>
      <c r="M1831" s="211">
        <f t="shared" si="166"/>
        <v>1</v>
      </c>
      <c r="N1831" s="64">
        <f t="shared" si="164"/>
        <v>1.0001288888888888</v>
      </c>
    </row>
    <row r="1832" spans="1:16">
      <c r="A1832" s="364"/>
      <c r="B1832" s="365"/>
      <c r="C1832" s="103">
        <f t="shared" si="159"/>
        <v>45630</v>
      </c>
      <c r="E1832" s="167"/>
      <c r="F1832" s="58" t="str">
        <f>VLOOKUP(MOD(C1832,7),'CALENDAR INFO'!$I$2:$J$8,2)</f>
        <v>WED</v>
      </c>
      <c r="G1832" s="214">
        <v>4.58</v>
      </c>
      <c r="H1832" s="425">
        <v>4.59</v>
      </c>
      <c r="I1832" s="457">
        <f t="shared" si="162"/>
        <v>9.9999999999997868E-3</v>
      </c>
      <c r="J1832" s="152"/>
      <c r="K1832" s="182"/>
      <c r="L1832" s="201"/>
      <c r="M1832" s="211">
        <f t="shared" si="166"/>
        <v>1</v>
      </c>
      <c r="N1832" s="64">
        <f t="shared" si="164"/>
        <v>1.0001275000000001</v>
      </c>
    </row>
    <row r="1833" spans="1:16">
      <c r="A1833" s="364"/>
      <c r="B1833" s="365"/>
      <c r="C1833" s="103">
        <f t="shared" si="159"/>
        <v>45631</v>
      </c>
      <c r="E1833" s="167"/>
      <c r="F1833" s="58" t="str">
        <f>VLOOKUP(MOD(C1833,7),'CALENDAR INFO'!$I$2:$J$8,2)</f>
        <v>THU</v>
      </c>
      <c r="G1833" s="214">
        <v>4.58</v>
      </c>
      <c r="H1833" s="425">
        <v>4.59</v>
      </c>
      <c r="I1833" s="457">
        <f t="shared" si="162"/>
        <v>9.9999999999997868E-3</v>
      </c>
      <c r="J1833" s="152" t="s">
        <v>192</v>
      </c>
      <c r="K1833" s="366">
        <v>1846</v>
      </c>
      <c r="L1833" s="291">
        <f>K1833</f>
        <v>1846</v>
      </c>
      <c r="M1833" s="211">
        <f t="shared" si="166"/>
        <v>1</v>
      </c>
      <c r="N1833" s="64">
        <f t="shared" si="164"/>
        <v>1.0001275000000001</v>
      </c>
    </row>
    <row r="1834" spans="1:16">
      <c r="A1834" s="364"/>
      <c r="B1834" s="365"/>
      <c r="C1834" s="103">
        <f t="shared" si="159"/>
        <v>45632</v>
      </c>
      <c r="E1834" s="167"/>
      <c r="F1834" s="58" t="str">
        <f>VLOOKUP(MOD(C1834,7),'CALENDAR INFO'!$I$2:$J$8,2)</f>
        <v>FRI</v>
      </c>
      <c r="G1834" s="214">
        <v>4.58</v>
      </c>
      <c r="H1834" s="425">
        <v>4.5999999999999996</v>
      </c>
      <c r="I1834" s="457">
        <f t="shared" si="162"/>
        <v>1.9999999999999574E-2</v>
      </c>
      <c r="J1834" s="152" t="s">
        <v>193</v>
      </c>
      <c r="K1834" s="290">
        <f>K1833+1</f>
        <v>1847</v>
      </c>
      <c r="L1834" s="291">
        <f>K1834</f>
        <v>1847</v>
      </c>
      <c r="M1834" s="211">
        <f t="shared" si="166"/>
        <v>3</v>
      </c>
      <c r="N1834" s="64">
        <f t="shared" si="164"/>
        <v>1.0003833333333334</v>
      </c>
    </row>
    <row r="1835" spans="1:16">
      <c r="A1835" s="364"/>
      <c r="B1835" s="365"/>
      <c r="C1835" s="103">
        <f t="shared" si="159"/>
        <v>45633</v>
      </c>
      <c r="E1835" s="167"/>
      <c r="F1835" s="58" t="str">
        <f>VLOOKUP(MOD(C1835,7),'CALENDAR INFO'!$I$2:$J$8,2)</f>
        <v>SAT</v>
      </c>
      <c r="G1835" s="214">
        <v>4.58</v>
      </c>
      <c r="H1835" s="425">
        <v>4.5999999999999996</v>
      </c>
      <c r="I1835" s="457">
        <f t="shared" si="162"/>
        <v>1.9999999999999574E-2</v>
      </c>
      <c r="J1835" s="152"/>
      <c r="K1835" s="152"/>
      <c r="L1835" s="202"/>
      <c r="M1835" s="211">
        <f t="shared" si="166"/>
        <v>0</v>
      </c>
      <c r="N1835" s="64">
        <f t="shared" si="164"/>
        <v>1</v>
      </c>
    </row>
    <row r="1836" spans="1:16">
      <c r="A1836" s="364"/>
      <c r="B1836" s="365"/>
      <c r="C1836" s="103">
        <f t="shared" si="159"/>
        <v>45634</v>
      </c>
      <c r="E1836" s="167"/>
      <c r="F1836" s="58" t="str">
        <f>VLOOKUP(MOD(C1836,7),'CALENDAR INFO'!$I$2:$J$8,2)</f>
        <v>SUN</v>
      </c>
      <c r="G1836" s="214">
        <v>4.58</v>
      </c>
      <c r="H1836" s="425">
        <v>4.5999999999999996</v>
      </c>
      <c r="I1836" s="457">
        <f t="shared" si="162"/>
        <v>1.9999999999999574E-2</v>
      </c>
      <c r="J1836" s="15" t="s">
        <v>213</v>
      </c>
      <c r="K1836" s="15" t="s">
        <v>227</v>
      </c>
      <c r="L1836" s="179" t="s">
        <v>228</v>
      </c>
      <c r="M1836" s="211">
        <f t="shared" si="166"/>
        <v>0</v>
      </c>
      <c r="N1836" s="64">
        <f t="shared" si="164"/>
        <v>1</v>
      </c>
    </row>
    <row r="1837" spans="1:16">
      <c r="A1837" s="364"/>
      <c r="B1837" s="365"/>
      <c r="C1837" s="103">
        <f t="shared" si="159"/>
        <v>45635</v>
      </c>
      <c r="E1837" s="167"/>
      <c r="F1837" s="58" t="str">
        <f>VLOOKUP(MOD(C1837,7),'CALENDAR INFO'!$I$2:$J$8,2)</f>
        <v>MON</v>
      </c>
      <c r="G1837" s="214">
        <v>4.58</v>
      </c>
      <c r="H1837" s="425">
        <v>4.63</v>
      </c>
      <c r="I1837" s="457">
        <f t="shared" si="162"/>
        <v>4.9999999999999822E-2</v>
      </c>
      <c r="J1837" s="15" t="s">
        <v>214</v>
      </c>
      <c r="K1837" s="15" t="str">
        <f>_xlfn.CONCAT("K$",TEXT(K1829+27,0))</f>
        <v>K$1856</v>
      </c>
      <c r="L1837" s="179" t="str">
        <f>_xlfn.CONCAT("L$",TEXT(L1829+27,0))</f>
        <v>L$1856</v>
      </c>
      <c r="M1837" s="211">
        <f t="shared" si="166"/>
        <v>1</v>
      </c>
      <c r="N1837" s="64">
        <f t="shared" si="164"/>
        <v>1.0001286111111112</v>
      </c>
    </row>
    <row r="1838" spans="1:16">
      <c r="A1838" s="364"/>
      <c r="B1838" s="365"/>
      <c r="C1838" s="103">
        <f t="shared" si="159"/>
        <v>45636</v>
      </c>
      <c r="E1838" s="167"/>
      <c r="F1838" s="58" t="str">
        <f>VLOOKUP(MOD(C1838,7),'CALENDAR INFO'!$I$2:$J$8,2)</f>
        <v>TUE</v>
      </c>
      <c r="G1838" s="214">
        <v>4.58</v>
      </c>
      <c r="H1838" s="425">
        <v>4.6399999999999997</v>
      </c>
      <c r="I1838" s="457">
        <f t="shared" si="162"/>
        <v>5.9999999999999609E-2</v>
      </c>
      <c r="J1838" s="152" t="s">
        <v>153</v>
      </c>
      <c r="K1838" s="312" t="str">
        <f>_xlfn.CONCAT("A",TEXT(K1829,0),":","A",TEXT(K1831,0))</f>
        <v>A1829:A1859</v>
      </c>
      <c r="L1838" s="313" t="str">
        <f>_xlfn.CONCAT("B",TEXT(L1829,0),":","B",TEXT(L1831,0))</f>
        <v>B1829:B1859</v>
      </c>
      <c r="M1838" s="211">
        <f t="shared" si="166"/>
        <v>1</v>
      </c>
      <c r="N1838" s="64">
        <f t="shared" si="164"/>
        <v>1.0001288888888888</v>
      </c>
      <c r="P1838" s="283"/>
    </row>
    <row r="1839" spans="1:16">
      <c r="A1839" s="364"/>
      <c r="B1839" s="365"/>
      <c r="C1839" s="103">
        <f t="shared" si="159"/>
        <v>45637</v>
      </c>
      <c r="E1839" s="167" t="s">
        <v>19</v>
      </c>
      <c r="F1839" s="58" t="str">
        <f>VLOOKUP(MOD(C1839,7),'CALENDAR INFO'!$I$2:$J$8,2)</f>
        <v>WED</v>
      </c>
      <c r="G1839" s="214">
        <v>4.58</v>
      </c>
      <c r="H1839" s="425">
        <v>4.62</v>
      </c>
      <c r="I1839" s="457">
        <f t="shared" si="162"/>
        <v>4.0000000000000036E-2</v>
      </c>
      <c r="J1839" s="152" t="s">
        <v>190</v>
      </c>
      <c r="K1839" s="182" t="str">
        <f>_xlfn.CONCAT("F",TEXT(K1829,0),":","F",TEXT(K1833,0))</f>
        <v>F1829:F1846</v>
      </c>
      <c r="L1839" s="201" t="str">
        <f>_xlfn.CONCAT("G",TEXT(L1829,0),":","G",TEXT(L1833,0))</f>
        <v>G1829:G1846</v>
      </c>
      <c r="M1839" s="211">
        <f t="shared" si="166"/>
        <v>1</v>
      </c>
      <c r="N1839" s="64">
        <f t="shared" si="164"/>
        <v>1.0001283333333333</v>
      </c>
      <c r="P1839" s="284"/>
    </row>
    <row r="1840" spans="1:16">
      <c r="A1840" s="364"/>
      <c r="B1840" s="365"/>
      <c r="C1840" s="103">
        <f t="shared" si="159"/>
        <v>45638</v>
      </c>
      <c r="E1840" s="170" t="s">
        <v>18</v>
      </c>
      <c r="F1840" s="58" t="str">
        <f>VLOOKUP(MOD(C1840,7),'CALENDAR INFO'!$I$2:$J$8,2)</f>
        <v>THU</v>
      </c>
      <c r="G1840" s="214">
        <v>4.58</v>
      </c>
      <c r="H1840" s="425">
        <v>4.62</v>
      </c>
      <c r="I1840" s="457">
        <f t="shared" si="162"/>
        <v>4.0000000000000036E-2</v>
      </c>
      <c r="J1840" s="152" t="s">
        <v>191</v>
      </c>
      <c r="K1840" s="152" t="str">
        <f>_xlfn.CONCAT("F",TEXT(K1834,0),":","F",TEXT(K1831,0))</f>
        <v>F1847:F1859</v>
      </c>
      <c r="L1840" s="201" t="str">
        <f>_xlfn.CONCAT("G",TEXT(L1834,0),":","G",TEXT(L1831,0))</f>
        <v>G1847:G1859</v>
      </c>
      <c r="M1840" s="211">
        <f t="shared" si="166"/>
        <v>1</v>
      </c>
      <c r="N1840" s="64">
        <f t="shared" si="164"/>
        <v>1.0001283333333333</v>
      </c>
    </row>
    <row r="1841" spans="1:16">
      <c r="A1841" s="364"/>
      <c r="B1841" s="365"/>
      <c r="C1841" s="103">
        <f t="shared" si="159"/>
        <v>45639</v>
      </c>
      <c r="E1841" s="170"/>
      <c r="F1841" s="58" t="str">
        <f>VLOOKUP(MOD(C1841,7),'CALENDAR INFO'!$I$2:$J$8,2)</f>
        <v>FRI</v>
      </c>
      <c r="G1841" s="214">
        <v>4.58</v>
      </c>
      <c r="H1841" s="425">
        <v>4.5999999999999996</v>
      </c>
      <c r="I1841" s="457">
        <f t="shared" si="162"/>
        <v>1.9999999999999574E-2</v>
      </c>
      <c r="J1841" s="152"/>
      <c r="K1841" s="152"/>
      <c r="L1841" s="201"/>
      <c r="M1841" s="211">
        <f t="shared" si="166"/>
        <v>3</v>
      </c>
      <c r="N1841" s="64">
        <f t="shared" si="164"/>
        <v>1.0003833333333334</v>
      </c>
    </row>
    <row r="1842" spans="1:16">
      <c r="A1842" s="364"/>
      <c r="B1842" s="365"/>
      <c r="C1842" s="103">
        <f t="shared" si="159"/>
        <v>45640</v>
      </c>
      <c r="E1842" s="170"/>
      <c r="F1842" s="58" t="str">
        <f>VLOOKUP(MOD(C1842,7),'CALENDAR INFO'!$I$2:$J$8,2)</f>
        <v>SAT</v>
      </c>
      <c r="G1842" s="214">
        <v>4.58</v>
      </c>
      <c r="H1842" s="425">
        <v>4.5999999999999996</v>
      </c>
      <c r="I1842" s="457">
        <f t="shared" si="162"/>
        <v>1.9999999999999574E-2</v>
      </c>
      <c r="J1842" s="15" t="s">
        <v>194</v>
      </c>
      <c r="K1842" s="152">
        <f t="shared" ref="K1842:L1844" ca="1" si="167">COUNTA(INDIRECT(K1838))</f>
        <v>0</v>
      </c>
      <c r="L1842" s="202">
        <f t="shared" ca="1" si="167"/>
        <v>0</v>
      </c>
      <c r="M1842" s="211">
        <f t="shared" si="166"/>
        <v>0</v>
      </c>
      <c r="N1842" s="64">
        <f t="shared" si="164"/>
        <v>1</v>
      </c>
    </row>
    <row r="1843" spans="1:16">
      <c r="A1843" s="364"/>
      <c r="B1843" s="365"/>
      <c r="C1843" s="103">
        <f t="shared" si="159"/>
        <v>45641</v>
      </c>
      <c r="E1843" s="170"/>
      <c r="F1843" s="58" t="str">
        <f>VLOOKUP(MOD(C1843,7),'CALENDAR INFO'!$I$2:$J$8,2)</f>
        <v>SUN</v>
      </c>
      <c r="G1843" s="214">
        <v>4.58</v>
      </c>
      <c r="H1843" s="425">
        <v>4.5999999999999996</v>
      </c>
      <c r="I1843" s="457">
        <f t="shared" si="162"/>
        <v>1.9999999999999574E-2</v>
      </c>
      <c r="J1843" s="152" t="s">
        <v>195</v>
      </c>
      <c r="K1843" s="306">
        <f t="shared" ca="1" si="167"/>
        <v>18</v>
      </c>
      <c r="L1843" s="200">
        <f t="shared" ca="1" si="167"/>
        <v>18</v>
      </c>
      <c r="M1843" s="211">
        <f t="shared" si="166"/>
        <v>0</v>
      </c>
      <c r="N1843" s="64">
        <f t="shared" si="164"/>
        <v>1</v>
      </c>
    </row>
    <row r="1844" spans="1:16">
      <c r="A1844" s="364"/>
      <c r="B1844" s="365"/>
      <c r="C1844" s="103">
        <f t="shared" si="159"/>
        <v>45642</v>
      </c>
      <c r="E1844" s="170"/>
      <c r="F1844" s="58" t="str">
        <f>VLOOKUP(MOD(C1844,7),'CALENDAR INFO'!$I$2:$J$8,2)</f>
        <v>MON</v>
      </c>
      <c r="G1844" s="214">
        <v>4.58</v>
      </c>
      <c r="H1844" s="425">
        <v>4.6500000000000004</v>
      </c>
      <c r="I1844" s="457">
        <f t="shared" si="162"/>
        <v>7.0000000000000284E-2</v>
      </c>
      <c r="J1844" s="15" t="s">
        <v>196</v>
      </c>
      <c r="K1844" s="306">
        <f t="shared" ca="1" si="167"/>
        <v>13</v>
      </c>
      <c r="L1844" s="200">
        <f t="shared" ca="1" si="167"/>
        <v>13</v>
      </c>
      <c r="M1844" s="211">
        <f t="shared" si="166"/>
        <v>1</v>
      </c>
      <c r="N1844" s="64">
        <f t="shared" si="164"/>
        <v>1.0001291666666667</v>
      </c>
    </row>
    <row r="1845" spans="1:16">
      <c r="A1845" s="364"/>
      <c r="B1845" s="365"/>
      <c r="C1845" s="103">
        <f t="shared" ref="C1845:C1858" si="168">C1844+1</f>
        <v>45643</v>
      </c>
      <c r="D1845" s="153" t="s">
        <v>20</v>
      </c>
      <c r="E1845" s="170"/>
      <c r="F1845" s="58" t="str">
        <f>VLOOKUP(MOD(C1845,7),'CALENDAR INFO'!$I$2:$J$8,2)</f>
        <v>TUE</v>
      </c>
      <c r="G1845" s="214">
        <v>4.58</v>
      </c>
      <c r="H1845" s="425">
        <v>4.62</v>
      </c>
      <c r="I1845" s="457">
        <f t="shared" si="162"/>
        <v>4.0000000000000036E-2</v>
      </c>
      <c r="K1845" s="178"/>
      <c r="L1845" s="192"/>
      <c r="M1845" s="211">
        <f t="shared" si="166"/>
        <v>1</v>
      </c>
      <c r="N1845" s="64">
        <f t="shared" si="164"/>
        <v>1.0001283333333333</v>
      </c>
    </row>
    <row r="1846" spans="1:16">
      <c r="A1846" s="364"/>
      <c r="B1846" s="365"/>
      <c r="C1846" s="103">
        <f t="shared" si="168"/>
        <v>45644</v>
      </c>
      <c r="D1846" s="153" t="s">
        <v>20</v>
      </c>
      <c r="E1846" s="170"/>
      <c r="F1846" s="58" t="str">
        <f>VLOOKUP(MOD(C1846,7),'CALENDAR INFO'!$I$2:$J$8,2)</f>
        <v>WED</v>
      </c>
      <c r="G1846" s="214">
        <v>4.58</v>
      </c>
      <c r="H1846" s="425">
        <v>4.57</v>
      </c>
      <c r="I1846" s="457">
        <f t="shared" si="162"/>
        <v>-9.9999999999997868E-3</v>
      </c>
      <c r="J1846" s="152" t="s">
        <v>197</v>
      </c>
      <c r="K1846" s="180" t="e">
        <f>OUTPUT!#REF!</f>
        <v>#REF!</v>
      </c>
      <c r="L1846" s="193" t="e">
        <f>OUTPUT!#REF!</f>
        <v>#REF!</v>
      </c>
      <c r="M1846" s="211">
        <f t="shared" si="166"/>
        <v>1</v>
      </c>
      <c r="N1846" s="64">
        <f t="shared" si="164"/>
        <v>1.0001269444444445</v>
      </c>
    </row>
    <row r="1847" spans="1:16">
      <c r="B1847" s="41"/>
      <c r="C1847" s="103">
        <f t="shared" si="168"/>
        <v>45645</v>
      </c>
      <c r="E1847" s="170"/>
      <c r="F1847" s="58" t="str">
        <f>VLOOKUP(MOD(C1847,7),'CALENDAR INFO'!$I$2:$J$8,2)</f>
        <v>THU</v>
      </c>
      <c r="G1847" s="214">
        <v>4.33</v>
      </c>
      <c r="H1847" s="425">
        <v>4.3</v>
      </c>
      <c r="I1847" s="457">
        <f t="shared" si="162"/>
        <v>-3.0000000000000249E-2</v>
      </c>
      <c r="J1847" s="152" t="s">
        <v>118</v>
      </c>
      <c r="K1847" s="314">
        <f>K1830</f>
        <v>31</v>
      </c>
      <c r="L1847" s="315">
        <f>L1830</f>
        <v>31</v>
      </c>
      <c r="M1847" s="211">
        <f t="shared" si="166"/>
        <v>1</v>
      </c>
      <c r="N1847" s="64">
        <f t="shared" si="164"/>
        <v>1.0001194444444443</v>
      </c>
    </row>
    <row r="1848" spans="1:16">
      <c r="B1848" s="41"/>
      <c r="C1848" s="103">
        <f t="shared" si="168"/>
        <v>45646</v>
      </c>
      <c r="E1848" s="170"/>
      <c r="F1848" s="58" t="str">
        <f>VLOOKUP(MOD(C1848,7),'CALENDAR INFO'!$I$2:$J$8,2)</f>
        <v>FRI</v>
      </c>
      <c r="G1848" s="214">
        <v>4.33</v>
      </c>
      <c r="H1848" s="425">
        <v>4.3</v>
      </c>
      <c r="I1848" s="457">
        <f t="shared" si="162"/>
        <v>-3.0000000000000249E-2</v>
      </c>
      <c r="J1848" s="152" t="s">
        <v>184</v>
      </c>
      <c r="K1848" s="178" t="e">
        <f>K1846*K1847</f>
        <v>#REF!</v>
      </c>
      <c r="L1848" s="192" t="e">
        <f>L1846*L1847</f>
        <v>#REF!</v>
      </c>
      <c r="M1848" s="211">
        <f t="shared" si="166"/>
        <v>3</v>
      </c>
      <c r="N1848" s="64">
        <f t="shared" si="164"/>
        <v>1.0003583333333332</v>
      </c>
    </row>
    <row r="1849" spans="1:16">
      <c r="B1849" s="41"/>
      <c r="C1849" s="103">
        <f t="shared" si="168"/>
        <v>45647</v>
      </c>
      <c r="E1849" s="170"/>
      <c r="F1849" s="58" t="str">
        <f>VLOOKUP(MOD(C1849,7),'CALENDAR INFO'!$I$2:$J$8,2)</f>
        <v>SAT</v>
      </c>
      <c r="G1849" s="214">
        <v>4.33</v>
      </c>
      <c r="H1849" s="425">
        <v>4.3</v>
      </c>
      <c r="I1849" s="457">
        <f t="shared" si="162"/>
        <v>-3.0000000000000249E-2</v>
      </c>
      <c r="J1849" s="152"/>
      <c r="K1849" s="306"/>
      <c r="L1849" s="200"/>
      <c r="M1849" s="211">
        <f t="shared" si="166"/>
        <v>0</v>
      </c>
      <c r="N1849" s="64">
        <f t="shared" si="164"/>
        <v>1</v>
      </c>
    </row>
    <row r="1850" spans="1:16">
      <c r="B1850" s="41"/>
      <c r="C1850" s="103">
        <f t="shared" si="168"/>
        <v>45648</v>
      </c>
      <c r="E1850" s="170"/>
      <c r="F1850" s="58" t="str">
        <f>VLOOKUP(MOD(C1850,7),'CALENDAR INFO'!$I$2:$J$8,2)</f>
        <v>SUN</v>
      </c>
      <c r="G1850" s="214">
        <v>4.33</v>
      </c>
      <c r="H1850" s="425">
        <v>4.3</v>
      </c>
      <c r="I1850" s="457">
        <f t="shared" si="162"/>
        <v>-3.0000000000000249E-2</v>
      </c>
      <c r="J1850" s="152" t="s">
        <v>187</v>
      </c>
      <c r="K1850" s="207" t="e">
        <f>K1848</f>
        <v>#REF!</v>
      </c>
      <c r="L1850" s="208" t="e">
        <f>L1848</f>
        <v>#REF!</v>
      </c>
      <c r="M1850" s="211">
        <f t="shared" si="166"/>
        <v>0</v>
      </c>
      <c r="N1850" s="64">
        <f t="shared" si="164"/>
        <v>1</v>
      </c>
    </row>
    <row r="1851" spans="1:16">
      <c r="B1851" s="41"/>
      <c r="C1851" s="103">
        <f t="shared" si="168"/>
        <v>45649</v>
      </c>
      <c r="E1851" s="170"/>
      <c r="F1851" s="58" t="str">
        <f>VLOOKUP(MOD(C1851,7),'CALENDAR INFO'!$I$2:$J$8,2)</f>
        <v>MON</v>
      </c>
      <c r="G1851" s="214">
        <v>4.33</v>
      </c>
      <c r="H1851" s="425">
        <v>4.3099999999999996</v>
      </c>
      <c r="I1851" s="457">
        <f t="shared" si="162"/>
        <v>-2.0000000000000462E-2</v>
      </c>
      <c r="J1851" s="15" t="s">
        <v>155</v>
      </c>
      <c r="K1851" s="182">
        <f ca="1">SUM(INDIRECT(K1838))</f>
        <v>0</v>
      </c>
      <c r="L1851" s="201">
        <f ca="1">SUM(INDIRECT(L1838))</f>
        <v>0</v>
      </c>
      <c r="M1851" s="211">
        <f t="shared" si="166"/>
        <v>1</v>
      </c>
      <c r="N1851" s="64">
        <f t="shared" si="164"/>
        <v>1.0001197222222222</v>
      </c>
    </row>
    <row r="1852" spans="1:16">
      <c r="B1852" s="41"/>
      <c r="C1852" s="103">
        <f t="shared" si="168"/>
        <v>45650</v>
      </c>
      <c r="E1852" s="170"/>
      <c r="F1852" s="58" t="str">
        <f>VLOOKUP(MOD(C1852,7),'CALENDAR INFO'!$I$2:$J$8,2)</f>
        <v>TUE</v>
      </c>
      <c r="G1852" s="214">
        <v>4.33</v>
      </c>
      <c r="H1852" s="425">
        <v>4.4000000000000004</v>
      </c>
      <c r="I1852" s="457">
        <f t="shared" si="162"/>
        <v>7.0000000000000284E-2</v>
      </c>
      <c r="J1852" s="15" t="s">
        <v>185</v>
      </c>
      <c r="K1852" s="182">
        <f ca="1">SUM(INDIRECT(K1839))</f>
        <v>0</v>
      </c>
      <c r="L1852" s="201">
        <f ca="1">SUM(INDIRECT(L1839))</f>
        <v>82.439999999999984</v>
      </c>
      <c r="M1852" s="117">
        <v>2</v>
      </c>
      <c r="N1852" s="64">
        <f t="shared" si="164"/>
        <v>1.0002444444444445</v>
      </c>
    </row>
    <row r="1853" spans="1:16">
      <c r="B1853" s="41"/>
      <c r="C1853" s="103">
        <f t="shared" si="168"/>
        <v>45651</v>
      </c>
      <c r="D1853" s="173" t="s">
        <v>111</v>
      </c>
      <c r="E1853" s="170" t="s">
        <v>19</v>
      </c>
      <c r="F1853" s="58" t="str">
        <f>VLOOKUP(MOD(C1853,7),'CALENDAR INFO'!$I$2:$J$8,2)</f>
        <v>WED</v>
      </c>
      <c r="G1853" s="214">
        <v>4.33</v>
      </c>
      <c r="H1853" s="425">
        <v>4.4000000000000004</v>
      </c>
      <c r="I1853" s="457">
        <f t="shared" si="162"/>
        <v>7.0000000000000284E-2</v>
      </c>
      <c r="J1853" s="15" t="s">
        <v>186</v>
      </c>
      <c r="K1853" s="182" t="e">
        <f ca="1">K1850-K1851-K1852</f>
        <v>#REF!</v>
      </c>
      <c r="L1853" s="201" t="e">
        <f ca="1">L1850-L1851-L1852</f>
        <v>#REF!</v>
      </c>
      <c r="M1853" s="117">
        <v>0</v>
      </c>
      <c r="N1853" s="64">
        <f t="shared" si="164"/>
        <v>1</v>
      </c>
    </row>
    <row r="1854" spans="1:16">
      <c r="B1854" s="41"/>
      <c r="C1854" s="103">
        <f t="shared" si="168"/>
        <v>45652</v>
      </c>
      <c r="E1854" s="167" t="s">
        <v>18</v>
      </c>
      <c r="F1854" s="58" t="str">
        <f>VLOOKUP(MOD(C1854,7),'CALENDAR INFO'!$I$2:$J$8,2)</f>
        <v>THU</v>
      </c>
      <c r="G1854" s="214">
        <v>4.33</v>
      </c>
      <c r="H1854" s="425">
        <v>4.53</v>
      </c>
      <c r="I1854" s="457">
        <f t="shared" si="162"/>
        <v>0.20000000000000018</v>
      </c>
      <c r="K1854" s="182"/>
      <c r="L1854" s="201"/>
      <c r="M1854" s="211">
        <f>IF(MOD(C1854,7)&lt;2,0,IF(MOD(C1854,7)=6,3,1))</f>
        <v>1</v>
      </c>
      <c r="N1854" s="64">
        <f t="shared" si="164"/>
        <v>1.0001258333333334</v>
      </c>
      <c r="P1854" s="283"/>
    </row>
    <row r="1855" spans="1:16">
      <c r="B1855" s="41"/>
      <c r="C1855" s="103">
        <f t="shared" si="168"/>
        <v>45653</v>
      </c>
      <c r="E1855" s="167"/>
      <c r="F1855" s="58" t="str">
        <f>VLOOKUP(MOD(C1855,7),'CALENDAR INFO'!$I$2:$J$8,2)</f>
        <v>FRI</v>
      </c>
      <c r="G1855" s="214">
        <v>4.33</v>
      </c>
      <c r="H1855" s="425">
        <v>4.46</v>
      </c>
      <c r="I1855" s="457">
        <f t="shared" si="162"/>
        <v>0.12999999999999989</v>
      </c>
      <c r="J1855" s="15" t="s">
        <v>188</v>
      </c>
      <c r="K1855" s="290">
        <f ca="1">K1830-K1842-K1843</f>
        <v>13</v>
      </c>
      <c r="L1855" s="291">
        <f ca="1">L1830-L1842-L1843</f>
        <v>13</v>
      </c>
      <c r="M1855" s="211">
        <f>IF(MOD(C1855,7)&lt;2,0,IF(MOD(C1855,7)=6,3,1))</f>
        <v>3</v>
      </c>
      <c r="N1855" s="64">
        <f t="shared" si="164"/>
        <v>1.0003716666666667</v>
      </c>
      <c r="P1855" s="284"/>
    </row>
    <row r="1856" spans="1:16">
      <c r="B1856" s="41"/>
      <c r="C1856" s="103">
        <f t="shared" si="168"/>
        <v>45654</v>
      </c>
      <c r="E1856" s="167"/>
      <c r="F1856" s="58" t="str">
        <f>VLOOKUP(MOD(C1856,7),'CALENDAR INFO'!$I$2:$J$8,2)</f>
        <v>SAT</v>
      </c>
      <c r="G1856" s="214">
        <v>4.33</v>
      </c>
      <c r="H1856" s="425">
        <v>4.46</v>
      </c>
      <c r="I1856" s="457">
        <f t="shared" si="162"/>
        <v>0.12999999999999989</v>
      </c>
      <c r="J1856" s="15" t="s">
        <v>189</v>
      </c>
      <c r="K1856" s="182" t="e">
        <f ca="1">K1853/K1855</f>
        <v>#REF!</v>
      </c>
      <c r="L1856" s="201" t="e">
        <f ca="1">L1853/L1855</f>
        <v>#REF!</v>
      </c>
      <c r="M1856" s="211">
        <f>IF(MOD(C1856,7)&lt;2,0,IF(MOD(C1856,7)=6,3,1))</f>
        <v>0</v>
      </c>
      <c r="N1856" s="64">
        <f t="shared" si="164"/>
        <v>1</v>
      </c>
      <c r="P1856" s="284"/>
    </row>
    <row r="1857" spans="1:14">
      <c r="B1857" s="41"/>
      <c r="C1857" s="103">
        <f t="shared" si="168"/>
        <v>45655</v>
      </c>
      <c r="E1857" s="167"/>
      <c r="F1857" s="58" t="str">
        <f>VLOOKUP(MOD(C1857,7),'CALENDAR INFO'!$I$2:$J$8,2)</f>
        <v>SUN</v>
      </c>
      <c r="G1857" s="214">
        <v>4.33</v>
      </c>
      <c r="H1857" s="425">
        <v>4.46</v>
      </c>
      <c r="I1857" s="457">
        <f t="shared" si="162"/>
        <v>0.12999999999999989</v>
      </c>
      <c r="J1857" s="152"/>
      <c r="K1857" s="182"/>
      <c r="L1857" s="201"/>
      <c r="M1857" s="211">
        <f>IF(MOD(C1857,7)&lt;2,0,IF(MOD(C1857,7)=6,3,1))</f>
        <v>0</v>
      </c>
      <c r="N1857" s="64">
        <f t="shared" si="164"/>
        <v>1</v>
      </c>
    </row>
    <row r="1858" spans="1:14">
      <c r="B1858" s="41"/>
      <c r="C1858" s="103">
        <f t="shared" si="168"/>
        <v>45656</v>
      </c>
      <c r="E1858" s="167"/>
      <c r="F1858" s="58" t="str">
        <f>VLOOKUP(MOD(C1858,7),'CALENDAR INFO'!$I$2:$J$8,2)</f>
        <v>MON</v>
      </c>
      <c r="G1858" s="214">
        <v>4.33</v>
      </c>
      <c r="H1858" s="425">
        <v>4.37</v>
      </c>
      <c r="I1858" s="457">
        <f t="shared" si="162"/>
        <v>4.0000000000000036E-2</v>
      </c>
      <c r="J1858" s="152"/>
      <c r="K1858" s="182"/>
      <c r="L1858" s="201"/>
      <c r="M1858" s="211">
        <f>IF(MOD(C1858,7)&lt;2,0,IF(MOD(C1858,7)=6,3,1))</f>
        <v>1</v>
      </c>
      <c r="N1858" s="64">
        <f t="shared" si="164"/>
        <v>1.0001213888888889</v>
      </c>
    </row>
    <row r="1859" spans="1:14" ht="15.75" thickBot="1">
      <c r="A1859" s="98"/>
      <c r="B1859" s="230"/>
      <c r="C1859" s="104">
        <v>45657</v>
      </c>
      <c r="D1859" s="112"/>
      <c r="E1859" s="92"/>
      <c r="F1859" s="71" t="str">
        <f>VLOOKUP(MOD(C1859,7),'CALENDAR INFO'!$I$2:$J$8,2)</f>
        <v>TUE</v>
      </c>
      <c r="G1859" s="215">
        <v>4.33</v>
      </c>
      <c r="H1859" s="426">
        <v>4.49</v>
      </c>
      <c r="I1859" s="458">
        <f t="shared" ref="I1859:I1922" si="169">H1859-G1859</f>
        <v>0.16000000000000014</v>
      </c>
      <c r="J1859" s="424" t="s">
        <v>202</v>
      </c>
      <c r="K1859" s="340">
        <f ca="1">100-K1851/K1847</f>
        <v>100</v>
      </c>
      <c r="L1859" s="341">
        <f ca="1">100-L1851/L1847</f>
        <v>100</v>
      </c>
      <c r="M1859" s="117">
        <v>2</v>
      </c>
      <c r="N1859" s="77">
        <f t="shared" si="164"/>
        <v>1.0002494444444445</v>
      </c>
    </row>
    <row r="1860" spans="1:14">
      <c r="A1860" s="364"/>
      <c r="B1860" s="365"/>
      <c r="C1860" s="103">
        <f t="shared" ref="C1860:C1923" si="170">C1859+1</f>
        <v>45658</v>
      </c>
      <c r="D1860" s="173" t="s">
        <v>115</v>
      </c>
      <c r="E1860" s="167"/>
      <c r="F1860" s="58" t="str">
        <f>VLOOKUP(MOD(C1860,7),'CALENDAR INFO'!$I$2:$J$8,2)</f>
        <v>WED</v>
      </c>
      <c r="G1860" s="214">
        <v>4.33</v>
      </c>
      <c r="H1860" s="425">
        <v>4.49</v>
      </c>
      <c r="I1860" s="457">
        <f t="shared" si="169"/>
        <v>0.16000000000000014</v>
      </c>
      <c r="J1860" s="15" t="s">
        <v>151</v>
      </c>
      <c r="K1860" s="15">
        <f>ROW(K1860)</f>
        <v>1860</v>
      </c>
      <c r="L1860" s="179">
        <f>K1860</f>
        <v>1860</v>
      </c>
      <c r="M1860" s="139">
        <v>0</v>
      </c>
      <c r="N1860" s="111">
        <f t="shared" si="164"/>
        <v>1</v>
      </c>
    </row>
    <row r="1861" spans="1:14">
      <c r="A1861" s="364"/>
      <c r="B1861" s="365"/>
      <c r="C1861" s="103">
        <f t="shared" si="170"/>
        <v>45659</v>
      </c>
      <c r="E1861" s="167"/>
      <c r="F1861" s="58" t="str">
        <f>VLOOKUP(MOD(C1861,7),'CALENDAR INFO'!$I$2:$J$8,2)</f>
        <v>THU</v>
      </c>
      <c r="G1861" s="214">
        <v>4.33</v>
      </c>
      <c r="H1861" s="425">
        <v>4.4000000000000004</v>
      </c>
      <c r="I1861" s="457">
        <f t="shared" si="169"/>
        <v>7.0000000000000284E-2</v>
      </c>
      <c r="J1861" s="15" t="s">
        <v>118</v>
      </c>
      <c r="K1861" s="15">
        <f>VLOOKUP(MONTH($C1860),'CALENDAR INFO'!$I$12:$J$23,2)</f>
        <v>31</v>
      </c>
      <c r="L1861" s="179">
        <f>K1861</f>
        <v>31</v>
      </c>
      <c r="M1861" s="113">
        <f t="shared" ref="M1861:M1875" si="171">IF(MOD(C1861,7)&lt;2,0,IF(MOD(C1861,7)=6,3,1))</f>
        <v>1</v>
      </c>
      <c r="N1861" s="64">
        <f t="shared" si="164"/>
        <v>1.0001222222222221</v>
      </c>
    </row>
    <row r="1862" spans="1:14">
      <c r="A1862" s="364"/>
      <c r="B1862" s="365"/>
      <c r="C1862" s="103">
        <f t="shared" si="170"/>
        <v>45660</v>
      </c>
      <c r="E1862" s="167"/>
      <c r="F1862" s="58" t="str">
        <f>VLOOKUP(MOD(C1862,7),'CALENDAR INFO'!$I$2:$J$8,2)</f>
        <v>FRI</v>
      </c>
      <c r="G1862" s="214">
        <v>4.33</v>
      </c>
      <c r="H1862" s="425">
        <v>4.3099999999999996</v>
      </c>
      <c r="I1862" s="457">
        <f t="shared" si="169"/>
        <v>-2.0000000000000462E-2</v>
      </c>
      <c r="J1862" s="15" t="s">
        <v>152</v>
      </c>
      <c r="K1862" s="15">
        <f>K1861+K1860-1</f>
        <v>1890</v>
      </c>
      <c r="L1862" s="179">
        <f>K1862</f>
        <v>1890</v>
      </c>
      <c r="M1862" s="113">
        <f t="shared" si="171"/>
        <v>3</v>
      </c>
      <c r="N1862" s="64">
        <f t="shared" si="164"/>
        <v>1.0003591666666667</v>
      </c>
    </row>
    <row r="1863" spans="1:14">
      <c r="A1863" s="364"/>
      <c r="B1863" s="365"/>
      <c r="C1863" s="103">
        <f t="shared" si="170"/>
        <v>45661</v>
      </c>
      <c r="E1863" s="167"/>
      <c r="F1863" s="58" t="str">
        <f>VLOOKUP(MOD(C1863,7),'CALENDAR INFO'!$I$2:$J$8,2)</f>
        <v>SAT</v>
      </c>
      <c r="G1863" s="214">
        <v>4.33</v>
      </c>
      <c r="H1863" s="425">
        <v>4.3099999999999996</v>
      </c>
      <c r="I1863" s="457">
        <f t="shared" si="169"/>
        <v>-2.0000000000000462E-2</v>
      </c>
      <c r="M1863" s="113">
        <f t="shared" si="171"/>
        <v>0</v>
      </c>
      <c r="N1863" s="64">
        <f t="shared" si="164"/>
        <v>1</v>
      </c>
    </row>
    <row r="1864" spans="1:14">
      <c r="A1864" s="364"/>
      <c r="B1864" s="365"/>
      <c r="C1864" s="103">
        <f t="shared" si="170"/>
        <v>45662</v>
      </c>
      <c r="E1864" s="167"/>
      <c r="F1864" s="58" t="str">
        <f>VLOOKUP(MOD(C1864,7),'CALENDAR INFO'!$I$2:$J$8,2)</f>
        <v>SUN</v>
      </c>
      <c r="G1864" s="214">
        <v>4.33</v>
      </c>
      <c r="H1864" s="425">
        <v>4.3099999999999996</v>
      </c>
      <c r="I1864" s="457">
        <f t="shared" si="169"/>
        <v>-2.0000000000000462E-2</v>
      </c>
      <c r="J1864" s="15" t="s">
        <v>192</v>
      </c>
      <c r="K1864" s="367">
        <v>1888</v>
      </c>
      <c r="L1864" s="179">
        <f>K1864</f>
        <v>1888</v>
      </c>
      <c r="M1864" s="113">
        <f t="shared" si="171"/>
        <v>0</v>
      </c>
      <c r="N1864" s="64">
        <f t="shared" si="164"/>
        <v>1</v>
      </c>
    </row>
    <row r="1865" spans="1:14">
      <c r="A1865" s="364"/>
      <c r="B1865" s="365"/>
      <c r="C1865" s="103">
        <f t="shared" si="170"/>
        <v>45663</v>
      </c>
      <c r="E1865" s="167"/>
      <c r="F1865" s="58" t="str">
        <f>VLOOKUP(MOD(C1865,7),'CALENDAR INFO'!$I$2:$J$8,2)</f>
        <v>MON</v>
      </c>
      <c r="G1865" s="214">
        <v>4.33</v>
      </c>
      <c r="H1865" s="425">
        <v>4.2699999999999996</v>
      </c>
      <c r="I1865" s="457">
        <f t="shared" si="169"/>
        <v>-6.0000000000000497E-2</v>
      </c>
      <c r="J1865" s="15" t="s">
        <v>193</v>
      </c>
      <c r="K1865" s="15">
        <f>K1864+1</f>
        <v>1889</v>
      </c>
      <c r="L1865" s="179">
        <f>K1865</f>
        <v>1889</v>
      </c>
      <c r="M1865" s="113">
        <f t="shared" si="171"/>
        <v>1</v>
      </c>
      <c r="N1865" s="64">
        <f t="shared" si="164"/>
        <v>1.0001186111111111</v>
      </c>
    </row>
    <row r="1866" spans="1:14">
      <c r="A1866" s="364"/>
      <c r="B1866" s="365"/>
      <c r="C1866" s="103">
        <f t="shared" si="170"/>
        <v>45664</v>
      </c>
      <c r="E1866" s="167"/>
      <c r="F1866" s="58" t="str">
        <f>VLOOKUP(MOD(C1866,7),'CALENDAR INFO'!$I$2:$J$8,2)</f>
        <v>TUE</v>
      </c>
      <c r="G1866" s="214">
        <v>4.33</v>
      </c>
      <c r="H1866" s="425">
        <v>4.2699999999999996</v>
      </c>
      <c r="I1866" s="457">
        <f t="shared" si="169"/>
        <v>-6.0000000000000497E-2</v>
      </c>
      <c r="M1866" s="113">
        <f t="shared" si="171"/>
        <v>1</v>
      </c>
      <c r="N1866" s="64">
        <f t="shared" si="164"/>
        <v>1.0001186111111111</v>
      </c>
    </row>
    <row r="1867" spans="1:14">
      <c r="A1867" s="364"/>
      <c r="B1867" s="365"/>
      <c r="C1867" s="103">
        <f t="shared" si="170"/>
        <v>45665</v>
      </c>
      <c r="E1867" s="167" t="s">
        <v>19</v>
      </c>
      <c r="F1867" s="58" t="str">
        <f>VLOOKUP(MOD(C1867,7),'CALENDAR INFO'!$I$2:$J$8,2)</f>
        <v>WED</v>
      </c>
      <c r="G1867" s="214">
        <v>4.33</v>
      </c>
      <c r="H1867" s="425">
        <v>4.29</v>
      </c>
      <c r="I1867" s="457">
        <f t="shared" si="169"/>
        <v>-4.0000000000000036E-2</v>
      </c>
      <c r="J1867" s="15" t="s">
        <v>213</v>
      </c>
      <c r="K1867" s="15" t="s">
        <v>223</v>
      </c>
      <c r="L1867" s="179" t="s">
        <v>224</v>
      </c>
      <c r="M1867" s="113">
        <f t="shared" si="171"/>
        <v>1</v>
      </c>
      <c r="N1867" s="64">
        <f t="shared" si="164"/>
        <v>1.0001191666666667</v>
      </c>
    </row>
    <row r="1868" spans="1:14">
      <c r="A1868" s="364"/>
      <c r="B1868" s="365"/>
      <c r="C1868" s="103">
        <f t="shared" si="170"/>
        <v>45666</v>
      </c>
      <c r="E1868" s="170" t="s">
        <v>18</v>
      </c>
      <c r="F1868" s="58" t="str">
        <f>VLOOKUP(MOD(C1868,7),'CALENDAR INFO'!$I$2:$J$8,2)</f>
        <v>THU</v>
      </c>
      <c r="G1868" s="214">
        <v>4.33</v>
      </c>
      <c r="H1868" s="425">
        <v>4.3</v>
      </c>
      <c r="I1868" s="457">
        <f t="shared" si="169"/>
        <v>-3.0000000000000249E-2</v>
      </c>
      <c r="J1868" s="15" t="s">
        <v>214</v>
      </c>
      <c r="K1868" s="177" t="s">
        <v>217</v>
      </c>
      <c r="L1868" s="197" t="s">
        <v>220</v>
      </c>
      <c r="M1868" s="113">
        <f t="shared" si="171"/>
        <v>1</v>
      </c>
      <c r="N1868" s="64">
        <f t="shared" si="164"/>
        <v>1.0001194444444443</v>
      </c>
    </row>
    <row r="1869" spans="1:14">
      <c r="A1869" s="364"/>
      <c r="B1869" s="365"/>
      <c r="C1869" s="103">
        <f t="shared" si="170"/>
        <v>45667</v>
      </c>
      <c r="E1869" s="170"/>
      <c r="F1869" s="58" t="str">
        <f>VLOOKUP(MOD(C1869,7),'CALENDAR INFO'!$I$2:$J$8,2)</f>
        <v>FRI</v>
      </c>
      <c r="G1869" s="214">
        <v>4.33</v>
      </c>
      <c r="H1869" s="425">
        <v>4.3</v>
      </c>
      <c r="I1869" s="457">
        <f t="shared" si="169"/>
        <v>-3.0000000000000249E-2</v>
      </c>
      <c r="J1869" s="15" t="s">
        <v>153</v>
      </c>
      <c r="K1869" s="15" t="str">
        <f>_xlfn.CONCAT("A",TEXT(K1860,0),":","A",TEXT(K1862,0))</f>
        <v>A1860:A1890</v>
      </c>
      <c r="L1869" s="179" t="str">
        <f>_xlfn.CONCAT("B",TEXT(L1860,0),":","B",TEXT(L1862,0))</f>
        <v>B1860:B1890</v>
      </c>
      <c r="M1869" s="113">
        <f t="shared" si="171"/>
        <v>3</v>
      </c>
      <c r="N1869" s="64">
        <f t="shared" si="164"/>
        <v>1.0003583333333332</v>
      </c>
    </row>
    <row r="1870" spans="1:14">
      <c r="A1870" s="364"/>
      <c r="B1870" s="365"/>
      <c r="C1870" s="103">
        <f t="shared" si="170"/>
        <v>45668</v>
      </c>
      <c r="E1870" s="170"/>
      <c r="F1870" s="58" t="str">
        <f>VLOOKUP(MOD(C1870,7),'CALENDAR INFO'!$I$2:$J$8,2)</f>
        <v>SAT</v>
      </c>
      <c r="G1870" s="214">
        <v>4.33</v>
      </c>
      <c r="H1870" s="425">
        <v>4.3</v>
      </c>
      <c r="I1870" s="457">
        <f t="shared" si="169"/>
        <v>-3.0000000000000249E-2</v>
      </c>
      <c r="J1870" s="15" t="s">
        <v>190</v>
      </c>
      <c r="K1870" s="15" t="str">
        <f>_xlfn.CONCAT("F",TEXT(K1860,0),":","F",TEXT(K1864,0))</f>
        <v>F1860:F1888</v>
      </c>
      <c r="L1870" s="179" t="str">
        <f>_xlfn.CONCAT("G",TEXT(L1860,0),":","G",TEXT(L1864,0))</f>
        <v>G1860:G1888</v>
      </c>
      <c r="M1870" s="113">
        <f t="shared" si="171"/>
        <v>0</v>
      </c>
      <c r="N1870" s="64">
        <f t="shared" si="164"/>
        <v>1</v>
      </c>
    </row>
    <row r="1871" spans="1:14">
      <c r="A1871" s="364"/>
      <c r="B1871" s="365"/>
      <c r="C1871" s="103">
        <f t="shared" si="170"/>
        <v>45669</v>
      </c>
      <c r="E1871" s="170"/>
      <c r="F1871" s="58" t="str">
        <f>VLOOKUP(MOD(C1871,7),'CALENDAR INFO'!$I$2:$J$8,2)</f>
        <v>SUN</v>
      </c>
      <c r="G1871" s="214">
        <v>4.33</v>
      </c>
      <c r="H1871" s="425">
        <v>4.3</v>
      </c>
      <c r="I1871" s="457">
        <f t="shared" si="169"/>
        <v>-3.0000000000000249E-2</v>
      </c>
      <c r="J1871" s="15" t="s">
        <v>191</v>
      </c>
      <c r="K1871" s="15" t="str">
        <f>_xlfn.CONCAT("F",TEXT(K1865,0),":","F",TEXT(K1862,0))</f>
        <v>F1889:F1890</v>
      </c>
      <c r="L1871" s="179" t="str">
        <f>_xlfn.CONCAT("G",TEXT(L1865,0),":","G",TEXT(L1862,0))</f>
        <v>G1889:G1890</v>
      </c>
      <c r="M1871" s="113">
        <f t="shared" si="171"/>
        <v>0</v>
      </c>
      <c r="N1871" s="64">
        <f t="shared" si="164"/>
        <v>1</v>
      </c>
    </row>
    <row r="1872" spans="1:14">
      <c r="A1872" s="364"/>
      <c r="B1872" s="365"/>
      <c r="C1872" s="103">
        <f t="shared" si="170"/>
        <v>45670</v>
      </c>
      <c r="E1872" s="170"/>
      <c r="F1872" s="58" t="str">
        <f>VLOOKUP(MOD(C1872,7),'CALENDAR INFO'!$I$2:$J$8,2)</f>
        <v>MON</v>
      </c>
      <c r="G1872" s="214">
        <v>4.33</v>
      </c>
      <c r="H1872" s="425">
        <v>4.29</v>
      </c>
      <c r="I1872" s="457">
        <f t="shared" si="169"/>
        <v>-4.0000000000000036E-2</v>
      </c>
      <c r="M1872" s="113">
        <f t="shared" si="171"/>
        <v>1</v>
      </c>
      <c r="N1872" s="64">
        <f t="shared" si="164"/>
        <v>1.0001191666666667</v>
      </c>
    </row>
    <row r="1873" spans="1:14">
      <c r="A1873" s="364"/>
      <c r="B1873" s="365"/>
      <c r="C1873" s="103">
        <f t="shared" si="170"/>
        <v>45671</v>
      </c>
      <c r="E1873" s="170"/>
      <c r="F1873" s="58" t="str">
        <f>VLOOKUP(MOD(C1873,7),'CALENDAR INFO'!$I$2:$J$8,2)</f>
        <v>TUE</v>
      </c>
      <c r="G1873" s="214">
        <v>4.33</v>
      </c>
      <c r="H1873" s="425">
        <v>4.28</v>
      </c>
      <c r="I1873" s="457">
        <f t="shared" si="169"/>
        <v>-4.9999999999999822E-2</v>
      </c>
      <c r="J1873" s="15" t="s">
        <v>194</v>
      </c>
      <c r="K1873" s="15">
        <f t="shared" ref="K1873:L1875" ca="1" si="172">COUNTA(INDIRECT(K1869))</f>
        <v>0</v>
      </c>
      <c r="L1873" s="179">
        <f t="shared" ca="1" si="172"/>
        <v>0</v>
      </c>
      <c r="M1873" s="113">
        <f t="shared" si="171"/>
        <v>1</v>
      </c>
      <c r="N1873" s="64">
        <f t="shared" si="164"/>
        <v>1.0001188888888888</v>
      </c>
    </row>
    <row r="1874" spans="1:14">
      <c r="A1874" s="364"/>
      <c r="B1874" s="365"/>
      <c r="C1874" s="103">
        <f t="shared" si="170"/>
        <v>45672</v>
      </c>
      <c r="E1874" s="170"/>
      <c r="F1874" s="58" t="str">
        <f>VLOOKUP(MOD(C1874,7),'CALENDAR INFO'!$I$2:$J$8,2)</f>
        <v>WED</v>
      </c>
      <c r="G1874" s="214">
        <v>4.33</v>
      </c>
      <c r="H1874" s="425">
        <v>4.28</v>
      </c>
      <c r="I1874" s="457">
        <f t="shared" si="169"/>
        <v>-4.9999999999999822E-2</v>
      </c>
      <c r="J1874" s="15" t="s">
        <v>195</v>
      </c>
      <c r="K1874" s="15">
        <f t="shared" ca="1" si="172"/>
        <v>29</v>
      </c>
      <c r="L1874" s="179">
        <f t="shared" ca="1" si="172"/>
        <v>29</v>
      </c>
      <c r="M1874" s="113">
        <f t="shared" si="171"/>
        <v>1</v>
      </c>
      <c r="N1874" s="64">
        <f t="shared" si="164"/>
        <v>1.0001188888888888</v>
      </c>
    </row>
    <row r="1875" spans="1:14">
      <c r="A1875" s="364"/>
      <c r="B1875" s="365"/>
      <c r="C1875" s="103">
        <f t="shared" si="170"/>
        <v>45673</v>
      </c>
      <c r="E1875" s="170"/>
      <c r="F1875" s="58" t="str">
        <f>VLOOKUP(MOD(C1875,7),'CALENDAR INFO'!$I$2:$J$8,2)</f>
        <v>THU</v>
      </c>
      <c r="G1875" s="214">
        <v>4.33</v>
      </c>
      <c r="H1875" s="425">
        <v>4.29</v>
      </c>
      <c r="I1875" s="457">
        <f t="shared" si="169"/>
        <v>-4.0000000000000036E-2</v>
      </c>
      <c r="J1875" s="15" t="s">
        <v>196</v>
      </c>
      <c r="K1875" s="15">
        <f t="shared" ca="1" si="172"/>
        <v>2</v>
      </c>
      <c r="L1875" s="179">
        <f t="shared" ca="1" si="172"/>
        <v>2</v>
      </c>
      <c r="M1875" s="113">
        <f t="shared" si="171"/>
        <v>1</v>
      </c>
      <c r="N1875" s="64">
        <f t="shared" ref="N1875:N1938" si="173">1+(M1875/360)*(MAX(H1875,B1875)/100)</f>
        <v>1.0001191666666667</v>
      </c>
    </row>
    <row r="1876" spans="1:14">
      <c r="A1876" s="364"/>
      <c r="B1876" s="365"/>
      <c r="C1876" s="103">
        <f t="shared" si="170"/>
        <v>45674</v>
      </c>
      <c r="E1876" s="170"/>
      <c r="F1876" s="58" t="str">
        <f>VLOOKUP(MOD(C1876,7),'CALENDAR INFO'!$I$2:$J$8,2)</f>
        <v>FRI</v>
      </c>
      <c r="G1876" s="214">
        <v>4.33</v>
      </c>
      <c r="H1876" s="425">
        <v>4.29</v>
      </c>
      <c r="I1876" s="457">
        <f t="shared" si="169"/>
        <v>-4.0000000000000036E-2</v>
      </c>
      <c r="M1876" s="117">
        <v>4</v>
      </c>
      <c r="N1876" s="64">
        <f t="shared" si="173"/>
        <v>1.0004766666666667</v>
      </c>
    </row>
    <row r="1877" spans="1:14">
      <c r="A1877" s="364"/>
      <c r="B1877" s="365"/>
      <c r="C1877" s="103">
        <f t="shared" si="170"/>
        <v>45675</v>
      </c>
      <c r="E1877" s="170"/>
      <c r="F1877" s="58" t="str">
        <f>VLOOKUP(MOD(C1877,7),'CALENDAR INFO'!$I$2:$J$8,2)</f>
        <v>SAT</v>
      </c>
      <c r="G1877" s="214">
        <v>4.33</v>
      </c>
      <c r="H1877" s="425">
        <v>4.29</v>
      </c>
      <c r="I1877" s="457">
        <f t="shared" si="169"/>
        <v>-4.0000000000000036E-2</v>
      </c>
      <c r="J1877" s="15" t="s">
        <v>197</v>
      </c>
      <c r="K1877" s="180" t="e">
        <f>OUTPUT!#REF!</f>
        <v>#REF!</v>
      </c>
      <c r="L1877" s="193" t="e">
        <f>OUTPUT!#REF!</f>
        <v>#REF!</v>
      </c>
      <c r="M1877" s="117">
        <f>IF(MOD(C1877,7)&lt;2,0,IF(MOD(C1877,7)=6,3,1))</f>
        <v>0</v>
      </c>
      <c r="N1877" s="64">
        <f t="shared" si="173"/>
        <v>1</v>
      </c>
    </row>
    <row r="1878" spans="1:14">
      <c r="A1878" s="364"/>
      <c r="B1878" s="365"/>
      <c r="C1878" s="103">
        <f t="shared" si="170"/>
        <v>45676</v>
      </c>
      <c r="E1878" s="170"/>
      <c r="F1878" s="58" t="str">
        <f>VLOOKUP(MOD(C1878,7),'CALENDAR INFO'!$I$2:$J$8,2)</f>
        <v>SUN</v>
      </c>
      <c r="G1878" s="214">
        <v>4.33</v>
      </c>
      <c r="H1878" s="425">
        <v>4.29</v>
      </c>
      <c r="I1878" s="457">
        <f t="shared" si="169"/>
        <v>-4.0000000000000036E-2</v>
      </c>
      <c r="J1878" s="15" t="s">
        <v>118</v>
      </c>
      <c r="K1878" s="15">
        <f>K1861</f>
        <v>31</v>
      </c>
      <c r="L1878" s="179">
        <f>L1861</f>
        <v>31</v>
      </c>
      <c r="M1878" s="117">
        <f>IF(MOD(C1878,7)&lt;2,0,IF(MOD(C1878,7)=6,3,1))</f>
        <v>0</v>
      </c>
      <c r="N1878" s="64">
        <f t="shared" si="173"/>
        <v>1</v>
      </c>
    </row>
    <row r="1879" spans="1:14">
      <c r="A1879" s="364"/>
      <c r="B1879" s="365"/>
      <c r="C1879" s="103">
        <f t="shared" si="170"/>
        <v>45677</v>
      </c>
      <c r="D1879" s="173" t="s">
        <v>103</v>
      </c>
      <c r="E1879" s="170"/>
      <c r="F1879" s="58" t="str">
        <f>VLOOKUP(MOD(C1879,7),'CALENDAR INFO'!$I$2:$J$8,2)</f>
        <v>MON</v>
      </c>
      <c r="G1879" s="214">
        <v>4.33</v>
      </c>
      <c r="H1879" s="425">
        <v>4.29</v>
      </c>
      <c r="I1879" s="457">
        <f t="shared" si="169"/>
        <v>-4.0000000000000036E-2</v>
      </c>
      <c r="J1879" s="15" t="s">
        <v>184</v>
      </c>
      <c r="K1879" s="178" t="e">
        <f>K1877*K1878</f>
        <v>#REF!</v>
      </c>
      <c r="L1879" s="192" t="e">
        <f>L1877*L1878</f>
        <v>#REF!</v>
      </c>
      <c r="M1879" s="117">
        <v>0</v>
      </c>
      <c r="N1879" s="64">
        <f t="shared" si="173"/>
        <v>1</v>
      </c>
    </row>
    <row r="1880" spans="1:14">
      <c r="A1880" s="364"/>
      <c r="B1880" s="365"/>
      <c r="C1880" s="103">
        <f t="shared" si="170"/>
        <v>45678</v>
      </c>
      <c r="E1880" s="170"/>
      <c r="F1880" s="58" t="str">
        <f>VLOOKUP(MOD(C1880,7),'CALENDAR INFO'!$I$2:$J$8,2)</f>
        <v>TUE</v>
      </c>
      <c r="G1880" s="214">
        <v>4.33</v>
      </c>
      <c r="H1880" s="425">
        <v>4.29</v>
      </c>
      <c r="I1880" s="457">
        <f t="shared" si="169"/>
        <v>-4.0000000000000036E-2</v>
      </c>
      <c r="K1880" s="178"/>
      <c r="L1880" s="192"/>
      <c r="M1880" s="113">
        <f t="shared" ref="M1880:M1903" si="174">IF(MOD(C1880,7)&lt;2,0,IF(MOD(C1880,7)=6,3,1))</f>
        <v>1</v>
      </c>
      <c r="N1880" s="64">
        <f t="shared" si="173"/>
        <v>1.0001191666666667</v>
      </c>
    </row>
    <row r="1881" spans="1:14">
      <c r="A1881" s="364"/>
      <c r="B1881" s="365"/>
      <c r="C1881" s="103">
        <f t="shared" si="170"/>
        <v>45679</v>
      </c>
      <c r="E1881" s="170" t="s">
        <v>19</v>
      </c>
      <c r="F1881" s="58" t="str">
        <f>VLOOKUP(MOD(C1881,7),'CALENDAR INFO'!$I$2:$J$8,2)</f>
        <v>WED</v>
      </c>
      <c r="G1881" s="214">
        <v>4.33</v>
      </c>
      <c r="H1881" s="425">
        <v>4.3</v>
      </c>
      <c r="I1881" s="457">
        <f t="shared" si="169"/>
        <v>-3.0000000000000249E-2</v>
      </c>
      <c r="J1881" s="15" t="s">
        <v>187</v>
      </c>
      <c r="K1881" s="207" t="e">
        <f>K1879</f>
        <v>#REF!</v>
      </c>
      <c r="L1881" s="208" t="e">
        <f>L1879</f>
        <v>#REF!</v>
      </c>
      <c r="M1881" s="113">
        <f t="shared" si="174"/>
        <v>1</v>
      </c>
      <c r="N1881" s="64">
        <f t="shared" si="173"/>
        <v>1.0001194444444443</v>
      </c>
    </row>
    <row r="1882" spans="1:14">
      <c r="A1882" s="364"/>
      <c r="B1882" s="365"/>
      <c r="C1882" s="103">
        <f t="shared" si="170"/>
        <v>45680</v>
      </c>
      <c r="E1882" s="167" t="s">
        <v>18</v>
      </c>
      <c r="F1882" s="58" t="str">
        <f>VLOOKUP(MOD(C1882,7),'CALENDAR INFO'!$I$2:$J$8,2)</f>
        <v>THU</v>
      </c>
      <c r="G1882" s="214">
        <v>4.33</v>
      </c>
      <c r="H1882" s="425">
        <v>4.3499999999999996</v>
      </c>
      <c r="I1882" s="457">
        <f t="shared" si="169"/>
        <v>1.9999999999999574E-2</v>
      </c>
      <c r="J1882" s="15" t="s">
        <v>155</v>
      </c>
      <c r="K1882" s="178">
        <f ca="1">SUM(INDIRECT(K1869))</f>
        <v>0</v>
      </c>
      <c r="L1882" s="192">
        <f ca="1">SUM(INDIRECT(L1869))</f>
        <v>0</v>
      </c>
      <c r="M1882" s="113">
        <f t="shared" si="174"/>
        <v>1</v>
      </c>
      <c r="N1882" s="64">
        <f t="shared" si="173"/>
        <v>1.0001208333333333</v>
      </c>
    </row>
    <row r="1883" spans="1:14">
      <c r="A1883" s="364"/>
      <c r="B1883" s="365"/>
      <c r="C1883" s="103">
        <f t="shared" si="170"/>
        <v>45681</v>
      </c>
      <c r="E1883" s="167"/>
      <c r="F1883" s="58" t="str">
        <f>VLOOKUP(MOD(C1883,7),'CALENDAR INFO'!$I$2:$J$8,2)</f>
        <v>FRI</v>
      </c>
      <c r="G1883" s="214">
        <v>4.33</v>
      </c>
      <c r="H1883" s="425">
        <v>4.34</v>
      </c>
      <c r="I1883" s="457">
        <f t="shared" si="169"/>
        <v>9.9999999999997868E-3</v>
      </c>
      <c r="J1883" s="15" t="s">
        <v>185</v>
      </c>
      <c r="K1883" s="180" t="e">
        <f ca="1">K1881-K1882-K1884</f>
        <v>#REF!</v>
      </c>
      <c r="L1883" s="193" t="e">
        <f ca="1">L1881-L1882-L1884</f>
        <v>#REF!</v>
      </c>
      <c r="M1883" s="113">
        <f t="shared" si="174"/>
        <v>3</v>
      </c>
      <c r="N1883" s="64">
        <f t="shared" si="173"/>
        <v>1.0003616666666666</v>
      </c>
    </row>
    <row r="1884" spans="1:14">
      <c r="A1884" s="364"/>
      <c r="B1884" s="365"/>
      <c r="C1884" s="103">
        <f t="shared" si="170"/>
        <v>45682</v>
      </c>
      <c r="E1884" s="167"/>
      <c r="F1884" s="58" t="str">
        <f>VLOOKUP(MOD(C1884,7),'CALENDAR INFO'!$I$2:$J$8,2)</f>
        <v>SAT</v>
      </c>
      <c r="G1884" s="214">
        <v>4.33</v>
      </c>
      <c r="H1884" s="425">
        <v>4.34</v>
      </c>
      <c r="I1884" s="457">
        <f t="shared" si="169"/>
        <v>9.9999999999997868E-3</v>
      </c>
      <c r="J1884" s="15" t="s">
        <v>186</v>
      </c>
      <c r="K1884" s="180">
        <f ca="1">SUM(INDIRECT(K1871))</f>
        <v>0</v>
      </c>
      <c r="L1884" s="193">
        <f ca="1">SUM(INDIRECT(L1871))</f>
        <v>8.66</v>
      </c>
      <c r="M1884" s="113">
        <f t="shared" si="174"/>
        <v>0</v>
      </c>
      <c r="N1884" s="64">
        <f t="shared" si="173"/>
        <v>1</v>
      </c>
    </row>
    <row r="1885" spans="1:14">
      <c r="A1885" s="364"/>
      <c r="B1885" s="365"/>
      <c r="C1885" s="103">
        <f t="shared" si="170"/>
        <v>45683</v>
      </c>
      <c r="E1885" s="167"/>
      <c r="F1885" s="58" t="str">
        <f>VLOOKUP(MOD(C1885,7),'CALENDAR INFO'!$I$2:$J$8,2)</f>
        <v>SUN</v>
      </c>
      <c r="G1885" s="214">
        <v>4.33</v>
      </c>
      <c r="H1885" s="425">
        <v>4.34</v>
      </c>
      <c r="I1885" s="457">
        <f t="shared" si="169"/>
        <v>9.9999999999997868E-3</v>
      </c>
      <c r="M1885" s="113">
        <f t="shared" si="174"/>
        <v>0</v>
      </c>
      <c r="N1885" s="64">
        <f t="shared" si="173"/>
        <v>1</v>
      </c>
    </row>
    <row r="1886" spans="1:14">
      <c r="A1886" s="364"/>
      <c r="B1886" s="365"/>
      <c r="C1886" s="103">
        <f t="shared" si="170"/>
        <v>45684</v>
      </c>
      <c r="E1886" s="167"/>
      <c r="F1886" s="58" t="str">
        <f>VLOOKUP(MOD(C1886,7),'CALENDAR INFO'!$I$2:$J$8,2)</f>
        <v>MON</v>
      </c>
      <c r="G1886" s="214">
        <v>4.33</v>
      </c>
      <c r="H1886" s="425">
        <v>4.34</v>
      </c>
      <c r="I1886" s="457">
        <f t="shared" si="169"/>
        <v>9.9999999999997868E-3</v>
      </c>
      <c r="J1886" s="15" t="s">
        <v>221</v>
      </c>
      <c r="K1886" s="177">
        <f ca="1">K1861-K1873-K1875</f>
        <v>29</v>
      </c>
      <c r="L1886" s="197">
        <f ca="1">L1861-L1873-L1875</f>
        <v>29</v>
      </c>
      <c r="M1886" s="113">
        <f t="shared" si="174"/>
        <v>1</v>
      </c>
      <c r="N1886" s="64">
        <f t="shared" si="173"/>
        <v>1.0001205555555555</v>
      </c>
    </row>
    <row r="1887" spans="1:14">
      <c r="A1887" s="364"/>
      <c r="B1887" s="365"/>
      <c r="C1887" s="103">
        <f t="shared" si="170"/>
        <v>45685</v>
      </c>
      <c r="D1887" s="153" t="s">
        <v>20</v>
      </c>
      <c r="E1887" s="167"/>
      <c r="F1887" s="58" t="str">
        <f>VLOOKUP(MOD(C1887,7),'CALENDAR INFO'!$I$2:$J$8,2)</f>
        <v>TUE</v>
      </c>
      <c r="G1887" s="214">
        <v>4.33</v>
      </c>
      <c r="H1887" s="425">
        <v>4.3499999999999996</v>
      </c>
      <c r="I1887" s="457">
        <f t="shared" si="169"/>
        <v>1.9999999999999574E-2</v>
      </c>
      <c r="J1887" s="15" t="s">
        <v>222</v>
      </c>
      <c r="K1887" s="178" t="e">
        <f ca="1">K1883/K1886</f>
        <v>#REF!</v>
      </c>
      <c r="L1887" s="192" t="e">
        <f ca="1">L1883/L1886</f>
        <v>#REF!</v>
      </c>
      <c r="M1887" s="113">
        <f t="shared" si="174"/>
        <v>1</v>
      </c>
      <c r="N1887" s="64">
        <f t="shared" si="173"/>
        <v>1.0001208333333333</v>
      </c>
    </row>
    <row r="1888" spans="1:14">
      <c r="A1888" s="364"/>
      <c r="B1888" s="365"/>
      <c r="C1888" s="103">
        <f t="shared" si="170"/>
        <v>45686</v>
      </c>
      <c r="D1888" s="153" t="s">
        <v>20</v>
      </c>
      <c r="E1888" s="167"/>
      <c r="F1888" s="58" t="str">
        <f>VLOOKUP(MOD(C1888,7),'CALENDAR INFO'!$I$2:$J$8,2)</f>
        <v>WED</v>
      </c>
      <c r="G1888" s="214">
        <v>4.33</v>
      </c>
      <c r="H1888" s="425">
        <v>4.3499999999999996</v>
      </c>
      <c r="I1888" s="457">
        <f t="shared" si="169"/>
        <v>1.9999999999999574E-2</v>
      </c>
      <c r="M1888" s="113">
        <f t="shared" si="174"/>
        <v>1</v>
      </c>
      <c r="N1888" s="64">
        <f t="shared" si="173"/>
        <v>1.0001208333333333</v>
      </c>
    </row>
    <row r="1889" spans="1:14">
      <c r="B1889" s="41"/>
      <c r="C1889" s="103">
        <f t="shared" si="170"/>
        <v>45687</v>
      </c>
      <c r="E1889" s="167"/>
      <c r="F1889" s="58" t="str">
        <f>VLOOKUP(MOD(C1889,7),'CALENDAR INFO'!$I$2:$J$8,2)</f>
        <v>THU</v>
      </c>
      <c r="G1889" s="214">
        <v>4.33</v>
      </c>
      <c r="H1889" s="425">
        <v>4.3600000000000003</v>
      </c>
      <c r="I1889" s="457">
        <f t="shared" si="169"/>
        <v>3.0000000000000249E-2</v>
      </c>
      <c r="M1889" s="113">
        <f t="shared" si="174"/>
        <v>1</v>
      </c>
      <c r="N1889" s="64">
        <f t="shared" si="173"/>
        <v>1.000121111111111</v>
      </c>
    </row>
    <row r="1890" spans="1:14" ht="15.75" thickBot="1">
      <c r="A1890" s="98"/>
      <c r="B1890" s="230"/>
      <c r="C1890" s="104">
        <f t="shared" si="170"/>
        <v>45688</v>
      </c>
      <c r="D1890" s="112"/>
      <c r="E1890" s="92"/>
      <c r="F1890" s="71" t="str">
        <f>VLOOKUP(MOD(C1890,7),'CALENDAR INFO'!$I$2:$J$8,2)</f>
        <v>FRI</v>
      </c>
      <c r="G1890" s="215">
        <v>4.33</v>
      </c>
      <c r="H1890" s="426">
        <v>4.38</v>
      </c>
      <c r="I1890" s="458">
        <f t="shared" si="169"/>
        <v>4.9999999999999822E-2</v>
      </c>
      <c r="J1890" s="424" t="s">
        <v>202</v>
      </c>
      <c r="K1890" s="340">
        <f ca="1">100-K1882/K1878</f>
        <v>100</v>
      </c>
      <c r="L1890" s="341">
        <f ca="1">100-L1882/L1878</f>
        <v>100</v>
      </c>
      <c r="M1890" s="114">
        <f t="shared" si="174"/>
        <v>3</v>
      </c>
      <c r="N1890" s="292">
        <f t="shared" si="173"/>
        <v>1.0003649999999999</v>
      </c>
    </row>
    <row r="1891" spans="1:14">
      <c r="A1891" s="364"/>
      <c r="B1891" s="365"/>
      <c r="C1891" s="103">
        <f t="shared" si="170"/>
        <v>45689</v>
      </c>
      <c r="E1891" s="167"/>
      <c r="F1891" s="58" t="str">
        <f>VLOOKUP(MOD(C1891,7),'CALENDAR INFO'!$I$2:$J$8,2)</f>
        <v>SAT</v>
      </c>
      <c r="G1891" s="214">
        <v>4.33</v>
      </c>
      <c r="H1891" s="425">
        <v>4.38</v>
      </c>
      <c r="I1891" s="457">
        <f t="shared" si="169"/>
        <v>4.9999999999999822E-2</v>
      </c>
      <c r="J1891" s="438" t="s">
        <v>151</v>
      </c>
      <c r="K1891" s="360">
        <f>ROW(K1891)</f>
        <v>1891</v>
      </c>
      <c r="L1891" s="60">
        <f>K1891</f>
        <v>1891</v>
      </c>
      <c r="M1891" s="113">
        <f t="shared" si="174"/>
        <v>0</v>
      </c>
      <c r="N1891" s="64">
        <f t="shared" si="173"/>
        <v>1</v>
      </c>
    </row>
    <row r="1892" spans="1:14">
      <c r="A1892" s="370"/>
      <c r="B1892" s="371"/>
      <c r="C1892" s="103">
        <f t="shared" si="170"/>
        <v>45690</v>
      </c>
      <c r="E1892" s="167"/>
      <c r="F1892" s="58" t="str">
        <f>VLOOKUP(MOD(C1892,7),'CALENDAR INFO'!$I$2:$J$8,2)</f>
        <v>SUN</v>
      </c>
      <c r="G1892" s="214">
        <v>4.33</v>
      </c>
      <c r="H1892" s="425">
        <v>4.38</v>
      </c>
      <c r="I1892" s="457">
        <f t="shared" si="169"/>
        <v>4.9999999999999822E-2</v>
      </c>
      <c r="J1892" s="15" t="s">
        <v>118</v>
      </c>
      <c r="K1892" s="15">
        <f>VLOOKUP(MONTH($C1891),'CALENDAR INFO'!$I$12:$J$23,2)</f>
        <v>28</v>
      </c>
      <c r="L1892" s="179">
        <f>K1892</f>
        <v>28</v>
      </c>
      <c r="M1892" s="113">
        <f t="shared" si="174"/>
        <v>0</v>
      </c>
      <c r="N1892" s="64">
        <f t="shared" si="173"/>
        <v>1</v>
      </c>
    </row>
    <row r="1893" spans="1:14">
      <c r="B1893" s="41"/>
      <c r="C1893" s="103">
        <f t="shared" si="170"/>
        <v>45691</v>
      </c>
      <c r="E1893" s="167"/>
      <c r="F1893" s="58" t="str">
        <f>VLOOKUP(MOD(C1893,7),'CALENDAR INFO'!$I$2:$J$8,2)</f>
        <v>MON</v>
      </c>
      <c r="G1893" s="214">
        <v>4.33</v>
      </c>
      <c r="H1893" s="425">
        <v>4.3499999999999996</v>
      </c>
      <c r="I1893" s="457">
        <f t="shared" si="169"/>
        <v>1.9999999999999574E-2</v>
      </c>
      <c r="J1893" s="15" t="s">
        <v>152</v>
      </c>
      <c r="K1893" s="15">
        <f>K1892+K1891-1</f>
        <v>1918</v>
      </c>
      <c r="L1893" s="179">
        <f>K1893</f>
        <v>1918</v>
      </c>
      <c r="M1893" s="113">
        <f t="shared" si="174"/>
        <v>1</v>
      </c>
      <c r="N1893" s="64">
        <f t="shared" si="173"/>
        <v>1.0001208333333333</v>
      </c>
    </row>
    <row r="1894" spans="1:14">
      <c r="B1894" s="41"/>
      <c r="C1894" s="103">
        <f t="shared" si="170"/>
        <v>45692</v>
      </c>
      <c r="E1894" s="167"/>
      <c r="F1894" s="58" t="str">
        <f>VLOOKUP(MOD(C1894,7),'CALENDAR INFO'!$I$2:$J$8,2)</f>
        <v>TUE</v>
      </c>
      <c r="G1894" s="214">
        <v>4.33</v>
      </c>
      <c r="H1894" s="425">
        <v>4.33</v>
      </c>
      <c r="I1894" s="457">
        <f t="shared" si="169"/>
        <v>0</v>
      </c>
      <c r="M1894" s="113">
        <f t="shared" si="174"/>
        <v>1</v>
      </c>
      <c r="N1894" s="64">
        <f t="shared" si="173"/>
        <v>1.0001202777777778</v>
      </c>
    </row>
    <row r="1895" spans="1:14">
      <c r="B1895" s="41"/>
      <c r="C1895" s="103">
        <f t="shared" si="170"/>
        <v>45693</v>
      </c>
      <c r="E1895" s="167" t="s">
        <v>19</v>
      </c>
      <c r="F1895" s="58" t="str">
        <f>VLOOKUP(MOD(C1895,7),'CALENDAR INFO'!$I$2:$J$8,2)</f>
        <v>WED</v>
      </c>
      <c r="G1895" s="214">
        <v>4.33</v>
      </c>
      <c r="H1895" s="425">
        <v>4.33</v>
      </c>
      <c r="I1895" s="457">
        <f t="shared" si="169"/>
        <v>0</v>
      </c>
      <c r="J1895" s="15" t="s">
        <v>192</v>
      </c>
      <c r="K1895" s="311">
        <v>1892</v>
      </c>
      <c r="L1895" s="179">
        <f>K1895</f>
        <v>1892</v>
      </c>
      <c r="M1895" s="113">
        <f t="shared" si="174"/>
        <v>1</v>
      </c>
      <c r="N1895" s="64">
        <f t="shared" si="173"/>
        <v>1.0001202777777778</v>
      </c>
    </row>
    <row r="1896" spans="1:14">
      <c r="B1896" s="41"/>
      <c r="C1896" s="103">
        <f t="shared" si="170"/>
        <v>45694</v>
      </c>
      <c r="E1896" s="170" t="s">
        <v>18</v>
      </c>
      <c r="F1896" s="58" t="str">
        <f>VLOOKUP(MOD(C1896,7),'CALENDAR INFO'!$I$2:$J$8,2)</f>
        <v>THU</v>
      </c>
      <c r="G1896" s="214">
        <v>4.33</v>
      </c>
      <c r="H1896" s="425">
        <v>4.3600000000000003</v>
      </c>
      <c r="I1896" s="457">
        <f t="shared" si="169"/>
        <v>3.0000000000000249E-2</v>
      </c>
      <c r="J1896" s="15" t="s">
        <v>193</v>
      </c>
      <c r="K1896" s="15">
        <f>K1895+1</f>
        <v>1893</v>
      </c>
      <c r="L1896" s="179">
        <f>K1896</f>
        <v>1893</v>
      </c>
      <c r="M1896" s="113">
        <f t="shared" si="174"/>
        <v>1</v>
      </c>
      <c r="N1896" s="64">
        <f t="shared" si="173"/>
        <v>1.000121111111111</v>
      </c>
    </row>
    <row r="1897" spans="1:14">
      <c r="B1897" s="41"/>
      <c r="C1897" s="103">
        <f t="shared" si="170"/>
        <v>45695</v>
      </c>
      <c r="E1897" s="170"/>
      <c r="F1897" s="58" t="str">
        <f>VLOOKUP(MOD(C1897,7),'CALENDAR INFO'!$I$2:$J$8,2)</f>
        <v>FRI</v>
      </c>
      <c r="G1897" s="214">
        <v>4.33</v>
      </c>
      <c r="H1897" s="425">
        <v>4.3499999999999996</v>
      </c>
      <c r="I1897" s="457">
        <f t="shared" si="169"/>
        <v>1.9999999999999574E-2</v>
      </c>
      <c r="M1897" s="113">
        <f t="shared" si="174"/>
        <v>3</v>
      </c>
      <c r="N1897" s="64">
        <f t="shared" si="173"/>
        <v>1.0003625</v>
      </c>
    </row>
    <row r="1898" spans="1:14">
      <c r="B1898" s="41"/>
      <c r="C1898" s="103">
        <f t="shared" si="170"/>
        <v>45696</v>
      </c>
      <c r="E1898" s="170"/>
      <c r="F1898" s="58" t="str">
        <f>VLOOKUP(MOD(C1898,7),'CALENDAR INFO'!$I$2:$J$8,2)</f>
        <v>SAT</v>
      </c>
      <c r="G1898" s="214">
        <v>4.33</v>
      </c>
      <c r="H1898" s="425">
        <v>4.3499999999999996</v>
      </c>
      <c r="I1898" s="457">
        <f t="shared" si="169"/>
        <v>1.9999999999999574E-2</v>
      </c>
      <c r="J1898" s="15" t="s">
        <v>213</v>
      </c>
      <c r="K1898" s="177" t="s">
        <v>217</v>
      </c>
      <c r="L1898" s="197" t="s">
        <v>220</v>
      </c>
      <c r="M1898" s="113">
        <f t="shared" si="174"/>
        <v>0</v>
      </c>
      <c r="N1898" s="64">
        <f t="shared" si="173"/>
        <v>1</v>
      </c>
    </row>
    <row r="1899" spans="1:14">
      <c r="B1899" s="41"/>
      <c r="C1899" s="103">
        <f t="shared" si="170"/>
        <v>45697</v>
      </c>
      <c r="E1899" s="170"/>
      <c r="F1899" s="58" t="str">
        <f>VLOOKUP(MOD(C1899,7),'CALENDAR INFO'!$I$2:$J$8,2)</f>
        <v>SUN</v>
      </c>
      <c r="G1899" s="214">
        <v>4.33</v>
      </c>
      <c r="H1899" s="425">
        <v>4.3499999999999996</v>
      </c>
      <c r="I1899" s="457">
        <f t="shared" si="169"/>
        <v>1.9999999999999574E-2</v>
      </c>
      <c r="J1899" s="15" t="s">
        <v>214</v>
      </c>
      <c r="K1899" s="15" t="str">
        <f>_xlfn.CONCAT("K$",TEXT(K1891+27,0))</f>
        <v>K$1918</v>
      </c>
      <c r="L1899" s="179" t="str">
        <f>_xlfn.CONCAT("L$",TEXT(L1891+27,0))</f>
        <v>L$1918</v>
      </c>
      <c r="M1899" s="113">
        <f t="shared" si="174"/>
        <v>0</v>
      </c>
      <c r="N1899" s="64">
        <f t="shared" si="173"/>
        <v>1</v>
      </c>
    </row>
    <row r="1900" spans="1:14">
      <c r="B1900" s="41"/>
      <c r="C1900" s="103">
        <f t="shared" si="170"/>
        <v>45698</v>
      </c>
      <c r="E1900" s="170"/>
      <c r="F1900" s="58" t="str">
        <f>VLOOKUP(MOD(C1900,7),'CALENDAR INFO'!$I$2:$J$8,2)</f>
        <v>MON</v>
      </c>
      <c r="G1900" s="214">
        <v>4.33</v>
      </c>
      <c r="H1900" s="425">
        <v>4.3499999999999996</v>
      </c>
      <c r="I1900" s="457">
        <f t="shared" si="169"/>
        <v>1.9999999999999574E-2</v>
      </c>
      <c r="J1900" s="15" t="s">
        <v>153</v>
      </c>
      <c r="K1900" s="15" t="str">
        <f>_xlfn.CONCAT("A",TEXT(K1891,0),":","A",TEXT(K1893,0))</f>
        <v>A1891:A1918</v>
      </c>
      <c r="L1900" s="179" t="str">
        <f>_xlfn.CONCAT("B",TEXT(L1891,0),":","B",TEXT(L1893,0))</f>
        <v>B1891:B1918</v>
      </c>
      <c r="M1900" s="113">
        <f t="shared" si="174"/>
        <v>1</v>
      </c>
      <c r="N1900" s="64">
        <f t="shared" si="173"/>
        <v>1.0001208333333333</v>
      </c>
    </row>
    <row r="1901" spans="1:14">
      <c r="B1901" s="41"/>
      <c r="C1901" s="103">
        <f t="shared" si="170"/>
        <v>45699</v>
      </c>
      <c r="E1901" s="170"/>
      <c r="F1901" s="58" t="str">
        <f>VLOOKUP(MOD(C1901,7),'CALENDAR INFO'!$I$2:$J$8,2)</f>
        <v>TUE</v>
      </c>
      <c r="G1901" s="214">
        <v>4.33</v>
      </c>
      <c r="H1901" s="425">
        <v>4.34</v>
      </c>
      <c r="I1901" s="457">
        <f t="shared" si="169"/>
        <v>9.9999999999997868E-3</v>
      </c>
      <c r="J1901" s="15" t="s">
        <v>190</v>
      </c>
      <c r="K1901" s="15" t="str">
        <f>_xlfn.CONCAT("F",TEXT(K1891,0),":","F",TEXT(K1895,0))</f>
        <v>F1891:F1892</v>
      </c>
      <c r="L1901" s="179" t="str">
        <f>_xlfn.CONCAT("G",TEXT(L1891,0),":","G",TEXT(L1895,0))</f>
        <v>G1891:G1892</v>
      </c>
      <c r="M1901" s="113">
        <f t="shared" si="174"/>
        <v>1</v>
      </c>
      <c r="N1901" s="64">
        <f t="shared" si="173"/>
        <v>1.0001205555555555</v>
      </c>
    </row>
    <row r="1902" spans="1:14">
      <c r="B1902" s="41"/>
      <c r="C1902" s="103">
        <f t="shared" si="170"/>
        <v>45700</v>
      </c>
      <c r="E1902" s="170"/>
      <c r="F1902" s="58" t="str">
        <f>VLOOKUP(MOD(C1902,7),'CALENDAR INFO'!$I$2:$J$8,2)</f>
        <v>WED</v>
      </c>
      <c r="G1902" s="214">
        <v>4.33</v>
      </c>
      <c r="H1902" s="425">
        <v>4.32</v>
      </c>
      <c r="I1902" s="457">
        <f t="shared" si="169"/>
        <v>-9.9999999999997868E-3</v>
      </c>
      <c r="J1902" s="15" t="s">
        <v>191</v>
      </c>
      <c r="K1902" s="15" t="str">
        <f>_xlfn.CONCAT("F",TEXT(K1896,0),":","F",TEXT(K1893,0))</f>
        <v>F1893:F1918</v>
      </c>
      <c r="L1902" s="179" t="str">
        <f>_xlfn.CONCAT("G",TEXT(L1896,0),":","G",TEXT(L1893,0))</f>
        <v>G1893:G1918</v>
      </c>
      <c r="M1902" s="113">
        <f t="shared" si="174"/>
        <v>1</v>
      </c>
      <c r="N1902" s="64">
        <f t="shared" si="173"/>
        <v>1.0001199999999999</v>
      </c>
    </row>
    <row r="1903" spans="1:14">
      <c r="B1903" s="41"/>
      <c r="C1903" s="103">
        <f t="shared" si="170"/>
        <v>45701</v>
      </c>
      <c r="E1903" s="170"/>
      <c r="F1903" s="58" t="str">
        <f>VLOOKUP(MOD(C1903,7),'CALENDAR INFO'!$I$2:$J$8,2)</f>
        <v>THU</v>
      </c>
      <c r="G1903" s="214">
        <v>4.33</v>
      </c>
      <c r="H1903" s="425">
        <v>4.33</v>
      </c>
      <c r="I1903" s="457">
        <f t="shared" si="169"/>
        <v>0</v>
      </c>
      <c r="M1903" s="113">
        <f t="shared" si="174"/>
        <v>1</v>
      </c>
      <c r="N1903" s="64">
        <f t="shared" si="173"/>
        <v>1.0001202777777778</v>
      </c>
    </row>
    <row r="1904" spans="1:14">
      <c r="B1904" s="41"/>
      <c r="C1904" s="103">
        <f t="shared" si="170"/>
        <v>45702</v>
      </c>
      <c r="E1904" s="170"/>
      <c r="F1904" s="58" t="str">
        <f>VLOOKUP(MOD(C1904,7),'CALENDAR INFO'!$I$2:$J$8,2)</f>
        <v>FRI</v>
      </c>
      <c r="G1904" s="214">
        <v>4.33</v>
      </c>
      <c r="H1904" s="425">
        <v>4.33</v>
      </c>
      <c r="I1904" s="457">
        <f t="shared" si="169"/>
        <v>0</v>
      </c>
      <c r="J1904" s="15" t="s">
        <v>194</v>
      </c>
      <c r="K1904" s="15">
        <f t="shared" ref="K1904:L1906" ca="1" si="175">COUNTA(INDIRECT(K1900))</f>
        <v>0</v>
      </c>
      <c r="L1904" s="179">
        <f t="shared" ca="1" si="175"/>
        <v>0</v>
      </c>
      <c r="M1904" s="117">
        <v>4</v>
      </c>
      <c r="N1904" s="64">
        <f t="shared" si="173"/>
        <v>1.0004811111111112</v>
      </c>
    </row>
    <row r="1905" spans="1:14">
      <c r="B1905" s="41"/>
      <c r="C1905" s="103">
        <f t="shared" si="170"/>
        <v>45703</v>
      </c>
      <c r="E1905" s="170"/>
      <c r="F1905" s="58" t="str">
        <f>VLOOKUP(MOD(C1905,7),'CALENDAR INFO'!$I$2:$J$8,2)</f>
        <v>SAT</v>
      </c>
      <c r="G1905" s="214">
        <v>4.33</v>
      </c>
      <c r="H1905" s="425">
        <v>4.33</v>
      </c>
      <c r="I1905" s="457">
        <f t="shared" si="169"/>
        <v>0</v>
      </c>
      <c r="J1905" s="15" t="s">
        <v>195</v>
      </c>
      <c r="K1905" s="15">
        <f t="shared" ca="1" si="175"/>
        <v>2</v>
      </c>
      <c r="L1905" s="179">
        <f t="shared" ca="1" si="175"/>
        <v>2</v>
      </c>
      <c r="M1905" s="117">
        <f>IF(MOD(C1905,7)&lt;2,0,IF(MOD(C1905,7)=6,3,1))</f>
        <v>0</v>
      </c>
      <c r="N1905" s="64">
        <f t="shared" si="173"/>
        <v>1</v>
      </c>
    </row>
    <row r="1906" spans="1:14">
      <c r="B1906" s="41"/>
      <c r="C1906" s="103">
        <f t="shared" si="170"/>
        <v>45704</v>
      </c>
      <c r="E1906" s="170"/>
      <c r="F1906" s="58" t="str">
        <f>VLOOKUP(MOD(C1906,7),'CALENDAR INFO'!$I$2:$J$8,2)</f>
        <v>SUN</v>
      </c>
      <c r="G1906" s="214">
        <v>4.33</v>
      </c>
      <c r="H1906" s="425">
        <v>4.33</v>
      </c>
      <c r="I1906" s="457">
        <f t="shared" si="169"/>
        <v>0</v>
      </c>
      <c r="J1906" s="15" t="s">
        <v>196</v>
      </c>
      <c r="K1906" s="15">
        <f t="shared" ca="1" si="175"/>
        <v>26</v>
      </c>
      <c r="L1906" s="179">
        <f t="shared" ca="1" si="175"/>
        <v>26</v>
      </c>
      <c r="M1906" s="117">
        <f>IF(MOD(C1906,7)&lt;2,0,IF(MOD(C1906,7)=6,3,1))</f>
        <v>0</v>
      </c>
      <c r="N1906" s="64">
        <f t="shared" si="173"/>
        <v>1</v>
      </c>
    </row>
    <row r="1907" spans="1:14">
      <c r="B1907" s="41"/>
      <c r="C1907" s="103">
        <f t="shared" si="170"/>
        <v>45705</v>
      </c>
      <c r="D1907" s="173" t="s">
        <v>206</v>
      </c>
      <c r="E1907" s="170"/>
      <c r="F1907" s="58" t="str">
        <f>VLOOKUP(MOD(C1907,7),'CALENDAR INFO'!$I$2:$J$8,2)</f>
        <v>MON</v>
      </c>
      <c r="G1907" s="214">
        <v>4.33</v>
      </c>
      <c r="H1907" s="425">
        <v>4.33</v>
      </c>
      <c r="I1907" s="457">
        <f t="shared" si="169"/>
        <v>0</v>
      </c>
      <c r="M1907" s="117">
        <v>0</v>
      </c>
      <c r="N1907" s="64">
        <f t="shared" si="173"/>
        <v>1</v>
      </c>
    </row>
    <row r="1908" spans="1:14">
      <c r="B1908" s="41"/>
      <c r="C1908" s="103">
        <f t="shared" si="170"/>
        <v>45706</v>
      </c>
      <c r="E1908" s="170"/>
      <c r="F1908" s="58" t="str">
        <f>VLOOKUP(MOD(C1908,7),'CALENDAR INFO'!$I$2:$J$8,2)</f>
        <v>TUE</v>
      </c>
      <c r="G1908" s="214">
        <v>4.33</v>
      </c>
      <c r="H1908" s="425">
        <v>4.37</v>
      </c>
      <c r="I1908" s="457">
        <f t="shared" si="169"/>
        <v>4.0000000000000036E-2</v>
      </c>
      <c r="J1908" s="15" t="s">
        <v>197</v>
      </c>
      <c r="K1908" s="180" t="e">
        <f>OUTPUT!#REF!</f>
        <v>#REF!</v>
      </c>
      <c r="L1908" s="193" t="e">
        <f>OUTPUT!#REF!</f>
        <v>#REF!</v>
      </c>
      <c r="M1908" s="113">
        <f t="shared" ref="M1908:M1939" si="176">IF(MOD(C1908,7)&lt;2,0,IF(MOD(C1908,7)=6,3,1))</f>
        <v>1</v>
      </c>
      <c r="N1908" s="64">
        <f t="shared" si="173"/>
        <v>1.0001213888888889</v>
      </c>
    </row>
    <row r="1909" spans="1:14">
      <c r="B1909" s="41"/>
      <c r="C1909" s="103">
        <f t="shared" si="170"/>
        <v>45707</v>
      </c>
      <c r="E1909" s="170" t="s">
        <v>19</v>
      </c>
      <c r="F1909" s="58" t="str">
        <f>VLOOKUP(MOD(C1909,7),'CALENDAR INFO'!$I$2:$J$8,2)</f>
        <v>WED</v>
      </c>
      <c r="G1909" s="214">
        <v>4.33</v>
      </c>
      <c r="H1909" s="425">
        <v>4.3499999999999996</v>
      </c>
      <c r="I1909" s="457">
        <f t="shared" si="169"/>
        <v>1.9999999999999574E-2</v>
      </c>
      <c r="J1909" s="15" t="s">
        <v>118</v>
      </c>
      <c r="K1909" s="15">
        <f>K1892</f>
        <v>28</v>
      </c>
      <c r="L1909" s="179">
        <f>L1892</f>
        <v>28</v>
      </c>
      <c r="M1909" s="113">
        <f t="shared" si="176"/>
        <v>1</v>
      </c>
      <c r="N1909" s="64">
        <f t="shared" si="173"/>
        <v>1.0001208333333333</v>
      </c>
    </row>
    <row r="1910" spans="1:14">
      <c r="B1910" s="41"/>
      <c r="C1910" s="103">
        <f t="shared" si="170"/>
        <v>45708</v>
      </c>
      <c r="E1910" s="167" t="s">
        <v>18</v>
      </c>
      <c r="F1910" s="58" t="str">
        <f>VLOOKUP(MOD(C1910,7),'CALENDAR INFO'!$I$2:$J$8,2)</f>
        <v>THU</v>
      </c>
      <c r="G1910" s="214">
        <v>4.33</v>
      </c>
      <c r="H1910" s="425">
        <v>4.33</v>
      </c>
      <c r="I1910" s="457">
        <f t="shared" si="169"/>
        <v>0</v>
      </c>
      <c r="J1910" s="15" t="s">
        <v>184</v>
      </c>
      <c r="K1910" s="178" t="e">
        <f>K1908*K1909</f>
        <v>#REF!</v>
      </c>
      <c r="L1910" s="192" t="e">
        <f>L1908*L1909</f>
        <v>#REF!</v>
      </c>
      <c r="M1910" s="113">
        <f t="shared" si="176"/>
        <v>1</v>
      </c>
      <c r="N1910" s="64">
        <f t="shared" si="173"/>
        <v>1.0001202777777778</v>
      </c>
    </row>
    <row r="1911" spans="1:14">
      <c r="B1911" s="41"/>
      <c r="C1911" s="103">
        <f t="shared" si="170"/>
        <v>45709</v>
      </c>
      <c r="E1911" s="167"/>
      <c r="F1911" s="58" t="str">
        <f>VLOOKUP(MOD(C1911,7),'CALENDAR INFO'!$I$2:$J$8,2)</f>
        <v>FRI</v>
      </c>
      <c r="G1911" s="214">
        <v>4.33</v>
      </c>
      <c r="H1911" s="425">
        <v>4.34</v>
      </c>
      <c r="I1911" s="457">
        <f t="shared" si="169"/>
        <v>9.9999999999997868E-3</v>
      </c>
      <c r="K1911" s="178"/>
      <c r="L1911" s="192"/>
      <c r="M1911" s="113">
        <f t="shared" si="176"/>
        <v>3</v>
      </c>
      <c r="N1911" s="64">
        <f t="shared" si="173"/>
        <v>1.0003616666666666</v>
      </c>
    </row>
    <row r="1912" spans="1:14">
      <c r="B1912" s="41"/>
      <c r="C1912" s="103">
        <f t="shared" si="170"/>
        <v>45710</v>
      </c>
      <c r="E1912" s="167"/>
      <c r="F1912" s="58" t="str">
        <f>VLOOKUP(MOD(C1912,7),'CALENDAR INFO'!$I$2:$J$8,2)</f>
        <v>SAT</v>
      </c>
      <c r="G1912" s="214">
        <v>4.33</v>
      </c>
      <c r="H1912" s="425">
        <v>4.34</v>
      </c>
      <c r="I1912" s="457">
        <f t="shared" si="169"/>
        <v>9.9999999999997868E-3</v>
      </c>
      <c r="J1912" s="15" t="s">
        <v>187</v>
      </c>
      <c r="K1912" s="207" t="e">
        <f>K1910</f>
        <v>#REF!</v>
      </c>
      <c r="L1912" s="208" t="e">
        <f>L1910</f>
        <v>#REF!</v>
      </c>
      <c r="M1912" s="113">
        <f t="shared" si="176"/>
        <v>0</v>
      </c>
      <c r="N1912" s="64">
        <f t="shared" si="173"/>
        <v>1</v>
      </c>
    </row>
    <row r="1913" spans="1:14">
      <c r="B1913" s="41"/>
      <c r="C1913" s="103">
        <f t="shared" si="170"/>
        <v>45711</v>
      </c>
      <c r="E1913" s="167"/>
      <c r="F1913" s="58" t="str">
        <f>VLOOKUP(MOD(C1913,7),'CALENDAR INFO'!$I$2:$J$8,2)</f>
        <v>SUN</v>
      </c>
      <c r="G1913" s="214">
        <v>4.33</v>
      </c>
      <c r="H1913" s="425">
        <v>4.34</v>
      </c>
      <c r="I1913" s="457">
        <f t="shared" si="169"/>
        <v>9.9999999999997868E-3</v>
      </c>
      <c r="J1913" s="15" t="s">
        <v>155</v>
      </c>
      <c r="K1913" s="178">
        <f ca="1">SUM(INDIRECT(K1900))</f>
        <v>0</v>
      </c>
      <c r="L1913" s="192">
        <f ca="1">SUM(INDIRECT(L1900))</f>
        <v>0</v>
      </c>
      <c r="M1913" s="113">
        <f t="shared" si="176"/>
        <v>0</v>
      </c>
      <c r="N1913" s="64">
        <f t="shared" si="173"/>
        <v>1</v>
      </c>
    </row>
    <row r="1914" spans="1:14">
      <c r="B1914" s="41"/>
      <c r="C1914" s="103">
        <f t="shared" si="170"/>
        <v>45712</v>
      </c>
      <c r="E1914" s="167"/>
      <c r="F1914" s="58" t="str">
        <f>VLOOKUP(MOD(C1914,7),'CALENDAR INFO'!$I$2:$J$8,2)</f>
        <v>MON</v>
      </c>
      <c r="G1914" s="214">
        <v>4.33</v>
      </c>
      <c r="H1914" s="425">
        <v>4.34</v>
      </c>
      <c r="I1914" s="457">
        <f t="shared" si="169"/>
        <v>9.9999999999997868E-3</v>
      </c>
      <c r="J1914" s="15" t="s">
        <v>185</v>
      </c>
      <c r="K1914" s="178">
        <f ca="1">SUM(INDIRECT(K1901))</f>
        <v>0</v>
      </c>
      <c r="L1914" s="192">
        <f ca="1">SUM(INDIRECT(L1901))</f>
        <v>8.66</v>
      </c>
      <c r="M1914" s="113">
        <f t="shared" si="176"/>
        <v>1</v>
      </c>
      <c r="N1914" s="64">
        <f t="shared" si="173"/>
        <v>1.0001205555555555</v>
      </c>
    </row>
    <row r="1915" spans="1:14">
      <c r="B1915" s="41"/>
      <c r="C1915" s="103">
        <f t="shared" si="170"/>
        <v>45713</v>
      </c>
      <c r="E1915" s="167"/>
      <c r="F1915" s="58" t="str">
        <f>VLOOKUP(MOD(C1915,7),'CALENDAR INFO'!$I$2:$J$8,2)</f>
        <v>TUE</v>
      </c>
      <c r="G1915" s="214">
        <v>4.33</v>
      </c>
      <c r="H1915" s="425">
        <v>4.33</v>
      </c>
      <c r="I1915" s="457">
        <f t="shared" si="169"/>
        <v>0</v>
      </c>
      <c r="J1915" s="15" t="s">
        <v>186</v>
      </c>
      <c r="K1915" s="178" t="e">
        <f ca="1">K1912-K1913-K1914</f>
        <v>#REF!</v>
      </c>
      <c r="L1915" s="192" t="e">
        <f ca="1">L1912-L1913-L1914</f>
        <v>#REF!</v>
      </c>
      <c r="M1915" s="113">
        <f t="shared" si="176"/>
        <v>1</v>
      </c>
      <c r="N1915" s="64">
        <f t="shared" si="173"/>
        <v>1.0001202777777778</v>
      </c>
    </row>
    <row r="1916" spans="1:14">
      <c r="B1916" s="41"/>
      <c r="C1916" s="103">
        <f t="shared" si="170"/>
        <v>45714</v>
      </c>
      <c r="E1916" s="167"/>
      <c r="F1916" s="58" t="str">
        <f>VLOOKUP(MOD(C1916,7),'CALENDAR INFO'!$I$2:$J$8,2)</f>
        <v>WED</v>
      </c>
      <c r="G1916" s="214">
        <v>4.33</v>
      </c>
      <c r="H1916" s="425">
        <v>4.33</v>
      </c>
      <c r="I1916" s="457">
        <f t="shared" si="169"/>
        <v>0</v>
      </c>
      <c r="J1916" s="177" t="s">
        <v>202</v>
      </c>
      <c r="K1916" s="177">
        <f ca="1">100-K1913/K1909</f>
        <v>100</v>
      </c>
      <c r="L1916" s="197">
        <f ca="1">100-L1913/L1909</f>
        <v>100</v>
      </c>
      <c r="M1916" s="113">
        <f t="shared" si="176"/>
        <v>1</v>
      </c>
      <c r="N1916" s="64">
        <f t="shared" si="173"/>
        <v>1.0001202777777778</v>
      </c>
    </row>
    <row r="1917" spans="1:14">
      <c r="B1917" s="41"/>
      <c r="C1917" s="103">
        <f t="shared" si="170"/>
        <v>45715</v>
      </c>
      <c r="E1917" s="167"/>
      <c r="F1917" s="58" t="str">
        <f>VLOOKUP(MOD(C1917,7),'CALENDAR INFO'!$I$2:$J$8,2)</f>
        <v>THU</v>
      </c>
      <c r="G1917" s="214">
        <v>4.33</v>
      </c>
      <c r="H1917" s="425">
        <v>4.3600000000000003</v>
      </c>
      <c r="I1917" s="457">
        <f t="shared" si="169"/>
        <v>3.0000000000000249E-2</v>
      </c>
      <c r="J1917" s="15" t="s">
        <v>188</v>
      </c>
      <c r="K1917" s="15">
        <f ca="1">K1892-K1904-K1905</f>
        <v>26</v>
      </c>
      <c r="L1917" s="179">
        <f ca="1">L1892-L1904-L1905</f>
        <v>26</v>
      </c>
      <c r="M1917" s="113">
        <f t="shared" si="176"/>
        <v>1</v>
      </c>
      <c r="N1917" s="64">
        <f t="shared" si="173"/>
        <v>1.000121111111111</v>
      </c>
    </row>
    <row r="1918" spans="1:14" ht="15.75" thickBot="1">
      <c r="A1918" s="98"/>
      <c r="B1918" s="230"/>
      <c r="C1918" s="104">
        <f t="shared" si="170"/>
        <v>45716</v>
      </c>
      <c r="D1918" s="112"/>
      <c r="E1918" s="92"/>
      <c r="F1918" s="71" t="str">
        <f>VLOOKUP(MOD(C1918,7),'CALENDAR INFO'!$I$2:$J$8,2)</f>
        <v>FRI</v>
      </c>
      <c r="G1918" s="215">
        <v>4.33</v>
      </c>
      <c r="H1918" s="426">
        <v>4.3899999999999997</v>
      </c>
      <c r="I1918" s="457">
        <f t="shared" si="169"/>
        <v>5.9999999999999609E-2</v>
      </c>
      <c r="J1918" s="15" t="s">
        <v>189</v>
      </c>
      <c r="K1918" s="178" t="e">
        <f ca="1">K1915/K1917</f>
        <v>#REF!</v>
      </c>
      <c r="L1918" s="192" t="e">
        <f ca="1">L1915/L1917</f>
        <v>#REF!</v>
      </c>
      <c r="M1918" s="114">
        <f t="shared" si="176"/>
        <v>3</v>
      </c>
      <c r="N1918" s="292">
        <f t="shared" si="173"/>
        <v>1.0003658333333334</v>
      </c>
    </row>
    <row r="1919" spans="1:14">
      <c r="A1919" s="304"/>
      <c r="B1919" s="305"/>
      <c r="C1919" s="103">
        <f t="shared" si="170"/>
        <v>45717</v>
      </c>
      <c r="E1919" s="167"/>
      <c r="F1919" s="58" t="str">
        <f>VLOOKUP(MOD(C1919,7),'CALENDAR INFO'!$I$2:$J$8,2)</f>
        <v>SAT</v>
      </c>
      <c r="G1919" s="214">
        <v>4.33</v>
      </c>
      <c r="H1919" s="425">
        <v>4.3899999999999997</v>
      </c>
      <c r="I1919" s="457">
        <f t="shared" si="169"/>
        <v>5.9999999999999609E-2</v>
      </c>
      <c r="J1919" s="438" t="s">
        <v>151</v>
      </c>
      <c r="K1919" s="360">
        <f>ROW(K1919)</f>
        <v>1919</v>
      </c>
      <c r="L1919" s="233">
        <f>K1919</f>
        <v>1919</v>
      </c>
      <c r="M1919" s="113">
        <f t="shared" si="176"/>
        <v>0</v>
      </c>
      <c r="N1919" s="64">
        <f t="shared" si="173"/>
        <v>1</v>
      </c>
    </row>
    <row r="1920" spans="1:14">
      <c r="A1920" s="304"/>
      <c r="B1920" s="305"/>
      <c r="C1920" s="103">
        <f t="shared" si="170"/>
        <v>45718</v>
      </c>
      <c r="E1920" s="167"/>
      <c r="F1920" s="58" t="str">
        <f>VLOOKUP(MOD(C1920,7),'CALENDAR INFO'!$I$2:$J$8,2)</f>
        <v>SUN</v>
      </c>
      <c r="G1920" s="214">
        <v>4.33</v>
      </c>
      <c r="H1920" s="425">
        <v>4.3899999999999997</v>
      </c>
      <c r="I1920" s="457">
        <f t="shared" si="169"/>
        <v>5.9999999999999609E-2</v>
      </c>
      <c r="J1920" s="15" t="s">
        <v>118</v>
      </c>
      <c r="K1920" s="15">
        <f>VLOOKUP(MONTH($C1919),'CALENDAR INFO'!$I$12:$J$23,2)</f>
        <v>31</v>
      </c>
      <c r="L1920" s="179">
        <f>K1920</f>
        <v>31</v>
      </c>
      <c r="M1920" s="113">
        <f t="shared" si="176"/>
        <v>0</v>
      </c>
      <c r="N1920" s="64">
        <f t="shared" si="173"/>
        <v>1</v>
      </c>
    </row>
    <row r="1921" spans="1:14">
      <c r="A1921" s="304"/>
      <c r="B1921" s="305"/>
      <c r="C1921" s="103">
        <f t="shared" si="170"/>
        <v>45719</v>
      </c>
      <c r="E1921" s="167"/>
      <c r="F1921" s="58" t="str">
        <f>VLOOKUP(MOD(C1921,7),'CALENDAR INFO'!$I$2:$J$8,2)</f>
        <v>MON</v>
      </c>
      <c r="G1921" s="214">
        <v>4.33</v>
      </c>
      <c r="H1921" s="425">
        <v>4.33</v>
      </c>
      <c r="I1921" s="457">
        <f t="shared" si="169"/>
        <v>0</v>
      </c>
      <c r="J1921" s="15" t="s">
        <v>152</v>
      </c>
      <c r="K1921" s="15">
        <f>K1920+K1919-1</f>
        <v>1949</v>
      </c>
      <c r="L1921" s="179">
        <f>K1921</f>
        <v>1949</v>
      </c>
      <c r="M1921" s="113">
        <f t="shared" si="176"/>
        <v>1</v>
      </c>
      <c r="N1921" s="64">
        <f t="shared" si="173"/>
        <v>1.0001202777777778</v>
      </c>
    </row>
    <row r="1922" spans="1:14">
      <c r="A1922" s="304"/>
      <c r="B1922" s="305"/>
      <c r="C1922" s="103">
        <f t="shared" si="170"/>
        <v>45720</v>
      </c>
      <c r="E1922" s="167"/>
      <c r="F1922" s="58" t="str">
        <f>VLOOKUP(MOD(C1922,7),'CALENDAR INFO'!$I$2:$J$8,2)</f>
        <v>TUE</v>
      </c>
      <c r="G1922" s="214">
        <v>4.33</v>
      </c>
      <c r="H1922" s="425">
        <v>4.33</v>
      </c>
      <c r="I1922" s="457">
        <f t="shared" si="169"/>
        <v>0</v>
      </c>
      <c r="M1922" s="113">
        <f t="shared" si="176"/>
        <v>1</v>
      </c>
      <c r="N1922" s="64">
        <f t="shared" si="173"/>
        <v>1.0001202777777778</v>
      </c>
    </row>
    <row r="1923" spans="1:14">
      <c r="A1923" s="304"/>
      <c r="B1923" s="305"/>
      <c r="C1923" s="103">
        <f t="shared" si="170"/>
        <v>45721</v>
      </c>
      <c r="E1923" s="167" t="s">
        <v>19</v>
      </c>
      <c r="F1923" s="58" t="str">
        <f>VLOOKUP(MOD(C1923,7),'CALENDAR INFO'!$I$2:$J$8,2)</f>
        <v>WED</v>
      </c>
      <c r="G1923" s="214">
        <v>4.33</v>
      </c>
      <c r="H1923" s="425">
        <v>4.34</v>
      </c>
      <c r="I1923" s="457">
        <f t="shared" ref="I1923:I1986" si="177">H1923-G1923</f>
        <v>9.9999999999997868E-3</v>
      </c>
      <c r="J1923" s="15" t="s">
        <v>192</v>
      </c>
      <c r="K1923" s="176">
        <v>1937</v>
      </c>
      <c r="L1923" s="179">
        <f>K1923</f>
        <v>1937</v>
      </c>
      <c r="M1923" s="113">
        <f t="shared" si="176"/>
        <v>1</v>
      </c>
      <c r="N1923" s="64">
        <f t="shared" si="173"/>
        <v>1.0001205555555555</v>
      </c>
    </row>
    <row r="1924" spans="1:14">
      <c r="A1924" s="304"/>
      <c r="B1924" s="305"/>
      <c r="C1924" s="103">
        <f t="shared" ref="C1924:C1987" si="178">C1923+1</f>
        <v>45722</v>
      </c>
      <c r="E1924" s="170" t="s">
        <v>18</v>
      </c>
      <c r="F1924" s="58" t="str">
        <f>VLOOKUP(MOD(C1924,7),'CALENDAR INFO'!$I$2:$J$8,2)</f>
        <v>THU</v>
      </c>
      <c r="G1924" s="214">
        <v>4.33</v>
      </c>
      <c r="H1924" s="425">
        <v>4.3499999999999996</v>
      </c>
      <c r="I1924" s="457">
        <f t="shared" si="177"/>
        <v>1.9999999999999574E-2</v>
      </c>
      <c r="J1924" s="15" t="s">
        <v>193</v>
      </c>
      <c r="K1924" s="15">
        <f>K1923+1</f>
        <v>1938</v>
      </c>
      <c r="L1924" s="179">
        <f>K1924</f>
        <v>1938</v>
      </c>
      <c r="M1924" s="113">
        <f t="shared" si="176"/>
        <v>1</v>
      </c>
      <c r="N1924" s="64">
        <f t="shared" si="173"/>
        <v>1.0001208333333333</v>
      </c>
    </row>
    <row r="1925" spans="1:14">
      <c r="A1925" s="304"/>
      <c r="B1925" s="305"/>
      <c r="C1925" s="103">
        <f t="shared" si="178"/>
        <v>45723</v>
      </c>
      <c r="E1925" s="170"/>
      <c r="F1925" s="58" t="str">
        <f>VLOOKUP(MOD(C1925,7),'CALENDAR INFO'!$I$2:$J$8,2)</f>
        <v>FRI</v>
      </c>
      <c r="G1925" s="214">
        <v>4.33</v>
      </c>
      <c r="H1925" s="425">
        <v>4.34</v>
      </c>
      <c r="I1925" s="457">
        <f t="shared" si="177"/>
        <v>9.9999999999997868E-3</v>
      </c>
      <c r="M1925" s="113">
        <f t="shared" si="176"/>
        <v>3</v>
      </c>
      <c r="N1925" s="64">
        <f t="shared" si="173"/>
        <v>1.0003616666666666</v>
      </c>
    </row>
    <row r="1926" spans="1:14">
      <c r="A1926" s="304"/>
      <c r="B1926" s="305"/>
      <c r="C1926" s="103">
        <f t="shared" si="178"/>
        <v>45724</v>
      </c>
      <c r="E1926" s="170"/>
      <c r="F1926" s="58" t="str">
        <f>VLOOKUP(MOD(C1926,7),'CALENDAR INFO'!$I$2:$J$8,2)</f>
        <v>SAT</v>
      </c>
      <c r="G1926" s="214">
        <v>4.33</v>
      </c>
      <c r="H1926" s="425">
        <v>4.34</v>
      </c>
      <c r="I1926" s="457">
        <f t="shared" si="177"/>
        <v>9.9999999999997868E-3</v>
      </c>
      <c r="J1926" s="15" t="s">
        <v>213</v>
      </c>
      <c r="K1926" s="15" t="str">
        <f>_xlfn.CONCAT("F$",TEXT(K1919-1,0))</f>
        <v>F$1918</v>
      </c>
      <c r="L1926" s="179" t="str">
        <f>_xlfn.CONCAT("G$",TEXT(L1919-1,0))</f>
        <v>G$1918</v>
      </c>
      <c r="M1926" s="113">
        <f t="shared" si="176"/>
        <v>0</v>
      </c>
      <c r="N1926" s="64">
        <f t="shared" si="173"/>
        <v>1</v>
      </c>
    </row>
    <row r="1927" spans="1:14">
      <c r="A1927" s="304"/>
      <c r="B1927" s="305"/>
      <c r="C1927" s="103">
        <f t="shared" si="178"/>
        <v>45725</v>
      </c>
      <c r="E1927" s="170"/>
      <c r="F1927" s="58" t="str">
        <f>VLOOKUP(MOD(C1927,7),'CALENDAR INFO'!$I$2:$J$8,2)</f>
        <v>SUN</v>
      </c>
      <c r="G1927" s="214">
        <v>4.33</v>
      </c>
      <c r="H1927" s="425">
        <v>4.34</v>
      </c>
      <c r="I1927" s="457">
        <f t="shared" si="177"/>
        <v>9.9999999999997868E-3</v>
      </c>
      <c r="J1927" s="15" t="s">
        <v>214</v>
      </c>
      <c r="K1927" s="15" t="str">
        <f>_xlfn.CONCAT("K$",TEXT(K1919+27,0))</f>
        <v>K$1946</v>
      </c>
      <c r="L1927" s="179" t="str">
        <f>_xlfn.CONCAT("L$",TEXT(L1919+27,0))</f>
        <v>L$1946</v>
      </c>
      <c r="M1927" s="113">
        <f t="shared" si="176"/>
        <v>0</v>
      </c>
      <c r="N1927" s="64">
        <f t="shared" si="173"/>
        <v>1</v>
      </c>
    </row>
    <row r="1928" spans="1:14">
      <c r="A1928" s="304"/>
      <c r="B1928" s="305"/>
      <c r="C1928" s="103">
        <f t="shared" si="178"/>
        <v>45726</v>
      </c>
      <c r="E1928" s="170"/>
      <c r="F1928" s="58" t="str">
        <f>VLOOKUP(MOD(C1928,7),'CALENDAR INFO'!$I$2:$J$8,2)</f>
        <v>MON</v>
      </c>
      <c r="G1928" s="214">
        <v>4.33</v>
      </c>
      <c r="H1928" s="425">
        <v>4.33</v>
      </c>
      <c r="I1928" s="457">
        <f t="shared" si="177"/>
        <v>0</v>
      </c>
      <c r="J1928" s="15" t="s">
        <v>153</v>
      </c>
      <c r="K1928" s="15" t="str">
        <f>_xlfn.CONCAT("A",TEXT(K1919,0),":","A",TEXT(K1921,0))</f>
        <v>A1919:A1949</v>
      </c>
      <c r="L1928" s="179" t="str">
        <f>_xlfn.CONCAT("B",TEXT(L1919,0),":","B",TEXT(L1921,0))</f>
        <v>B1919:B1949</v>
      </c>
      <c r="M1928" s="113">
        <f t="shared" si="176"/>
        <v>1</v>
      </c>
      <c r="N1928" s="64">
        <f t="shared" si="173"/>
        <v>1.0001202777777778</v>
      </c>
    </row>
    <row r="1929" spans="1:14">
      <c r="A1929" s="304"/>
      <c r="B1929" s="305"/>
      <c r="C1929" s="103">
        <f t="shared" si="178"/>
        <v>45727</v>
      </c>
      <c r="E1929" s="170"/>
      <c r="F1929" s="58" t="str">
        <f>VLOOKUP(MOD(C1929,7),'CALENDAR INFO'!$I$2:$J$8,2)</f>
        <v>TUE</v>
      </c>
      <c r="G1929" s="214">
        <v>4.33</v>
      </c>
      <c r="H1929" s="425">
        <v>4.32</v>
      </c>
      <c r="I1929" s="457">
        <f t="shared" si="177"/>
        <v>-9.9999999999997868E-3</v>
      </c>
      <c r="J1929" s="15" t="s">
        <v>190</v>
      </c>
      <c r="K1929" s="15" t="str">
        <f>_xlfn.CONCAT("F",TEXT(K1919,0),":","F",TEXT(K1923,0))</f>
        <v>F1919:F1937</v>
      </c>
      <c r="L1929" s="179" t="str">
        <f>_xlfn.CONCAT("G",TEXT(L1919,0),":","G",TEXT(L1923,0))</f>
        <v>G1919:G1937</v>
      </c>
      <c r="M1929" s="113">
        <f t="shared" si="176"/>
        <v>1</v>
      </c>
      <c r="N1929" s="64">
        <f t="shared" si="173"/>
        <v>1.0001199999999999</v>
      </c>
    </row>
    <row r="1930" spans="1:14">
      <c r="A1930" s="304"/>
      <c r="B1930" s="305"/>
      <c r="C1930" s="103">
        <f t="shared" si="178"/>
        <v>45728</v>
      </c>
      <c r="E1930" s="170"/>
      <c r="F1930" s="58" t="str">
        <f>VLOOKUP(MOD(C1930,7),'CALENDAR INFO'!$I$2:$J$8,2)</f>
        <v>WED</v>
      </c>
      <c r="G1930" s="214">
        <v>4.33</v>
      </c>
      <c r="H1930" s="425">
        <v>4.3099999999999996</v>
      </c>
      <c r="I1930" s="457">
        <f t="shared" si="177"/>
        <v>-2.0000000000000462E-2</v>
      </c>
      <c r="J1930" s="15" t="s">
        <v>191</v>
      </c>
      <c r="K1930" s="15" t="str">
        <f>_xlfn.CONCAT("F",TEXT(K1924,0),":","F",TEXT(K1921,0))</f>
        <v>F1938:F1949</v>
      </c>
      <c r="L1930" s="179" t="str">
        <f>_xlfn.CONCAT("G",TEXT(L1924,0),":","G",TEXT(L1921,0))</f>
        <v>G1938:G1949</v>
      </c>
      <c r="M1930" s="113">
        <f t="shared" si="176"/>
        <v>1</v>
      </c>
      <c r="N1930" s="64">
        <f t="shared" si="173"/>
        <v>1.0001197222222222</v>
      </c>
    </row>
    <row r="1931" spans="1:14">
      <c r="A1931" s="304"/>
      <c r="B1931" s="305"/>
      <c r="C1931" s="103">
        <f t="shared" si="178"/>
        <v>45729</v>
      </c>
      <c r="E1931" s="170"/>
      <c r="F1931" s="58" t="str">
        <f>VLOOKUP(MOD(C1931,7),'CALENDAR INFO'!$I$2:$J$8,2)</f>
        <v>THU</v>
      </c>
      <c r="G1931" s="214">
        <v>4.33</v>
      </c>
      <c r="H1931" s="425">
        <v>4.3</v>
      </c>
      <c r="I1931" s="457">
        <f t="shared" si="177"/>
        <v>-3.0000000000000249E-2</v>
      </c>
      <c r="M1931" s="113">
        <f t="shared" si="176"/>
        <v>1</v>
      </c>
      <c r="N1931" s="64">
        <f t="shared" si="173"/>
        <v>1.0001194444444443</v>
      </c>
    </row>
    <row r="1932" spans="1:14">
      <c r="A1932" s="304"/>
      <c r="B1932" s="305"/>
      <c r="C1932" s="103">
        <f t="shared" si="178"/>
        <v>45730</v>
      </c>
      <c r="E1932" s="170"/>
      <c r="F1932" s="58" t="str">
        <f>VLOOKUP(MOD(C1932,7),'CALENDAR INFO'!$I$2:$J$8,2)</f>
        <v>FRI</v>
      </c>
      <c r="G1932" s="214">
        <v>4.33</v>
      </c>
      <c r="H1932" s="425">
        <v>4.3</v>
      </c>
      <c r="I1932" s="457">
        <f t="shared" si="177"/>
        <v>-3.0000000000000249E-2</v>
      </c>
      <c r="J1932" s="15" t="s">
        <v>194</v>
      </c>
      <c r="K1932" s="15">
        <f t="shared" ref="K1932:L1934" ca="1" si="179">COUNTA(INDIRECT(K1928))</f>
        <v>0</v>
      </c>
      <c r="L1932" s="179">
        <f t="shared" ca="1" si="179"/>
        <v>0</v>
      </c>
      <c r="M1932" s="113">
        <f t="shared" si="176"/>
        <v>3</v>
      </c>
      <c r="N1932" s="64">
        <f t="shared" si="173"/>
        <v>1.0003583333333332</v>
      </c>
    </row>
    <row r="1933" spans="1:14">
      <c r="A1933" s="304"/>
      <c r="B1933" s="305"/>
      <c r="C1933" s="103">
        <f t="shared" si="178"/>
        <v>45731</v>
      </c>
      <c r="E1933" s="170"/>
      <c r="F1933" s="58" t="str">
        <f>VLOOKUP(MOD(C1933,7),'CALENDAR INFO'!$I$2:$J$8,2)</f>
        <v>SAT</v>
      </c>
      <c r="G1933" s="214">
        <v>4.33</v>
      </c>
      <c r="H1933" s="425">
        <v>4.3</v>
      </c>
      <c r="I1933" s="457">
        <f t="shared" si="177"/>
        <v>-3.0000000000000249E-2</v>
      </c>
      <c r="J1933" s="15" t="s">
        <v>195</v>
      </c>
      <c r="K1933" s="15">
        <f t="shared" ca="1" si="179"/>
        <v>19</v>
      </c>
      <c r="L1933" s="179">
        <f t="shared" ca="1" si="179"/>
        <v>19</v>
      </c>
      <c r="M1933" s="113">
        <f t="shared" si="176"/>
        <v>0</v>
      </c>
      <c r="N1933" s="64">
        <f t="shared" si="173"/>
        <v>1</v>
      </c>
    </row>
    <row r="1934" spans="1:14">
      <c r="A1934" s="304"/>
      <c r="B1934" s="305"/>
      <c r="C1934" s="103">
        <f t="shared" si="178"/>
        <v>45732</v>
      </c>
      <c r="E1934" s="170"/>
      <c r="F1934" s="58" t="str">
        <f>VLOOKUP(MOD(C1934,7),'CALENDAR INFO'!$I$2:$J$8,2)</f>
        <v>SUN</v>
      </c>
      <c r="G1934" s="214">
        <v>4.33</v>
      </c>
      <c r="H1934" s="425">
        <v>4.3</v>
      </c>
      <c r="I1934" s="457">
        <f t="shared" si="177"/>
        <v>-3.0000000000000249E-2</v>
      </c>
      <c r="J1934" s="15" t="s">
        <v>196</v>
      </c>
      <c r="K1934" s="15">
        <f t="shared" ca="1" si="179"/>
        <v>12</v>
      </c>
      <c r="L1934" s="179">
        <f t="shared" ca="1" si="179"/>
        <v>12</v>
      </c>
      <c r="M1934" s="113">
        <f t="shared" si="176"/>
        <v>0</v>
      </c>
      <c r="N1934" s="64">
        <f t="shared" si="173"/>
        <v>1</v>
      </c>
    </row>
    <row r="1935" spans="1:14">
      <c r="A1935" s="304"/>
      <c r="B1935" s="305"/>
      <c r="C1935" s="103">
        <f t="shared" si="178"/>
        <v>45733</v>
      </c>
      <c r="E1935" s="170"/>
      <c r="F1935" s="58" t="str">
        <f>VLOOKUP(MOD(C1935,7),'CALENDAR INFO'!$I$2:$J$8,2)</f>
        <v>MON</v>
      </c>
      <c r="G1935" s="214">
        <v>4.33</v>
      </c>
      <c r="H1935" s="425">
        <v>4.32</v>
      </c>
      <c r="I1935" s="457">
        <f t="shared" si="177"/>
        <v>-9.9999999999997868E-3</v>
      </c>
      <c r="M1935" s="113">
        <f t="shared" si="176"/>
        <v>1</v>
      </c>
      <c r="N1935" s="64">
        <f t="shared" si="173"/>
        <v>1.0001199999999999</v>
      </c>
    </row>
    <row r="1936" spans="1:14">
      <c r="A1936" s="304"/>
      <c r="B1936" s="305"/>
      <c r="C1936" s="103">
        <f t="shared" si="178"/>
        <v>45734</v>
      </c>
      <c r="D1936" s="153" t="s">
        <v>20</v>
      </c>
      <c r="E1936" s="170"/>
      <c r="F1936" s="58" t="str">
        <f>VLOOKUP(MOD(C1936,7),'CALENDAR INFO'!$I$2:$J$8,2)</f>
        <v>TUE</v>
      </c>
      <c r="G1936" s="214">
        <v>4.33</v>
      </c>
      <c r="H1936" s="425">
        <v>4.3099999999999996</v>
      </c>
      <c r="I1936" s="457">
        <f t="shared" si="177"/>
        <v>-2.0000000000000462E-2</v>
      </c>
      <c r="J1936" s="15" t="s">
        <v>197</v>
      </c>
      <c r="K1936" s="180" t="e">
        <f>OUTPUT!#REF!</f>
        <v>#REF!</v>
      </c>
      <c r="L1936" s="193" t="e">
        <f>OUTPUT!#REF!</f>
        <v>#REF!</v>
      </c>
      <c r="M1936" s="113">
        <f t="shared" si="176"/>
        <v>1</v>
      </c>
      <c r="N1936" s="64">
        <f t="shared" si="173"/>
        <v>1.0001197222222222</v>
      </c>
    </row>
    <row r="1937" spans="1:14">
      <c r="A1937" s="304"/>
      <c r="B1937" s="305"/>
      <c r="C1937" s="103">
        <f t="shared" si="178"/>
        <v>45735</v>
      </c>
      <c r="D1937" s="153" t="s">
        <v>20</v>
      </c>
      <c r="E1937" s="170" t="s">
        <v>19</v>
      </c>
      <c r="F1937" s="58" t="str">
        <f>VLOOKUP(MOD(C1937,7),'CALENDAR INFO'!$I$2:$J$8,2)</f>
        <v>WED</v>
      </c>
      <c r="G1937" s="214">
        <v>4.33</v>
      </c>
      <c r="H1937" s="425">
        <v>4.29</v>
      </c>
      <c r="I1937" s="457">
        <f t="shared" si="177"/>
        <v>-4.0000000000000036E-2</v>
      </c>
      <c r="J1937" s="15" t="s">
        <v>118</v>
      </c>
      <c r="K1937" s="15">
        <f>K1920</f>
        <v>31</v>
      </c>
      <c r="L1937" s="179">
        <f>L1920</f>
        <v>31</v>
      </c>
      <c r="M1937" s="113">
        <f t="shared" si="176"/>
        <v>1</v>
      </c>
      <c r="N1937" s="64">
        <f t="shared" si="173"/>
        <v>1.0001191666666667</v>
      </c>
    </row>
    <row r="1938" spans="1:14">
      <c r="B1938" s="41"/>
      <c r="C1938" s="103">
        <f t="shared" si="178"/>
        <v>45736</v>
      </c>
      <c r="E1938" s="167" t="s">
        <v>18</v>
      </c>
      <c r="F1938" s="58" t="str">
        <f>VLOOKUP(MOD(C1938,7),'CALENDAR INFO'!$I$2:$J$8,2)</f>
        <v>THU</v>
      </c>
      <c r="G1938" s="214">
        <v>4.33</v>
      </c>
      <c r="H1938" s="425">
        <v>4.29</v>
      </c>
      <c r="I1938" s="457">
        <f t="shared" si="177"/>
        <v>-4.0000000000000036E-2</v>
      </c>
      <c r="J1938" s="15" t="s">
        <v>184</v>
      </c>
      <c r="K1938" s="178" t="e">
        <f>K1936*K1937</f>
        <v>#REF!</v>
      </c>
      <c r="L1938" s="192" t="e">
        <f>L1936*L1937</f>
        <v>#REF!</v>
      </c>
      <c r="M1938" s="113">
        <f t="shared" si="176"/>
        <v>1</v>
      </c>
      <c r="N1938" s="64">
        <f t="shared" si="173"/>
        <v>1.0001191666666667</v>
      </c>
    </row>
    <row r="1939" spans="1:14">
      <c r="B1939" s="41"/>
      <c r="C1939" s="103">
        <f t="shared" si="178"/>
        <v>45737</v>
      </c>
      <c r="E1939" s="167"/>
      <c r="F1939" s="58" t="str">
        <f>VLOOKUP(MOD(C1939,7),'CALENDAR INFO'!$I$2:$J$8,2)</f>
        <v>FRI</v>
      </c>
      <c r="G1939" s="214">
        <v>4.33</v>
      </c>
      <c r="H1939" s="425">
        <v>4.3</v>
      </c>
      <c r="I1939" s="457">
        <f t="shared" si="177"/>
        <v>-3.0000000000000249E-2</v>
      </c>
      <c r="K1939" s="178"/>
      <c r="L1939" s="192"/>
      <c r="M1939" s="113">
        <f t="shared" si="176"/>
        <v>3</v>
      </c>
      <c r="N1939" s="64">
        <f t="shared" ref="N1939:N2002" si="180">1+(M1939/360)*(MAX(H1939,B1939)/100)</f>
        <v>1.0003583333333332</v>
      </c>
    </row>
    <row r="1940" spans="1:14">
      <c r="B1940" s="41"/>
      <c r="C1940" s="103">
        <f t="shared" si="178"/>
        <v>45738</v>
      </c>
      <c r="E1940" s="167"/>
      <c r="F1940" s="58" t="str">
        <f>VLOOKUP(MOD(C1940,7),'CALENDAR INFO'!$I$2:$J$8,2)</f>
        <v>SAT</v>
      </c>
      <c r="G1940" s="214">
        <v>4.33</v>
      </c>
      <c r="H1940" s="425">
        <v>4.3</v>
      </c>
      <c r="I1940" s="457">
        <f t="shared" si="177"/>
        <v>-3.0000000000000249E-2</v>
      </c>
      <c r="J1940" s="15" t="s">
        <v>187</v>
      </c>
      <c r="K1940" s="207" t="e">
        <f>K1938</f>
        <v>#REF!</v>
      </c>
      <c r="L1940" s="208" t="e">
        <f>L1938</f>
        <v>#REF!</v>
      </c>
      <c r="M1940" s="113">
        <f t="shared" ref="M1940:M1965" si="181">IF(MOD(C1940,7)&lt;2,0,IF(MOD(C1940,7)=6,3,1))</f>
        <v>0</v>
      </c>
      <c r="N1940" s="64">
        <f t="shared" si="180"/>
        <v>1</v>
      </c>
    </row>
    <row r="1941" spans="1:14">
      <c r="B1941" s="41"/>
      <c r="C1941" s="103">
        <f t="shared" si="178"/>
        <v>45739</v>
      </c>
      <c r="E1941" s="167"/>
      <c r="F1941" s="58" t="str">
        <f>VLOOKUP(MOD(C1941,7),'CALENDAR INFO'!$I$2:$J$8,2)</f>
        <v>SUN</v>
      </c>
      <c r="G1941" s="214">
        <v>4.33</v>
      </c>
      <c r="H1941" s="425">
        <v>4.3</v>
      </c>
      <c r="I1941" s="457">
        <f t="shared" si="177"/>
        <v>-3.0000000000000249E-2</v>
      </c>
      <c r="J1941" s="15" t="s">
        <v>155</v>
      </c>
      <c r="K1941" s="178">
        <f ca="1">SUM(INDIRECT(K1928))</f>
        <v>0</v>
      </c>
      <c r="L1941" s="192">
        <f ca="1">SUM(INDIRECT(L1928))</f>
        <v>0</v>
      </c>
      <c r="M1941" s="113">
        <f t="shared" si="181"/>
        <v>0</v>
      </c>
      <c r="N1941" s="64">
        <f t="shared" si="180"/>
        <v>1</v>
      </c>
    </row>
    <row r="1942" spans="1:14">
      <c r="B1942" s="41"/>
      <c r="C1942" s="103">
        <f t="shared" si="178"/>
        <v>45740</v>
      </c>
      <c r="E1942" s="167"/>
      <c r="F1942" s="58" t="str">
        <f>VLOOKUP(MOD(C1942,7),'CALENDAR INFO'!$I$2:$J$8,2)</f>
        <v>MON</v>
      </c>
      <c r="G1942" s="214">
        <v>4.33</v>
      </c>
      <c r="H1942" s="425">
        <v>4.3099999999999996</v>
      </c>
      <c r="I1942" s="457">
        <f t="shared" si="177"/>
        <v>-2.0000000000000462E-2</v>
      </c>
      <c r="J1942" s="15" t="s">
        <v>185</v>
      </c>
      <c r="K1942" s="178" t="e">
        <f ca="1">K1940-K1941-K1943</f>
        <v>#REF!</v>
      </c>
      <c r="L1942" s="192" t="e">
        <f ca="1">L1940-L1941-L1943</f>
        <v>#REF!</v>
      </c>
      <c r="M1942" s="113">
        <f t="shared" si="181"/>
        <v>1</v>
      </c>
      <c r="N1942" s="64">
        <f t="shared" si="180"/>
        <v>1.0001197222222222</v>
      </c>
    </row>
    <row r="1943" spans="1:14">
      <c r="B1943" s="41"/>
      <c r="C1943" s="103">
        <f t="shared" si="178"/>
        <v>45741</v>
      </c>
      <c r="E1943" s="167"/>
      <c r="F1943" s="58" t="str">
        <f>VLOOKUP(MOD(C1943,7),'CALENDAR INFO'!$I$2:$J$8,2)</f>
        <v>TUE</v>
      </c>
      <c r="G1943" s="214">
        <v>4.33</v>
      </c>
      <c r="H1943" s="425">
        <v>4.33</v>
      </c>
      <c r="I1943" s="457">
        <f t="shared" si="177"/>
        <v>0</v>
      </c>
      <c r="J1943" s="15" t="s">
        <v>186</v>
      </c>
      <c r="K1943" s="178">
        <f ca="1">SUM(INDIRECT(K1930))</f>
        <v>0</v>
      </c>
      <c r="L1943" s="192">
        <f ca="1">SUM(INDIRECT(L1930))</f>
        <v>51.959999999999987</v>
      </c>
      <c r="M1943" s="113">
        <f t="shared" si="181"/>
        <v>1</v>
      </c>
      <c r="N1943" s="64">
        <f t="shared" si="180"/>
        <v>1.0001202777777778</v>
      </c>
    </row>
    <row r="1944" spans="1:14">
      <c r="B1944" s="41"/>
      <c r="C1944" s="103">
        <f t="shared" si="178"/>
        <v>45742</v>
      </c>
      <c r="E1944" s="167"/>
      <c r="F1944" s="58" t="str">
        <f>VLOOKUP(MOD(C1944,7),'CALENDAR INFO'!$I$2:$J$8,2)</f>
        <v>WED</v>
      </c>
      <c r="G1944" s="214">
        <v>4.33</v>
      </c>
      <c r="H1944" s="425">
        <v>4.3499999999999996</v>
      </c>
      <c r="I1944" s="457">
        <f t="shared" si="177"/>
        <v>1.9999999999999574E-2</v>
      </c>
      <c r="M1944" s="113">
        <f t="shared" si="181"/>
        <v>1</v>
      </c>
      <c r="N1944" s="64">
        <f t="shared" si="180"/>
        <v>1.0001208333333333</v>
      </c>
    </row>
    <row r="1945" spans="1:14">
      <c r="B1945" s="41"/>
      <c r="C1945" s="103">
        <f t="shared" si="178"/>
        <v>45743</v>
      </c>
      <c r="E1945" s="167"/>
      <c r="F1945" s="58" t="str">
        <f>VLOOKUP(MOD(C1945,7),'CALENDAR INFO'!$I$2:$J$8,2)</f>
        <v>THU</v>
      </c>
      <c r="G1945" s="214">
        <v>4.33</v>
      </c>
      <c r="H1945" s="425">
        <v>4.3600000000000003</v>
      </c>
      <c r="I1945" s="457">
        <f t="shared" si="177"/>
        <v>3.0000000000000249E-2</v>
      </c>
      <c r="J1945" s="15" t="s">
        <v>221</v>
      </c>
      <c r="K1945" s="15">
        <f ca="1">+K1920-K1932-K1934</f>
        <v>19</v>
      </c>
      <c r="L1945" s="179">
        <f ca="1">+L1920-L1932-L1934</f>
        <v>19</v>
      </c>
      <c r="M1945" s="113">
        <f t="shared" si="181"/>
        <v>1</v>
      </c>
      <c r="N1945" s="64">
        <f t="shared" si="180"/>
        <v>1.000121111111111</v>
      </c>
    </row>
    <row r="1946" spans="1:14">
      <c r="B1946" s="41"/>
      <c r="C1946" s="103">
        <f t="shared" si="178"/>
        <v>45744</v>
      </c>
      <c r="E1946" s="167"/>
      <c r="F1946" s="58" t="str">
        <f>VLOOKUP(MOD(C1946,7),'CALENDAR INFO'!$I$2:$J$8,2)</f>
        <v>FRI</v>
      </c>
      <c r="G1946" s="214">
        <v>4.33</v>
      </c>
      <c r="H1946" s="425">
        <v>4.34</v>
      </c>
      <c r="I1946" s="457">
        <f t="shared" si="177"/>
        <v>9.9999999999997868E-3</v>
      </c>
      <c r="J1946" s="15" t="s">
        <v>222</v>
      </c>
      <c r="K1946" s="178" t="e">
        <f ca="1">K1942/K1945</f>
        <v>#REF!</v>
      </c>
      <c r="L1946" s="192" t="e">
        <f ca="1">L1942/L1945</f>
        <v>#REF!</v>
      </c>
      <c r="M1946" s="113">
        <f t="shared" si="181"/>
        <v>3</v>
      </c>
      <c r="N1946" s="64">
        <f t="shared" si="180"/>
        <v>1.0003616666666666</v>
      </c>
    </row>
    <row r="1947" spans="1:14">
      <c r="B1947" s="41"/>
      <c r="C1947" s="103">
        <f t="shared" si="178"/>
        <v>45745</v>
      </c>
      <c r="E1947" s="167"/>
      <c r="F1947" s="58" t="str">
        <f>VLOOKUP(MOD(C1947,7),'CALENDAR INFO'!$I$2:$J$8,2)</f>
        <v>SAT</v>
      </c>
      <c r="G1947" s="214">
        <v>4.33</v>
      </c>
      <c r="H1947" s="425">
        <v>4.34</v>
      </c>
      <c r="I1947" s="457">
        <f t="shared" si="177"/>
        <v>9.9999999999997868E-3</v>
      </c>
      <c r="M1947" s="113">
        <f t="shared" si="181"/>
        <v>0</v>
      </c>
      <c r="N1947" s="64">
        <f t="shared" si="180"/>
        <v>1</v>
      </c>
    </row>
    <row r="1948" spans="1:14">
      <c r="B1948" s="41"/>
      <c r="C1948" s="103">
        <f t="shared" si="178"/>
        <v>45746</v>
      </c>
      <c r="E1948" s="167"/>
      <c r="F1948" s="58" t="str">
        <f>VLOOKUP(MOD(C1948,7),'CALENDAR INFO'!$I$2:$J$8,2)</f>
        <v>SUN</v>
      </c>
      <c r="G1948" s="214">
        <v>4.33</v>
      </c>
      <c r="H1948" s="425">
        <v>4.34</v>
      </c>
      <c r="I1948" s="457">
        <f t="shared" si="177"/>
        <v>9.9999999999997868E-3</v>
      </c>
      <c r="M1948" s="113">
        <f t="shared" si="181"/>
        <v>0</v>
      </c>
      <c r="N1948" s="64">
        <f t="shared" si="180"/>
        <v>1</v>
      </c>
    </row>
    <row r="1949" spans="1:14" ht="15.75" thickBot="1">
      <c r="A1949" s="98"/>
      <c r="B1949" s="230"/>
      <c r="C1949" s="104">
        <f t="shared" si="178"/>
        <v>45747</v>
      </c>
      <c r="D1949" s="112"/>
      <c r="E1949" s="92"/>
      <c r="F1949" s="71" t="str">
        <f>VLOOKUP(MOD(C1949,7),'CALENDAR INFO'!$I$2:$J$8,2)</f>
        <v>MON</v>
      </c>
      <c r="G1949" s="215">
        <v>4.33</v>
      </c>
      <c r="H1949" s="426">
        <v>4.41</v>
      </c>
      <c r="I1949" s="458">
        <f t="shared" si="177"/>
        <v>8.0000000000000071E-2</v>
      </c>
      <c r="J1949" s="424" t="s">
        <v>202</v>
      </c>
      <c r="K1949" s="340">
        <f ca="1">100-K1941/K1937</f>
        <v>100</v>
      </c>
      <c r="L1949" s="341">
        <f ca="1">100-L1941/L1937</f>
        <v>100</v>
      </c>
      <c r="M1949" s="114">
        <f t="shared" si="181"/>
        <v>1</v>
      </c>
      <c r="N1949" s="292">
        <f t="shared" si="180"/>
        <v>1.0001225</v>
      </c>
    </row>
    <row r="1950" spans="1:14">
      <c r="A1950" s="304"/>
      <c r="B1950" s="305"/>
      <c r="C1950" s="103">
        <f t="shared" si="178"/>
        <v>45748</v>
      </c>
      <c r="E1950" s="167"/>
      <c r="F1950" s="58" t="str">
        <f>VLOOKUP(MOD(C1950,7),'CALENDAR INFO'!$I$2:$J$8,2)</f>
        <v>TUE</v>
      </c>
      <c r="G1950" s="214">
        <v>4.33</v>
      </c>
      <c r="H1950" s="425">
        <v>4.3899999999999997</v>
      </c>
      <c r="I1950" s="457">
        <f t="shared" si="177"/>
        <v>5.9999999999999609E-2</v>
      </c>
      <c r="J1950" s="15" t="s">
        <v>151</v>
      </c>
      <c r="K1950" s="360">
        <f>ROW(K1950)</f>
        <v>1950</v>
      </c>
      <c r="L1950" s="60">
        <f>K1950</f>
        <v>1950</v>
      </c>
      <c r="M1950" s="113">
        <f t="shared" si="181"/>
        <v>1</v>
      </c>
      <c r="N1950" s="64">
        <f t="shared" si="180"/>
        <v>1.0001219444444445</v>
      </c>
    </row>
    <row r="1951" spans="1:14">
      <c r="B1951" s="41"/>
      <c r="C1951" s="103">
        <f t="shared" si="178"/>
        <v>45749</v>
      </c>
      <c r="E1951" s="167" t="s">
        <v>19</v>
      </c>
      <c r="F1951" s="58" t="str">
        <f>VLOOKUP(MOD(C1951,7),'CALENDAR INFO'!$I$2:$J$8,2)</f>
        <v>WED</v>
      </c>
      <c r="G1951" s="214">
        <v>4.33</v>
      </c>
      <c r="H1951" s="425">
        <v>4.37</v>
      </c>
      <c r="I1951" s="457">
        <f t="shared" si="177"/>
        <v>4.0000000000000036E-2</v>
      </c>
      <c r="J1951" s="15" t="s">
        <v>118</v>
      </c>
      <c r="K1951" s="15">
        <f>VLOOKUP(MONTH($C1950),'CALENDAR INFO'!$I$12:$J$23,2)</f>
        <v>30</v>
      </c>
      <c r="L1951" s="179">
        <f>K1951</f>
        <v>30</v>
      </c>
      <c r="M1951" s="113">
        <f t="shared" si="181"/>
        <v>1</v>
      </c>
      <c r="N1951" s="64">
        <f t="shared" si="180"/>
        <v>1.0001213888888889</v>
      </c>
    </row>
    <row r="1952" spans="1:14">
      <c r="B1952" s="41"/>
      <c r="C1952" s="103">
        <f t="shared" si="178"/>
        <v>45750</v>
      </c>
      <c r="E1952" s="170" t="s">
        <v>18</v>
      </c>
      <c r="F1952" s="58" t="str">
        <f>VLOOKUP(MOD(C1952,7),'CALENDAR INFO'!$I$2:$J$8,2)</f>
        <v>THU</v>
      </c>
      <c r="G1952" s="214">
        <v>4.33</v>
      </c>
      <c r="H1952" s="425">
        <v>4.3899999999999997</v>
      </c>
      <c r="I1952" s="457">
        <f t="shared" si="177"/>
        <v>5.9999999999999609E-2</v>
      </c>
      <c r="J1952" s="15" t="s">
        <v>152</v>
      </c>
      <c r="K1952" s="15">
        <f>K1951+K1950-1</f>
        <v>1979</v>
      </c>
      <c r="L1952" s="179">
        <f>K1952</f>
        <v>1979</v>
      </c>
      <c r="M1952" s="113">
        <f t="shared" si="181"/>
        <v>1</v>
      </c>
      <c r="N1952" s="64">
        <f t="shared" si="180"/>
        <v>1.0001219444444445</v>
      </c>
    </row>
    <row r="1953" spans="2:15">
      <c r="B1953" s="41"/>
      <c r="C1953" s="103">
        <f t="shared" si="178"/>
        <v>45751</v>
      </c>
      <c r="E1953" s="170"/>
      <c r="F1953" s="58" t="str">
        <f>VLOOKUP(MOD(C1953,7),'CALENDAR INFO'!$I$2:$J$8,2)</f>
        <v>FRI</v>
      </c>
      <c r="G1953" s="214">
        <v>4.33</v>
      </c>
      <c r="H1953" s="425">
        <v>4.3499999999999996</v>
      </c>
      <c r="I1953" s="457">
        <f t="shared" si="177"/>
        <v>1.9999999999999574E-2</v>
      </c>
      <c r="M1953" s="113">
        <f t="shared" si="181"/>
        <v>3</v>
      </c>
      <c r="N1953" s="64">
        <f t="shared" si="180"/>
        <v>1.0003625</v>
      </c>
    </row>
    <row r="1954" spans="2:15">
      <c r="B1954" s="41"/>
      <c r="C1954" s="103">
        <f t="shared" si="178"/>
        <v>45752</v>
      </c>
      <c r="E1954" s="170"/>
      <c r="F1954" s="58" t="str">
        <f>VLOOKUP(MOD(C1954,7),'CALENDAR INFO'!$I$2:$J$8,2)</f>
        <v>SAT</v>
      </c>
      <c r="G1954" s="214">
        <v>4.33</v>
      </c>
      <c r="H1954" s="425">
        <v>4.3499999999999996</v>
      </c>
      <c r="I1954" s="457">
        <f t="shared" si="177"/>
        <v>1.9999999999999574E-2</v>
      </c>
      <c r="J1954" s="15" t="s">
        <v>192</v>
      </c>
      <c r="K1954" s="311">
        <v>1950</v>
      </c>
      <c r="L1954" s="179">
        <f>K1954</f>
        <v>1950</v>
      </c>
      <c r="M1954" s="113">
        <f t="shared" si="181"/>
        <v>0</v>
      </c>
      <c r="N1954" s="64">
        <f t="shared" si="180"/>
        <v>1</v>
      </c>
    </row>
    <row r="1955" spans="2:15">
      <c r="B1955" s="41"/>
      <c r="C1955" s="103">
        <f t="shared" si="178"/>
        <v>45753</v>
      </c>
      <c r="E1955" s="170"/>
      <c r="F1955" s="58" t="str">
        <f>VLOOKUP(MOD(C1955,7),'CALENDAR INFO'!$I$2:$J$8,2)</f>
        <v>SUN</v>
      </c>
      <c r="G1955" s="214">
        <v>4.33</v>
      </c>
      <c r="H1955" s="425">
        <v>4.3499999999999996</v>
      </c>
      <c r="I1955" s="457">
        <f t="shared" si="177"/>
        <v>1.9999999999999574E-2</v>
      </c>
      <c r="J1955" s="15" t="s">
        <v>193</v>
      </c>
      <c r="K1955" s="15">
        <f>K1954+1</f>
        <v>1951</v>
      </c>
      <c r="L1955" s="179">
        <f>K1955</f>
        <v>1951</v>
      </c>
      <c r="M1955" s="113">
        <f t="shared" si="181"/>
        <v>0</v>
      </c>
      <c r="N1955" s="64">
        <f t="shared" si="180"/>
        <v>1</v>
      </c>
    </row>
    <row r="1956" spans="2:15">
      <c r="B1956" s="41"/>
      <c r="C1956" s="103">
        <f t="shared" si="178"/>
        <v>45754</v>
      </c>
      <c r="E1956" s="170"/>
      <c r="F1956" s="58" t="str">
        <f>VLOOKUP(MOD(C1956,7),'CALENDAR INFO'!$I$2:$J$8,2)</f>
        <v>MON</v>
      </c>
      <c r="G1956" s="214">
        <v>4.33</v>
      </c>
      <c r="H1956" s="425">
        <v>4.33</v>
      </c>
      <c r="I1956" s="457">
        <f t="shared" si="177"/>
        <v>0</v>
      </c>
      <c r="M1956" s="113">
        <f t="shared" si="181"/>
        <v>1</v>
      </c>
      <c r="N1956" s="64">
        <f t="shared" si="180"/>
        <v>1.0001202777777778</v>
      </c>
    </row>
    <row r="1957" spans="2:15">
      <c r="B1957" s="41"/>
      <c r="C1957" s="103">
        <f t="shared" si="178"/>
        <v>45755</v>
      </c>
      <c r="E1957" s="170"/>
      <c r="F1957" s="58" t="str">
        <f>VLOOKUP(MOD(C1957,7),'CALENDAR INFO'!$I$2:$J$8,2)</f>
        <v>TUE</v>
      </c>
      <c r="G1957" s="214">
        <v>4.33</v>
      </c>
      <c r="H1957" s="425">
        <v>4.4000000000000004</v>
      </c>
      <c r="I1957" s="457">
        <f t="shared" si="177"/>
        <v>7.0000000000000284E-2</v>
      </c>
      <c r="J1957" s="15" t="s">
        <v>213</v>
      </c>
      <c r="K1957" s="15" t="s">
        <v>218</v>
      </c>
      <c r="L1957" s="179" t="s">
        <v>219</v>
      </c>
      <c r="M1957" s="113">
        <f t="shared" si="181"/>
        <v>1</v>
      </c>
      <c r="N1957" s="64">
        <f t="shared" si="180"/>
        <v>1.0001222222222221</v>
      </c>
    </row>
    <row r="1958" spans="2:15">
      <c r="B1958" s="41"/>
      <c r="C1958" s="103">
        <f t="shared" si="178"/>
        <v>45756</v>
      </c>
      <c r="E1958" s="170"/>
      <c r="F1958" s="58" t="str">
        <f>VLOOKUP(MOD(C1958,7),'CALENDAR INFO'!$I$2:$J$8,2)</f>
        <v>WED</v>
      </c>
      <c r="G1958" s="214">
        <v>4.33</v>
      </c>
      <c r="H1958" s="425">
        <v>4.42</v>
      </c>
      <c r="I1958" s="457">
        <f t="shared" si="177"/>
        <v>8.9999999999999858E-2</v>
      </c>
      <c r="J1958" s="15" t="s">
        <v>214</v>
      </c>
      <c r="K1958" s="15" t="str">
        <f>_xlfn.CONCAT("K$",TEXT(K1950+27,0))</f>
        <v>K$1977</v>
      </c>
      <c r="L1958" s="179" t="str">
        <f>_xlfn.CONCAT("L$",TEXT(L1950+27,0))</f>
        <v>L$1977</v>
      </c>
      <c r="M1958" s="113">
        <f t="shared" si="181"/>
        <v>1</v>
      </c>
      <c r="N1958" s="64">
        <f t="shared" si="180"/>
        <v>1.0001227777777777</v>
      </c>
    </row>
    <row r="1959" spans="2:15">
      <c r="B1959" s="41"/>
      <c r="C1959" s="103">
        <f t="shared" si="178"/>
        <v>45757</v>
      </c>
      <c r="E1959" s="170"/>
      <c r="F1959" s="58" t="str">
        <f>VLOOKUP(MOD(C1959,7),'CALENDAR INFO'!$I$2:$J$8,2)</f>
        <v>THU</v>
      </c>
      <c r="G1959" s="214">
        <v>4.33</v>
      </c>
      <c r="H1959" s="425">
        <v>4.37</v>
      </c>
      <c r="I1959" s="457">
        <f t="shared" si="177"/>
        <v>4.0000000000000036E-2</v>
      </c>
      <c r="J1959" s="15" t="s">
        <v>153</v>
      </c>
      <c r="K1959" s="15" t="str">
        <f>_xlfn.CONCAT("A",TEXT(K1950,0),":","A",TEXT(K1952,0))</f>
        <v>A1950:A1979</v>
      </c>
      <c r="L1959" s="179" t="str">
        <f>_xlfn.CONCAT("B",TEXT(L1950,0),":","B",TEXT(L1952,0))</f>
        <v>B1950:B1979</v>
      </c>
      <c r="M1959" s="113">
        <f t="shared" si="181"/>
        <v>1</v>
      </c>
      <c r="N1959" s="64">
        <f t="shared" si="180"/>
        <v>1.0001213888888889</v>
      </c>
    </row>
    <row r="1960" spans="2:15">
      <c r="B1960" s="41"/>
      <c r="C1960" s="103">
        <f t="shared" si="178"/>
        <v>45758</v>
      </c>
      <c r="E1960" s="170"/>
      <c r="F1960" s="58" t="str">
        <f>VLOOKUP(MOD(C1960,7),'CALENDAR INFO'!$I$2:$J$8,2)</f>
        <v>FRI</v>
      </c>
      <c r="G1960" s="214">
        <v>4.33</v>
      </c>
      <c r="H1960" s="425">
        <v>4.33</v>
      </c>
      <c r="I1960" s="457">
        <f t="shared" si="177"/>
        <v>0</v>
      </c>
      <c r="J1960" s="15" t="s">
        <v>190</v>
      </c>
      <c r="K1960" s="15" t="str">
        <f>_xlfn.CONCAT("F",TEXT(K1950,0),":","F",TEXT(K1954,0))</f>
        <v>F1950:F1950</v>
      </c>
      <c r="L1960" s="179" t="str">
        <f>_xlfn.CONCAT("G",TEXT(L1950,0),":","G",TEXT(L1954,0))</f>
        <v>G1950:G1950</v>
      </c>
      <c r="M1960" s="113">
        <f t="shared" si="181"/>
        <v>3</v>
      </c>
      <c r="N1960" s="64">
        <f t="shared" si="180"/>
        <v>1.0003608333333334</v>
      </c>
    </row>
    <row r="1961" spans="2:15">
      <c r="B1961" s="41"/>
      <c r="C1961" s="103">
        <f t="shared" si="178"/>
        <v>45759</v>
      </c>
      <c r="E1961" s="170"/>
      <c r="F1961" s="58" t="str">
        <f>VLOOKUP(MOD(C1961,7),'CALENDAR INFO'!$I$2:$J$8,2)</f>
        <v>SAT</v>
      </c>
      <c r="G1961" s="214">
        <v>4.33</v>
      </c>
      <c r="H1961" s="425">
        <v>4.33</v>
      </c>
      <c r="I1961" s="457">
        <f t="shared" si="177"/>
        <v>0</v>
      </c>
      <c r="J1961" s="15" t="s">
        <v>191</v>
      </c>
      <c r="K1961" s="15" t="str">
        <f>_xlfn.CONCAT("F",TEXT(K1955,0),":","F",TEXT(K1952,0))</f>
        <v>F1951:F1979</v>
      </c>
      <c r="L1961" s="179" t="str">
        <f>_xlfn.CONCAT("G",TEXT(L1955,0),":","G",TEXT(L1952,0))</f>
        <v>G1951:G1979</v>
      </c>
      <c r="M1961" s="113">
        <f t="shared" si="181"/>
        <v>0</v>
      </c>
      <c r="N1961" s="64">
        <f t="shared" si="180"/>
        <v>1</v>
      </c>
    </row>
    <row r="1962" spans="2:15">
      <c r="B1962" s="41"/>
      <c r="C1962" s="103">
        <f t="shared" si="178"/>
        <v>45760</v>
      </c>
      <c r="E1962" s="170"/>
      <c r="F1962" s="58" t="str">
        <f>VLOOKUP(MOD(C1962,7),'CALENDAR INFO'!$I$2:$J$8,2)</f>
        <v>SUN</v>
      </c>
      <c r="G1962" s="214">
        <v>4.33</v>
      </c>
      <c r="H1962" s="425">
        <v>4.33</v>
      </c>
      <c r="I1962" s="457">
        <f t="shared" si="177"/>
        <v>0</v>
      </c>
      <c r="M1962" s="113">
        <f t="shared" si="181"/>
        <v>0</v>
      </c>
      <c r="N1962" s="64">
        <f t="shared" si="180"/>
        <v>1</v>
      </c>
    </row>
    <row r="1963" spans="2:15">
      <c r="B1963" s="41"/>
      <c r="C1963" s="103">
        <f t="shared" si="178"/>
        <v>45761</v>
      </c>
      <c r="E1963" s="170"/>
      <c r="F1963" s="58" t="str">
        <f>VLOOKUP(MOD(C1963,7),'CALENDAR INFO'!$I$2:$J$8,2)</f>
        <v>MON</v>
      </c>
      <c r="G1963" s="214">
        <v>4.33</v>
      </c>
      <c r="H1963" s="425">
        <v>4.33</v>
      </c>
      <c r="I1963" s="457">
        <f t="shared" si="177"/>
        <v>0</v>
      </c>
      <c r="J1963" s="15" t="s">
        <v>194</v>
      </c>
      <c r="K1963" s="15">
        <f t="shared" ref="K1963:L1965" ca="1" si="182">COUNTA(INDIRECT(K1959))</f>
        <v>0</v>
      </c>
      <c r="L1963" s="179">
        <f t="shared" ca="1" si="182"/>
        <v>0</v>
      </c>
      <c r="M1963" s="113">
        <f t="shared" si="181"/>
        <v>1</v>
      </c>
      <c r="N1963" s="64">
        <f t="shared" si="180"/>
        <v>1.0001202777777778</v>
      </c>
    </row>
    <row r="1964" spans="2:15">
      <c r="B1964" s="41"/>
      <c r="C1964" s="103">
        <f t="shared" si="178"/>
        <v>45762</v>
      </c>
      <c r="E1964" s="170"/>
      <c r="F1964" s="58" t="str">
        <f>VLOOKUP(MOD(C1964,7),'CALENDAR INFO'!$I$2:$J$8,2)</f>
        <v>TUE</v>
      </c>
      <c r="G1964" s="214">
        <v>4.33</v>
      </c>
      <c r="H1964" s="425">
        <v>4.3600000000000003</v>
      </c>
      <c r="I1964" s="457">
        <f t="shared" si="177"/>
        <v>3.0000000000000249E-2</v>
      </c>
      <c r="J1964" s="15" t="s">
        <v>195</v>
      </c>
      <c r="K1964" s="15">
        <f t="shared" ca="1" si="182"/>
        <v>1</v>
      </c>
      <c r="L1964" s="179">
        <f t="shared" ca="1" si="182"/>
        <v>1</v>
      </c>
      <c r="M1964" s="113">
        <f t="shared" si="181"/>
        <v>1</v>
      </c>
      <c r="N1964" s="64">
        <f t="shared" si="180"/>
        <v>1.000121111111111</v>
      </c>
      <c r="O1964" s="282"/>
    </row>
    <row r="1965" spans="2:15">
      <c r="B1965" s="41"/>
      <c r="C1965" s="103">
        <f t="shared" si="178"/>
        <v>45763</v>
      </c>
      <c r="E1965" s="170" t="s">
        <v>19</v>
      </c>
      <c r="F1965" s="58" t="str">
        <f>VLOOKUP(MOD(C1965,7),'CALENDAR INFO'!$I$2:$J$8,2)</f>
        <v>WED</v>
      </c>
      <c r="G1965" s="214">
        <v>4.33</v>
      </c>
      <c r="H1965" s="425">
        <v>4.3099999999999996</v>
      </c>
      <c r="I1965" s="457">
        <f t="shared" si="177"/>
        <v>-2.0000000000000462E-2</v>
      </c>
      <c r="J1965" s="15" t="s">
        <v>196</v>
      </c>
      <c r="K1965" s="15">
        <f t="shared" ca="1" si="182"/>
        <v>29</v>
      </c>
      <c r="L1965" s="179">
        <f t="shared" ca="1" si="182"/>
        <v>29</v>
      </c>
      <c r="M1965" s="113">
        <f t="shared" si="181"/>
        <v>1</v>
      </c>
      <c r="N1965" s="64">
        <f t="shared" si="180"/>
        <v>1.0001197222222222</v>
      </c>
    </row>
    <row r="1966" spans="2:15">
      <c r="B1966" s="41"/>
      <c r="C1966" s="103">
        <f t="shared" si="178"/>
        <v>45764</v>
      </c>
      <c r="E1966" s="167" t="s">
        <v>18</v>
      </c>
      <c r="F1966" s="58" t="str">
        <f>VLOOKUP(MOD(C1966,7),'CALENDAR INFO'!$I$2:$J$8,2)</f>
        <v>THU</v>
      </c>
      <c r="G1966" s="214">
        <v>4.33</v>
      </c>
      <c r="H1966" s="425">
        <v>4.32</v>
      </c>
      <c r="I1966" s="457">
        <f t="shared" si="177"/>
        <v>-9.9999999999997868E-3</v>
      </c>
      <c r="M1966" s="117">
        <v>4</v>
      </c>
      <c r="N1966" s="64">
        <f t="shared" si="180"/>
        <v>1.00048</v>
      </c>
    </row>
    <row r="1967" spans="2:15">
      <c r="B1967" s="41"/>
      <c r="C1967" s="103">
        <f t="shared" si="178"/>
        <v>45765</v>
      </c>
      <c r="D1967" s="173" t="s">
        <v>44</v>
      </c>
      <c r="E1967" s="167"/>
      <c r="F1967" s="58" t="str">
        <f>VLOOKUP(MOD(C1967,7),'CALENDAR INFO'!$I$2:$J$8,2)</f>
        <v>FRI</v>
      </c>
      <c r="G1967" s="214">
        <v>4.33</v>
      </c>
      <c r="H1967" s="425">
        <v>4.32</v>
      </c>
      <c r="I1967" s="457">
        <f t="shared" si="177"/>
        <v>-9.9999999999997868E-3</v>
      </c>
      <c r="J1967" s="15" t="s">
        <v>197</v>
      </c>
      <c r="K1967" s="180" t="e">
        <f>OUTPUT!#REF!</f>
        <v>#REF!</v>
      </c>
      <c r="L1967" s="193" t="e">
        <f>OUTPUT!#REF!</f>
        <v>#REF!</v>
      </c>
      <c r="M1967" s="113">
        <v>0</v>
      </c>
      <c r="N1967" s="64">
        <f t="shared" si="180"/>
        <v>1</v>
      </c>
    </row>
    <row r="1968" spans="2:15">
      <c r="B1968" s="41"/>
      <c r="C1968" s="103">
        <f t="shared" si="178"/>
        <v>45766</v>
      </c>
      <c r="E1968" s="167"/>
      <c r="F1968" s="58" t="str">
        <f>VLOOKUP(MOD(C1968,7),'CALENDAR INFO'!$I$2:$J$8,2)</f>
        <v>SAT</v>
      </c>
      <c r="G1968" s="214">
        <v>4.33</v>
      </c>
      <c r="H1968" s="425">
        <v>4.32</v>
      </c>
      <c r="I1968" s="457">
        <f t="shared" si="177"/>
        <v>-9.9999999999997868E-3</v>
      </c>
      <c r="J1968" s="15" t="s">
        <v>118</v>
      </c>
      <c r="K1968" s="15">
        <f>K1951</f>
        <v>30</v>
      </c>
      <c r="L1968" s="179">
        <f>L1951</f>
        <v>30</v>
      </c>
      <c r="M1968" s="113">
        <f t="shared" ref="M1968:M2001" si="183">IF(MOD(C1968,7)&lt;2,0,IF(MOD(C1968,7)=6,3,1))</f>
        <v>0</v>
      </c>
      <c r="N1968" s="64">
        <f t="shared" si="180"/>
        <v>1</v>
      </c>
    </row>
    <row r="1969" spans="1:14">
      <c r="B1969" s="41"/>
      <c r="C1969" s="103">
        <f t="shared" si="178"/>
        <v>45767</v>
      </c>
      <c r="E1969" s="167"/>
      <c r="F1969" s="58" t="str">
        <f>VLOOKUP(MOD(C1969,7),'CALENDAR INFO'!$I$2:$J$8,2)</f>
        <v>SUN</v>
      </c>
      <c r="G1969" s="214">
        <v>4.33</v>
      </c>
      <c r="H1969" s="425">
        <v>4.32</v>
      </c>
      <c r="I1969" s="457">
        <f t="shared" si="177"/>
        <v>-9.9999999999997868E-3</v>
      </c>
      <c r="J1969" s="15" t="s">
        <v>184</v>
      </c>
      <c r="K1969" s="178" t="e">
        <f>K1967*K1968</f>
        <v>#REF!</v>
      </c>
      <c r="L1969" s="192" t="e">
        <f>L1967*L1968</f>
        <v>#REF!</v>
      </c>
      <c r="M1969" s="113">
        <f t="shared" si="183"/>
        <v>0</v>
      </c>
      <c r="N1969" s="64">
        <f t="shared" si="180"/>
        <v>1</v>
      </c>
    </row>
    <row r="1970" spans="1:14">
      <c r="B1970" s="41"/>
      <c r="C1970" s="103">
        <f t="shared" si="178"/>
        <v>45768</v>
      </c>
      <c r="E1970" s="167"/>
      <c r="F1970" s="58" t="str">
        <f>VLOOKUP(MOD(C1970,7),'CALENDAR INFO'!$I$2:$J$8,2)</f>
        <v>MON</v>
      </c>
      <c r="G1970" s="214">
        <v>4.33</v>
      </c>
      <c r="H1970" s="425">
        <v>4.32</v>
      </c>
      <c r="I1970" s="457">
        <f t="shared" si="177"/>
        <v>-9.9999999999997868E-3</v>
      </c>
      <c r="K1970" s="178"/>
      <c r="L1970" s="192"/>
      <c r="M1970" s="113">
        <f t="shared" si="183"/>
        <v>1</v>
      </c>
      <c r="N1970" s="64">
        <f t="shared" si="180"/>
        <v>1.0001199999999999</v>
      </c>
    </row>
    <row r="1971" spans="1:14">
      <c r="B1971" s="41"/>
      <c r="C1971" s="103">
        <f t="shared" si="178"/>
        <v>45769</v>
      </c>
      <c r="E1971" s="167"/>
      <c r="F1971" s="58" t="str">
        <f>VLOOKUP(MOD(C1971,7),'CALENDAR INFO'!$I$2:$J$8,2)</f>
        <v>TUE</v>
      </c>
      <c r="G1971" s="214">
        <v>4.33</v>
      </c>
      <c r="H1971" s="425">
        <v>4.3</v>
      </c>
      <c r="I1971" s="457">
        <f t="shared" si="177"/>
        <v>-3.0000000000000249E-2</v>
      </c>
      <c r="J1971" s="15" t="s">
        <v>187</v>
      </c>
      <c r="K1971" s="207" t="e">
        <f>K1969</f>
        <v>#REF!</v>
      </c>
      <c r="L1971" s="208" t="e">
        <f>L1969</f>
        <v>#REF!</v>
      </c>
      <c r="M1971" s="113">
        <f t="shared" si="183"/>
        <v>1</v>
      </c>
      <c r="N1971" s="64">
        <f t="shared" si="180"/>
        <v>1.0001194444444443</v>
      </c>
    </row>
    <row r="1972" spans="1:14">
      <c r="B1972" s="41"/>
      <c r="C1972" s="103">
        <f t="shared" si="178"/>
        <v>45770</v>
      </c>
      <c r="E1972" s="167"/>
      <c r="F1972" s="58" t="str">
        <f>VLOOKUP(MOD(C1972,7),'CALENDAR INFO'!$I$2:$J$8,2)</f>
        <v>WED</v>
      </c>
      <c r="G1972" s="214">
        <v>4.33</v>
      </c>
      <c r="H1972" s="425">
        <v>4.28</v>
      </c>
      <c r="I1972" s="457">
        <f t="shared" si="177"/>
        <v>-4.9999999999999822E-2</v>
      </c>
      <c r="J1972" s="15" t="s">
        <v>155</v>
      </c>
      <c r="K1972" s="178">
        <f ca="1">SUM(INDIRECT(K1959))</f>
        <v>0</v>
      </c>
      <c r="L1972" s="192">
        <f ca="1">SUM(INDIRECT(L1959))</f>
        <v>0</v>
      </c>
      <c r="M1972" s="113">
        <f t="shared" si="183"/>
        <v>1</v>
      </c>
      <c r="N1972" s="64">
        <f t="shared" si="180"/>
        <v>1.0001188888888888</v>
      </c>
    </row>
    <row r="1973" spans="1:14">
      <c r="B1973" s="41"/>
      <c r="C1973" s="103">
        <f t="shared" si="178"/>
        <v>45771</v>
      </c>
      <c r="E1973" s="167"/>
      <c r="F1973" s="58" t="str">
        <f>VLOOKUP(MOD(C1973,7),'CALENDAR INFO'!$I$2:$J$8,2)</f>
        <v>THU</v>
      </c>
      <c r="G1973" s="214">
        <v>4.33</v>
      </c>
      <c r="H1973" s="425">
        <v>4.29</v>
      </c>
      <c r="I1973" s="457">
        <f t="shared" si="177"/>
        <v>-4.0000000000000036E-2</v>
      </c>
      <c r="J1973" s="15" t="s">
        <v>185</v>
      </c>
      <c r="K1973" s="178">
        <f ca="1">SUM(INDIRECT(K1960))</f>
        <v>0</v>
      </c>
      <c r="L1973" s="192">
        <f ca="1">SUM(INDIRECT(L1960))</f>
        <v>4.33</v>
      </c>
      <c r="M1973" s="113">
        <f t="shared" si="183"/>
        <v>1</v>
      </c>
      <c r="N1973" s="64">
        <f t="shared" si="180"/>
        <v>1.0001191666666667</v>
      </c>
    </row>
    <row r="1974" spans="1:14">
      <c r="B1974" s="41"/>
      <c r="C1974" s="103">
        <f t="shared" si="178"/>
        <v>45772</v>
      </c>
      <c r="E1974" s="167"/>
      <c r="F1974" s="58" t="str">
        <f>VLOOKUP(MOD(C1974,7),'CALENDAR INFO'!$I$2:$J$8,2)</f>
        <v>FRI</v>
      </c>
      <c r="G1974" s="214">
        <v>4.33</v>
      </c>
      <c r="H1974" s="425">
        <v>4.33</v>
      </c>
      <c r="I1974" s="457">
        <f t="shared" si="177"/>
        <v>0</v>
      </c>
      <c r="J1974" s="15" t="s">
        <v>186</v>
      </c>
      <c r="K1974" s="178" t="e">
        <f ca="1">K1971-K1972-K1973</f>
        <v>#REF!</v>
      </c>
      <c r="L1974" s="192" t="e">
        <f ca="1">L1971-L1972-L1973</f>
        <v>#REF!</v>
      </c>
      <c r="M1974" s="113">
        <f t="shared" si="183"/>
        <v>3</v>
      </c>
      <c r="N1974" s="64">
        <f t="shared" si="180"/>
        <v>1.0003608333333334</v>
      </c>
    </row>
    <row r="1975" spans="1:14">
      <c r="B1975" s="41"/>
      <c r="C1975" s="103">
        <f t="shared" si="178"/>
        <v>45773</v>
      </c>
      <c r="E1975" s="167"/>
      <c r="F1975" s="58" t="str">
        <f>VLOOKUP(MOD(C1975,7),'CALENDAR INFO'!$I$2:$J$8,2)</f>
        <v>SAT</v>
      </c>
      <c r="G1975" s="214">
        <v>4.33</v>
      </c>
      <c r="H1975" s="425">
        <v>4.33</v>
      </c>
      <c r="I1975" s="457">
        <f t="shared" si="177"/>
        <v>0</v>
      </c>
      <c r="M1975" s="113">
        <f t="shared" si="183"/>
        <v>0</v>
      </c>
      <c r="N1975" s="64">
        <f t="shared" si="180"/>
        <v>1</v>
      </c>
    </row>
    <row r="1976" spans="1:14">
      <c r="B1976" s="41"/>
      <c r="C1976" s="103">
        <f t="shared" si="178"/>
        <v>45774</v>
      </c>
      <c r="E1976" s="167"/>
      <c r="F1976" s="58" t="str">
        <f>VLOOKUP(MOD(C1976,7),'CALENDAR INFO'!$I$2:$J$8,2)</f>
        <v>SUN</v>
      </c>
      <c r="G1976" s="214">
        <v>4.33</v>
      </c>
      <c r="H1976" s="425">
        <v>4.33</v>
      </c>
      <c r="I1976" s="457">
        <f t="shared" si="177"/>
        <v>0</v>
      </c>
      <c r="J1976" s="15" t="s">
        <v>188</v>
      </c>
      <c r="K1976" s="15">
        <f ca="1">K1951-K1963-K1964</f>
        <v>29</v>
      </c>
      <c r="L1976" s="179">
        <f ca="1">L1951-L1963-L1964</f>
        <v>29</v>
      </c>
      <c r="M1976" s="113">
        <f t="shared" si="183"/>
        <v>0</v>
      </c>
      <c r="N1976" s="64">
        <f t="shared" si="180"/>
        <v>1</v>
      </c>
    </row>
    <row r="1977" spans="1:14">
      <c r="B1977" s="41"/>
      <c r="C1977" s="103">
        <f t="shared" si="178"/>
        <v>45775</v>
      </c>
      <c r="E1977" s="167"/>
      <c r="F1977" s="58" t="str">
        <f>VLOOKUP(MOD(C1977,7),'CALENDAR INFO'!$I$2:$J$8,2)</f>
        <v>MON</v>
      </c>
      <c r="G1977" s="214">
        <v>4.33</v>
      </c>
      <c r="H1977" s="425">
        <v>4.3600000000000003</v>
      </c>
      <c r="I1977" s="457">
        <f t="shared" si="177"/>
        <v>3.0000000000000249E-2</v>
      </c>
      <c r="J1977" s="15" t="s">
        <v>189</v>
      </c>
      <c r="K1977" s="178" t="e">
        <f ca="1">K1974/K1976</f>
        <v>#REF!</v>
      </c>
      <c r="L1977" s="192" t="e">
        <f ca="1">L1974/L1976</f>
        <v>#REF!</v>
      </c>
      <c r="M1977" s="113">
        <f t="shared" si="183"/>
        <v>1</v>
      </c>
      <c r="N1977" s="64">
        <f t="shared" si="180"/>
        <v>1.000121111111111</v>
      </c>
    </row>
    <row r="1978" spans="1:14">
      <c r="B1978" s="41"/>
      <c r="C1978" s="103">
        <f t="shared" si="178"/>
        <v>45776</v>
      </c>
      <c r="E1978" s="167"/>
      <c r="F1978" s="58" t="str">
        <f>VLOOKUP(MOD(C1978,7),'CALENDAR INFO'!$I$2:$J$8,2)</f>
        <v>TUE</v>
      </c>
      <c r="G1978" s="214">
        <v>4.33</v>
      </c>
      <c r="H1978" s="425">
        <v>4.3600000000000003</v>
      </c>
      <c r="I1978" s="457">
        <f t="shared" si="177"/>
        <v>3.0000000000000249E-2</v>
      </c>
      <c r="M1978" s="113">
        <f t="shared" si="183"/>
        <v>1</v>
      </c>
      <c r="N1978" s="64">
        <f t="shared" si="180"/>
        <v>1.000121111111111</v>
      </c>
    </row>
    <row r="1979" spans="1:14" ht="15.75" thickBot="1">
      <c r="A1979" s="98"/>
      <c r="B1979" s="230"/>
      <c r="C1979" s="104">
        <f t="shared" si="178"/>
        <v>45777</v>
      </c>
      <c r="D1979" s="112"/>
      <c r="E1979" s="92" t="s">
        <v>19</v>
      </c>
      <c r="F1979" s="71" t="str">
        <f>VLOOKUP(MOD(C1979,7),'CALENDAR INFO'!$I$2:$J$8,2)</f>
        <v>WED</v>
      </c>
      <c r="G1979" s="215">
        <v>4.33</v>
      </c>
      <c r="H1979" s="426">
        <v>4.41</v>
      </c>
      <c r="I1979" s="458">
        <f t="shared" si="177"/>
        <v>8.0000000000000071E-2</v>
      </c>
      <c r="J1979" s="441" t="s">
        <v>202</v>
      </c>
      <c r="K1979" s="389" t="e">
        <f ca="1">100-K1972/K1963</f>
        <v>#DIV/0!</v>
      </c>
      <c r="L1979" s="390" t="e">
        <f ca="1">100-L1972/L1963</f>
        <v>#DIV/0!</v>
      </c>
      <c r="M1979" s="114">
        <f t="shared" si="183"/>
        <v>1</v>
      </c>
      <c r="N1979" s="292">
        <f t="shared" si="180"/>
        <v>1.0001225</v>
      </c>
    </row>
    <row r="1980" spans="1:14">
      <c r="A1980" s="304"/>
      <c r="B1980" s="305"/>
      <c r="C1980" s="103">
        <f t="shared" si="178"/>
        <v>45778</v>
      </c>
      <c r="E1980" s="170" t="s">
        <v>18</v>
      </c>
      <c r="F1980" s="58" t="str">
        <f>VLOOKUP(MOD(C1980,7),'CALENDAR INFO'!$I$2:$J$8,2)</f>
        <v>THU</v>
      </c>
      <c r="G1980" s="214">
        <v>4.33</v>
      </c>
      <c r="H1980" s="425">
        <v>4.3899999999999997</v>
      </c>
      <c r="I1980" s="457">
        <f t="shared" si="177"/>
        <v>5.9999999999999609E-2</v>
      </c>
      <c r="J1980" s="15" t="s">
        <v>151</v>
      </c>
      <c r="K1980" s="360">
        <f>ROW(K1980)</f>
        <v>1980</v>
      </c>
      <c r="L1980" s="233">
        <f>K1980</f>
        <v>1980</v>
      </c>
      <c r="M1980" s="113">
        <f t="shared" si="183"/>
        <v>1</v>
      </c>
      <c r="N1980" s="64">
        <f t="shared" si="180"/>
        <v>1.0001219444444445</v>
      </c>
    </row>
    <row r="1981" spans="1:14">
      <c r="A1981" s="304"/>
      <c r="B1981" s="305"/>
      <c r="C1981" s="103">
        <f t="shared" si="178"/>
        <v>45779</v>
      </c>
      <c r="E1981" s="170"/>
      <c r="F1981" s="58" t="str">
        <f>VLOOKUP(MOD(C1981,7),'CALENDAR INFO'!$I$2:$J$8,2)</f>
        <v>FRI</v>
      </c>
      <c r="G1981" s="214">
        <v>4.33</v>
      </c>
      <c r="H1981" s="425">
        <v>4.3600000000000003</v>
      </c>
      <c r="I1981" s="457">
        <f t="shared" si="177"/>
        <v>3.0000000000000249E-2</v>
      </c>
      <c r="J1981" s="15" t="s">
        <v>118</v>
      </c>
      <c r="K1981" s="15">
        <f>VLOOKUP(MONTH($C1980),'CALENDAR INFO'!$I$12:$J$23,2)</f>
        <v>31</v>
      </c>
      <c r="L1981" s="179">
        <f>K1981</f>
        <v>31</v>
      </c>
      <c r="M1981" s="113">
        <f t="shared" si="183"/>
        <v>3</v>
      </c>
      <c r="N1981" s="64">
        <f t="shared" si="180"/>
        <v>1.0003633333333333</v>
      </c>
    </row>
    <row r="1982" spans="1:14">
      <c r="A1982" s="304"/>
      <c r="B1982" s="305"/>
      <c r="C1982" s="103">
        <f t="shared" si="178"/>
        <v>45780</v>
      </c>
      <c r="E1982" s="170"/>
      <c r="F1982" s="58" t="str">
        <f>VLOOKUP(MOD(C1982,7),'CALENDAR INFO'!$I$2:$J$8,2)</f>
        <v>SAT</v>
      </c>
      <c r="G1982" s="214">
        <v>4.33</v>
      </c>
      <c r="H1982" s="425">
        <v>4.3600000000000003</v>
      </c>
      <c r="I1982" s="457">
        <f t="shared" si="177"/>
        <v>3.0000000000000249E-2</v>
      </c>
      <c r="J1982" s="15" t="s">
        <v>152</v>
      </c>
      <c r="K1982" s="15">
        <f>K1981+K1980-1</f>
        <v>2010</v>
      </c>
      <c r="L1982" s="179">
        <f>K1982</f>
        <v>2010</v>
      </c>
      <c r="M1982" s="113">
        <f t="shared" si="183"/>
        <v>0</v>
      </c>
      <c r="N1982" s="64">
        <f t="shared" si="180"/>
        <v>1</v>
      </c>
    </row>
    <row r="1983" spans="1:14">
      <c r="A1983" s="304"/>
      <c r="B1983" s="305"/>
      <c r="C1983" s="103">
        <f t="shared" si="178"/>
        <v>45781</v>
      </c>
      <c r="E1983" s="170"/>
      <c r="F1983" s="58" t="str">
        <f>VLOOKUP(MOD(C1983,7),'CALENDAR INFO'!$I$2:$J$8,2)</f>
        <v>SUN</v>
      </c>
      <c r="G1983" s="214">
        <v>4.33</v>
      </c>
      <c r="H1983" s="425">
        <v>4.3600000000000003</v>
      </c>
      <c r="I1983" s="457">
        <f t="shared" si="177"/>
        <v>3.0000000000000249E-2</v>
      </c>
      <c r="M1983" s="113">
        <f t="shared" si="183"/>
        <v>0</v>
      </c>
      <c r="N1983" s="64">
        <f t="shared" si="180"/>
        <v>1</v>
      </c>
    </row>
    <row r="1984" spans="1:14">
      <c r="A1984" s="304"/>
      <c r="B1984" s="305"/>
      <c r="C1984" s="103">
        <f t="shared" si="178"/>
        <v>45782</v>
      </c>
      <c r="E1984" s="170"/>
      <c r="F1984" s="58" t="str">
        <f>VLOOKUP(MOD(C1984,7),'CALENDAR INFO'!$I$2:$J$8,2)</f>
        <v>MON</v>
      </c>
      <c r="G1984" s="214">
        <v>4.33</v>
      </c>
      <c r="H1984" s="425">
        <v>4.33</v>
      </c>
      <c r="I1984" s="457">
        <f t="shared" si="177"/>
        <v>0</v>
      </c>
      <c r="J1984" s="15" t="s">
        <v>192</v>
      </c>
      <c r="K1984" s="176">
        <v>1986</v>
      </c>
      <c r="L1984" s="179">
        <f>K1984</f>
        <v>1986</v>
      </c>
      <c r="M1984" s="113">
        <f t="shared" si="183"/>
        <v>1</v>
      </c>
      <c r="N1984" s="64">
        <f t="shared" si="180"/>
        <v>1.0001202777777778</v>
      </c>
    </row>
    <row r="1985" spans="1:14">
      <c r="A1985" s="304"/>
      <c r="B1985" s="305"/>
      <c r="C1985" s="103">
        <f t="shared" si="178"/>
        <v>45783</v>
      </c>
      <c r="D1985" s="247" t="s">
        <v>20</v>
      </c>
      <c r="E1985" s="170"/>
      <c r="F1985" s="58" t="str">
        <f>VLOOKUP(MOD(C1985,7),'CALENDAR INFO'!$I$2:$J$8,2)</f>
        <v>TUE</v>
      </c>
      <c r="G1985" s="214">
        <v>4.33</v>
      </c>
      <c r="H1985" s="425">
        <v>4.32</v>
      </c>
      <c r="I1985" s="457">
        <f t="shared" si="177"/>
        <v>-9.9999999999997868E-3</v>
      </c>
      <c r="J1985" s="15" t="s">
        <v>193</v>
      </c>
      <c r="K1985" s="15">
        <f>K1984+1</f>
        <v>1987</v>
      </c>
      <c r="L1985" s="179">
        <f>K1985</f>
        <v>1987</v>
      </c>
      <c r="M1985" s="113">
        <f t="shared" si="183"/>
        <v>1</v>
      </c>
      <c r="N1985" s="64">
        <f t="shared" si="180"/>
        <v>1.0001199999999999</v>
      </c>
    </row>
    <row r="1986" spans="1:14">
      <c r="A1986" s="304"/>
      <c r="B1986" s="305"/>
      <c r="C1986" s="103">
        <f t="shared" si="178"/>
        <v>45784</v>
      </c>
      <c r="D1986" s="247" t="s">
        <v>20</v>
      </c>
      <c r="E1986" s="170"/>
      <c r="F1986" s="58" t="str">
        <f>VLOOKUP(MOD(C1986,7),'CALENDAR INFO'!$I$2:$J$8,2)</f>
        <v>WED</v>
      </c>
      <c r="G1986" s="214">
        <v>4.33</v>
      </c>
      <c r="H1986" s="425">
        <v>4.3</v>
      </c>
      <c r="I1986" s="457">
        <f t="shared" si="177"/>
        <v>-3.0000000000000249E-2</v>
      </c>
      <c r="M1986" s="113">
        <f t="shared" si="183"/>
        <v>1</v>
      </c>
      <c r="N1986" s="64">
        <f t="shared" si="180"/>
        <v>1.0001194444444443</v>
      </c>
    </row>
    <row r="1987" spans="1:14">
      <c r="B1987" s="41"/>
      <c r="C1987" s="103">
        <f t="shared" si="178"/>
        <v>45785</v>
      </c>
      <c r="E1987" s="170"/>
      <c r="F1987" s="58" t="str">
        <f>VLOOKUP(MOD(C1987,7),'CALENDAR INFO'!$I$2:$J$8,2)</f>
        <v>THU</v>
      </c>
      <c r="G1987" s="214">
        <v>4.33</v>
      </c>
      <c r="H1987" s="425">
        <v>4.29</v>
      </c>
      <c r="I1987" s="457">
        <f t="shared" ref="I1987:I2050" si="184">H1987-G1987</f>
        <v>-4.0000000000000036E-2</v>
      </c>
      <c r="J1987" s="15" t="s">
        <v>213</v>
      </c>
      <c r="K1987" s="15" t="str">
        <f>_xlfn.CONCAT("F$",TEXT(K1980-1,0))</f>
        <v>F$1979</v>
      </c>
      <c r="L1987" s="179" t="str">
        <f>_xlfn.CONCAT("G$",TEXT(L1980-1,0))</f>
        <v>G$1979</v>
      </c>
      <c r="M1987" s="113">
        <f t="shared" si="183"/>
        <v>1</v>
      </c>
      <c r="N1987" s="64">
        <f t="shared" si="180"/>
        <v>1.0001191666666667</v>
      </c>
    </row>
    <row r="1988" spans="1:14">
      <c r="B1988" s="41"/>
      <c r="C1988" s="103">
        <f t="shared" ref="C1988:C2051" si="185">C1987+1</f>
        <v>45786</v>
      </c>
      <c r="E1988" s="170"/>
      <c r="F1988" s="58" t="str">
        <f>VLOOKUP(MOD(C1988,7),'CALENDAR INFO'!$I$2:$J$8,2)</f>
        <v>FRI</v>
      </c>
      <c r="G1988" s="214">
        <v>4.33</v>
      </c>
      <c r="H1988" s="425">
        <v>4.28</v>
      </c>
      <c r="I1988" s="457">
        <f t="shared" si="184"/>
        <v>-4.9999999999999822E-2</v>
      </c>
      <c r="J1988" s="15" t="s">
        <v>214</v>
      </c>
      <c r="K1988" s="15" t="str">
        <f>_xlfn.CONCAT("K$",TEXT(K1980+27,0))</f>
        <v>K$2007</v>
      </c>
      <c r="L1988" s="179" t="str">
        <f>_xlfn.CONCAT("L$",TEXT(L1980+27,0))</f>
        <v>L$2007</v>
      </c>
      <c r="M1988" s="113">
        <f t="shared" si="183"/>
        <v>3</v>
      </c>
      <c r="N1988" s="64">
        <f t="shared" si="180"/>
        <v>1.0003566666666666</v>
      </c>
    </row>
    <row r="1989" spans="1:14">
      <c r="B1989" s="41"/>
      <c r="C1989" s="103">
        <f t="shared" si="185"/>
        <v>45787</v>
      </c>
      <c r="E1989" s="170"/>
      <c r="F1989" s="58" t="str">
        <f>VLOOKUP(MOD(C1989,7),'CALENDAR INFO'!$I$2:$J$8,2)</f>
        <v>SAT</v>
      </c>
      <c r="G1989" s="214">
        <v>4.33</v>
      </c>
      <c r="H1989" s="425">
        <v>4.28</v>
      </c>
      <c r="I1989" s="457">
        <f t="shared" si="184"/>
        <v>-4.9999999999999822E-2</v>
      </c>
      <c r="J1989" s="15" t="s">
        <v>153</v>
      </c>
      <c r="K1989" s="15" t="str">
        <f>_xlfn.CONCAT("A",TEXT(K1980,0),":","A",TEXT(K1982,0))</f>
        <v>A1980:A2010</v>
      </c>
      <c r="L1989" s="179" t="str">
        <f>_xlfn.CONCAT("B",TEXT(L1980,0),":","B",TEXT(L1982,0))</f>
        <v>B1980:B2010</v>
      </c>
      <c r="M1989" s="113">
        <f t="shared" si="183"/>
        <v>0</v>
      </c>
      <c r="N1989" s="64">
        <f t="shared" si="180"/>
        <v>1</v>
      </c>
    </row>
    <row r="1990" spans="1:14">
      <c r="B1990" s="41"/>
      <c r="C1990" s="103">
        <f t="shared" si="185"/>
        <v>45788</v>
      </c>
      <c r="E1990" s="170"/>
      <c r="F1990" s="58" t="str">
        <f>VLOOKUP(MOD(C1990,7),'CALENDAR INFO'!$I$2:$J$8,2)</f>
        <v>SUN</v>
      </c>
      <c r="G1990" s="214">
        <v>4.33</v>
      </c>
      <c r="H1990" s="425">
        <v>4.28</v>
      </c>
      <c r="I1990" s="457">
        <f t="shared" si="184"/>
        <v>-4.9999999999999822E-2</v>
      </c>
      <c r="J1990" s="15" t="s">
        <v>190</v>
      </c>
      <c r="K1990" s="15" t="str">
        <f>_xlfn.CONCAT("F",TEXT(K1980,0),":","F",TEXT(K1984,0))</f>
        <v>F1980:F1986</v>
      </c>
      <c r="L1990" s="179" t="str">
        <f>_xlfn.CONCAT("G",TEXT(L1980,0),":","G",TEXT(L1984,0))</f>
        <v>G1980:G1986</v>
      </c>
      <c r="M1990" s="113">
        <f t="shared" si="183"/>
        <v>0</v>
      </c>
      <c r="N1990" s="64">
        <f t="shared" si="180"/>
        <v>1</v>
      </c>
    </row>
    <row r="1991" spans="1:14">
      <c r="B1991" s="41"/>
      <c r="C1991" s="103">
        <f t="shared" si="185"/>
        <v>45789</v>
      </c>
      <c r="E1991" s="170"/>
      <c r="F1991" s="58" t="str">
        <f>VLOOKUP(MOD(C1991,7),'CALENDAR INFO'!$I$2:$J$8,2)</f>
        <v>MON</v>
      </c>
      <c r="G1991" s="214">
        <v>4.33</v>
      </c>
      <c r="H1991" s="425">
        <v>4.28</v>
      </c>
      <c r="I1991" s="457">
        <f t="shared" si="184"/>
        <v>-4.9999999999999822E-2</v>
      </c>
      <c r="J1991" s="15" t="s">
        <v>191</v>
      </c>
      <c r="K1991" s="15" t="str">
        <f>_xlfn.CONCAT("F",TEXT(K1985,0),":","F",TEXT(K1982,0))</f>
        <v>F1987:F2010</v>
      </c>
      <c r="L1991" s="179" t="str">
        <f>_xlfn.CONCAT("G",TEXT(L1985,0),":","G",TEXT(L1982,0))</f>
        <v>G1987:G2010</v>
      </c>
      <c r="M1991" s="113">
        <f t="shared" si="183"/>
        <v>1</v>
      </c>
      <c r="N1991" s="64">
        <f t="shared" si="180"/>
        <v>1.0001188888888888</v>
      </c>
    </row>
    <row r="1992" spans="1:14">
      <c r="B1992" s="41"/>
      <c r="C1992" s="103">
        <f t="shared" si="185"/>
        <v>45790</v>
      </c>
      <c r="E1992" s="170"/>
      <c r="F1992" s="58" t="str">
        <f>VLOOKUP(MOD(C1992,7),'CALENDAR INFO'!$I$2:$J$8,2)</f>
        <v>TUE</v>
      </c>
      <c r="G1992" s="214">
        <v>4.33</v>
      </c>
      <c r="H1992" s="425">
        <v>4.3</v>
      </c>
      <c r="I1992" s="457">
        <f t="shared" si="184"/>
        <v>-3.0000000000000249E-2</v>
      </c>
      <c r="M1992" s="113">
        <f t="shared" si="183"/>
        <v>1</v>
      </c>
      <c r="N1992" s="64">
        <f t="shared" si="180"/>
        <v>1.0001194444444443</v>
      </c>
    </row>
    <row r="1993" spans="1:14">
      <c r="B1993" s="41"/>
      <c r="C1993" s="103">
        <f t="shared" si="185"/>
        <v>45791</v>
      </c>
      <c r="E1993" s="170" t="s">
        <v>19</v>
      </c>
      <c r="F1993" s="58" t="str">
        <f>VLOOKUP(MOD(C1993,7),'CALENDAR INFO'!$I$2:$J$8,2)</f>
        <v>WED</v>
      </c>
      <c r="G1993" s="214">
        <v>4.33</v>
      </c>
      <c r="H1993" s="425">
        <v>4.29</v>
      </c>
      <c r="I1993" s="457">
        <f t="shared" si="184"/>
        <v>-4.0000000000000036E-2</v>
      </c>
      <c r="J1993" s="15" t="s">
        <v>194</v>
      </c>
      <c r="K1993" s="15">
        <f t="shared" ref="K1993:L1995" ca="1" si="186">COUNTA(INDIRECT(K1989))</f>
        <v>0</v>
      </c>
      <c r="L1993" s="179">
        <f t="shared" ca="1" si="186"/>
        <v>0</v>
      </c>
      <c r="M1993" s="113">
        <f t="shared" si="183"/>
        <v>1</v>
      </c>
      <c r="N1993" s="64">
        <f t="shared" si="180"/>
        <v>1.0001191666666667</v>
      </c>
    </row>
    <row r="1994" spans="1:14">
      <c r="B1994" s="41"/>
      <c r="C1994" s="103">
        <f t="shared" si="185"/>
        <v>45792</v>
      </c>
      <c r="E1994" s="167" t="s">
        <v>18</v>
      </c>
      <c r="F1994" s="58" t="str">
        <f>VLOOKUP(MOD(C1994,7),'CALENDAR INFO'!$I$2:$J$8,2)</f>
        <v>THU</v>
      </c>
      <c r="G1994" s="214">
        <v>4.33</v>
      </c>
      <c r="H1994" s="425">
        <v>4.3099999999999996</v>
      </c>
      <c r="I1994" s="457">
        <f t="shared" si="184"/>
        <v>-2.0000000000000462E-2</v>
      </c>
      <c r="J1994" s="15" t="s">
        <v>195</v>
      </c>
      <c r="K1994" s="15">
        <f t="shared" ca="1" si="186"/>
        <v>7</v>
      </c>
      <c r="L1994" s="179">
        <f t="shared" ca="1" si="186"/>
        <v>7</v>
      </c>
      <c r="M1994" s="113">
        <f t="shared" si="183"/>
        <v>1</v>
      </c>
      <c r="N1994" s="64">
        <f t="shared" si="180"/>
        <v>1.0001197222222222</v>
      </c>
    </row>
    <row r="1995" spans="1:14">
      <c r="B1995" s="41"/>
      <c r="C1995" s="103">
        <f t="shared" si="185"/>
        <v>45793</v>
      </c>
      <c r="E1995" s="167"/>
      <c r="F1995" s="58" t="str">
        <f>VLOOKUP(MOD(C1995,7),'CALENDAR INFO'!$I$2:$J$8,2)</f>
        <v>FRI</v>
      </c>
      <c r="G1995" s="214">
        <v>4.33</v>
      </c>
      <c r="H1995" s="425">
        <v>4.3</v>
      </c>
      <c r="I1995" s="457">
        <f t="shared" si="184"/>
        <v>-3.0000000000000249E-2</v>
      </c>
      <c r="J1995" s="15" t="s">
        <v>196</v>
      </c>
      <c r="K1995" s="15">
        <f t="shared" ca="1" si="186"/>
        <v>24</v>
      </c>
      <c r="L1995" s="179">
        <f t="shared" ca="1" si="186"/>
        <v>24</v>
      </c>
      <c r="M1995" s="113">
        <f t="shared" si="183"/>
        <v>3</v>
      </c>
      <c r="N1995" s="64">
        <f t="shared" si="180"/>
        <v>1.0003583333333332</v>
      </c>
    </row>
    <row r="1996" spans="1:14">
      <c r="B1996" s="41"/>
      <c r="C1996" s="103">
        <f t="shared" si="185"/>
        <v>45794</v>
      </c>
      <c r="E1996" s="167"/>
      <c r="F1996" s="58" t="str">
        <f>VLOOKUP(MOD(C1996,7),'CALENDAR INFO'!$I$2:$J$8,2)</f>
        <v>SAT</v>
      </c>
      <c r="G1996" s="214">
        <v>4.33</v>
      </c>
      <c r="H1996" s="425">
        <v>4.3</v>
      </c>
      <c r="I1996" s="457">
        <f t="shared" si="184"/>
        <v>-3.0000000000000249E-2</v>
      </c>
      <c r="M1996" s="113">
        <f t="shared" si="183"/>
        <v>0</v>
      </c>
      <c r="N1996" s="64">
        <f t="shared" si="180"/>
        <v>1</v>
      </c>
    </row>
    <row r="1997" spans="1:14">
      <c r="B1997" s="41"/>
      <c r="C1997" s="103">
        <f t="shared" si="185"/>
        <v>45795</v>
      </c>
      <c r="E1997" s="167"/>
      <c r="F1997" s="58" t="str">
        <f>VLOOKUP(MOD(C1997,7),'CALENDAR INFO'!$I$2:$J$8,2)</f>
        <v>SUN</v>
      </c>
      <c r="G1997" s="214">
        <v>4.33</v>
      </c>
      <c r="H1997" s="425">
        <v>4.3</v>
      </c>
      <c r="I1997" s="457">
        <f t="shared" si="184"/>
        <v>-3.0000000000000249E-2</v>
      </c>
      <c r="J1997" s="15" t="s">
        <v>197</v>
      </c>
      <c r="K1997" s="180" t="e">
        <f>OUTPUT!#REF!</f>
        <v>#REF!</v>
      </c>
      <c r="L1997" s="193" t="e">
        <f>OUTPUT!#REF!</f>
        <v>#REF!</v>
      </c>
      <c r="M1997" s="113">
        <f t="shared" si="183"/>
        <v>0</v>
      </c>
      <c r="N1997" s="64">
        <f t="shared" si="180"/>
        <v>1</v>
      </c>
    </row>
    <row r="1998" spans="1:14">
      <c r="B1998" s="41"/>
      <c r="C1998" s="103">
        <f t="shared" si="185"/>
        <v>45796</v>
      </c>
      <c r="E1998" s="167"/>
      <c r="F1998" s="58" t="str">
        <f>VLOOKUP(MOD(C1998,7),'CALENDAR INFO'!$I$2:$J$8,2)</f>
        <v>MON</v>
      </c>
      <c r="G1998" s="214">
        <v>4.33</v>
      </c>
      <c r="H1998" s="425">
        <v>4.29</v>
      </c>
      <c r="I1998" s="457">
        <f t="shared" si="184"/>
        <v>-4.0000000000000036E-2</v>
      </c>
      <c r="J1998" s="15" t="s">
        <v>118</v>
      </c>
      <c r="K1998" s="15">
        <f>K1981</f>
        <v>31</v>
      </c>
      <c r="L1998" s="179">
        <f>L1981</f>
        <v>31</v>
      </c>
      <c r="M1998" s="113">
        <f t="shared" si="183"/>
        <v>1</v>
      </c>
      <c r="N1998" s="64">
        <f t="shared" si="180"/>
        <v>1.0001191666666667</v>
      </c>
    </row>
    <row r="1999" spans="1:14">
      <c r="B1999" s="41"/>
      <c r="C1999" s="103">
        <f t="shared" si="185"/>
        <v>45797</v>
      </c>
      <c r="E1999" s="167"/>
      <c r="F1999" s="58" t="str">
        <f>VLOOKUP(MOD(C1999,7),'CALENDAR INFO'!$I$2:$J$8,2)</f>
        <v>TUE</v>
      </c>
      <c r="G1999" s="214">
        <v>4.33</v>
      </c>
      <c r="H1999" s="425">
        <v>4.2699999999999996</v>
      </c>
      <c r="I1999" s="457">
        <f t="shared" si="184"/>
        <v>-6.0000000000000497E-2</v>
      </c>
      <c r="J1999" s="15" t="s">
        <v>184</v>
      </c>
      <c r="K1999" s="178" t="e">
        <f>K1997*K1998</f>
        <v>#REF!</v>
      </c>
      <c r="L1999" s="192" t="e">
        <f>L1997*L1998</f>
        <v>#REF!</v>
      </c>
      <c r="M1999" s="113">
        <f t="shared" si="183"/>
        <v>1</v>
      </c>
      <c r="N1999" s="64">
        <f t="shared" si="180"/>
        <v>1.0001186111111111</v>
      </c>
    </row>
    <row r="2000" spans="1:14">
      <c r="B2000" s="41"/>
      <c r="C2000" s="103">
        <f t="shared" si="185"/>
        <v>45798</v>
      </c>
      <c r="E2000" s="167"/>
      <c r="F2000" s="58" t="str">
        <f>VLOOKUP(MOD(C2000,7),'CALENDAR INFO'!$I$2:$J$8,2)</f>
        <v>WED</v>
      </c>
      <c r="G2000" s="214">
        <v>4.33</v>
      </c>
      <c r="H2000" s="425">
        <v>4.26</v>
      </c>
      <c r="I2000" s="457">
        <f t="shared" si="184"/>
        <v>-7.0000000000000284E-2</v>
      </c>
      <c r="K2000" s="178"/>
      <c r="L2000" s="192"/>
      <c r="M2000" s="113">
        <f t="shared" si="183"/>
        <v>1</v>
      </c>
      <c r="N2000" s="64">
        <f t="shared" si="180"/>
        <v>1.0001183333333334</v>
      </c>
    </row>
    <row r="2001" spans="1:14">
      <c r="B2001" s="41"/>
      <c r="C2001" s="103">
        <f t="shared" si="185"/>
        <v>45799</v>
      </c>
      <c r="E2001" s="167"/>
      <c r="F2001" s="58" t="str">
        <f>VLOOKUP(MOD(C2001,7),'CALENDAR INFO'!$I$2:$J$8,2)</f>
        <v>THU</v>
      </c>
      <c r="G2001" s="214">
        <v>4.33</v>
      </c>
      <c r="H2001" s="425">
        <v>4.26</v>
      </c>
      <c r="I2001" s="457">
        <f t="shared" si="184"/>
        <v>-7.0000000000000284E-2</v>
      </c>
      <c r="J2001" s="15" t="s">
        <v>187</v>
      </c>
      <c r="K2001" s="207" t="e">
        <f>K1999</f>
        <v>#REF!</v>
      </c>
      <c r="L2001" s="208" t="e">
        <f>L1999</f>
        <v>#REF!</v>
      </c>
      <c r="M2001" s="113">
        <f t="shared" si="183"/>
        <v>1</v>
      </c>
      <c r="N2001" s="64">
        <f t="shared" si="180"/>
        <v>1.0001183333333334</v>
      </c>
    </row>
    <row r="2002" spans="1:14">
      <c r="B2002" s="41"/>
      <c r="C2002" s="103">
        <f t="shared" si="185"/>
        <v>45800</v>
      </c>
      <c r="E2002" s="167"/>
      <c r="F2002" s="58" t="str">
        <f>VLOOKUP(MOD(C2002,7),'CALENDAR INFO'!$I$2:$J$8,2)</f>
        <v>FRI</v>
      </c>
      <c r="G2002" s="214">
        <v>4.33</v>
      </c>
      <c r="H2002" s="425">
        <v>4.26</v>
      </c>
      <c r="I2002" s="457">
        <f t="shared" si="184"/>
        <v>-7.0000000000000284E-2</v>
      </c>
      <c r="J2002" s="15" t="s">
        <v>155</v>
      </c>
      <c r="K2002" s="178">
        <f ca="1">SUM(INDIRECT(K1989))</f>
        <v>0</v>
      </c>
      <c r="L2002" s="192">
        <f ca="1">SUM(INDIRECT(L1989))</f>
        <v>0</v>
      </c>
      <c r="M2002" s="117">
        <v>4</v>
      </c>
      <c r="N2002" s="64">
        <f t="shared" si="180"/>
        <v>1.0004733333333333</v>
      </c>
    </row>
    <row r="2003" spans="1:14">
      <c r="B2003" s="41"/>
      <c r="C2003" s="103">
        <f t="shared" si="185"/>
        <v>45801</v>
      </c>
      <c r="E2003" s="167"/>
      <c r="F2003" s="58" t="str">
        <f>VLOOKUP(MOD(C2003,7),'CALENDAR INFO'!$I$2:$J$8,2)</f>
        <v>SAT</v>
      </c>
      <c r="G2003" s="214">
        <v>4.33</v>
      </c>
      <c r="H2003" s="425">
        <v>4.26</v>
      </c>
      <c r="I2003" s="457">
        <f t="shared" si="184"/>
        <v>-7.0000000000000284E-2</v>
      </c>
      <c r="J2003" s="15" t="s">
        <v>185</v>
      </c>
      <c r="K2003" s="178">
        <f ca="1">SUM(INDIRECT(K1990))</f>
        <v>0</v>
      </c>
      <c r="L2003" s="192">
        <f ca="1">SUM(INDIRECT(L1990))</f>
        <v>30.309999999999995</v>
      </c>
      <c r="M2003" s="117">
        <f>IF(MOD(C2003,7)&lt;2,0,IF(MOD(C2003,7)=6,3,1))</f>
        <v>0</v>
      </c>
      <c r="N2003" s="64">
        <f t="shared" ref="N2003:N2066" si="187">1+(M2003/360)*(MAX(H2003,B2003)/100)</f>
        <v>1</v>
      </c>
    </row>
    <row r="2004" spans="1:14">
      <c r="B2004" s="41"/>
      <c r="C2004" s="103">
        <f t="shared" si="185"/>
        <v>45802</v>
      </c>
      <c r="E2004" s="167"/>
      <c r="F2004" s="58" t="str">
        <f>VLOOKUP(MOD(C2004,7),'CALENDAR INFO'!$I$2:$J$8,2)</f>
        <v>SUN</v>
      </c>
      <c r="G2004" s="214">
        <v>4.33</v>
      </c>
      <c r="H2004" s="425">
        <v>4.26</v>
      </c>
      <c r="I2004" s="457">
        <f t="shared" si="184"/>
        <v>-7.0000000000000284E-2</v>
      </c>
      <c r="J2004" s="15" t="s">
        <v>186</v>
      </c>
      <c r="K2004" s="178" t="e">
        <f ca="1">K2001-K2002-K2003</f>
        <v>#REF!</v>
      </c>
      <c r="L2004" s="192" t="e">
        <f ca="1">L2001-L2002-L2003</f>
        <v>#REF!</v>
      </c>
      <c r="M2004" s="117">
        <f>IF(MOD(C2004,7)&lt;2,0,IF(MOD(C2004,7)=6,3,1))</f>
        <v>0</v>
      </c>
      <c r="N2004" s="64">
        <f t="shared" si="187"/>
        <v>1</v>
      </c>
    </row>
    <row r="2005" spans="1:14">
      <c r="B2005" s="41"/>
      <c r="C2005" s="103">
        <f t="shared" si="185"/>
        <v>45803</v>
      </c>
      <c r="D2005" s="173" t="s">
        <v>113</v>
      </c>
      <c r="E2005" s="167"/>
      <c r="F2005" s="58" t="str">
        <f>VLOOKUP(MOD(C2005,7),'CALENDAR INFO'!$I$2:$J$8,2)</f>
        <v>MON</v>
      </c>
      <c r="G2005" s="214">
        <v>4.33</v>
      </c>
      <c r="H2005" s="425">
        <v>4.26</v>
      </c>
      <c r="I2005" s="457">
        <f t="shared" si="184"/>
        <v>-7.0000000000000284E-2</v>
      </c>
      <c r="M2005" s="117">
        <v>0</v>
      </c>
      <c r="N2005" s="64">
        <f t="shared" si="187"/>
        <v>1</v>
      </c>
    </row>
    <row r="2006" spans="1:14">
      <c r="B2006" s="41"/>
      <c r="C2006" s="103">
        <f t="shared" si="185"/>
        <v>45804</v>
      </c>
      <c r="E2006" s="167"/>
      <c r="F2006" s="58" t="str">
        <f>VLOOKUP(MOD(C2006,7),'CALENDAR INFO'!$I$2:$J$8,2)</f>
        <v>TUE</v>
      </c>
      <c r="G2006" s="214">
        <v>4.33</v>
      </c>
      <c r="H2006" s="425">
        <v>4.3099999999999996</v>
      </c>
      <c r="I2006" s="457">
        <f t="shared" si="184"/>
        <v>-2.0000000000000462E-2</v>
      </c>
      <c r="J2006" s="15" t="s">
        <v>188</v>
      </c>
      <c r="K2006" s="15">
        <f ca="1">K1981-K1993-K1994</f>
        <v>24</v>
      </c>
      <c r="L2006" s="179">
        <f ca="1">L1981-L1993-L1994</f>
        <v>24</v>
      </c>
      <c r="M2006" s="113">
        <f t="shared" ref="M2006:M2027" si="188">IF(MOD(C2006,7)&lt;2,0,IF(MOD(C2006,7)=6,3,1))</f>
        <v>1</v>
      </c>
      <c r="N2006" s="64">
        <f t="shared" si="187"/>
        <v>1.0001197222222222</v>
      </c>
    </row>
    <row r="2007" spans="1:14">
      <c r="B2007" s="41"/>
      <c r="C2007" s="103">
        <f t="shared" si="185"/>
        <v>45805</v>
      </c>
      <c r="E2007" s="167" t="s">
        <v>19</v>
      </c>
      <c r="F2007" s="58" t="str">
        <f>VLOOKUP(MOD(C2007,7),'CALENDAR INFO'!$I$2:$J$8,2)</f>
        <v>WED</v>
      </c>
      <c r="G2007" s="214">
        <v>4.33</v>
      </c>
      <c r="H2007" s="425">
        <v>4.33</v>
      </c>
      <c r="I2007" s="457">
        <f t="shared" si="184"/>
        <v>0</v>
      </c>
      <c r="J2007" s="15" t="s">
        <v>189</v>
      </c>
      <c r="K2007" s="178" t="e">
        <f ca="1">K2004/K2006</f>
        <v>#REF!</v>
      </c>
      <c r="L2007" s="192" t="e">
        <f ca="1">L2004/L2006</f>
        <v>#REF!</v>
      </c>
      <c r="M2007" s="113">
        <f t="shared" si="188"/>
        <v>1</v>
      </c>
      <c r="N2007" s="64">
        <f t="shared" si="187"/>
        <v>1.0001202777777778</v>
      </c>
    </row>
    <row r="2008" spans="1:14">
      <c r="B2008" s="41"/>
      <c r="C2008" s="393">
        <f t="shared" si="185"/>
        <v>45806</v>
      </c>
      <c r="E2008" s="170" t="s">
        <v>18</v>
      </c>
      <c r="F2008" s="58" t="str">
        <f>VLOOKUP(MOD(C2008,7),'CALENDAR INFO'!$I$2:$J$8,2)</f>
        <v>THU</v>
      </c>
      <c r="G2008" s="214">
        <v>4.33</v>
      </c>
      <c r="H2008" s="425">
        <v>4.33</v>
      </c>
      <c r="I2008" s="457">
        <f t="shared" si="184"/>
        <v>0</v>
      </c>
      <c r="M2008" s="113">
        <f t="shared" si="188"/>
        <v>1</v>
      </c>
      <c r="N2008" s="64">
        <f t="shared" si="187"/>
        <v>1.0001202777777778</v>
      </c>
    </row>
    <row r="2009" spans="1:14">
      <c r="B2009" s="41"/>
      <c r="C2009" s="393">
        <f t="shared" si="185"/>
        <v>45807</v>
      </c>
      <c r="E2009" s="170"/>
      <c r="F2009" s="58" t="str">
        <f>VLOOKUP(MOD(C2009,7),'CALENDAR INFO'!$I$2:$J$8,2)</f>
        <v>FRI</v>
      </c>
      <c r="G2009" s="214">
        <v>4.33</v>
      </c>
      <c r="H2009" s="425">
        <v>4.3499999999999996</v>
      </c>
      <c r="I2009" s="457">
        <f t="shared" si="184"/>
        <v>1.9999999999999574E-2</v>
      </c>
      <c r="M2009" s="113">
        <f t="shared" si="188"/>
        <v>3</v>
      </c>
      <c r="N2009" s="64">
        <f t="shared" si="187"/>
        <v>1.0003625</v>
      </c>
    </row>
    <row r="2010" spans="1:14" ht="15.75" thickBot="1">
      <c r="A2010" s="98"/>
      <c r="B2010" s="230"/>
      <c r="C2010" s="394">
        <f t="shared" si="185"/>
        <v>45808</v>
      </c>
      <c r="D2010" s="112"/>
      <c r="E2010" s="101"/>
      <c r="F2010" s="71" t="str">
        <f>VLOOKUP(MOD(C2010,7),'CALENDAR INFO'!$I$2:$J$8,2)</f>
        <v>SAT</v>
      </c>
      <c r="G2010" s="215">
        <v>4.33</v>
      </c>
      <c r="H2010" s="426">
        <v>4.3499999999999996</v>
      </c>
      <c r="I2010" s="458">
        <f t="shared" si="184"/>
        <v>1.9999999999999574E-2</v>
      </c>
      <c r="J2010" s="424" t="s">
        <v>202</v>
      </c>
      <c r="K2010" s="340">
        <f ca="1">100-K2002/K1998</f>
        <v>100</v>
      </c>
      <c r="L2010" s="341">
        <f ca="1">100-L2002/L1998</f>
        <v>100</v>
      </c>
      <c r="M2010" s="114">
        <f t="shared" si="188"/>
        <v>0</v>
      </c>
      <c r="N2010" s="292">
        <f t="shared" si="187"/>
        <v>1</v>
      </c>
    </row>
    <row r="2011" spans="1:14">
      <c r="A2011" s="304"/>
      <c r="B2011" s="305"/>
      <c r="C2011" s="393">
        <f t="shared" si="185"/>
        <v>45809</v>
      </c>
      <c r="E2011" s="170"/>
      <c r="F2011" s="58" t="str">
        <f>VLOOKUP(MOD(C2011,7),'CALENDAR INFO'!$I$2:$J$8,2)</f>
        <v>SUN</v>
      </c>
      <c r="G2011" s="214">
        <v>4.33</v>
      </c>
      <c r="H2011" s="425">
        <v>4.3499999999999996</v>
      </c>
      <c r="I2011" s="457">
        <f t="shared" si="184"/>
        <v>1.9999999999999574E-2</v>
      </c>
      <c r="J2011" s="15" t="s">
        <v>151</v>
      </c>
      <c r="K2011" s="360">
        <f>ROW(K2011)</f>
        <v>2011</v>
      </c>
      <c r="L2011" s="60">
        <f>K2011</f>
        <v>2011</v>
      </c>
      <c r="M2011" s="113">
        <f t="shared" si="188"/>
        <v>0</v>
      </c>
      <c r="N2011" s="64">
        <f t="shared" si="187"/>
        <v>1</v>
      </c>
    </row>
    <row r="2012" spans="1:14">
      <c r="A2012" s="304"/>
      <c r="B2012" s="305"/>
      <c r="C2012" s="393">
        <f t="shared" si="185"/>
        <v>45810</v>
      </c>
      <c r="E2012" s="170"/>
      <c r="F2012" s="58" t="str">
        <f>VLOOKUP(MOD(C2012,7),'CALENDAR INFO'!$I$2:$J$8,2)</f>
        <v>MON</v>
      </c>
      <c r="G2012" s="214">
        <v>4.33</v>
      </c>
      <c r="H2012" s="425">
        <v>4.3499999999999996</v>
      </c>
      <c r="I2012" s="457">
        <f t="shared" si="184"/>
        <v>1.9999999999999574E-2</v>
      </c>
      <c r="J2012" s="15" t="s">
        <v>118</v>
      </c>
      <c r="K2012" s="15">
        <f>VLOOKUP(MONTH($C2011),'CALENDAR INFO'!$I$12:$J$23,2)</f>
        <v>30</v>
      </c>
      <c r="L2012" s="179">
        <f>K2012</f>
        <v>30</v>
      </c>
      <c r="M2012" s="113">
        <f t="shared" si="188"/>
        <v>1</v>
      </c>
      <c r="N2012" s="64">
        <f t="shared" si="187"/>
        <v>1.0001208333333333</v>
      </c>
    </row>
    <row r="2013" spans="1:14">
      <c r="A2013" s="304"/>
      <c r="B2013" s="305"/>
      <c r="C2013" s="393">
        <f t="shared" si="185"/>
        <v>45811</v>
      </c>
      <c r="E2013" s="170"/>
      <c r="F2013" s="58" t="str">
        <f>VLOOKUP(MOD(C2013,7),'CALENDAR INFO'!$I$2:$J$8,2)</f>
        <v>TUE</v>
      </c>
      <c r="G2013" s="214">
        <v>4.33</v>
      </c>
      <c r="H2013" s="425">
        <v>4.32</v>
      </c>
      <c r="I2013" s="457">
        <f t="shared" si="184"/>
        <v>-9.9999999999997868E-3</v>
      </c>
      <c r="J2013" s="15" t="s">
        <v>152</v>
      </c>
      <c r="K2013" s="15">
        <f>K2012+K2011-1</f>
        <v>2040</v>
      </c>
      <c r="L2013" s="179">
        <f>K2013</f>
        <v>2040</v>
      </c>
      <c r="M2013" s="113">
        <f t="shared" si="188"/>
        <v>1</v>
      </c>
      <c r="N2013" s="64">
        <f t="shared" si="187"/>
        <v>1.0001199999999999</v>
      </c>
    </row>
    <row r="2014" spans="1:14">
      <c r="A2014" s="304"/>
      <c r="B2014" s="305"/>
      <c r="C2014" s="393">
        <f t="shared" si="185"/>
        <v>45812</v>
      </c>
      <c r="E2014" s="170"/>
      <c r="F2014" s="58" t="str">
        <f>VLOOKUP(MOD(C2014,7),'CALENDAR INFO'!$I$2:$J$8,2)</f>
        <v>WED</v>
      </c>
      <c r="G2014" s="214">
        <v>4.33</v>
      </c>
      <c r="H2014" s="425">
        <v>4.28</v>
      </c>
      <c r="I2014" s="457">
        <f t="shared" si="184"/>
        <v>-4.9999999999999822E-2</v>
      </c>
      <c r="M2014" s="113">
        <f t="shared" si="188"/>
        <v>1</v>
      </c>
      <c r="N2014" s="64">
        <f t="shared" si="187"/>
        <v>1.0001188888888888</v>
      </c>
    </row>
    <row r="2015" spans="1:14">
      <c r="A2015" s="304"/>
      <c r="B2015" s="305"/>
      <c r="C2015" s="393">
        <f t="shared" si="185"/>
        <v>45813</v>
      </c>
      <c r="E2015" s="170"/>
      <c r="F2015" s="58" t="str">
        <f>VLOOKUP(MOD(C2015,7),'CALENDAR INFO'!$I$2:$J$8,2)</f>
        <v>THU</v>
      </c>
      <c r="G2015" s="214">
        <v>4.33</v>
      </c>
      <c r="H2015" s="425">
        <v>4.29</v>
      </c>
      <c r="I2015" s="457">
        <f t="shared" si="184"/>
        <v>-4.0000000000000036E-2</v>
      </c>
      <c r="J2015" s="15" t="s">
        <v>192</v>
      </c>
      <c r="K2015" s="311">
        <v>2029</v>
      </c>
      <c r="L2015" s="179">
        <f>K2015</f>
        <v>2029</v>
      </c>
      <c r="M2015" s="113">
        <f t="shared" si="188"/>
        <v>1</v>
      </c>
      <c r="N2015" s="64">
        <f t="shared" si="187"/>
        <v>1.0001191666666667</v>
      </c>
    </row>
    <row r="2016" spans="1:14">
      <c r="A2016" s="304"/>
      <c r="B2016" s="305"/>
      <c r="C2016" s="393">
        <f t="shared" si="185"/>
        <v>45814</v>
      </c>
      <c r="E2016" s="170"/>
      <c r="F2016" s="58" t="str">
        <f>VLOOKUP(MOD(C2016,7),'CALENDAR INFO'!$I$2:$J$8,2)</f>
        <v>FRI</v>
      </c>
      <c r="G2016" s="214">
        <v>4.33</v>
      </c>
      <c r="H2016" s="425">
        <v>4.29</v>
      </c>
      <c r="I2016" s="457">
        <f t="shared" si="184"/>
        <v>-4.0000000000000036E-2</v>
      </c>
      <c r="J2016" s="15" t="s">
        <v>193</v>
      </c>
      <c r="K2016" s="15">
        <f>K2015+1</f>
        <v>2030</v>
      </c>
      <c r="L2016" s="179">
        <f>K2016</f>
        <v>2030</v>
      </c>
      <c r="M2016" s="113">
        <f t="shared" si="188"/>
        <v>3</v>
      </c>
      <c r="N2016" s="64">
        <f t="shared" si="187"/>
        <v>1.0003575</v>
      </c>
    </row>
    <row r="2017" spans="1:14">
      <c r="A2017" s="304"/>
      <c r="B2017" s="305"/>
      <c r="C2017" s="393">
        <f t="shared" si="185"/>
        <v>45815</v>
      </c>
      <c r="E2017" s="170"/>
      <c r="F2017" s="58" t="str">
        <f>VLOOKUP(MOD(C2017,7),'CALENDAR INFO'!$I$2:$J$8,2)</f>
        <v>SAT</v>
      </c>
      <c r="G2017" s="214">
        <v>4.33</v>
      </c>
      <c r="H2017" s="425">
        <v>4.29</v>
      </c>
      <c r="I2017" s="457">
        <f t="shared" si="184"/>
        <v>-4.0000000000000036E-2</v>
      </c>
      <c r="M2017" s="113">
        <f t="shared" si="188"/>
        <v>0</v>
      </c>
      <c r="N2017" s="64">
        <f t="shared" si="187"/>
        <v>1</v>
      </c>
    </row>
    <row r="2018" spans="1:14">
      <c r="A2018" s="304"/>
      <c r="B2018" s="305"/>
      <c r="C2018" s="393">
        <f t="shared" si="185"/>
        <v>45816</v>
      </c>
      <c r="E2018" s="170"/>
      <c r="F2018" s="58" t="str">
        <f>VLOOKUP(MOD(C2018,7),'CALENDAR INFO'!$I$2:$J$8,2)</f>
        <v>SUN</v>
      </c>
      <c r="G2018" s="214">
        <v>4.33</v>
      </c>
      <c r="H2018" s="425">
        <v>4.29</v>
      </c>
      <c r="I2018" s="457">
        <f t="shared" si="184"/>
        <v>-4.0000000000000036E-2</v>
      </c>
      <c r="J2018" s="15" t="s">
        <v>213</v>
      </c>
      <c r="K2018" s="15" t="str">
        <f>_xlfn.CONCAT("F$",TEXT(K2011-1,0))</f>
        <v>F$2010</v>
      </c>
      <c r="L2018" s="179" t="str">
        <f>_xlfn.CONCAT("G$",TEXT(L2011-1,0))</f>
        <v>G$2010</v>
      </c>
      <c r="M2018" s="113">
        <f t="shared" si="188"/>
        <v>0</v>
      </c>
      <c r="N2018" s="64">
        <f t="shared" si="187"/>
        <v>1</v>
      </c>
    </row>
    <row r="2019" spans="1:14">
      <c r="A2019" s="304"/>
      <c r="B2019" s="305"/>
      <c r="C2019" s="103">
        <f t="shared" si="185"/>
        <v>45817</v>
      </c>
      <c r="E2019" s="170"/>
      <c r="F2019" s="58" t="str">
        <f>VLOOKUP(MOD(C2019,7),'CALENDAR INFO'!$I$2:$J$8,2)</f>
        <v>MON</v>
      </c>
      <c r="G2019" s="214">
        <v>4.33</v>
      </c>
      <c r="H2019" s="425">
        <v>4.29</v>
      </c>
      <c r="I2019" s="457">
        <f t="shared" si="184"/>
        <v>-4.0000000000000036E-2</v>
      </c>
      <c r="J2019" s="15" t="s">
        <v>214</v>
      </c>
      <c r="K2019" s="15" t="str">
        <f>_xlfn.CONCAT("K$",TEXT(K2011+27,0))</f>
        <v>K$2038</v>
      </c>
      <c r="L2019" s="179" t="str">
        <f>_xlfn.CONCAT("L$",TEXT(L2011+27,0))</f>
        <v>L$2038</v>
      </c>
      <c r="M2019" s="113">
        <f t="shared" si="188"/>
        <v>1</v>
      </c>
      <c r="N2019" s="64">
        <f t="shared" si="187"/>
        <v>1.0001191666666667</v>
      </c>
    </row>
    <row r="2020" spans="1:14">
      <c r="A2020" s="304"/>
      <c r="B2020" s="305"/>
      <c r="C2020" s="103">
        <f t="shared" si="185"/>
        <v>45818</v>
      </c>
      <c r="E2020" s="170"/>
      <c r="F2020" s="58" t="str">
        <f>VLOOKUP(MOD(C2020,7),'CALENDAR INFO'!$I$2:$J$8,2)</f>
        <v>TUE</v>
      </c>
      <c r="G2020" s="214">
        <v>4.33</v>
      </c>
      <c r="H2020" s="425">
        <v>4.28</v>
      </c>
      <c r="I2020" s="457">
        <f t="shared" si="184"/>
        <v>-4.9999999999999822E-2</v>
      </c>
      <c r="J2020" s="15" t="s">
        <v>153</v>
      </c>
      <c r="K2020" s="15" t="str">
        <f>_xlfn.CONCAT("A",TEXT(K2011,0),":","A",TEXT(K2013,0))</f>
        <v>A2011:A2040</v>
      </c>
      <c r="L2020" s="179" t="str">
        <f>_xlfn.CONCAT("B",TEXT(L2011,0),":","B",TEXT(L2013,0))</f>
        <v>B2011:B2040</v>
      </c>
      <c r="M2020" s="113">
        <f t="shared" si="188"/>
        <v>1</v>
      </c>
      <c r="N2020" s="64">
        <f t="shared" si="187"/>
        <v>1.0001188888888888</v>
      </c>
    </row>
    <row r="2021" spans="1:14">
      <c r="A2021" s="304"/>
      <c r="B2021" s="305"/>
      <c r="C2021" s="103">
        <f t="shared" si="185"/>
        <v>45819</v>
      </c>
      <c r="E2021" s="170" t="s">
        <v>19</v>
      </c>
      <c r="F2021" s="58" t="str">
        <f>VLOOKUP(MOD(C2021,7),'CALENDAR INFO'!$I$2:$J$8,2)</f>
        <v>WED</v>
      </c>
      <c r="G2021" s="214">
        <v>4.33</v>
      </c>
      <c r="H2021" s="425">
        <v>4.28</v>
      </c>
      <c r="I2021" s="457">
        <f t="shared" si="184"/>
        <v>-4.9999999999999822E-2</v>
      </c>
      <c r="J2021" s="15" t="s">
        <v>190</v>
      </c>
      <c r="K2021" s="15" t="str">
        <f>_xlfn.CONCAT("F",TEXT(K2011,0),":","F",TEXT(K2015,0))</f>
        <v>F2011:F2029</v>
      </c>
      <c r="L2021" s="179" t="str">
        <f>_xlfn.CONCAT("G",TEXT(L2011,0),":","G",TEXT(L2015,0))</f>
        <v>G2011:G2029</v>
      </c>
      <c r="M2021" s="113">
        <f t="shared" si="188"/>
        <v>1</v>
      </c>
      <c r="N2021" s="64">
        <f t="shared" si="187"/>
        <v>1.0001188888888888</v>
      </c>
    </row>
    <row r="2022" spans="1:14">
      <c r="A2022" s="304"/>
      <c r="B2022" s="305"/>
      <c r="C2022" s="103">
        <f t="shared" si="185"/>
        <v>45820</v>
      </c>
      <c r="E2022" s="167" t="s">
        <v>18</v>
      </c>
      <c r="F2022" s="58" t="str">
        <f>VLOOKUP(MOD(C2022,7),'CALENDAR INFO'!$I$2:$J$8,2)</f>
        <v>THU</v>
      </c>
      <c r="G2022" s="214">
        <v>4.33</v>
      </c>
      <c r="H2022" s="425">
        <v>4.28</v>
      </c>
      <c r="I2022" s="457">
        <f t="shared" si="184"/>
        <v>-4.9999999999999822E-2</v>
      </c>
      <c r="J2022" s="15" t="s">
        <v>191</v>
      </c>
      <c r="K2022" s="15" t="str">
        <f>_xlfn.CONCAT("F",TEXT(K2016,0),":","F",TEXT(K2013,0))</f>
        <v>F2030:F2040</v>
      </c>
      <c r="L2022" s="179" t="str">
        <f>_xlfn.CONCAT("G",TEXT(L2016,0),":","G",TEXT(L2013,0))</f>
        <v>G2030:G2040</v>
      </c>
      <c r="M2022" s="113">
        <f t="shared" si="188"/>
        <v>1</v>
      </c>
      <c r="N2022" s="64">
        <f t="shared" si="187"/>
        <v>1.0001188888888888</v>
      </c>
    </row>
    <row r="2023" spans="1:14">
      <c r="A2023" s="304"/>
      <c r="B2023" s="305"/>
      <c r="C2023" s="103">
        <f t="shared" si="185"/>
        <v>45821</v>
      </c>
      <c r="E2023" s="167"/>
      <c r="F2023" s="58" t="str">
        <f>VLOOKUP(MOD(C2023,7),'CALENDAR INFO'!$I$2:$J$8,2)</f>
        <v>FRI</v>
      </c>
      <c r="G2023" s="214">
        <v>4.33</v>
      </c>
      <c r="H2023" s="425">
        <v>4.28</v>
      </c>
      <c r="I2023" s="457">
        <f t="shared" si="184"/>
        <v>-4.9999999999999822E-2</v>
      </c>
      <c r="M2023" s="113">
        <f t="shared" si="188"/>
        <v>3</v>
      </c>
      <c r="N2023" s="64">
        <f t="shared" si="187"/>
        <v>1.0003566666666666</v>
      </c>
    </row>
    <row r="2024" spans="1:14">
      <c r="A2024" s="304"/>
      <c r="B2024" s="305"/>
      <c r="C2024" s="103">
        <f t="shared" si="185"/>
        <v>45822</v>
      </c>
      <c r="E2024" s="167"/>
      <c r="F2024" s="58" t="str">
        <f>VLOOKUP(MOD(C2024,7),'CALENDAR INFO'!$I$2:$J$8,2)</f>
        <v>SAT</v>
      </c>
      <c r="G2024" s="214">
        <v>4.33</v>
      </c>
      <c r="H2024" s="425">
        <v>4.28</v>
      </c>
      <c r="I2024" s="457">
        <f t="shared" si="184"/>
        <v>-4.9999999999999822E-2</v>
      </c>
      <c r="J2024" s="15" t="s">
        <v>194</v>
      </c>
      <c r="K2024" s="15">
        <f t="shared" ref="K2024:L2026" ca="1" si="189">COUNTA(INDIRECT(K2020))</f>
        <v>0</v>
      </c>
      <c r="L2024" s="179">
        <f t="shared" ca="1" si="189"/>
        <v>0</v>
      </c>
      <c r="M2024" s="113">
        <f t="shared" si="188"/>
        <v>0</v>
      </c>
      <c r="N2024" s="64">
        <f t="shared" si="187"/>
        <v>1</v>
      </c>
    </row>
    <row r="2025" spans="1:14">
      <c r="A2025" s="304"/>
      <c r="B2025" s="305"/>
      <c r="C2025" s="103">
        <f t="shared" si="185"/>
        <v>45823</v>
      </c>
      <c r="E2025" s="167"/>
      <c r="F2025" s="58" t="str">
        <f>VLOOKUP(MOD(C2025,7),'CALENDAR INFO'!$I$2:$J$8,2)</f>
        <v>SUN</v>
      </c>
      <c r="G2025" s="214">
        <v>4.33</v>
      </c>
      <c r="H2025" s="425">
        <v>4.28</v>
      </c>
      <c r="I2025" s="457">
        <f t="shared" si="184"/>
        <v>-4.9999999999999822E-2</v>
      </c>
      <c r="J2025" s="15" t="s">
        <v>195</v>
      </c>
      <c r="K2025" s="15">
        <f t="shared" ca="1" si="189"/>
        <v>19</v>
      </c>
      <c r="L2025" s="179">
        <f t="shared" ca="1" si="189"/>
        <v>19</v>
      </c>
      <c r="M2025" s="113">
        <f t="shared" si="188"/>
        <v>0</v>
      </c>
      <c r="N2025" s="64">
        <f t="shared" si="187"/>
        <v>1</v>
      </c>
    </row>
    <row r="2026" spans="1:14">
      <c r="A2026" s="304"/>
      <c r="B2026" s="305"/>
      <c r="C2026" s="103">
        <f t="shared" si="185"/>
        <v>45824</v>
      </c>
      <c r="E2026" s="167"/>
      <c r="F2026" s="58" t="str">
        <f>VLOOKUP(MOD(C2026,7),'CALENDAR INFO'!$I$2:$J$8,2)</f>
        <v>MON</v>
      </c>
      <c r="G2026" s="214">
        <v>4.33</v>
      </c>
      <c r="H2026" s="425">
        <v>4.32</v>
      </c>
      <c r="I2026" s="457">
        <f t="shared" si="184"/>
        <v>-9.9999999999997868E-3</v>
      </c>
      <c r="J2026" s="15" t="s">
        <v>196</v>
      </c>
      <c r="K2026" s="15">
        <f t="shared" ca="1" si="189"/>
        <v>11</v>
      </c>
      <c r="L2026" s="179">
        <f t="shared" ca="1" si="189"/>
        <v>11</v>
      </c>
      <c r="M2026" s="113">
        <f t="shared" si="188"/>
        <v>1</v>
      </c>
      <c r="N2026" s="64">
        <f t="shared" si="187"/>
        <v>1.0001199999999999</v>
      </c>
    </row>
    <row r="2027" spans="1:14">
      <c r="A2027" s="304"/>
      <c r="B2027" s="305"/>
      <c r="C2027" s="103">
        <f t="shared" si="185"/>
        <v>45825</v>
      </c>
      <c r="D2027" s="153" t="s">
        <v>20</v>
      </c>
      <c r="E2027" s="167"/>
      <c r="F2027" s="58" t="str">
        <f>VLOOKUP(MOD(C2027,7),'CALENDAR INFO'!$I$2:$J$8,2)</f>
        <v>TUE</v>
      </c>
      <c r="G2027" s="214">
        <v>4.33</v>
      </c>
      <c r="H2027" s="425">
        <v>4.3099999999999996</v>
      </c>
      <c r="I2027" s="457">
        <f t="shared" si="184"/>
        <v>-2.0000000000000462E-2</v>
      </c>
      <c r="M2027" s="113">
        <f t="shared" si="188"/>
        <v>1</v>
      </c>
      <c r="N2027" s="64">
        <f t="shared" si="187"/>
        <v>1.0001197222222222</v>
      </c>
    </row>
    <row r="2028" spans="1:14">
      <c r="A2028" s="304"/>
      <c r="B2028" s="305"/>
      <c r="C2028" s="103">
        <f t="shared" si="185"/>
        <v>45826</v>
      </c>
      <c r="D2028" s="153" t="s">
        <v>20</v>
      </c>
      <c r="E2028" s="167"/>
      <c r="F2028" s="58" t="str">
        <f>VLOOKUP(MOD(C2028,7),'CALENDAR INFO'!$I$2:$J$8,2)</f>
        <v>WED</v>
      </c>
      <c r="G2028" s="214">
        <v>4.33</v>
      </c>
      <c r="H2028" s="425">
        <v>4.28</v>
      </c>
      <c r="I2028" s="457">
        <f t="shared" si="184"/>
        <v>-4.9999999999999822E-2</v>
      </c>
      <c r="J2028" s="15" t="s">
        <v>197</v>
      </c>
      <c r="K2028" s="180" t="e">
        <f>OUTPUT!#REF!</f>
        <v>#REF!</v>
      </c>
      <c r="L2028" s="193" t="e">
        <f>OUTPUT!#REF!</f>
        <v>#REF!</v>
      </c>
      <c r="M2028" s="117">
        <v>2</v>
      </c>
      <c r="N2028" s="64">
        <f t="shared" si="187"/>
        <v>1.0002377777777778</v>
      </c>
    </row>
    <row r="2029" spans="1:14">
      <c r="A2029" s="361"/>
      <c r="B2029" s="362"/>
      <c r="C2029" s="103">
        <f t="shared" si="185"/>
        <v>45827</v>
      </c>
      <c r="D2029" s="173" t="s">
        <v>198</v>
      </c>
      <c r="E2029" s="167"/>
      <c r="F2029" s="58" t="str">
        <f>VLOOKUP(MOD(C2029,7),'CALENDAR INFO'!$I$2:$J$8,2)</f>
        <v>THU</v>
      </c>
      <c r="G2029" s="214">
        <v>4.33</v>
      </c>
      <c r="H2029" s="425">
        <v>4.28</v>
      </c>
      <c r="I2029" s="457">
        <f t="shared" si="184"/>
        <v>-4.9999999999999822E-2</v>
      </c>
      <c r="J2029" s="15" t="s">
        <v>118</v>
      </c>
      <c r="K2029" s="15">
        <f>K2012</f>
        <v>30</v>
      </c>
      <c r="L2029" s="179">
        <f>L2012</f>
        <v>30</v>
      </c>
      <c r="M2029" s="117">
        <v>0</v>
      </c>
      <c r="N2029" s="64">
        <f t="shared" si="187"/>
        <v>1</v>
      </c>
    </row>
    <row r="2030" spans="1:14">
      <c r="B2030" s="41"/>
      <c r="C2030" s="103">
        <f t="shared" si="185"/>
        <v>45828</v>
      </c>
      <c r="E2030" s="167"/>
      <c r="F2030" s="58" t="str">
        <f>VLOOKUP(MOD(C2030,7),'CALENDAR INFO'!$I$2:$J$8,2)</f>
        <v>FRI</v>
      </c>
      <c r="G2030" s="214">
        <v>4.33</v>
      </c>
      <c r="H2030" s="425">
        <v>4.29</v>
      </c>
      <c r="I2030" s="457">
        <f t="shared" si="184"/>
        <v>-4.0000000000000036E-2</v>
      </c>
      <c r="J2030" s="15" t="s">
        <v>184</v>
      </c>
      <c r="K2030" s="15" t="e">
        <f>K2028*K2029</f>
        <v>#REF!</v>
      </c>
      <c r="L2030" s="179" t="e">
        <f>L2028*L2029</f>
        <v>#REF!</v>
      </c>
      <c r="M2030" s="113">
        <f t="shared" ref="M2030:M2042" si="190">IF(MOD(C2030,7)&lt;2,0,IF(MOD(C2030,7)=6,3,1))</f>
        <v>3</v>
      </c>
      <c r="N2030" s="64">
        <f t="shared" si="187"/>
        <v>1.0003575</v>
      </c>
    </row>
    <row r="2031" spans="1:14">
      <c r="B2031" s="41"/>
      <c r="C2031" s="103">
        <f t="shared" si="185"/>
        <v>45829</v>
      </c>
      <c r="E2031" s="167"/>
      <c r="F2031" s="58" t="str">
        <f>VLOOKUP(MOD(C2031,7),'CALENDAR INFO'!$I$2:$J$8,2)</f>
        <v>SAT</v>
      </c>
      <c r="G2031" s="214">
        <v>4.33</v>
      </c>
      <c r="H2031" s="425">
        <v>4.29</v>
      </c>
      <c r="I2031" s="457">
        <f t="shared" si="184"/>
        <v>-4.0000000000000036E-2</v>
      </c>
      <c r="M2031" s="113">
        <f t="shared" si="190"/>
        <v>0</v>
      </c>
      <c r="N2031" s="64">
        <f t="shared" si="187"/>
        <v>1</v>
      </c>
    </row>
    <row r="2032" spans="1:14">
      <c r="B2032" s="41"/>
      <c r="C2032" s="103">
        <f t="shared" si="185"/>
        <v>45830</v>
      </c>
      <c r="E2032" s="167"/>
      <c r="F2032" s="58" t="str">
        <f>VLOOKUP(MOD(C2032,7),'CALENDAR INFO'!$I$2:$J$8,2)</f>
        <v>SUN</v>
      </c>
      <c r="G2032" s="214">
        <v>4.33</v>
      </c>
      <c r="H2032" s="425">
        <v>4.29</v>
      </c>
      <c r="I2032" s="457">
        <f t="shared" si="184"/>
        <v>-4.0000000000000036E-2</v>
      </c>
      <c r="J2032" s="15" t="s">
        <v>187</v>
      </c>
      <c r="K2032" s="207" t="e">
        <f>K2030</f>
        <v>#REF!</v>
      </c>
      <c r="L2032" s="208" t="e">
        <f>L2030</f>
        <v>#REF!</v>
      </c>
      <c r="M2032" s="113">
        <f t="shared" si="190"/>
        <v>0</v>
      </c>
      <c r="N2032" s="64">
        <f t="shared" si="187"/>
        <v>1</v>
      </c>
    </row>
    <row r="2033" spans="1:14">
      <c r="B2033" s="41"/>
      <c r="C2033" s="103">
        <f t="shared" si="185"/>
        <v>45831</v>
      </c>
      <c r="E2033" s="167"/>
      <c r="F2033" s="58" t="str">
        <f>VLOOKUP(MOD(C2033,7),'CALENDAR INFO'!$I$2:$J$8,2)</f>
        <v>MON</v>
      </c>
      <c r="G2033" s="214">
        <v>4.33</v>
      </c>
      <c r="H2033" s="425">
        <v>4.29</v>
      </c>
      <c r="I2033" s="457">
        <f t="shared" si="184"/>
        <v>-4.0000000000000036E-2</v>
      </c>
      <c r="J2033" s="15" t="s">
        <v>155</v>
      </c>
      <c r="K2033" s="178">
        <f ca="1">SUM(INDIRECT(K2020))</f>
        <v>0</v>
      </c>
      <c r="L2033" s="192">
        <f ca="1">SUM(INDIRECT(L2020))</f>
        <v>0</v>
      </c>
      <c r="M2033" s="113">
        <f t="shared" si="190"/>
        <v>1</v>
      </c>
      <c r="N2033" s="64">
        <f t="shared" si="187"/>
        <v>1.0001191666666667</v>
      </c>
    </row>
    <row r="2034" spans="1:14">
      <c r="B2034" s="41"/>
      <c r="C2034" s="103">
        <f t="shared" si="185"/>
        <v>45832</v>
      </c>
      <c r="E2034" s="167"/>
      <c r="F2034" s="58" t="str">
        <f>VLOOKUP(MOD(C2034,7),'CALENDAR INFO'!$I$2:$J$8,2)</f>
        <v>TUE</v>
      </c>
      <c r="G2034" s="214">
        <v>4.33</v>
      </c>
      <c r="H2034" s="425">
        <v>4.3</v>
      </c>
      <c r="I2034" s="457">
        <f t="shared" si="184"/>
        <v>-3.0000000000000249E-2</v>
      </c>
      <c r="J2034" s="15" t="s">
        <v>185</v>
      </c>
      <c r="K2034" s="178">
        <f ca="1">SUM(INDIRECT(K2021))</f>
        <v>0</v>
      </c>
      <c r="L2034" s="192">
        <f ca="1">SUM(INDIRECT(L2021))</f>
        <v>82.269999999999982</v>
      </c>
      <c r="M2034" s="113">
        <f t="shared" si="190"/>
        <v>1</v>
      </c>
      <c r="N2034" s="64">
        <f t="shared" si="187"/>
        <v>1.0001194444444443</v>
      </c>
    </row>
    <row r="2035" spans="1:14">
      <c r="B2035" s="41"/>
      <c r="C2035" s="103">
        <f t="shared" si="185"/>
        <v>45833</v>
      </c>
      <c r="E2035" s="167" t="s">
        <v>19</v>
      </c>
      <c r="F2035" s="58" t="str">
        <f>VLOOKUP(MOD(C2035,7),'CALENDAR INFO'!$I$2:$J$8,2)</f>
        <v>WED</v>
      </c>
      <c r="G2035" s="214">
        <v>4.33</v>
      </c>
      <c r="H2035" s="425">
        <v>4.3600000000000003</v>
      </c>
      <c r="I2035" s="457">
        <f t="shared" si="184"/>
        <v>3.0000000000000249E-2</v>
      </c>
      <c r="J2035" s="15" t="s">
        <v>186</v>
      </c>
      <c r="K2035" s="178" t="e">
        <f ca="1">K2032-K2033-K2034</f>
        <v>#REF!</v>
      </c>
      <c r="L2035" s="192" t="e">
        <f ca="1">L2032-L2033-L2034</f>
        <v>#REF!</v>
      </c>
      <c r="M2035" s="113">
        <f t="shared" si="190"/>
        <v>1</v>
      </c>
      <c r="N2035" s="64">
        <f t="shared" si="187"/>
        <v>1.000121111111111</v>
      </c>
    </row>
    <row r="2036" spans="1:14">
      <c r="B2036" s="41"/>
      <c r="C2036" s="103">
        <f t="shared" si="185"/>
        <v>45834</v>
      </c>
      <c r="E2036" s="170" t="s">
        <v>18</v>
      </c>
      <c r="F2036" s="58" t="str">
        <f>VLOOKUP(MOD(C2036,7),'CALENDAR INFO'!$I$2:$J$8,2)</f>
        <v>THU</v>
      </c>
      <c r="G2036" s="214">
        <v>4.33</v>
      </c>
      <c r="H2036" s="425">
        <v>4.4000000000000004</v>
      </c>
      <c r="I2036" s="457">
        <f t="shared" si="184"/>
        <v>7.0000000000000284E-2</v>
      </c>
      <c r="M2036" s="113">
        <f t="shared" si="190"/>
        <v>1</v>
      </c>
      <c r="N2036" s="64">
        <f t="shared" si="187"/>
        <v>1.0001222222222221</v>
      </c>
    </row>
    <row r="2037" spans="1:14">
      <c r="B2037" s="41"/>
      <c r="C2037" s="103">
        <f t="shared" si="185"/>
        <v>45835</v>
      </c>
      <c r="E2037" s="170"/>
      <c r="F2037" s="58" t="str">
        <f>VLOOKUP(MOD(C2037,7),'CALENDAR INFO'!$I$2:$J$8,2)</f>
        <v>FRI</v>
      </c>
      <c r="G2037" s="214">
        <v>4.33</v>
      </c>
      <c r="H2037" s="425">
        <v>4.3899999999999997</v>
      </c>
      <c r="I2037" s="457">
        <f t="shared" si="184"/>
        <v>5.9999999999999609E-2</v>
      </c>
      <c r="J2037" s="15" t="s">
        <v>188</v>
      </c>
      <c r="K2037" s="15">
        <f ca="1">K2012-K2024-K2025</f>
        <v>11</v>
      </c>
      <c r="L2037" s="179">
        <f ca="1">L2012-L2024-L2025</f>
        <v>11</v>
      </c>
      <c r="M2037" s="113">
        <f t="shared" si="190"/>
        <v>3</v>
      </c>
      <c r="N2037" s="64">
        <f t="shared" si="187"/>
        <v>1.0003658333333334</v>
      </c>
    </row>
    <row r="2038" spans="1:14">
      <c r="B2038" s="41"/>
      <c r="C2038" s="103">
        <f t="shared" si="185"/>
        <v>45836</v>
      </c>
      <c r="E2038" s="170"/>
      <c r="F2038" s="58" t="str">
        <f>VLOOKUP(MOD(C2038,7),'CALENDAR INFO'!$I$2:$J$8,2)</f>
        <v>SAT</v>
      </c>
      <c r="G2038" s="214">
        <v>4.33</v>
      </c>
      <c r="H2038" s="425">
        <v>4.3899999999999997</v>
      </c>
      <c r="I2038" s="457">
        <f t="shared" si="184"/>
        <v>5.9999999999999609E-2</v>
      </c>
      <c r="J2038" s="15" t="s">
        <v>189</v>
      </c>
      <c r="K2038" s="178" t="e">
        <f ca="1">K2035/K2037</f>
        <v>#REF!</v>
      </c>
      <c r="L2038" s="192" t="e">
        <f ca="1">L2035/L2037</f>
        <v>#REF!</v>
      </c>
      <c r="M2038" s="113">
        <f t="shared" si="190"/>
        <v>0</v>
      </c>
      <c r="N2038" s="64">
        <f t="shared" si="187"/>
        <v>1</v>
      </c>
    </row>
    <row r="2039" spans="1:14">
      <c r="B2039" s="41"/>
      <c r="C2039" s="103">
        <f t="shared" si="185"/>
        <v>45837</v>
      </c>
      <c r="E2039" s="170"/>
      <c r="F2039" s="58" t="str">
        <f>VLOOKUP(MOD(C2039,7),'CALENDAR INFO'!$I$2:$J$8,2)</f>
        <v>SUN</v>
      </c>
      <c r="G2039" s="214">
        <v>4.33</v>
      </c>
      <c r="H2039" s="425">
        <v>4.3899999999999997</v>
      </c>
      <c r="I2039" s="457">
        <f t="shared" si="184"/>
        <v>5.9999999999999609E-2</v>
      </c>
      <c r="M2039" s="113">
        <f t="shared" si="190"/>
        <v>0</v>
      </c>
      <c r="N2039" s="64">
        <f t="shared" si="187"/>
        <v>1</v>
      </c>
    </row>
    <row r="2040" spans="1:14" ht="15.75" thickBot="1">
      <c r="A2040" s="98"/>
      <c r="B2040" s="230"/>
      <c r="C2040" s="104">
        <f t="shared" si="185"/>
        <v>45838</v>
      </c>
      <c r="D2040" s="112"/>
      <c r="E2040" s="101"/>
      <c r="F2040" s="71" t="str">
        <f>VLOOKUP(MOD(C2040,7),'CALENDAR INFO'!$I$2:$J$8,2)</f>
        <v>MON</v>
      </c>
      <c r="G2040" s="215">
        <v>4.33</v>
      </c>
      <c r="H2040" s="426">
        <v>4.45</v>
      </c>
      <c r="I2040" s="458">
        <f t="shared" si="184"/>
        <v>0.12000000000000011</v>
      </c>
      <c r="J2040" s="424" t="s">
        <v>202</v>
      </c>
      <c r="K2040" s="340">
        <f ca="1">100-K2033/K2029</f>
        <v>100</v>
      </c>
      <c r="L2040" s="341">
        <f ca="1">100-L2033/L2029</f>
        <v>100</v>
      </c>
      <c r="M2040" s="114">
        <f t="shared" si="190"/>
        <v>1</v>
      </c>
      <c r="N2040" s="292">
        <f t="shared" si="187"/>
        <v>1.0001236111111111</v>
      </c>
    </row>
    <row r="2041" spans="1:14">
      <c r="A2041" s="304"/>
      <c r="B2041" s="305"/>
      <c r="C2041" s="103">
        <f t="shared" si="185"/>
        <v>45839</v>
      </c>
      <c r="E2041" s="170"/>
      <c r="F2041" s="58" t="str">
        <f>VLOOKUP(MOD(C2041,7),'CALENDAR INFO'!$I$2:$J$8,2)</f>
        <v>TUE</v>
      </c>
      <c r="G2041" s="214">
        <v>4.33</v>
      </c>
      <c r="H2041" s="425">
        <v>4.4400000000000004</v>
      </c>
      <c r="I2041" s="457">
        <f t="shared" si="184"/>
        <v>0.11000000000000032</v>
      </c>
      <c r="J2041" s="15" t="s">
        <v>151</v>
      </c>
      <c r="K2041" s="360">
        <f>ROW(K2041)</f>
        <v>2041</v>
      </c>
      <c r="L2041" s="233">
        <f>K2041</f>
        <v>2041</v>
      </c>
      <c r="M2041" s="113">
        <f t="shared" si="190"/>
        <v>1</v>
      </c>
      <c r="N2041" s="64">
        <f t="shared" si="187"/>
        <v>1.0001233333333333</v>
      </c>
    </row>
    <row r="2042" spans="1:14">
      <c r="A2042" s="304"/>
      <c r="B2042" s="305"/>
      <c r="C2042" s="103">
        <f t="shared" si="185"/>
        <v>45840</v>
      </c>
      <c r="E2042" s="170"/>
      <c r="F2042" s="58" t="str">
        <f>VLOOKUP(MOD(C2042,7),'CALENDAR INFO'!$I$2:$J$8,2)</f>
        <v>WED</v>
      </c>
      <c r="G2042" s="214">
        <v>4.33</v>
      </c>
      <c r="H2042" s="425">
        <v>4.4000000000000004</v>
      </c>
      <c r="I2042" s="457">
        <f t="shared" si="184"/>
        <v>7.0000000000000284E-2</v>
      </c>
      <c r="J2042" s="15" t="s">
        <v>118</v>
      </c>
      <c r="K2042" s="15">
        <f>VLOOKUP(MONTH($C2041),'CALENDAR INFO'!$I$12:$J$23,2)</f>
        <v>31</v>
      </c>
      <c r="L2042" s="179">
        <f>K2042</f>
        <v>31</v>
      </c>
      <c r="M2042" s="113">
        <f t="shared" si="190"/>
        <v>1</v>
      </c>
      <c r="N2042" s="64">
        <f t="shared" si="187"/>
        <v>1.0001222222222221</v>
      </c>
    </row>
    <row r="2043" spans="1:14">
      <c r="A2043" s="304"/>
      <c r="B2043" s="305"/>
      <c r="C2043" s="103">
        <f t="shared" si="185"/>
        <v>45841</v>
      </c>
      <c r="E2043" s="170"/>
      <c r="F2043" s="58" t="str">
        <f>VLOOKUP(MOD(C2043,7),'CALENDAR INFO'!$I$2:$J$8,2)</f>
        <v>THU</v>
      </c>
      <c r="G2043" s="214">
        <v>4.33</v>
      </c>
      <c r="H2043" s="425">
        <v>4.3499999999999996</v>
      </c>
      <c r="I2043" s="457">
        <f t="shared" si="184"/>
        <v>1.9999999999999574E-2</v>
      </c>
      <c r="J2043" s="15" t="s">
        <v>152</v>
      </c>
      <c r="K2043" s="15">
        <f>K2042+K2041-1</f>
        <v>2071</v>
      </c>
      <c r="L2043" s="179">
        <f>K2043</f>
        <v>2071</v>
      </c>
      <c r="M2043" s="117">
        <v>4</v>
      </c>
      <c r="N2043" s="64">
        <f t="shared" si="187"/>
        <v>1.0004833333333334</v>
      </c>
    </row>
    <row r="2044" spans="1:14">
      <c r="A2044" s="304"/>
      <c r="B2044" s="305"/>
      <c r="C2044" s="103">
        <f t="shared" si="185"/>
        <v>45842</v>
      </c>
      <c r="D2044" s="173" t="s">
        <v>49</v>
      </c>
      <c r="E2044" s="170"/>
      <c r="F2044" s="58" t="str">
        <f>VLOOKUP(MOD(C2044,7),'CALENDAR INFO'!$I$2:$J$8,2)</f>
        <v>FRI</v>
      </c>
      <c r="G2044" s="214">
        <v>4.33</v>
      </c>
      <c r="H2044" s="425">
        <v>4.3499999999999996</v>
      </c>
      <c r="I2044" s="457">
        <f t="shared" si="184"/>
        <v>1.9999999999999574E-2</v>
      </c>
      <c r="M2044" s="117">
        <v>0</v>
      </c>
      <c r="N2044" s="64">
        <f t="shared" si="187"/>
        <v>1</v>
      </c>
    </row>
    <row r="2045" spans="1:14">
      <c r="A2045" s="304"/>
      <c r="B2045" s="305"/>
      <c r="C2045" s="103">
        <f t="shared" si="185"/>
        <v>45843</v>
      </c>
      <c r="E2045" s="170"/>
      <c r="F2045" s="58" t="str">
        <f>VLOOKUP(MOD(C2045,7),'CALENDAR INFO'!$I$2:$J$8,2)</f>
        <v>SAT</v>
      </c>
      <c r="G2045" s="214">
        <v>4.33</v>
      </c>
      <c r="H2045" s="425">
        <v>4.3499999999999996</v>
      </c>
      <c r="I2045" s="457">
        <f t="shared" si="184"/>
        <v>1.9999999999999574E-2</v>
      </c>
      <c r="J2045" s="15" t="s">
        <v>192</v>
      </c>
      <c r="K2045" s="176">
        <v>2070</v>
      </c>
      <c r="L2045" s="179">
        <f>K2045</f>
        <v>2070</v>
      </c>
      <c r="M2045" s="117">
        <v>0</v>
      </c>
      <c r="N2045" s="64">
        <f t="shared" si="187"/>
        <v>1</v>
      </c>
    </row>
    <row r="2046" spans="1:14">
      <c r="A2046" s="304"/>
      <c r="B2046" s="305"/>
      <c r="C2046" s="103">
        <f t="shared" si="185"/>
        <v>45844</v>
      </c>
      <c r="E2046" s="170"/>
      <c r="F2046" s="58" t="str">
        <f>VLOOKUP(MOD(C2046,7),'CALENDAR INFO'!$I$2:$J$8,2)</f>
        <v>SUN</v>
      </c>
      <c r="G2046" s="214">
        <v>4.33</v>
      </c>
      <c r="H2046" s="425">
        <v>4.3499999999999996</v>
      </c>
      <c r="I2046" s="457">
        <f t="shared" si="184"/>
        <v>1.9999999999999574E-2</v>
      </c>
      <c r="J2046" s="15" t="s">
        <v>193</v>
      </c>
      <c r="K2046" s="15">
        <f>K2045+1</f>
        <v>2071</v>
      </c>
      <c r="L2046" s="179">
        <f>K2046</f>
        <v>2071</v>
      </c>
      <c r="M2046" s="117">
        <v>0</v>
      </c>
      <c r="N2046" s="64">
        <f t="shared" si="187"/>
        <v>1</v>
      </c>
    </row>
    <row r="2047" spans="1:14">
      <c r="A2047" s="304"/>
      <c r="B2047" s="305"/>
      <c r="C2047" s="103">
        <f t="shared" si="185"/>
        <v>45845</v>
      </c>
      <c r="E2047" s="170"/>
      <c r="F2047" s="58" t="str">
        <f>VLOOKUP(MOD(C2047,7),'CALENDAR INFO'!$I$2:$J$8,2)</f>
        <v>MON</v>
      </c>
      <c r="G2047" s="214">
        <v>4.33</v>
      </c>
      <c r="H2047" s="425">
        <v>4.33</v>
      </c>
      <c r="I2047" s="457">
        <f t="shared" si="184"/>
        <v>0</v>
      </c>
      <c r="M2047" s="113">
        <f t="shared" ref="M2047:M2078" si="191">IF(MOD(C2047,7)&lt;2,0,IF(MOD(C2047,7)=6,3,1))</f>
        <v>1</v>
      </c>
      <c r="N2047" s="64">
        <f t="shared" si="187"/>
        <v>1.0001202777777778</v>
      </c>
    </row>
    <row r="2048" spans="1:14">
      <c r="A2048" s="304"/>
      <c r="B2048" s="305"/>
      <c r="C2048" s="103">
        <f t="shared" si="185"/>
        <v>45846</v>
      </c>
      <c r="E2048" s="170"/>
      <c r="F2048" s="58" t="str">
        <f>VLOOKUP(MOD(C2048,7),'CALENDAR INFO'!$I$2:$J$8,2)</f>
        <v>TUE</v>
      </c>
      <c r="G2048" s="214">
        <v>4.33</v>
      </c>
      <c r="H2048" s="425">
        <v>4.34</v>
      </c>
      <c r="I2048" s="457">
        <f t="shared" si="184"/>
        <v>9.9999999999997868E-3</v>
      </c>
      <c r="J2048" s="15" t="s">
        <v>213</v>
      </c>
      <c r="K2048" s="15" t="s">
        <v>225</v>
      </c>
      <c r="L2048" s="179" t="s">
        <v>226</v>
      </c>
      <c r="M2048" s="113">
        <f t="shared" si="191"/>
        <v>1</v>
      </c>
      <c r="N2048" s="64">
        <f t="shared" si="187"/>
        <v>1.0001205555555555</v>
      </c>
    </row>
    <row r="2049" spans="1:14">
      <c r="A2049" s="304"/>
      <c r="B2049" s="305"/>
      <c r="C2049" s="103">
        <f t="shared" si="185"/>
        <v>45847</v>
      </c>
      <c r="E2049" s="170" t="s">
        <v>19</v>
      </c>
      <c r="F2049" s="58" t="str">
        <f>VLOOKUP(MOD(C2049,7),'CALENDAR INFO'!$I$2:$J$8,2)</f>
        <v>WED</v>
      </c>
      <c r="G2049" s="214">
        <v>4.33</v>
      </c>
      <c r="H2049" s="425">
        <v>4.32</v>
      </c>
      <c r="I2049" s="457">
        <f t="shared" si="184"/>
        <v>-9.9999999999997868E-3</v>
      </c>
      <c r="J2049" s="15" t="s">
        <v>214</v>
      </c>
      <c r="K2049" s="15" t="str">
        <f>_xlfn.CONCAT("K$",TEXT(K2041+27,0))</f>
        <v>K$2068</v>
      </c>
      <c r="L2049" s="179" t="str">
        <f>_xlfn.CONCAT("L$",TEXT(L2041+27,0))</f>
        <v>L$2068</v>
      </c>
      <c r="M2049" s="113">
        <f t="shared" si="191"/>
        <v>1</v>
      </c>
      <c r="N2049" s="64">
        <f t="shared" si="187"/>
        <v>1.0001199999999999</v>
      </c>
    </row>
    <row r="2050" spans="1:14">
      <c r="A2050" s="304"/>
      <c r="B2050" s="305"/>
      <c r="C2050" s="103">
        <f t="shared" si="185"/>
        <v>45848</v>
      </c>
      <c r="E2050" s="167" t="s">
        <v>18</v>
      </c>
      <c r="F2050" s="58" t="str">
        <f>VLOOKUP(MOD(C2050,7),'CALENDAR INFO'!$I$2:$J$8,2)</f>
        <v>THU</v>
      </c>
      <c r="G2050" s="214">
        <v>4.33</v>
      </c>
      <c r="H2050" s="425">
        <v>4.3099999999999996</v>
      </c>
      <c r="I2050" s="457">
        <f t="shared" si="184"/>
        <v>-2.0000000000000462E-2</v>
      </c>
      <c r="J2050" s="15" t="s">
        <v>153</v>
      </c>
      <c r="K2050" s="15" t="str">
        <f>_xlfn.CONCAT("A",TEXT(K2041,0),":","A",TEXT(K2043,0))</f>
        <v>A2041:A2071</v>
      </c>
      <c r="L2050" s="179" t="str">
        <f>_xlfn.CONCAT("B",TEXT(L2041,0),":","B",TEXT(L2043,0))</f>
        <v>B2041:B2071</v>
      </c>
      <c r="M2050" s="113">
        <f t="shared" si="191"/>
        <v>1</v>
      </c>
      <c r="N2050" s="64">
        <f t="shared" si="187"/>
        <v>1.0001197222222222</v>
      </c>
    </row>
    <row r="2051" spans="1:14">
      <c r="A2051" s="304"/>
      <c r="B2051" s="305"/>
      <c r="C2051" s="103">
        <f t="shared" si="185"/>
        <v>45849</v>
      </c>
      <c r="E2051" s="167"/>
      <c r="F2051" s="58" t="str">
        <f>VLOOKUP(MOD(C2051,7),'CALENDAR INFO'!$I$2:$J$8,2)</f>
        <v>FRI</v>
      </c>
      <c r="G2051" s="214">
        <v>4.33</v>
      </c>
      <c r="H2051" s="425">
        <v>4.3099999999999996</v>
      </c>
      <c r="I2051" s="457">
        <f t="shared" ref="I2051:I2114" si="192">H2051-G2051</f>
        <v>-2.0000000000000462E-2</v>
      </c>
      <c r="J2051" s="15" t="s">
        <v>190</v>
      </c>
      <c r="K2051" s="15" t="str">
        <f>_xlfn.CONCAT("G",TEXT(K2041,0),":","G",TEXT(K2045,0))</f>
        <v>G2041:G2070</v>
      </c>
      <c r="L2051" s="179" t="str">
        <f>_xlfn.CONCAT("G",TEXT(L2041,0),":","G",TEXT(L2045,0))</f>
        <v>G2041:G2070</v>
      </c>
      <c r="M2051" s="113">
        <f t="shared" si="191"/>
        <v>3</v>
      </c>
      <c r="N2051" s="64">
        <f t="shared" si="187"/>
        <v>1.0003591666666667</v>
      </c>
    </row>
    <row r="2052" spans="1:14">
      <c r="A2052" s="304"/>
      <c r="B2052" s="305"/>
      <c r="C2052" s="103">
        <f t="shared" ref="C2052:C2115" si="193">C2051+1</f>
        <v>45850</v>
      </c>
      <c r="E2052" s="167"/>
      <c r="F2052" s="58" t="str">
        <f>VLOOKUP(MOD(C2052,7),'CALENDAR INFO'!$I$2:$J$8,2)</f>
        <v>SAT</v>
      </c>
      <c r="G2052" s="214">
        <v>4.33</v>
      </c>
      <c r="H2052" s="425">
        <v>4.3099999999999996</v>
      </c>
      <c r="I2052" s="457">
        <f t="shared" si="192"/>
        <v>-2.0000000000000462E-2</v>
      </c>
      <c r="J2052" s="15" t="s">
        <v>191</v>
      </c>
      <c r="K2052" s="15" t="str">
        <f>_xlfn.CONCAT("G",TEXT(K2046,0),":","G",TEXT(K2043,0))</f>
        <v>G2071:G2071</v>
      </c>
      <c r="L2052" s="179" t="str">
        <f>_xlfn.CONCAT("G",TEXT(L2046,0),":","G",TEXT(L2043,0))</f>
        <v>G2071:G2071</v>
      </c>
      <c r="M2052" s="113">
        <f t="shared" si="191"/>
        <v>0</v>
      </c>
      <c r="N2052" s="64">
        <f t="shared" si="187"/>
        <v>1</v>
      </c>
    </row>
    <row r="2053" spans="1:14">
      <c r="A2053" s="304"/>
      <c r="B2053" s="305"/>
      <c r="C2053" s="103">
        <f t="shared" si="193"/>
        <v>45851</v>
      </c>
      <c r="E2053" s="167"/>
      <c r="F2053" s="58" t="str">
        <f>VLOOKUP(MOD(C2053,7),'CALENDAR INFO'!$I$2:$J$8,2)</f>
        <v>SUN</v>
      </c>
      <c r="G2053" s="214">
        <v>4.33</v>
      </c>
      <c r="H2053" s="425">
        <v>4.3099999999999996</v>
      </c>
      <c r="I2053" s="457">
        <f t="shared" si="192"/>
        <v>-2.0000000000000462E-2</v>
      </c>
      <c r="M2053" s="113">
        <f t="shared" si="191"/>
        <v>0</v>
      </c>
      <c r="N2053" s="64">
        <f t="shared" si="187"/>
        <v>1</v>
      </c>
    </row>
    <row r="2054" spans="1:14">
      <c r="A2054" s="304"/>
      <c r="B2054" s="305"/>
      <c r="C2054" s="103">
        <f t="shared" si="193"/>
        <v>45852</v>
      </c>
      <c r="E2054" s="167"/>
      <c r="F2054" s="58" t="str">
        <f>VLOOKUP(MOD(C2054,7),'CALENDAR INFO'!$I$2:$J$8,2)</f>
        <v>MON</v>
      </c>
      <c r="G2054" s="214">
        <v>4.33</v>
      </c>
      <c r="H2054" s="425">
        <v>4.33</v>
      </c>
      <c r="I2054" s="457">
        <f t="shared" si="192"/>
        <v>0</v>
      </c>
      <c r="J2054" s="15" t="s">
        <v>194</v>
      </c>
      <c r="K2054" s="15">
        <f t="shared" ref="K2054:L2056" ca="1" si="194">COUNTA(INDIRECT(K2050))</f>
        <v>0</v>
      </c>
      <c r="L2054" s="179">
        <f t="shared" ca="1" si="194"/>
        <v>0</v>
      </c>
      <c r="M2054" s="113">
        <f t="shared" si="191"/>
        <v>1</v>
      </c>
      <c r="N2054" s="64">
        <f t="shared" si="187"/>
        <v>1.0001202777777778</v>
      </c>
    </row>
    <row r="2055" spans="1:14">
      <c r="A2055" s="304"/>
      <c r="B2055" s="305"/>
      <c r="C2055" s="103">
        <f t="shared" si="193"/>
        <v>45853</v>
      </c>
      <c r="E2055" s="167"/>
      <c r="F2055" s="58" t="str">
        <f>VLOOKUP(MOD(C2055,7),'CALENDAR INFO'!$I$2:$J$8,2)</f>
        <v>TUE</v>
      </c>
      <c r="G2055" s="214">
        <v>4.33</v>
      </c>
      <c r="H2055" s="425">
        <v>4.37</v>
      </c>
      <c r="I2055" s="457">
        <f t="shared" si="192"/>
        <v>4.0000000000000036E-2</v>
      </c>
      <c r="J2055" s="15" t="s">
        <v>195</v>
      </c>
      <c r="K2055" s="15">
        <f t="shared" ca="1" si="194"/>
        <v>30</v>
      </c>
      <c r="L2055" s="179">
        <f t="shared" ca="1" si="194"/>
        <v>30</v>
      </c>
      <c r="M2055" s="113">
        <f t="shared" si="191"/>
        <v>1</v>
      </c>
      <c r="N2055" s="64">
        <f t="shared" si="187"/>
        <v>1.0001213888888889</v>
      </c>
    </row>
    <row r="2056" spans="1:14">
      <c r="A2056" s="304"/>
      <c r="B2056" s="305"/>
      <c r="C2056" s="103">
        <f t="shared" si="193"/>
        <v>45854</v>
      </c>
      <c r="E2056" s="167"/>
      <c r="F2056" s="58" t="str">
        <f>VLOOKUP(MOD(C2056,7),'CALENDAR INFO'!$I$2:$J$8,2)</f>
        <v>WED</v>
      </c>
      <c r="G2056" s="214">
        <v>4.33</v>
      </c>
      <c r="H2056" s="425">
        <v>4.34</v>
      </c>
      <c r="I2056" s="457">
        <f t="shared" si="192"/>
        <v>9.9999999999997868E-3</v>
      </c>
      <c r="J2056" s="15" t="s">
        <v>196</v>
      </c>
      <c r="K2056" s="15">
        <f t="shared" ca="1" si="194"/>
        <v>1</v>
      </c>
      <c r="L2056" s="179">
        <f t="shared" ca="1" si="194"/>
        <v>1</v>
      </c>
      <c r="M2056" s="113">
        <f t="shared" si="191"/>
        <v>1</v>
      </c>
      <c r="N2056" s="64">
        <f t="shared" si="187"/>
        <v>1.0001205555555555</v>
      </c>
    </row>
    <row r="2057" spans="1:14">
      <c r="A2057" s="304"/>
      <c r="B2057" s="305"/>
      <c r="C2057" s="103">
        <f t="shared" si="193"/>
        <v>45855</v>
      </c>
      <c r="E2057" s="167"/>
      <c r="F2057" s="58" t="str">
        <f>VLOOKUP(MOD(C2057,7),'CALENDAR INFO'!$I$2:$J$8,2)</f>
        <v>THU</v>
      </c>
      <c r="G2057" s="214">
        <v>4.33</v>
      </c>
      <c r="H2057" s="425">
        <v>4.34</v>
      </c>
      <c r="I2057" s="457">
        <f t="shared" si="192"/>
        <v>9.9999999999997868E-3</v>
      </c>
      <c r="M2057" s="113">
        <f t="shared" si="191"/>
        <v>1</v>
      </c>
      <c r="N2057" s="64">
        <f t="shared" si="187"/>
        <v>1.0001205555555555</v>
      </c>
    </row>
    <row r="2058" spans="1:14">
      <c r="A2058" s="304"/>
      <c r="B2058" s="305"/>
      <c r="C2058" s="103">
        <f t="shared" si="193"/>
        <v>45856</v>
      </c>
      <c r="E2058" s="167"/>
      <c r="F2058" s="58" t="str">
        <f>VLOOKUP(MOD(C2058,7),'CALENDAR INFO'!$I$2:$J$8,2)</f>
        <v>FRI</v>
      </c>
      <c r="G2058" s="214">
        <v>4.33</v>
      </c>
      <c r="H2058" s="425">
        <v>4.3</v>
      </c>
      <c r="I2058" s="457">
        <f t="shared" si="192"/>
        <v>-3.0000000000000249E-2</v>
      </c>
      <c r="J2058" s="15" t="s">
        <v>197</v>
      </c>
      <c r="K2058" s="180" t="e">
        <f>OUTPUT!#REF!</f>
        <v>#REF!</v>
      </c>
      <c r="L2058" s="193" t="e">
        <f>OUTPUT!#REF!</f>
        <v>#REF!</v>
      </c>
      <c r="M2058" s="113">
        <f t="shared" si="191"/>
        <v>3</v>
      </c>
      <c r="N2058" s="64">
        <f t="shared" si="187"/>
        <v>1.0003583333333332</v>
      </c>
    </row>
    <row r="2059" spans="1:14">
      <c r="A2059" s="304"/>
      <c r="B2059" s="305"/>
      <c r="C2059" s="103">
        <f t="shared" si="193"/>
        <v>45857</v>
      </c>
      <c r="E2059" s="167"/>
      <c r="F2059" s="58" t="str">
        <f>VLOOKUP(MOD(C2059,7),'CALENDAR INFO'!$I$2:$J$8,2)</f>
        <v>SAT</v>
      </c>
      <c r="G2059" s="214">
        <v>4.33</v>
      </c>
      <c r="H2059" s="425">
        <v>4.3</v>
      </c>
      <c r="I2059" s="457">
        <f t="shared" si="192"/>
        <v>-3.0000000000000249E-2</v>
      </c>
      <c r="J2059" s="15" t="s">
        <v>118</v>
      </c>
      <c r="K2059" s="15">
        <f>K2042</f>
        <v>31</v>
      </c>
      <c r="L2059" s="179">
        <f>L2042</f>
        <v>31</v>
      </c>
      <c r="M2059" s="113">
        <f t="shared" si="191"/>
        <v>0</v>
      </c>
      <c r="N2059" s="64">
        <f t="shared" si="187"/>
        <v>1</v>
      </c>
    </row>
    <row r="2060" spans="1:14">
      <c r="A2060" s="304"/>
      <c r="B2060" s="305"/>
      <c r="C2060" s="103">
        <f t="shared" si="193"/>
        <v>45858</v>
      </c>
      <c r="E2060" s="167"/>
      <c r="F2060" s="58" t="str">
        <f>VLOOKUP(MOD(C2060,7),'CALENDAR INFO'!$I$2:$J$8,2)</f>
        <v>SUN</v>
      </c>
      <c r="G2060" s="214">
        <v>4.33</v>
      </c>
      <c r="H2060" s="425">
        <v>4.3</v>
      </c>
      <c r="I2060" s="457">
        <f t="shared" si="192"/>
        <v>-3.0000000000000249E-2</v>
      </c>
      <c r="J2060" s="15" t="s">
        <v>184</v>
      </c>
      <c r="K2060" s="178" t="e">
        <f>K2058*K2059</f>
        <v>#REF!</v>
      </c>
      <c r="L2060" s="192" t="e">
        <f>L2058*L2059</f>
        <v>#REF!</v>
      </c>
      <c r="M2060" s="113">
        <f t="shared" si="191"/>
        <v>0</v>
      </c>
      <c r="N2060" s="64">
        <f t="shared" si="187"/>
        <v>1</v>
      </c>
    </row>
    <row r="2061" spans="1:14">
      <c r="A2061" s="304"/>
      <c r="B2061" s="305"/>
      <c r="C2061" s="103">
        <f t="shared" si="193"/>
        <v>45859</v>
      </c>
      <c r="E2061" s="167"/>
      <c r="F2061" s="58" t="str">
        <f>VLOOKUP(MOD(C2061,7),'CALENDAR INFO'!$I$2:$J$8,2)</f>
        <v>MON</v>
      </c>
      <c r="G2061" s="214">
        <v>4.33</v>
      </c>
      <c r="H2061" s="425">
        <v>4.28</v>
      </c>
      <c r="I2061" s="457">
        <f t="shared" si="192"/>
        <v>-4.9999999999999822E-2</v>
      </c>
      <c r="K2061" s="178"/>
      <c r="L2061" s="192"/>
      <c r="M2061" s="113">
        <f t="shared" si="191"/>
        <v>1</v>
      </c>
      <c r="N2061" s="64">
        <f t="shared" si="187"/>
        <v>1.0001188888888888</v>
      </c>
    </row>
    <row r="2062" spans="1:14">
      <c r="A2062" s="304"/>
      <c r="B2062" s="305"/>
      <c r="C2062" s="103">
        <f t="shared" si="193"/>
        <v>45860</v>
      </c>
      <c r="E2062" s="167"/>
      <c r="F2062" s="58" t="str">
        <f>VLOOKUP(MOD(C2062,7),'CALENDAR INFO'!$I$2:$J$8,2)</f>
        <v>TUE</v>
      </c>
      <c r="G2062" s="214">
        <v>4.33</v>
      </c>
      <c r="H2062" s="425">
        <v>4.28</v>
      </c>
      <c r="I2062" s="457">
        <f t="shared" si="192"/>
        <v>-4.9999999999999822E-2</v>
      </c>
      <c r="J2062" s="15" t="s">
        <v>187</v>
      </c>
      <c r="K2062" s="207" t="e">
        <f>K2060</f>
        <v>#REF!</v>
      </c>
      <c r="L2062" s="208" t="e">
        <f>L2060</f>
        <v>#REF!</v>
      </c>
      <c r="M2062" s="113">
        <f t="shared" si="191"/>
        <v>1</v>
      </c>
      <c r="N2062" s="64">
        <f t="shared" si="187"/>
        <v>1.0001188888888888</v>
      </c>
    </row>
    <row r="2063" spans="1:14">
      <c r="A2063" s="304"/>
      <c r="B2063" s="305"/>
      <c r="C2063" s="103">
        <f t="shared" si="193"/>
        <v>45861</v>
      </c>
      <c r="E2063" s="167" t="s">
        <v>19</v>
      </c>
      <c r="F2063" s="58" t="str">
        <f>VLOOKUP(MOD(C2063,7),'CALENDAR INFO'!$I$2:$J$8,2)</f>
        <v>WED</v>
      </c>
      <c r="G2063" s="214">
        <v>4.33</v>
      </c>
      <c r="H2063" s="425">
        <v>4.28</v>
      </c>
      <c r="I2063" s="457">
        <f t="shared" si="192"/>
        <v>-4.9999999999999822E-2</v>
      </c>
      <c r="J2063" s="15" t="s">
        <v>155</v>
      </c>
      <c r="K2063" s="178">
        <f ca="1">SUM(INDIRECT(K2050))</f>
        <v>0</v>
      </c>
      <c r="L2063" s="192">
        <f ca="1">SUM(INDIRECT(L2050))</f>
        <v>0</v>
      </c>
      <c r="M2063" s="113">
        <f t="shared" si="191"/>
        <v>1</v>
      </c>
      <c r="N2063" s="64">
        <f t="shared" si="187"/>
        <v>1.0001188888888888</v>
      </c>
    </row>
    <row r="2064" spans="1:14">
      <c r="A2064" s="304"/>
      <c r="B2064" s="305"/>
      <c r="C2064" s="103">
        <f t="shared" si="193"/>
        <v>45862</v>
      </c>
      <c r="E2064" s="170" t="s">
        <v>18</v>
      </c>
      <c r="F2064" s="58" t="str">
        <f>VLOOKUP(MOD(C2064,7),'CALENDAR INFO'!$I$2:$J$8,2)</f>
        <v>THU</v>
      </c>
      <c r="G2064" s="214">
        <v>4.33</v>
      </c>
      <c r="H2064" s="425">
        <v>4.3</v>
      </c>
      <c r="I2064" s="457">
        <f t="shared" si="192"/>
        <v>-3.0000000000000249E-2</v>
      </c>
      <c r="J2064" s="15" t="s">
        <v>185</v>
      </c>
      <c r="K2064" s="178" t="e">
        <f ca="1">K2062-K2063-K2065</f>
        <v>#REF!</v>
      </c>
      <c r="L2064" s="192" t="e">
        <f ca="1">L2062-L2063-L2065</f>
        <v>#REF!</v>
      </c>
      <c r="M2064" s="113">
        <f t="shared" si="191"/>
        <v>1</v>
      </c>
      <c r="N2064" s="64">
        <f t="shared" si="187"/>
        <v>1.0001194444444443</v>
      </c>
    </row>
    <row r="2065" spans="1:16">
      <c r="A2065" s="304"/>
      <c r="B2065" s="305"/>
      <c r="C2065" s="103">
        <f t="shared" si="193"/>
        <v>45863</v>
      </c>
      <c r="E2065" s="170"/>
      <c r="F2065" s="58" t="str">
        <f>VLOOKUP(MOD(C2065,7),'CALENDAR INFO'!$I$2:$J$8,2)</f>
        <v>FRI</v>
      </c>
      <c r="G2065" s="214">
        <v>4.33</v>
      </c>
      <c r="H2065" s="425">
        <v>4.3600000000000003</v>
      </c>
      <c r="I2065" s="457">
        <f t="shared" si="192"/>
        <v>3.0000000000000249E-2</v>
      </c>
      <c r="J2065" s="15" t="s">
        <v>186</v>
      </c>
      <c r="K2065" s="178">
        <f>A2071</f>
        <v>0</v>
      </c>
      <c r="L2065" s="192">
        <f>B2071</f>
        <v>0</v>
      </c>
      <c r="M2065" s="113">
        <f t="shared" si="191"/>
        <v>3</v>
      </c>
      <c r="N2065" s="64">
        <f t="shared" si="187"/>
        <v>1.0003633333333333</v>
      </c>
    </row>
    <row r="2066" spans="1:16">
      <c r="A2066" s="304"/>
      <c r="B2066" s="305"/>
      <c r="C2066" s="103">
        <f t="shared" si="193"/>
        <v>45864</v>
      </c>
      <c r="E2066" s="170"/>
      <c r="F2066" s="58" t="str">
        <f>VLOOKUP(MOD(C2066,7),'CALENDAR INFO'!$I$2:$J$8,2)</f>
        <v>SAT</v>
      </c>
      <c r="G2066" s="214">
        <v>4.33</v>
      </c>
      <c r="H2066" s="425">
        <v>4.3600000000000003</v>
      </c>
      <c r="I2066" s="457">
        <f t="shared" si="192"/>
        <v>3.0000000000000249E-2</v>
      </c>
      <c r="M2066" s="113">
        <f t="shared" si="191"/>
        <v>0</v>
      </c>
      <c r="N2066" s="64">
        <f t="shared" si="187"/>
        <v>1</v>
      </c>
    </row>
    <row r="2067" spans="1:16">
      <c r="A2067" s="304"/>
      <c r="B2067" s="305"/>
      <c r="C2067" s="103">
        <f t="shared" si="193"/>
        <v>45865</v>
      </c>
      <c r="E2067" s="170"/>
      <c r="F2067" s="58" t="str">
        <f>VLOOKUP(MOD(C2067,7),'CALENDAR INFO'!$I$2:$J$8,2)</f>
        <v>SUN</v>
      </c>
      <c r="G2067" s="214">
        <v>4.33</v>
      </c>
      <c r="H2067" s="425">
        <v>4.3600000000000003</v>
      </c>
      <c r="I2067" s="457">
        <f t="shared" si="192"/>
        <v>3.0000000000000249E-2</v>
      </c>
      <c r="J2067" s="15" t="s">
        <v>221</v>
      </c>
      <c r="K2067" s="15">
        <f ca="1">K2042-K2054-K2056</f>
        <v>30</v>
      </c>
      <c r="L2067" s="179">
        <f ca="1">L2042-L2054-L2056</f>
        <v>30</v>
      </c>
      <c r="M2067" s="113">
        <f t="shared" si="191"/>
        <v>0</v>
      </c>
      <c r="N2067" s="64">
        <f t="shared" ref="N2067:N2130" si="195">1+(M2067/360)*(MAX(H2067,B2067)/100)</f>
        <v>1</v>
      </c>
    </row>
    <row r="2068" spans="1:16">
      <c r="A2068" s="304"/>
      <c r="B2068" s="305"/>
      <c r="C2068" s="103">
        <f t="shared" si="193"/>
        <v>45866</v>
      </c>
      <c r="E2068" s="170"/>
      <c r="F2068" s="58" t="str">
        <f>VLOOKUP(MOD(C2068,7),'CALENDAR INFO'!$I$2:$J$8,2)</f>
        <v>MON</v>
      </c>
      <c r="G2068" s="214">
        <v>4.33</v>
      </c>
      <c r="H2068" s="425">
        <v>4.3600000000000003</v>
      </c>
      <c r="I2068" s="457">
        <f t="shared" si="192"/>
        <v>3.0000000000000249E-2</v>
      </c>
      <c r="J2068" s="15" t="s">
        <v>222</v>
      </c>
      <c r="K2068" s="178" t="e">
        <f ca="1">K2064/K2067</f>
        <v>#REF!</v>
      </c>
      <c r="L2068" s="192" t="e">
        <f ca="1">L2064/L2067</f>
        <v>#REF!</v>
      </c>
      <c r="M2068" s="113">
        <f t="shared" si="191"/>
        <v>1</v>
      </c>
      <c r="N2068" s="64">
        <f t="shared" si="195"/>
        <v>1.000121111111111</v>
      </c>
    </row>
    <row r="2069" spans="1:16">
      <c r="A2069" s="304"/>
      <c r="B2069" s="305"/>
      <c r="C2069" s="103">
        <f t="shared" si="193"/>
        <v>45867</v>
      </c>
      <c r="D2069" s="153" t="s">
        <v>20</v>
      </c>
      <c r="E2069" s="170"/>
      <c r="F2069" s="58" t="str">
        <f>VLOOKUP(MOD(C2069,7),'CALENDAR INFO'!$I$2:$J$8,2)</f>
        <v>TUE</v>
      </c>
      <c r="G2069" s="214">
        <v>4.33</v>
      </c>
      <c r="H2069" s="425">
        <v>4.3600000000000003</v>
      </c>
      <c r="I2069" s="457">
        <f t="shared" si="192"/>
        <v>3.0000000000000249E-2</v>
      </c>
      <c r="M2069" s="113">
        <f t="shared" si="191"/>
        <v>1</v>
      </c>
      <c r="N2069" s="64">
        <f t="shared" si="195"/>
        <v>1.000121111111111</v>
      </c>
    </row>
    <row r="2070" spans="1:16">
      <c r="A2070" s="304"/>
      <c r="B2070" s="305"/>
      <c r="C2070" s="103">
        <f t="shared" si="193"/>
        <v>45868</v>
      </c>
      <c r="D2070" s="153" t="s">
        <v>20</v>
      </c>
      <c r="E2070" s="170"/>
      <c r="F2070" s="58" t="str">
        <f>VLOOKUP(MOD(C2070,7),'CALENDAR INFO'!$I$2:$J$8,2)</f>
        <v>WED</v>
      </c>
      <c r="G2070" s="214">
        <v>4.33</v>
      </c>
      <c r="H2070" s="425">
        <v>4.32</v>
      </c>
      <c r="I2070" s="457">
        <f t="shared" si="192"/>
        <v>-9.9999999999997868E-3</v>
      </c>
      <c r="K2070" s="189">
        <f>100-AVERAGE(G2041:G2071)</f>
        <v>95.67</v>
      </c>
      <c r="L2070" s="415">
        <f>100-AVERAGE(H2041:H2071)</f>
        <v>95.664516129032265</v>
      </c>
      <c r="M2070" s="113">
        <f t="shared" si="191"/>
        <v>1</v>
      </c>
      <c r="N2070" s="64">
        <f t="shared" si="195"/>
        <v>1.0001199999999999</v>
      </c>
    </row>
    <row r="2071" spans="1:16" ht="15.75" thickBot="1">
      <c r="A2071" s="358"/>
      <c r="B2071" s="359"/>
      <c r="C2071" s="104">
        <f t="shared" si="193"/>
        <v>45869</v>
      </c>
      <c r="D2071" s="112"/>
      <c r="E2071" s="101"/>
      <c r="F2071" s="71" t="str">
        <f>VLOOKUP(MOD(C2071,7),'CALENDAR INFO'!$I$2:$J$8,2)</f>
        <v>THU</v>
      </c>
      <c r="G2071" s="215">
        <v>4.33</v>
      </c>
      <c r="H2071" s="426">
        <v>4.3899999999999997</v>
      </c>
      <c r="I2071" s="458">
        <f t="shared" si="192"/>
        <v>5.9999999999999609E-2</v>
      </c>
      <c r="J2071" s="424" t="s">
        <v>202</v>
      </c>
      <c r="K2071" s="340" t="e">
        <f ca="1">100-K2063/K2054</f>
        <v>#DIV/0!</v>
      </c>
      <c r="L2071" s="341" t="e">
        <f ca="1">100-L2063/L2054</f>
        <v>#DIV/0!</v>
      </c>
      <c r="M2071" s="114">
        <f t="shared" si="191"/>
        <v>1</v>
      </c>
      <c r="N2071" s="292">
        <f t="shared" si="195"/>
        <v>1.0001219444444445</v>
      </c>
    </row>
    <row r="2072" spans="1:16">
      <c r="A2072" s="304"/>
      <c r="B2072" s="305"/>
      <c r="C2072" s="103">
        <f t="shared" si="193"/>
        <v>45870</v>
      </c>
      <c r="E2072" s="170"/>
      <c r="F2072" s="58" t="str">
        <f>VLOOKUP(MOD(C2072,7),'CALENDAR INFO'!$I$2:$J$8,2)</f>
        <v>FRI</v>
      </c>
      <c r="G2072" s="214">
        <v>4.33</v>
      </c>
      <c r="H2072" s="425">
        <v>4.34</v>
      </c>
      <c r="I2072" s="457">
        <f t="shared" si="192"/>
        <v>9.9999999999997868E-3</v>
      </c>
      <c r="J2072" s="15" t="s">
        <v>151</v>
      </c>
      <c r="K2072" s="360">
        <f>ROW()</f>
        <v>2072</v>
      </c>
      <c r="L2072" s="60">
        <f>K2072</f>
        <v>2072</v>
      </c>
      <c r="M2072" s="113">
        <f t="shared" si="191"/>
        <v>3</v>
      </c>
      <c r="N2072" s="64">
        <f t="shared" si="195"/>
        <v>1.0003616666666666</v>
      </c>
    </row>
    <row r="2073" spans="1:16">
      <c r="A2073" s="80"/>
      <c r="B2073" s="227"/>
      <c r="C2073" s="103">
        <f t="shared" si="193"/>
        <v>45871</v>
      </c>
      <c r="E2073" s="170"/>
      <c r="F2073" s="58" t="str">
        <f>VLOOKUP(MOD(C2073,7),'CALENDAR INFO'!$I$2:$J$8,2)</f>
        <v>SAT</v>
      </c>
      <c r="G2073" s="214">
        <v>4.33</v>
      </c>
      <c r="H2073" s="425">
        <v>4.34</v>
      </c>
      <c r="I2073" s="457">
        <f t="shared" si="192"/>
        <v>9.9999999999997868E-3</v>
      </c>
      <c r="J2073" s="15" t="s">
        <v>118</v>
      </c>
      <c r="K2073" s="15">
        <f>VLOOKUP(MONTH($C2072),'CALENDAR INFO'!$I$12:$J$23,2)</f>
        <v>31</v>
      </c>
      <c r="L2073" s="15">
        <f>K2073</f>
        <v>31</v>
      </c>
      <c r="M2073" s="113">
        <f t="shared" si="191"/>
        <v>0</v>
      </c>
      <c r="N2073" s="64">
        <f t="shared" si="195"/>
        <v>1</v>
      </c>
    </row>
    <row r="2074" spans="1:16">
      <c r="A2074" s="80"/>
      <c r="B2074" s="227"/>
      <c r="C2074" s="103">
        <f t="shared" si="193"/>
        <v>45872</v>
      </c>
      <c r="E2074" s="170"/>
      <c r="F2074" s="58" t="str">
        <f>VLOOKUP(MOD(C2074,7),'CALENDAR INFO'!$I$2:$J$8,2)</f>
        <v>SUN</v>
      </c>
      <c r="G2074" s="214">
        <v>4.33</v>
      </c>
      <c r="H2074" s="425">
        <v>4.34</v>
      </c>
      <c r="I2074" s="457">
        <f t="shared" si="192"/>
        <v>9.9999999999997868E-3</v>
      </c>
      <c r="J2074" s="15" t="s">
        <v>152</v>
      </c>
      <c r="K2074" s="15">
        <f>K2072+K2073-1</f>
        <v>2102</v>
      </c>
      <c r="L2074" s="15">
        <f>K2074</f>
        <v>2102</v>
      </c>
      <c r="M2074" s="113">
        <f t="shared" si="191"/>
        <v>0</v>
      </c>
      <c r="N2074" s="64">
        <f t="shared" si="195"/>
        <v>1</v>
      </c>
    </row>
    <row r="2075" spans="1:16">
      <c r="B2075" s="41"/>
      <c r="C2075" s="103">
        <f t="shared" si="193"/>
        <v>45873</v>
      </c>
      <c r="E2075" s="170"/>
      <c r="F2075" s="58" t="str">
        <f>VLOOKUP(MOD(C2075,7),'CALENDAR INFO'!$I$2:$J$8,2)</f>
        <v>MON</v>
      </c>
      <c r="G2075" s="214">
        <v>4.33</v>
      </c>
      <c r="H2075" s="425">
        <v>4.33</v>
      </c>
      <c r="I2075" s="457">
        <f t="shared" si="192"/>
        <v>0</v>
      </c>
      <c r="J2075" s="15" t="s">
        <v>244</v>
      </c>
      <c r="K2075" s="311">
        <f>ROW(D2072)</f>
        <v>2072</v>
      </c>
      <c r="L2075" s="15">
        <f>K2075</f>
        <v>2072</v>
      </c>
      <c r="M2075" s="113">
        <f t="shared" si="191"/>
        <v>1</v>
      </c>
      <c r="N2075" s="64">
        <f t="shared" si="195"/>
        <v>1.0001202777777778</v>
      </c>
    </row>
    <row r="2076" spans="1:16">
      <c r="B2076" s="41"/>
      <c r="C2076" s="103">
        <f t="shared" si="193"/>
        <v>45874</v>
      </c>
      <c r="E2076" s="170"/>
      <c r="F2076" s="58" t="str">
        <f>VLOOKUP(MOD(C2076,7),'CALENDAR INFO'!$I$2:$J$8,2)</f>
        <v>TUE</v>
      </c>
      <c r="G2076" s="214">
        <v>4.33</v>
      </c>
      <c r="H2076" s="425">
        <v>4.34</v>
      </c>
      <c r="I2076" s="457">
        <f t="shared" si="192"/>
        <v>9.9999999999997868E-3</v>
      </c>
      <c r="K2076" s="311"/>
      <c r="L2076" s="15"/>
      <c r="M2076" s="113">
        <f t="shared" si="191"/>
        <v>1</v>
      </c>
      <c r="N2076" s="64">
        <f t="shared" si="195"/>
        <v>1.0001205555555555</v>
      </c>
    </row>
    <row r="2077" spans="1:16">
      <c r="B2077" s="41"/>
      <c r="C2077" s="103">
        <f t="shared" si="193"/>
        <v>45875</v>
      </c>
      <c r="E2077" s="170" t="s">
        <v>19</v>
      </c>
      <c r="F2077" s="58" t="str">
        <f>VLOOKUP(MOD(C2077,7),'CALENDAR INFO'!$I$2:$J$8,2)</f>
        <v>WED</v>
      </c>
      <c r="G2077" s="214">
        <v>4.33</v>
      </c>
      <c r="H2077" s="425">
        <v>4.34</v>
      </c>
      <c r="I2077" s="457">
        <f t="shared" si="192"/>
        <v>9.9999999999997868E-3</v>
      </c>
      <c r="J2077" s="15" t="s">
        <v>153</v>
      </c>
      <c r="K2077" s="15" t="str">
        <f>_xlfn.CONCAT(ADDRESS(K2072,7),":",ADDRESS(K2074,7))</f>
        <v>$G$2072:$G$2102</v>
      </c>
      <c r="L2077" s="15" t="str">
        <f>_xlfn.CONCAT(ADDRESS(L2072,8),":",ADDRESS(L2074,8))</f>
        <v>$H$2072:$H$2102</v>
      </c>
      <c r="M2077" s="113">
        <f t="shared" si="191"/>
        <v>1</v>
      </c>
      <c r="N2077" s="64">
        <f t="shared" si="195"/>
        <v>1.0001205555555555</v>
      </c>
    </row>
    <row r="2078" spans="1:16">
      <c r="B2078" s="41"/>
      <c r="C2078" s="103">
        <f t="shared" si="193"/>
        <v>45876</v>
      </c>
      <c r="E2078" s="167" t="s">
        <v>18</v>
      </c>
      <c r="F2078" s="58" t="str">
        <f>VLOOKUP(MOD(C2078,7),'CALENDAR INFO'!$I$2:$J$8,2)</f>
        <v>THU</v>
      </c>
      <c r="G2078" s="214">
        <v>4.33</v>
      </c>
      <c r="H2078" s="425">
        <v>4.3499999999999996</v>
      </c>
      <c r="I2078" s="457">
        <f t="shared" si="192"/>
        <v>1.9999999999999574E-2</v>
      </c>
      <c r="J2078" s="176" t="s">
        <v>235</v>
      </c>
      <c r="K2078" s="15" t="str">
        <f>_xlfn.CONCAT(ADDRESS(K2072,1),":",ADDRESS(K2075,1))</f>
        <v>$A$2072:$A$2072</v>
      </c>
      <c r="L2078" s="15" t="str">
        <f>_xlfn.CONCAT(ADDRESS(L2072,2),":",ADDRESS(L2075,2))</f>
        <v>$B$2072:$B$2072</v>
      </c>
      <c r="M2078" s="113">
        <f t="shared" si="191"/>
        <v>1</v>
      </c>
      <c r="N2078" s="64">
        <f t="shared" si="195"/>
        <v>1.0001208333333333</v>
      </c>
    </row>
    <row r="2079" spans="1:16">
      <c r="B2079" s="41"/>
      <c r="C2079" s="103">
        <f t="shared" si="193"/>
        <v>45877</v>
      </c>
      <c r="E2079" s="167"/>
      <c r="F2079" s="58" t="str">
        <f>VLOOKUP(MOD(C2079,7),'CALENDAR INFO'!$I$2:$J$8,2)</f>
        <v>FRI</v>
      </c>
      <c r="G2079" s="214">
        <v>4.33</v>
      </c>
      <c r="H2079" s="425">
        <v>4.3499999999999996</v>
      </c>
      <c r="I2079" s="457">
        <f t="shared" si="192"/>
        <v>1.9999999999999574E-2</v>
      </c>
      <c r="J2079" s="176" t="s">
        <v>236</v>
      </c>
      <c r="K2079" s="15" t="str">
        <f>_xlfn.CONCAT(ADDRESS(K2075+1,1),":",ADDRESS(K2074,1))</f>
        <v>$A$2073:$A$2102</v>
      </c>
      <c r="L2079" s="15" t="str">
        <f>_xlfn.CONCAT(ADDRESS(L2075+1,2),":",ADDRESS(L2074,2))</f>
        <v>$B$2073:$B$2102</v>
      </c>
      <c r="M2079" s="113">
        <f t="shared" ref="M2079:M2099" si="196">IF(MOD(C2079,7)&lt;2,0,IF(MOD(C2079,7)=6,3,1))</f>
        <v>3</v>
      </c>
      <c r="N2079" s="64">
        <f t="shared" si="195"/>
        <v>1.0003625</v>
      </c>
    </row>
    <row r="2080" spans="1:16">
      <c r="B2080" s="41"/>
      <c r="C2080" s="103">
        <f t="shared" si="193"/>
        <v>45878</v>
      </c>
      <c r="E2080" s="167"/>
      <c r="F2080" s="58" t="str">
        <f>VLOOKUP(MOD(C2080,7),'CALENDAR INFO'!$I$2:$J$8,2)</f>
        <v>SAT</v>
      </c>
      <c r="G2080" s="214">
        <v>4.33</v>
      </c>
      <c r="H2080" s="425">
        <v>4.3499999999999996</v>
      </c>
      <c r="I2080" s="457">
        <f t="shared" si="192"/>
        <v>1.9999999999999574E-2</v>
      </c>
      <c r="M2080" s="113">
        <f t="shared" si="196"/>
        <v>0</v>
      </c>
      <c r="N2080" s="64">
        <f t="shared" si="195"/>
        <v>1</v>
      </c>
      <c r="P2080" s="15"/>
    </row>
    <row r="2081" spans="2:16">
      <c r="B2081" s="41"/>
      <c r="C2081" s="103">
        <f t="shared" si="193"/>
        <v>45879</v>
      </c>
      <c r="E2081" s="167"/>
      <c r="F2081" s="58" t="str">
        <f>VLOOKUP(MOD(C2081,7),'CALENDAR INFO'!$I$2:$J$8,2)</f>
        <v>SUN</v>
      </c>
      <c r="G2081" s="214">
        <v>4.33</v>
      </c>
      <c r="H2081" s="425">
        <v>4.3499999999999996</v>
      </c>
      <c r="I2081" s="457">
        <f t="shared" si="192"/>
        <v>1.9999999999999574E-2</v>
      </c>
      <c r="J2081" s="15" t="s">
        <v>241</v>
      </c>
      <c r="K2081" s="186">
        <f>A2071+G2071</f>
        <v>4.33</v>
      </c>
      <c r="L2081" s="194">
        <f>B2071+H2071</f>
        <v>4.3899999999999997</v>
      </c>
      <c r="M2081" s="113">
        <f t="shared" si="196"/>
        <v>0</v>
      </c>
      <c r="N2081" s="64">
        <f t="shared" si="195"/>
        <v>1</v>
      </c>
    </row>
    <row r="2082" spans="2:16">
      <c r="B2082" s="41"/>
      <c r="C2082" s="103">
        <f t="shared" si="193"/>
        <v>45880</v>
      </c>
      <c r="E2082" s="167"/>
      <c r="F2082" s="58" t="str">
        <f>VLOOKUP(MOD(C2082,7),'CALENDAR INFO'!$I$2:$J$8,2)</f>
        <v>MON</v>
      </c>
      <c r="G2082" s="214">
        <v>4.33</v>
      </c>
      <c r="H2082" s="425">
        <v>4.34</v>
      </c>
      <c r="I2082" s="457">
        <f t="shared" si="192"/>
        <v>9.9999999999997868E-3</v>
      </c>
      <c r="K2082" s="178"/>
      <c r="L2082" s="192"/>
      <c r="M2082" s="113">
        <f t="shared" si="196"/>
        <v>1</v>
      </c>
      <c r="N2082" s="64">
        <f t="shared" si="195"/>
        <v>1.0001205555555555</v>
      </c>
    </row>
    <row r="2083" spans="2:16">
      <c r="B2083" s="41"/>
      <c r="C2083" s="103">
        <f t="shared" si="193"/>
        <v>45881</v>
      </c>
      <c r="E2083" s="167"/>
      <c r="F2083" s="58" t="str">
        <f>VLOOKUP(MOD(C2083,7),'CALENDAR INFO'!$I$2:$J$8,2)</f>
        <v>TUE</v>
      </c>
      <c r="G2083" s="214">
        <v>4.33</v>
      </c>
      <c r="H2083" s="425">
        <v>4.3600000000000003</v>
      </c>
      <c r="I2083" s="457">
        <f t="shared" si="192"/>
        <v>3.0000000000000249E-2</v>
      </c>
      <c r="J2083" s="15" t="s">
        <v>197</v>
      </c>
      <c r="K2083" s="180" t="e">
        <f>OUTPUT!#REF!</f>
        <v>#REF!</v>
      </c>
      <c r="L2083" s="180" t="e">
        <f>OUTPUT!#REF!</f>
        <v>#REF!</v>
      </c>
      <c r="M2083" s="113">
        <f t="shared" si="196"/>
        <v>1</v>
      </c>
      <c r="N2083" s="64">
        <f t="shared" si="195"/>
        <v>1.000121111111111</v>
      </c>
    </row>
    <row r="2084" spans="2:16">
      <c r="B2084" s="41"/>
      <c r="C2084" s="103">
        <f t="shared" si="193"/>
        <v>45882</v>
      </c>
      <c r="E2084" s="167"/>
      <c r="F2084" s="58" t="str">
        <f>VLOOKUP(MOD(C2084,7),'CALENDAR INFO'!$I$2:$J$8,2)</f>
        <v>WED</v>
      </c>
      <c r="G2084" s="214">
        <v>4.33</v>
      </c>
      <c r="H2084" s="425">
        <v>4.33</v>
      </c>
      <c r="I2084" s="457">
        <f t="shared" si="192"/>
        <v>0</v>
      </c>
      <c r="J2084" s="15" t="s">
        <v>118</v>
      </c>
      <c r="K2084" s="221">
        <f>VLOOKUP(MONTH($C2078),'CALENDAR INFO'!$I$12:$J$23,2)</f>
        <v>31</v>
      </c>
      <c r="L2084" s="221">
        <f>K2084</f>
        <v>31</v>
      </c>
      <c r="M2084" s="113">
        <f t="shared" si="196"/>
        <v>1</v>
      </c>
      <c r="N2084" s="64">
        <f t="shared" si="195"/>
        <v>1.0001202777777778</v>
      </c>
    </row>
    <row r="2085" spans="2:16">
      <c r="B2085" s="41"/>
      <c r="C2085" s="103">
        <f t="shared" si="193"/>
        <v>45883</v>
      </c>
      <c r="E2085" s="167"/>
      <c r="F2085" s="58" t="str">
        <f>VLOOKUP(MOD(C2085,7),'CALENDAR INFO'!$I$2:$J$8,2)</f>
        <v>THU</v>
      </c>
      <c r="G2085" s="214">
        <v>4.33</v>
      </c>
      <c r="H2085" s="425">
        <v>4.34</v>
      </c>
      <c r="I2085" s="457">
        <f t="shared" si="192"/>
        <v>9.9999999999997868E-3</v>
      </c>
      <c r="J2085" s="15" t="s">
        <v>234</v>
      </c>
      <c r="K2085" s="178" t="e">
        <f>K2083*K2073</f>
        <v>#REF!</v>
      </c>
      <c r="L2085" s="178" t="e">
        <f>L2083*L2073</f>
        <v>#REF!</v>
      </c>
      <c r="M2085" s="113">
        <f t="shared" si="196"/>
        <v>1</v>
      </c>
      <c r="N2085" s="64">
        <f t="shared" si="195"/>
        <v>1.0001205555555555</v>
      </c>
    </row>
    <row r="2086" spans="2:16">
      <c r="B2086" s="41"/>
      <c r="C2086" s="103">
        <f t="shared" si="193"/>
        <v>45884</v>
      </c>
      <c r="E2086" s="167"/>
      <c r="F2086" s="58" t="str">
        <f>VLOOKUP(MOD(C2086,7),'CALENDAR INFO'!$I$2:$J$8,2)</f>
        <v>FRI</v>
      </c>
      <c r="G2086" s="214">
        <v>4.33</v>
      </c>
      <c r="H2086" s="425">
        <v>4.3600000000000003</v>
      </c>
      <c r="I2086" s="457">
        <f t="shared" si="192"/>
        <v>3.0000000000000249E-2</v>
      </c>
      <c r="K2086" s="178"/>
      <c r="L2086" s="192"/>
      <c r="M2086" s="113">
        <f t="shared" si="196"/>
        <v>3</v>
      </c>
      <c r="N2086" s="64">
        <f t="shared" si="195"/>
        <v>1.0003633333333333</v>
      </c>
    </row>
    <row r="2087" spans="2:16">
      <c r="B2087" s="41"/>
      <c r="C2087" s="103">
        <f t="shared" si="193"/>
        <v>45885</v>
      </c>
      <c r="E2087" s="167"/>
      <c r="F2087" s="58" t="str">
        <f>VLOOKUP(MOD(C2087,7),'CALENDAR INFO'!$I$2:$J$8,2)</f>
        <v>SAT</v>
      </c>
      <c r="G2087" s="214">
        <v>4.33</v>
      </c>
      <c r="H2087" s="425">
        <v>4.3600000000000003</v>
      </c>
      <c r="I2087" s="457">
        <f t="shared" si="192"/>
        <v>3.0000000000000249E-2</v>
      </c>
      <c r="J2087" s="15" t="str">
        <f>J2085</f>
        <v>monthly target</v>
      </c>
      <c r="K2087" s="178" t="e">
        <f>K2085</f>
        <v>#REF!</v>
      </c>
      <c r="L2087" s="192" t="e">
        <f>L2085</f>
        <v>#REF!</v>
      </c>
      <c r="M2087" s="113">
        <f t="shared" si="196"/>
        <v>0</v>
      </c>
      <c r="N2087" s="64">
        <f t="shared" si="195"/>
        <v>1</v>
      </c>
    </row>
    <row r="2088" spans="2:16">
      <c r="B2088" s="41"/>
      <c r="C2088" s="103">
        <f t="shared" si="193"/>
        <v>45886</v>
      </c>
      <c r="E2088" s="167"/>
      <c r="F2088" s="58" t="str">
        <f>VLOOKUP(MOD(C2088,7),'CALENDAR INFO'!$I$2:$J$8,2)</f>
        <v>SUN</v>
      </c>
      <c r="G2088" s="214">
        <v>4.33</v>
      </c>
      <c r="H2088" s="425">
        <v>4.3600000000000003</v>
      </c>
      <c r="I2088" s="457">
        <f t="shared" si="192"/>
        <v>3.0000000000000249E-2</v>
      </c>
      <c r="J2088" s="15" t="s">
        <v>155</v>
      </c>
      <c r="K2088" s="178">
        <f ca="1">SUM(INDIRECT(K2077))</f>
        <v>134.22999999999999</v>
      </c>
      <c r="L2088" s="192">
        <f ca="1">SUM(INDIRECT(L2077))</f>
        <v>134.73000000000002</v>
      </c>
      <c r="M2088" s="113">
        <f t="shared" si="196"/>
        <v>0</v>
      </c>
      <c r="N2088" s="64">
        <f t="shared" si="195"/>
        <v>1</v>
      </c>
    </row>
    <row r="2089" spans="2:16">
      <c r="B2089" s="41"/>
      <c r="C2089" s="103">
        <f t="shared" si="193"/>
        <v>45887</v>
      </c>
      <c r="E2089" s="167"/>
      <c r="F2089" s="58" t="str">
        <f>VLOOKUP(MOD(C2089,7),'CALENDAR INFO'!$I$2:$J$8,2)</f>
        <v>MON</v>
      </c>
      <c r="G2089" s="214">
        <v>4.33</v>
      </c>
      <c r="H2089" s="425">
        <v>4.34</v>
      </c>
      <c r="I2089" s="457">
        <f t="shared" si="192"/>
        <v>9.9999999999997868E-3</v>
      </c>
      <c r="J2089" s="15" t="s">
        <v>237</v>
      </c>
      <c r="K2089" s="400">
        <f ca="1">SUM(INDIRECT(K2078))</f>
        <v>0</v>
      </c>
      <c r="L2089" s="401">
        <f ca="1">SUM(INDIRECT(L2078))</f>
        <v>0</v>
      </c>
      <c r="M2089" s="113">
        <f t="shared" si="196"/>
        <v>1</v>
      </c>
      <c r="N2089" s="64">
        <f t="shared" si="195"/>
        <v>1.0001205555555555</v>
      </c>
    </row>
    <row r="2090" spans="2:16">
      <c r="B2090" s="41"/>
      <c r="C2090" s="103">
        <f t="shared" si="193"/>
        <v>45888</v>
      </c>
      <c r="E2090" s="167"/>
      <c r="F2090" s="58" t="str">
        <f>VLOOKUP(MOD(C2090,7),'CALENDAR INFO'!$I$2:$J$8,2)</f>
        <v>TUE</v>
      </c>
      <c r="G2090" s="214">
        <v>4.33</v>
      </c>
      <c r="H2090" s="425">
        <v>4.33</v>
      </c>
      <c r="I2090" s="457">
        <f t="shared" si="192"/>
        <v>0</v>
      </c>
      <c r="J2090" s="15" t="s">
        <v>238</v>
      </c>
      <c r="K2090" s="182" t="e">
        <f ca="1">K2085-K2088-K2089</f>
        <v>#REF!</v>
      </c>
      <c r="L2090" s="201" t="e">
        <f ca="1">L2085-L2088-L2089</f>
        <v>#REF!</v>
      </c>
      <c r="M2090" s="113">
        <f t="shared" si="196"/>
        <v>1</v>
      </c>
      <c r="N2090" s="64">
        <f t="shared" si="195"/>
        <v>1.0001202777777778</v>
      </c>
    </row>
    <row r="2091" spans="2:16">
      <c r="B2091" s="41"/>
      <c r="C2091" s="103">
        <f t="shared" si="193"/>
        <v>45889</v>
      </c>
      <c r="E2091" s="167" t="s">
        <v>19</v>
      </c>
      <c r="F2091" s="58" t="str">
        <f>VLOOKUP(MOD(C2091,7),'CALENDAR INFO'!$I$2:$J$8,2)</f>
        <v>WED</v>
      </c>
      <c r="G2091" s="214">
        <v>4.33</v>
      </c>
      <c r="H2091" s="425">
        <v>4.3099999999999996</v>
      </c>
      <c r="I2091" s="457">
        <f t="shared" si="192"/>
        <v>-2.0000000000000462E-2</v>
      </c>
      <c r="M2091" s="113">
        <f t="shared" si="196"/>
        <v>1</v>
      </c>
      <c r="N2091" s="64">
        <f t="shared" si="195"/>
        <v>1.0001197222222222</v>
      </c>
    </row>
    <row r="2092" spans="2:16">
      <c r="B2092" s="41"/>
      <c r="C2092" s="103">
        <f t="shared" si="193"/>
        <v>45890</v>
      </c>
      <c r="E2092" s="170" t="s">
        <v>18</v>
      </c>
      <c r="F2092" s="58" t="str">
        <f>VLOOKUP(MOD(C2092,7),'CALENDAR INFO'!$I$2:$J$8,2)</f>
        <v>THU</v>
      </c>
      <c r="G2092" s="214">
        <v>4.33</v>
      </c>
      <c r="H2092" s="425">
        <v>4.32</v>
      </c>
      <c r="I2092" s="457">
        <f t="shared" si="192"/>
        <v>-9.9999999999997868E-3</v>
      </c>
      <c r="J2092" s="15" t="s">
        <v>242</v>
      </c>
      <c r="K2092" s="15">
        <f>K2084</f>
        <v>31</v>
      </c>
      <c r="L2092" s="179">
        <f>L2084</f>
        <v>31</v>
      </c>
      <c r="M2092" s="113">
        <f t="shared" si="196"/>
        <v>1</v>
      </c>
      <c r="N2092" s="64">
        <f t="shared" si="195"/>
        <v>1.0001199999999999</v>
      </c>
    </row>
    <row r="2093" spans="2:16">
      <c r="B2093" s="41"/>
      <c r="C2093" s="103">
        <f t="shared" si="193"/>
        <v>45891</v>
      </c>
      <c r="E2093" s="170"/>
      <c r="F2093" s="58" t="str">
        <f>VLOOKUP(MOD(C2093,7),'CALENDAR INFO'!$I$2:$J$8,2)</f>
        <v>FRI</v>
      </c>
      <c r="G2093" s="214">
        <v>4.33</v>
      </c>
      <c r="H2093" s="425">
        <v>4.3600000000000003</v>
      </c>
      <c r="I2093" s="457">
        <f t="shared" si="192"/>
        <v>3.0000000000000249E-2</v>
      </c>
      <c r="J2093" s="15" t="s">
        <v>194</v>
      </c>
      <c r="K2093" s="15">
        <f ca="1">COUNTA(INDIRECT(K2077))</f>
        <v>31</v>
      </c>
      <c r="L2093" s="179">
        <f ca="1">COUNTA(INDIRECT(L2077))</f>
        <v>31</v>
      </c>
      <c r="M2093" s="113">
        <f t="shared" si="196"/>
        <v>3</v>
      </c>
      <c r="N2093" s="64">
        <f t="shared" si="195"/>
        <v>1.0003633333333333</v>
      </c>
    </row>
    <row r="2094" spans="2:16">
      <c r="B2094" s="41"/>
      <c r="C2094" s="103">
        <f t="shared" si="193"/>
        <v>45892</v>
      </c>
      <c r="E2094" s="170"/>
      <c r="F2094" s="58" t="str">
        <f>VLOOKUP(MOD(C2094,7),'CALENDAR INFO'!$I$2:$J$8,2)</f>
        <v>SAT</v>
      </c>
      <c r="G2094" s="214">
        <v>4.33</v>
      </c>
      <c r="H2094" s="425">
        <v>4.3600000000000003</v>
      </c>
      <c r="I2094" s="457">
        <f t="shared" si="192"/>
        <v>3.0000000000000249E-2</v>
      </c>
      <c r="J2094" s="15" t="s">
        <v>243</v>
      </c>
      <c r="K2094" s="402">
        <f ca="1">COUNTA(INDIRECT(K2078))</f>
        <v>0</v>
      </c>
      <c r="L2094" s="403">
        <f ca="1">COUNTA(INDIRECT(L2078))</f>
        <v>0</v>
      </c>
      <c r="M2094" s="113">
        <f t="shared" si="196"/>
        <v>0</v>
      </c>
      <c r="N2094" s="64">
        <f t="shared" si="195"/>
        <v>1</v>
      </c>
      <c r="P2094" s="15"/>
    </row>
    <row r="2095" spans="2:16">
      <c r="B2095" s="41"/>
      <c r="C2095" s="103">
        <f t="shared" si="193"/>
        <v>45893</v>
      </c>
      <c r="E2095" s="170"/>
      <c r="F2095" s="58" t="str">
        <f>VLOOKUP(MOD(C2095,7),'CALENDAR INFO'!$I$2:$J$8,2)</f>
        <v>SUN</v>
      </c>
      <c r="G2095" s="214">
        <v>4.33</v>
      </c>
      <c r="H2095" s="425">
        <v>4.3600000000000003</v>
      </c>
      <c r="I2095" s="457">
        <f t="shared" si="192"/>
        <v>3.0000000000000249E-2</v>
      </c>
      <c r="J2095" s="15" t="s">
        <v>239</v>
      </c>
      <c r="K2095" s="152">
        <f ca="1">K2092-K2093-K2094</f>
        <v>0</v>
      </c>
      <c r="L2095" s="202">
        <f ca="1">L2092-L2093-L2094</f>
        <v>0</v>
      </c>
      <c r="M2095" s="113">
        <f t="shared" si="196"/>
        <v>0</v>
      </c>
      <c r="N2095" s="64">
        <f t="shared" si="195"/>
        <v>1</v>
      </c>
      <c r="P2095" s="15"/>
    </row>
    <row r="2096" spans="2:16">
      <c r="B2096" s="41"/>
      <c r="C2096" s="103">
        <f t="shared" si="193"/>
        <v>45894</v>
      </c>
      <c r="E2096" s="170"/>
      <c r="F2096" s="58" t="str">
        <f>VLOOKUP(MOD(C2096,7),'CALENDAR INFO'!$I$2:$J$8,2)</f>
        <v>MON</v>
      </c>
      <c r="G2096" s="214">
        <v>4.33</v>
      </c>
      <c r="H2096" s="425">
        <v>4.37</v>
      </c>
      <c r="I2096" s="457">
        <f t="shared" si="192"/>
        <v>4.0000000000000036E-2</v>
      </c>
      <c r="K2096" s="178"/>
      <c r="L2096" s="192"/>
      <c r="M2096" s="113">
        <f t="shared" si="196"/>
        <v>1</v>
      </c>
      <c r="N2096" s="64">
        <f t="shared" si="195"/>
        <v>1.0001213888888889</v>
      </c>
    </row>
    <row r="2097" spans="1:14">
      <c r="B2097" s="41"/>
      <c r="C2097" s="103">
        <f t="shared" si="193"/>
        <v>45895</v>
      </c>
      <c r="E2097" s="170"/>
      <c r="F2097" s="58" t="str">
        <f>VLOOKUP(MOD(C2097,7),'CALENDAR INFO'!$I$2:$J$8,2)</f>
        <v>TUE</v>
      </c>
      <c r="G2097" s="214">
        <v>4.33</v>
      </c>
      <c r="H2097" s="425">
        <v>4.38</v>
      </c>
      <c r="I2097" s="457">
        <f t="shared" si="192"/>
        <v>4.9999999999999822E-2</v>
      </c>
      <c r="J2097" s="15" t="s">
        <v>238</v>
      </c>
      <c r="K2097" s="178" t="e">
        <f ca="1">K2090</f>
        <v>#REF!</v>
      </c>
      <c r="L2097" s="192" t="e">
        <f ca="1">L2090</f>
        <v>#REF!</v>
      </c>
      <c r="M2097" s="113">
        <f t="shared" si="196"/>
        <v>1</v>
      </c>
      <c r="N2097" s="64">
        <f t="shared" si="195"/>
        <v>1.0001216666666666</v>
      </c>
    </row>
    <row r="2098" spans="1:14">
      <c r="B2098" s="41"/>
      <c r="C2098" s="103">
        <f t="shared" si="193"/>
        <v>45896</v>
      </c>
      <c r="E2098" s="170"/>
      <c r="F2098" s="58" t="str">
        <f>VLOOKUP(MOD(C2098,7),'CALENDAR INFO'!$I$2:$J$8,2)</f>
        <v>WED</v>
      </c>
      <c r="G2098" s="214">
        <v>4.33</v>
      </c>
      <c r="H2098" s="425">
        <v>4.3600000000000003</v>
      </c>
      <c r="I2098" s="457">
        <f t="shared" si="192"/>
        <v>3.0000000000000249E-2</v>
      </c>
      <c r="J2098" s="15" t="s">
        <v>239</v>
      </c>
      <c r="K2098" s="221">
        <f ca="1">K2095</f>
        <v>0</v>
      </c>
      <c r="L2098" s="223">
        <f ca="1">L2095</f>
        <v>0</v>
      </c>
      <c r="M2098" s="113">
        <f t="shared" si="196"/>
        <v>1</v>
      </c>
      <c r="N2098" s="64">
        <f t="shared" si="195"/>
        <v>1.000121111111111</v>
      </c>
    </row>
    <row r="2099" spans="1:14">
      <c r="B2099" s="41"/>
      <c r="C2099" s="103">
        <f t="shared" si="193"/>
        <v>45897</v>
      </c>
      <c r="E2099" s="170"/>
      <c r="F2099" s="58" t="str">
        <f>VLOOKUP(MOD(C2099,7),'CALENDAR INFO'!$I$2:$J$8,2)</f>
        <v>THU</v>
      </c>
      <c r="G2099" s="214">
        <v>4.33</v>
      </c>
      <c r="H2099" s="425">
        <v>4.34</v>
      </c>
      <c r="I2099" s="457">
        <f t="shared" si="192"/>
        <v>9.9999999999997868E-3</v>
      </c>
      <c r="J2099" s="15" t="s">
        <v>240</v>
      </c>
      <c r="K2099" s="178" t="e">
        <f ca="1">K2097/K2098</f>
        <v>#REF!</v>
      </c>
      <c r="L2099" s="192" t="e">
        <f ca="1">L2097/L2098</f>
        <v>#REF!</v>
      </c>
      <c r="M2099" s="113">
        <f t="shared" si="196"/>
        <v>1</v>
      </c>
      <c r="N2099" s="64">
        <f t="shared" si="195"/>
        <v>1.0001205555555555</v>
      </c>
    </row>
    <row r="2100" spans="1:14">
      <c r="B2100" s="41"/>
      <c r="C2100" s="103">
        <f t="shared" si="193"/>
        <v>45898</v>
      </c>
      <c r="E2100" s="170"/>
      <c r="F2100" s="58" t="str">
        <f>VLOOKUP(MOD(C2100,7),'CALENDAR INFO'!$I$2:$J$8,2)</f>
        <v>FRI</v>
      </c>
      <c r="G2100" s="214">
        <v>4.33</v>
      </c>
      <c r="H2100" s="425">
        <v>4.34</v>
      </c>
      <c r="I2100" s="457">
        <f t="shared" si="192"/>
        <v>9.9999999999997868E-3</v>
      </c>
      <c r="M2100" s="117">
        <v>4</v>
      </c>
      <c r="N2100" s="64">
        <f t="shared" si="195"/>
        <v>1.0004822222222223</v>
      </c>
    </row>
    <row r="2101" spans="1:14">
      <c r="B2101" s="41"/>
      <c r="C2101" s="103">
        <f t="shared" si="193"/>
        <v>45899</v>
      </c>
      <c r="E2101" s="170"/>
      <c r="F2101" s="58" t="str">
        <f>VLOOKUP(MOD(C2101,7),'CALENDAR INFO'!$I$2:$J$8,2)</f>
        <v>SAT</v>
      </c>
      <c r="G2101" s="214">
        <v>4.33</v>
      </c>
      <c r="H2101" s="425">
        <v>4.34</v>
      </c>
      <c r="I2101" s="457">
        <f t="shared" si="192"/>
        <v>9.9999999999997868E-3</v>
      </c>
      <c r="K2101" s="189">
        <f>100-AVERAGE(G2072:G2102)</f>
        <v>95.67</v>
      </c>
      <c r="L2101" s="415">
        <f>100-AVERAGE(H2072:H2102)</f>
        <v>95.653870967741938</v>
      </c>
      <c r="M2101" s="117">
        <f>IF(MOD(C2101,7)&lt;2,0,IF(MOD(C2101,7)=6,3,1))</f>
        <v>0</v>
      </c>
      <c r="N2101" s="64">
        <f t="shared" si="195"/>
        <v>1</v>
      </c>
    </row>
    <row r="2102" spans="1:14" ht="15.75" thickBot="1">
      <c r="A2102" s="98"/>
      <c r="B2102" s="230"/>
      <c r="C2102" s="104">
        <f t="shared" si="193"/>
        <v>45900</v>
      </c>
      <c r="D2102" s="112"/>
      <c r="E2102" s="101"/>
      <c r="F2102" s="71" t="str">
        <f>VLOOKUP(MOD(C2102,7),'CALENDAR INFO'!$I$2:$J$8,2)</f>
        <v>SUN</v>
      </c>
      <c r="G2102" s="215">
        <v>4.33</v>
      </c>
      <c r="H2102" s="426">
        <v>4.34</v>
      </c>
      <c r="I2102" s="458">
        <f t="shared" si="192"/>
        <v>9.9999999999997868E-3</v>
      </c>
      <c r="J2102" s="348"/>
      <c r="K2102" s="348"/>
      <c r="L2102" s="349"/>
      <c r="M2102" s="281">
        <f>IF(MOD(C2102,7)&lt;2,0,IF(MOD(C2102,7)=6,3,1))</f>
        <v>0</v>
      </c>
      <c r="N2102" s="292">
        <f t="shared" si="195"/>
        <v>1</v>
      </c>
    </row>
    <row r="2103" spans="1:14">
      <c r="A2103" s="304"/>
      <c r="B2103" s="305"/>
      <c r="C2103" s="103">
        <f t="shared" si="193"/>
        <v>45901</v>
      </c>
      <c r="D2103" s="173" t="s">
        <v>112</v>
      </c>
      <c r="E2103" s="170"/>
      <c r="F2103" s="58" t="str">
        <f>VLOOKUP(MOD(C2103,7),'CALENDAR INFO'!$I$2:$J$8,2)</f>
        <v>MON</v>
      </c>
      <c r="G2103" s="214">
        <v>4.33</v>
      </c>
      <c r="H2103" s="425">
        <v>4.34</v>
      </c>
      <c r="I2103" s="457">
        <f t="shared" si="192"/>
        <v>9.9999999999997868E-3</v>
      </c>
      <c r="J2103" s="15" t="s">
        <v>151</v>
      </c>
      <c r="K2103" s="360">
        <f>ROW()</f>
        <v>2103</v>
      </c>
      <c r="L2103" s="233">
        <f>K2103</f>
        <v>2103</v>
      </c>
      <c r="M2103" s="117">
        <v>0</v>
      </c>
      <c r="N2103" s="64">
        <f t="shared" si="195"/>
        <v>1</v>
      </c>
    </row>
    <row r="2104" spans="1:14">
      <c r="A2104" s="304"/>
      <c r="B2104" s="305"/>
      <c r="C2104" s="103">
        <f t="shared" si="193"/>
        <v>45902</v>
      </c>
      <c r="E2104" s="170"/>
      <c r="F2104" s="58" t="str">
        <f>VLOOKUP(MOD(C2104,7),'CALENDAR INFO'!$I$2:$J$8,2)</f>
        <v>TUE</v>
      </c>
      <c r="G2104" s="214">
        <v>4.33</v>
      </c>
      <c r="H2104" s="425">
        <v>4.3899999999999997</v>
      </c>
      <c r="I2104" s="457">
        <f t="shared" si="192"/>
        <v>5.9999999999999609E-2</v>
      </c>
      <c r="J2104" s="15" t="s">
        <v>118</v>
      </c>
      <c r="K2104" s="15">
        <f>VLOOKUP(MONTH($C2103),'CALENDAR INFO'!$I$12:$J$23,2)</f>
        <v>30</v>
      </c>
      <c r="L2104" s="179">
        <f>K2104</f>
        <v>30</v>
      </c>
      <c r="M2104" s="113">
        <f t="shared" ref="M2104:M2141" si="197">IF(MOD(C2104,7)&lt;2,0,IF(MOD(C2104,7)=6,3,1))</f>
        <v>1</v>
      </c>
      <c r="N2104" s="64">
        <f t="shared" si="195"/>
        <v>1.0001219444444445</v>
      </c>
    </row>
    <row r="2105" spans="1:14">
      <c r="A2105" s="304"/>
      <c r="B2105" s="305"/>
      <c r="C2105" s="103">
        <f t="shared" si="193"/>
        <v>45903</v>
      </c>
      <c r="E2105" s="170" t="s">
        <v>19</v>
      </c>
      <c r="F2105" s="58" t="str">
        <f>VLOOKUP(MOD(C2105,7),'CALENDAR INFO'!$I$2:$J$8,2)</f>
        <v>WED</v>
      </c>
      <c r="G2105" s="214">
        <v>4.33</v>
      </c>
      <c r="H2105" s="425">
        <v>4.3899999999999997</v>
      </c>
      <c r="I2105" s="457">
        <f t="shared" si="192"/>
        <v>5.9999999999999609E-2</v>
      </c>
      <c r="J2105" s="15" t="s">
        <v>152</v>
      </c>
      <c r="K2105" s="15">
        <f>K2103+K2104-1</f>
        <v>2132</v>
      </c>
      <c r="L2105" s="179">
        <f>K2105</f>
        <v>2132</v>
      </c>
      <c r="M2105" s="113">
        <f t="shared" si="197"/>
        <v>1</v>
      </c>
      <c r="N2105" s="64">
        <f t="shared" si="195"/>
        <v>1.0001219444444445</v>
      </c>
    </row>
    <row r="2106" spans="1:14">
      <c r="A2106" s="304"/>
      <c r="B2106" s="305"/>
      <c r="C2106" s="103">
        <f t="shared" si="193"/>
        <v>45904</v>
      </c>
      <c r="E2106" s="167" t="s">
        <v>18</v>
      </c>
      <c r="F2106" s="58" t="str">
        <f>VLOOKUP(MOD(C2106,7),'CALENDAR INFO'!$I$2:$J$8,2)</f>
        <v>THU</v>
      </c>
      <c r="G2106" s="214">
        <v>4.33</v>
      </c>
      <c r="H2106" s="425">
        <v>4.41</v>
      </c>
      <c r="I2106" s="457">
        <f t="shared" si="192"/>
        <v>8.0000000000000071E-2</v>
      </c>
      <c r="J2106" s="15" t="s">
        <v>244</v>
      </c>
      <c r="K2106" s="176">
        <f>ROW(D2119)</f>
        <v>2119</v>
      </c>
      <c r="L2106" s="179">
        <f>K2106</f>
        <v>2119</v>
      </c>
      <c r="M2106" s="113">
        <f t="shared" si="197"/>
        <v>1</v>
      </c>
      <c r="N2106" s="64">
        <f t="shared" si="195"/>
        <v>1.0001225</v>
      </c>
    </row>
    <row r="2107" spans="1:14">
      <c r="A2107" s="304"/>
      <c r="B2107" s="305"/>
      <c r="C2107" s="103">
        <f t="shared" si="193"/>
        <v>45905</v>
      </c>
      <c r="E2107" s="167"/>
      <c r="F2107" s="58" t="str">
        <f>VLOOKUP(MOD(C2107,7),'CALENDAR INFO'!$I$2:$J$8,2)</f>
        <v>FRI</v>
      </c>
      <c r="G2107" s="214">
        <v>4.33</v>
      </c>
      <c r="H2107" s="425">
        <v>4.42</v>
      </c>
      <c r="I2107" s="457">
        <f t="shared" si="192"/>
        <v>8.9999999999999858E-2</v>
      </c>
      <c r="K2107" s="176"/>
      <c r="M2107" s="113">
        <f t="shared" si="197"/>
        <v>3</v>
      </c>
      <c r="N2107" s="64">
        <f t="shared" si="195"/>
        <v>1.0003683333333333</v>
      </c>
    </row>
    <row r="2108" spans="1:14">
      <c r="A2108" s="304"/>
      <c r="B2108" s="305"/>
      <c r="C2108" s="103">
        <f t="shared" si="193"/>
        <v>45906</v>
      </c>
      <c r="E2108" s="167"/>
      <c r="F2108" s="58" t="str">
        <f>VLOOKUP(MOD(C2108,7),'CALENDAR INFO'!$I$2:$J$8,2)</f>
        <v>SAT</v>
      </c>
      <c r="G2108" s="214">
        <v>4.33</v>
      </c>
      <c r="H2108" s="425">
        <v>4.42</v>
      </c>
      <c r="I2108" s="457">
        <f t="shared" si="192"/>
        <v>8.9999999999999858E-2</v>
      </c>
      <c r="J2108" s="15" t="s">
        <v>153</v>
      </c>
      <c r="K2108" s="15" t="str">
        <f>_xlfn.CONCAT(ADDRESS(K2103,7),":",ADDRESS(K2105,7))</f>
        <v>$G$2103:$G$2132</v>
      </c>
      <c r="L2108" s="179" t="str">
        <f>_xlfn.CONCAT(ADDRESS(L2103,8),":",ADDRESS(L2105,8))</f>
        <v>$H$2103:$H$2132</v>
      </c>
      <c r="M2108" s="113">
        <f t="shared" si="197"/>
        <v>0</v>
      </c>
      <c r="N2108" s="64">
        <f t="shared" si="195"/>
        <v>1</v>
      </c>
    </row>
    <row r="2109" spans="1:14">
      <c r="A2109" s="304"/>
      <c r="B2109" s="305"/>
      <c r="C2109" s="103">
        <f t="shared" si="193"/>
        <v>45907</v>
      </c>
      <c r="E2109" s="167"/>
      <c r="F2109" s="58" t="str">
        <f>VLOOKUP(MOD(C2109,7),'CALENDAR INFO'!$I$2:$J$8,2)</f>
        <v>SUN</v>
      </c>
      <c r="G2109" s="214">
        <v>4.33</v>
      </c>
      <c r="H2109" s="425">
        <v>4.42</v>
      </c>
      <c r="I2109" s="457">
        <f t="shared" si="192"/>
        <v>8.9999999999999858E-2</v>
      </c>
      <c r="J2109" s="176" t="s">
        <v>235</v>
      </c>
      <c r="K2109" s="15" t="str">
        <f>_xlfn.CONCAT(ADDRESS(K2103,1),":",ADDRESS(K2106,1))</f>
        <v>$A$2103:$A$2119</v>
      </c>
      <c r="L2109" s="179" t="str">
        <f>_xlfn.CONCAT(ADDRESS(L2103,2),":",ADDRESS(L2106,2))</f>
        <v>$B$2103:$B$2119</v>
      </c>
      <c r="M2109" s="113">
        <f t="shared" si="197"/>
        <v>0</v>
      </c>
      <c r="N2109" s="64">
        <f t="shared" si="195"/>
        <v>1</v>
      </c>
    </row>
    <row r="2110" spans="1:14">
      <c r="A2110" s="304"/>
      <c r="B2110" s="305"/>
      <c r="C2110" s="103">
        <f t="shared" si="193"/>
        <v>45908</v>
      </c>
      <c r="E2110" s="167"/>
      <c r="F2110" s="58" t="str">
        <f>VLOOKUP(MOD(C2110,7),'CALENDAR INFO'!$I$2:$J$8,2)</f>
        <v>MON</v>
      </c>
      <c r="G2110" s="214">
        <v>4.33</v>
      </c>
      <c r="H2110" s="425">
        <v>4.4000000000000004</v>
      </c>
      <c r="I2110" s="457">
        <f t="shared" si="192"/>
        <v>7.0000000000000284E-2</v>
      </c>
      <c r="J2110" s="176" t="s">
        <v>236</v>
      </c>
      <c r="K2110" s="15" t="str">
        <f>_xlfn.CONCAT(ADDRESS(K2106+1,1),":",ADDRESS(K2105,1))</f>
        <v>$A$2120:$A$2132</v>
      </c>
      <c r="L2110" s="179" t="str">
        <f>_xlfn.CONCAT(ADDRESS(L2106+1,2),":",ADDRESS(L2105,2))</f>
        <v>$B$2120:$B$2132</v>
      </c>
      <c r="M2110" s="113">
        <f t="shared" si="197"/>
        <v>1</v>
      </c>
      <c r="N2110" s="64">
        <f t="shared" si="195"/>
        <v>1.0001222222222221</v>
      </c>
    </row>
    <row r="2111" spans="1:14">
      <c r="A2111" s="304"/>
      <c r="B2111" s="305"/>
      <c r="C2111" s="103">
        <f t="shared" si="193"/>
        <v>45909</v>
      </c>
      <c r="E2111" s="167"/>
      <c r="F2111" s="58" t="str">
        <f>VLOOKUP(MOD(C2111,7),'CALENDAR INFO'!$I$2:$J$8,2)</f>
        <v>TUE</v>
      </c>
      <c r="G2111" s="214">
        <v>4.33</v>
      </c>
      <c r="H2111" s="425">
        <v>4.4000000000000004</v>
      </c>
      <c r="I2111" s="457">
        <f t="shared" si="192"/>
        <v>7.0000000000000284E-2</v>
      </c>
      <c r="M2111" s="113">
        <f t="shared" si="197"/>
        <v>1</v>
      </c>
      <c r="N2111" s="64">
        <f t="shared" si="195"/>
        <v>1.0001222222222221</v>
      </c>
    </row>
    <row r="2112" spans="1:14">
      <c r="A2112" s="304"/>
      <c r="B2112" s="305"/>
      <c r="C2112" s="103">
        <f t="shared" si="193"/>
        <v>45910</v>
      </c>
      <c r="E2112" s="167"/>
      <c r="F2112" s="58" t="str">
        <f>VLOOKUP(MOD(C2112,7),'CALENDAR INFO'!$I$2:$J$8,2)</f>
        <v>WED</v>
      </c>
      <c r="G2112" s="214">
        <v>4.33</v>
      </c>
      <c r="H2112" s="425">
        <v>4.3899999999999997</v>
      </c>
      <c r="I2112" s="457">
        <f t="shared" si="192"/>
        <v>5.9999999999999609E-2</v>
      </c>
      <c r="J2112" s="15" t="s">
        <v>241</v>
      </c>
      <c r="K2112" s="186">
        <f>A2102+G2102</f>
        <v>4.33</v>
      </c>
      <c r="L2112" s="194">
        <f>B2102+H2102</f>
        <v>4.34</v>
      </c>
      <c r="M2112" s="113">
        <f t="shared" si="197"/>
        <v>1</v>
      </c>
      <c r="N2112" s="64">
        <f t="shared" si="195"/>
        <v>1.0001219444444445</v>
      </c>
    </row>
    <row r="2113" spans="1:14">
      <c r="A2113" s="304"/>
      <c r="B2113" s="305"/>
      <c r="C2113" s="103">
        <f t="shared" si="193"/>
        <v>45911</v>
      </c>
      <c r="E2113" s="167"/>
      <c r="F2113" s="58" t="str">
        <f>VLOOKUP(MOD(C2113,7),'CALENDAR INFO'!$I$2:$J$8,2)</f>
        <v>THU</v>
      </c>
      <c r="G2113" s="214">
        <v>4.33</v>
      </c>
      <c r="H2113" s="425">
        <v>4.41</v>
      </c>
      <c r="I2113" s="457">
        <f t="shared" si="192"/>
        <v>8.0000000000000071E-2</v>
      </c>
      <c r="M2113" s="113">
        <f t="shared" si="197"/>
        <v>1</v>
      </c>
      <c r="N2113" s="64">
        <f t="shared" si="195"/>
        <v>1.0001225</v>
      </c>
    </row>
    <row r="2114" spans="1:14">
      <c r="A2114" s="304"/>
      <c r="B2114" s="305"/>
      <c r="C2114" s="103">
        <f t="shared" si="193"/>
        <v>45912</v>
      </c>
      <c r="E2114" s="167"/>
      <c r="F2114" s="58" t="str">
        <f>VLOOKUP(MOD(C2114,7),'CALENDAR INFO'!$I$2:$J$8,2)</f>
        <v>FRI</v>
      </c>
      <c r="G2114" s="214">
        <v>4.33</v>
      </c>
      <c r="H2114" s="425">
        <v>4.42</v>
      </c>
      <c r="I2114" s="457">
        <f t="shared" si="192"/>
        <v>8.9999999999999858E-2</v>
      </c>
      <c r="J2114" s="15" t="s">
        <v>197</v>
      </c>
      <c r="K2114" s="180" t="e">
        <f>OUTPUT!#REF!</f>
        <v>#REF!</v>
      </c>
      <c r="L2114" s="193" t="e">
        <f>OUTPUT!#REF!</f>
        <v>#REF!</v>
      </c>
      <c r="M2114" s="113">
        <f t="shared" si="197"/>
        <v>3</v>
      </c>
      <c r="N2114" s="64">
        <f t="shared" si="195"/>
        <v>1.0003683333333333</v>
      </c>
    </row>
    <row r="2115" spans="1:14">
      <c r="A2115" s="304"/>
      <c r="B2115" s="305"/>
      <c r="C2115" s="103">
        <f t="shared" si="193"/>
        <v>45913</v>
      </c>
      <c r="E2115" s="167"/>
      <c r="F2115" s="58" t="str">
        <f>VLOOKUP(MOD(C2115,7),'CALENDAR INFO'!$I$2:$J$8,2)</f>
        <v>SAT</v>
      </c>
      <c r="G2115" s="214">
        <v>4.33</v>
      </c>
      <c r="H2115" s="425">
        <v>4.42</v>
      </c>
      <c r="I2115" s="457">
        <f t="shared" ref="I2115:I2178" si="198">H2115-G2115</f>
        <v>8.9999999999999858E-2</v>
      </c>
      <c r="J2115" s="15" t="s">
        <v>118</v>
      </c>
      <c r="K2115" s="221">
        <f>VLOOKUP(MONTH($C2109),'CALENDAR INFO'!$I$12:$J$23,2)</f>
        <v>30</v>
      </c>
      <c r="L2115" s="223">
        <f>K2115</f>
        <v>30</v>
      </c>
      <c r="M2115" s="113">
        <f t="shared" si="197"/>
        <v>0</v>
      </c>
      <c r="N2115" s="64">
        <f t="shared" si="195"/>
        <v>1</v>
      </c>
    </row>
    <row r="2116" spans="1:14">
      <c r="A2116" s="304"/>
      <c r="B2116" s="305"/>
      <c r="C2116" s="103">
        <f t="shared" ref="C2116:C2179" si="199">C2115+1</f>
        <v>45914</v>
      </c>
      <c r="E2116" s="167"/>
      <c r="F2116" s="58" t="str">
        <f>VLOOKUP(MOD(C2116,7),'CALENDAR INFO'!$I$2:$J$8,2)</f>
        <v>SUN</v>
      </c>
      <c r="G2116" s="214">
        <v>4.33</v>
      </c>
      <c r="H2116" s="425">
        <v>4.42</v>
      </c>
      <c r="I2116" s="457">
        <f t="shared" si="198"/>
        <v>8.9999999999999858E-2</v>
      </c>
      <c r="J2116" s="15" t="s">
        <v>234</v>
      </c>
      <c r="K2116" s="178" t="e">
        <f>K2114*K2104</f>
        <v>#REF!</v>
      </c>
      <c r="L2116" s="192" t="e">
        <f>L2114*L2104</f>
        <v>#REF!</v>
      </c>
      <c r="M2116" s="113">
        <f t="shared" si="197"/>
        <v>0</v>
      </c>
      <c r="N2116" s="64">
        <f t="shared" si="195"/>
        <v>1</v>
      </c>
    </row>
    <row r="2117" spans="1:14">
      <c r="A2117" s="304"/>
      <c r="B2117" s="305"/>
      <c r="C2117" s="103">
        <f t="shared" si="199"/>
        <v>45915</v>
      </c>
      <c r="E2117" s="167"/>
      <c r="F2117" s="58" t="str">
        <f>VLOOKUP(MOD(C2117,7),'CALENDAR INFO'!$I$2:$J$8,2)</f>
        <v>MON</v>
      </c>
      <c r="G2117" s="214">
        <v>4.33</v>
      </c>
      <c r="H2117" s="425">
        <v>4.51</v>
      </c>
      <c r="I2117" s="457">
        <f t="shared" si="198"/>
        <v>0.17999999999999972</v>
      </c>
      <c r="M2117" s="113">
        <f t="shared" si="197"/>
        <v>1</v>
      </c>
      <c r="N2117" s="64">
        <f t="shared" si="195"/>
        <v>1.0001252777777778</v>
      </c>
    </row>
    <row r="2118" spans="1:14">
      <c r="A2118" s="304"/>
      <c r="B2118" s="305"/>
      <c r="C2118" s="103">
        <f t="shared" si="199"/>
        <v>45916</v>
      </c>
      <c r="D2118" s="153" t="s">
        <v>20</v>
      </c>
      <c r="E2118" s="167"/>
      <c r="F2118" s="58" t="str">
        <f>VLOOKUP(MOD(C2118,7),'CALENDAR INFO'!$I$2:$J$8,2)</f>
        <v>TUE</v>
      </c>
      <c r="G2118" s="214">
        <v>4.33</v>
      </c>
      <c r="H2118" s="425">
        <v>4.3899999999999997</v>
      </c>
      <c r="I2118" s="457">
        <f t="shared" si="198"/>
        <v>5.9999999999999609E-2</v>
      </c>
      <c r="J2118" s="15" t="str">
        <f>J2116</f>
        <v>monthly target</v>
      </c>
      <c r="K2118" s="178" t="e">
        <f>K2116</f>
        <v>#REF!</v>
      </c>
      <c r="L2118" s="192" t="e">
        <f>L2116</f>
        <v>#REF!</v>
      </c>
      <c r="M2118" s="113">
        <f t="shared" si="197"/>
        <v>1</v>
      </c>
      <c r="N2118" s="64">
        <f t="shared" si="195"/>
        <v>1.0001219444444445</v>
      </c>
    </row>
    <row r="2119" spans="1:14">
      <c r="A2119" s="304"/>
      <c r="B2119" s="305"/>
      <c r="C2119" s="103">
        <f t="shared" si="199"/>
        <v>45917</v>
      </c>
      <c r="D2119" s="153" t="s">
        <v>20</v>
      </c>
      <c r="E2119" s="167" t="s">
        <v>19</v>
      </c>
      <c r="F2119" s="58" t="str">
        <f>VLOOKUP(MOD(C2119,7),'CALENDAR INFO'!$I$2:$J$8,2)</f>
        <v>WED</v>
      </c>
      <c r="G2119" s="214">
        <v>4.33</v>
      </c>
      <c r="H2119" s="425">
        <v>4.38</v>
      </c>
      <c r="I2119" s="457">
        <f t="shared" si="198"/>
        <v>4.9999999999999822E-2</v>
      </c>
      <c r="J2119" s="15" t="s">
        <v>155</v>
      </c>
      <c r="K2119" s="178">
        <f ca="1">SUM(INDIRECT(K2108))</f>
        <v>126.74000000000001</v>
      </c>
      <c r="L2119" s="192">
        <f ca="1">SUM(INDIRECT(L2108))</f>
        <v>128.91</v>
      </c>
      <c r="M2119" s="113">
        <f t="shared" si="197"/>
        <v>1</v>
      </c>
      <c r="N2119" s="64">
        <f t="shared" si="195"/>
        <v>1.0001216666666666</v>
      </c>
    </row>
    <row r="2120" spans="1:14">
      <c r="B2120" s="41"/>
      <c r="C2120" s="103">
        <f t="shared" si="199"/>
        <v>45918</v>
      </c>
      <c r="E2120" s="170" t="s">
        <v>18</v>
      </c>
      <c r="F2120" s="58" t="str">
        <f>VLOOKUP(MOD(C2120,7),'CALENDAR INFO'!$I$2:$J$8,2)</f>
        <v>THU</v>
      </c>
      <c r="G2120" s="214">
        <v>4.08</v>
      </c>
      <c r="H2120" s="425">
        <v>4.1399999999999997</v>
      </c>
      <c r="I2120" s="457">
        <f t="shared" si="198"/>
        <v>5.9999999999999609E-2</v>
      </c>
      <c r="J2120" s="15" t="s">
        <v>237</v>
      </c>
      <c r="K2120" s="400">
        <f ca="1">SUM(INDIRECT(K2109))</f>
        <v>0</v>
      </c>
      <c r="L2120" s="401">
        <f ca="1">SUM(INDIRECT(L2109))</f>
        <v>0</v>
      </c>
      <c r="M2120" s="113">
        <f t="shared" si="197"/>
        <v>1</v>
      </c>
      <c r="N2120" s="64">
        <f t="shared" si="195"/>
        <v>1.0001150000000001</v>
      </c>
    </row>
    <row r="2121" spans="1:14">
      <c r="B2121" s="41"/>
      <c r="C2121" s="103">
        <f t="shared" si="199"/>
        <v>45919</v>
      </c>
      <c r="E2121" s="170"/>
      <c r="F2121" s="58" t="str">
        <f>VLOOKUP(MOD(C2121,7),'CALENDAR INFO'!$I$2:$J$8,2)</f>
        <v>FRI</v>
      </c>
      <c r="G2121" s="214">
        <v>4.08</v>
      </c>
      <c r="H2121" s="425">
        <v>4.1399999999999997</v>
      </c>
      <c r="I2121" s="457">
        <f t="shared" si="198"/>
        <v>5.9999999999999609E-2</v>
      </c>
      <c r="J2121" s="15" t="s">
        <v>238</v>
      </c>
      <c r="K2121" s="182" t="e">
        <f ca="1">K2116-K2119-K2120</f>
        <v>#REF!</v>
      </c>
      <c r="L2121" s="201" t="e">
        <f ca="1">L2116-L2119-L2120</f>
        <v>#REF!</v>
      </c>
      <c r="M2121" s="113">
        <f t="shared" si="197"/>
        <v>3</v>
      </c>
      <c r="N2121" s="64">
        <f t="shared" si="195"/>
        <v>1.000345</v>
      </c>
    </row>
    <row r="2122" spans="1:14">
      <c r="B2122" s="41"/>
      <c r="C2122" s="103">
        <f t="shared" si="199"/>
        <v>45920</v>
      </c>
      <c r="E2122" s="170"/>
      <c r="F2122" s="58" t="str">
        <f>VLOOKUP(MOD(C2122,7),'CALENDAR INFO'!$I$2:$J$8,2)</f>
        <v>SAT</v>
      </c>
      <c r="G2122" s="214">
        <v>4.08</v>
      </c>
      <c r="H2122" s="425">
        <v>4.1399999999999997</v>
      </c>
      <c r="I2122" s="457">
        <f t="shared" si="198"/>
        <v>5.9999999999999609E-2</v>
      </c>
      <c r="K2122" s="178"/>
      <c r="L2122" s="192"/>
      <c r="M2122" s="113">
        <f t="shared" si="197"/>
        <v>0</v>
      </c>
      <c r="N2122" s="64">
        <f t="shared" si="195"/>
        <v>1</v>
      </c>
    </row>
    <row r="2123" spans="1:14">
      <c r="B2123" s="41"/>
      <c r="C2123" s="103">
        <f t="shared" si="199"/>
        <v>45921</v>
      </c>
      <c r="E2123" s="170"/>
      <c r="F2123" s="58" t="str">
        <f>VLOOKUP(MOD(C2123,7),'CALENDAR INFO'!$I$2:$J$8,2)</f>
        <v>SUN</v>
      </c>
      <c r="G2123" s="214">
        <v>4.08</v>
      </c>
      <c r="H2123" s="425">
        <v>4.1399999999999997</v>
      </c>
      <c r="I2123" s="457">
        <f t="shared" si="198"/>
        <v>5.9999999999999609E-2</v>
      </c>
      <c r="J2123" s="15" t="s">
        <v>242</v>
      </c>
      <c r="K2123" s="15">
        <f>K2115</f>
        <v>30</v>
      </c>
      <c r="L2123" s="179">
        <f>L2115</f>
        <v>30</v>
      </c>
      <c r="M2123" s="113">
        <f t="shared" si="197"/>
        <v>0</v>
      </c>
      <c r="N2123" s="64">
        <f t="shared" si="195"/>
        <v>1</v>
      </c>
    </row>
    <row r="2124" spans="1:14">
      <c r="B2124" s="41"/>
      <c r="C2124" s="103">
        <f t="shared" si="199"/>
        <v>45922</v>
      </c>
      <c r="E2124" s="170"/>
      <c r="F2124" s="58" t="str">
        <f>VLOOKUP(MOD(C2124,7),'CALENDAR INFO'!$I$2:$J$8,2)</f>
        <v>MON</v>
      </c>
      <c r="G2124" s="214">
        <v>4.09</v>
      </c>
      <c r="H2124" s="425">
        <v>4.1399999999999997</v>
      </c>
      <c r="I2124" s="457">
        <f t="shared" si="198"/>
        <v>4.9999999999999822E-2</v>
      </c>
      <c r="J2124" s="15" t="s">
        <v>194</v>
      </c>
      <c r="K2124" s="15">
        <f ca="1">COUNTA(INDIRECT(K2108))</f>
        <v>30</v>
      </c>
      <c r="L2124" s="179">
        <f ca="1">COUNTA(INDIRECT(L2108))</f>
        <v>30</v>
      </c>
      <c r="M2124" s="113">
        <f t="shared" si="197"/>
        <v>1</v>
      </c>
      <c r="N2124" s="64">
        <f t="shared" si="195"/>
        <v>1.0001150000000001</v>
      </c>
    </row>
    <row r="2125" spans="1:14">
      <c r="B2125" s="41"/>
      <c r="C2125" s="103">
        <f t="shared" si="199"/>
        <v>45923</v>
      </c>
      <c r="E2125" s="170"/>
      <c r="F2125" s="58" t="str">
        <f>VLOOKUP(MOD(C2125,7),'CALENDAR INFO'!$I$2:$J$8,2)</f>
        <v>TUE</v>
      </c>
      <c r="G2125" s="214">
        <v>4.09</v>
      </c>
      <c r="H2125" s="425">
        <v>4.12</v>
      </c>
      <c r="I2125" s="457">
        <f t="shared" si="198"/>
        <v>3.0000000000000249E-2</v>
      </c>
      <c r="J2125" s="15" t="s">
        <v>243</v>
      </c>
      <c r="K2125" s="402">
        <f ca="1">COUNTA(INDIRECT(K2109))</f>
        <v>0</v>
      </c>
      <c r="L2125" s="403">
        <f ca="1">COUNTA(INDIRECT(L2109))</f>
        <v>0</v>
      </c>
      <c r="M2125" s="113">
        <f t="shared" si="197"/>
        <v>1</v>
      </c>
      <c r="N2125" s="64">
        <f t="shared" si="195"/>
        <v>1.0001144444444445</v>
      </c>
    </row>
    <row r="2126" spans="1:14">
      <c r="B2126" s="41"/>
      <c r="C2126" s="103">
        <f t="shared" si="199"/>
        <v>45924</v>
      </c>
      <c r="E2126" s="170"/>
      <c r="F2126" s="58" t="str">
        <f>VLOOKUP(MOD(C2126,7),'CALENDAR INFO'!$I$2:$J$8,2)</f>
        <v>WED</v>
      </c>
      <c r="G2126" s="214">
        <v>4.09</v>
      </c>
      <c r="H2126" s="425">
        <v>4.13</v>
      </c>
      <c r="I2126" s="457">
        <f t="shared" si="198"/>
        <v>4.0000000000000036E-2</v>
      </c>
      <c r="J2126" s="15" t="s">
        <v>239</v>
      </c>
      <c r="K2126" s="152">
        <f ca="1">K2123-K2124-K2125</f>
        <v>0</v>
      </c>
      <c r="L2126" s="202">
        <f ca="1">L2123-L2124-L2125</f>
        <v>0</v>
      </c>
      <c r="M2126" s="113">
        <f t="shared" si="197"/>
        <v>1</v>
      </c>
      <c r="N2126" s="64">
        <f t="shared" si="195"/>
        <v>1.0001147222222222</v>
      </c>
    </row>
    <row r="2127" spans="1:14">
      <c r="B2127" s="41"/>
      <c r="C2127" s="103">
        <f t="shared" si="199"/>
        <v>45925</v>
      </c>
      <c r="E2127" s="170"/>
      <c r="F2127" s="58" t="str">
        <f>VLOOKUP(MOD(C2127,7),'CALENDAR INFO'!$I$2:$J$8,2)</f>
        <v>THU</v>
      </c>
      <c r="G2127" s="214">
        <v>4.09</v>
      </c>
      <c r="H2127" s="425">
        <v>4.18</v>
      </c>
      <c r="I2127" s="457">
        <f t="shared" si="198"/>
        <v>8.9999999999999858E-2</v>
      </c>
      <c r="K2127" s="178"/>
      <c r="L2127" s="192"/>
      <c r="M2127" s="113">
        <f t="shared" si="197"/>
        <v>1</v>
      </c>
      <c r="N2127" s="64">
        <f t="shared" si="195"/>
        <v>1.0001161111111112</v>
      </c>
    </row>
    <row r="2128" spans="1:14">
      <c r="B2128" s="41"/>
      <c r="C2128" s="103">
        <f t="shared" si="199"/>
        <v>45926</v>
      </c>
      <c r="E2128" s="170"/>
      <c r="F2128" s="58" t="str">
        <f>VLOOKUP(MOD(C2128,7),'CALENDAR INFO'!$I$2:$J$8,2)</f>
        <v>FRI</v>
      </c>
      <c r="G2128" s="214">
        <v>4.09</v>
      </c>
      <c r="H2128" s="425">
        <v>4.16</v>
      </c>
      <c r="I2128" s="457">
        <f t="shared" si="198"/>
        <v>7.0000000000000284E-2</v>
      </c>
      <c r="J2128" s="15" t="s">
        <v>238</v>
      </c>
      <c r="K2128" s="178" t="e">
        <f ca="1">K2121</f>
        <v>#REF!</v>
      </c>
      <c r="L2128" s="192" t="e">
        <f ca="1">L2121</f>
        <v>#REF!</v>
      </c>
      <c r="M2128" s="113">
        <f t="shared" si="197"/>
        <v>3</v>
      </c>
      <c r="N2128" s="64">
        <f t="shared" si="195"/>
        <v>1.0003466666666667</v>
      </c>
    </row>
    <row r="2129" spans="1:14">
      <c r="B2129" s="41"/>
      <c r="C2129" s="103">
        <f t="shared" si="199"/>
        <v>45927</v>
      </c>
      <c r="E2129" s="170"/>
      <c r="F2129" s="58" t="str">
        <f>VLOOKUP(MOD(C2129,7),'CALENDAR INFO'!$I$2:$J$8,2)</f>
        <v>SAT</v>
      </c>
      <c r="G2129" s="214">
        <v>4.09</v>
      </c>
      <c r="H2129" s="425">
        <v>4.16</v>
      </c>
      <c r="I2129" s="457">
        <f t="shared" si="198"/>
        <v>7.0000000000000284E-2</v>
      </c>
      <c r="J2129" s="15" t="s">
        <v>239</v>
      </c>
      <c r="K2129" s="221">
        <f ca="1">K2126</f>
        <v>0</v>
      </c>
      <c r="L2129" s="223">
        <f ca="1">L2126</f>
        <v>0</v>
      </c>
      <c r="M2129" s="113">
        <f t="shared" si="197"/>
        <v>0</v>
      </c>
      <c r="N2129" s="64">
        <f t="shared" si="195"/>
        <v>1</v>
      </c>
    </row>
    <row r="2130" spans="1:14">
      <c r="B2130" s="41"/>
      <c r="C2130" s="103">
        <f t="shared" si="199"/>
        <v>45928</v>
      </c>
      <c r="E2130" s="170"/>
      <c r="F2130" s="58" t="str">
        <f>VLOOKUP(MOD(C2130,7),'CALENDAR INFO'!$I$2:$J$8,2)</f>
        <v>SUN</v>
      </c>
      <c r="G2130" s="214">
        <v>4.09</v>
      </c>
      <c r="H2130" s="425">
        <v>4.16</v>
      </c>
      <c r="I2130" s="457">
        <f t="shared" si="198"/>
        <v>7.0000000000000284E-2</v>
      </c>
      <c r="J2130" s="15" t="s">
        <v>240</v>
      </c>
      <c r="K2130" s="178" t="e">
        <f ca="1">K2128/K2129</f>
        <v>#REF!</v>
      </c>
      <c r="L2130" s="192" t="e">
        <f ca="1">L2128/L2129</f>
        <v>#REF!</v>
      </c>
      <c r="M2130" s="113">
        <f t="shared" si="197"/>
        <v>0</v>
      </c>
      <c r="N2130" s="64">
        <f t="shared" si="195"/>
        <v>1</v>
      </c>
    </row>
    <row r="2131" spans="1:14">
      <c r="B2131" s="41"/>
      <c r="C2131" s="103">
        <f t="shared" si="199"/>
        <v>45929</v>
      </c>
      <c r="E2131" s="170"/>
      <c r="F2131" s="58" t="str">
        <f>VLOOKUP(MOD(C2131,7),'CALENDAR INFO'!$I$2:$J$8,2)</f>
        <v>MON</v>
      </c>
      <c r="G2131" s="214">
        <v>4.09</v>
      </c>
      <c r="H2131" s="425">
        <v>4.13</v>
      </c>
      <c r="I2131" s="457">
        <f t="shared" si="198"/>
        <v>4.0000000000000036E-2</v>
      </c>
      <c r="K2131" s="189">
        <f>100-AVERAGE(G2103:G2132)</f>
        <v>95.775333333333336</v>
      </c>
      <c r="L2131" s="415">
        <f>100-AVERAGE(H2103:H2132)</f>
        <v>95.703000000000003</v>
      </c>
      <c r="M2131" s="113">
        <f t="shared" si="197"/>
        <v>1</v>
      </c>
      <c r="N2131" s="64">
        <f t="shared" ref="N2131:N2194" si="200">1+(M2131/360)*(MAX(H2131,B2131)/100)</f>
        <v>1.0001147222222222</v>
      </c>
    </row>
    <row r="2132" spans="1:14" ht="15.75" thickBot="1">
      <c r="A2132" s="98"/>
      <c r="B2132" s="230"/>
      <c r="C2132" s="104">
        <f t="shared" si="199"/>
        <v>45930</v>
      </c>
      <c r="D2132" s="112"/>
      <c r="E2132" s="101"/>
      <c r="F2132" s="71" t="str">
        <f>VLOOKUP(MOD(C2132,7),'CALENDAR INFO'!$I$2:$J$8,2)</f>
        <v>TUE</v>
      </c>
      <c r="G2132" s="215">
        <v>4.09</v>
      </c>
      <c r="H2132" s="426">
        <v>4.24</v>
      </c>
      <c r="I2132" s="458">
        <f t="shared" si="198"/>
        <v>0.15000000000000036</v>
      </c>
      <c r="J2132" s="348"/>
      <c r="K2132" s="348" t="s">
        <v>245</v>
      </c>
      <c r="L2132" s="349" t="s">
        <v>245</v>
      </c>
      <c r="M2132" s="114">
        <f t="shared" si="197"/>
        <v>1</v>
      </c>
      <c r="N2132" s="292">
        <f t="shared" si="200"/>
        <v>1.0001177777777779</v>
      </c>
    </row>
    <row r="2133" spans="1:14">
      <c r="A2133" s="84"/>
      <c r="B2133" s="404"/>
      <c r="C2133" s="103">
        <f t="shared" si="199"/>
        <v>45931</v>
      </c>
      <c r="E2133" s="170" t="s">
        <v>19</v>
      </c>
      <c r="F2133" s="58" t="str">
        <f>VLOOKUP(MOD(C2133,7),'CALENDAR INFO'!$I$2:$J$8,2)</f>
        <v>WED</v>
      </c>
      <c r="G2133" s="214">
        <v>4.09</v>
      </c>
      <c r="H2133" s="425">
        <v>4.2</v>
      </c>
      <c r="I2133" s="457">
        <f t="shared" si="198"/>
        <v>0.11000000000000032</v>
      </c>
      <c r="J2133" s="15" t="s">
        <v>151</v>
      </c>
      <c r="K2133" s="360">
        <f>ROW()</f>
        <v>2133</v>
      </c>
      <c r="L2133" s="60">
        <f>K2133</f>
        <v>2133</v>
      </c>
      <c r="M2133" s="113">
        <f t="shared" si="197"/>
        <v>1</v>
      </c>
      <c r="N2133" s="64">
        <f t="shared" si="200"/>
        <v>1.0001166666666668</v>
      </c>
    </row>
    <row r="2134" spans="1:14">
      <c r="A2134" s="84"/>
      <c r="B2134" s="228"/>
      <c r="C2134" s="103">
        <f t="shared" si="199"/>
        <v>45932</v>
      </c>
      <c r="E2134" s="167" t="s">
        <v>18</v>
      </c>
      <c r="F2134" s="58" t="str">
        <f>VLOOKUP(MOD(C2134,7),'CALENDAR INFO'!$I$2:$J$8,2)</f>
        <v>THU</v>
      </c>
      <c r="G2134" s="214">
        <v>4.09</v>
      </c>
      <c r="H2134" s="425">
        <v>4.2</v>
      </c>
      <c r="I2134" s="457">
        <f t="shared" si="198"/>
        <v>0.11000000000000032</v>
      </c>
      <c r="J2134" s="15" t="s">
        <v>118</v>
      </c>
      <c r="K2134" s="15">
        <f>VLOOKUP(MONTH($C2133),'CALENDAR INFO'!$I$12:$J$23,2)</f>
        <v>31</v>
      </c>
      <c r="L2134" s="15">
        <f>K2134</f>
        <v>31</v>
      </c>
      <c r="M2134" s="113">
        <f t="shared" si="197"/>
        <v>1</v>
      </c>
      <c r="N2134" s="64">
        <f t="shared" si="200"/>
        <v>1.0001166666666668</v>
      </c>
    </row>
    <row r="2135" spans="1:14">
      <c r="A2135" s="84"/>
      <c r="B2135" s="228"/>
      <c r="C2135" s="103">
        <f t="shared" si="199"/>
        <v>45933</v>
      </c>
      <c r="E2135" s="167"/>
      <c r="F2135" s="58" t="str">
        <f>VLOOKUP(MOD(C2135,7),'CALENDAR INFO'!$I$2:$J$8,2)</f>
        <v>FRI</v>
      </c>
      <c r="G2135" s="214">
        <v>4.09</v>
      </c>
      <c r="H2135" s="425">
        <v>4.18</v>
      </c>
      <c r="I2135" s="457">
        <f t="shared" si="198"/>
        <v>8.9999999999999858E-2</v>
      </c>
      <c r="J2135" s="15" t="s">
        <v>152</v>
      </c>
      <c r="K2135" s="15">
        <f>K2133+K2134-1</f>
        <v>2163</v>
      </c>
      <c r="L2135" s="15">
        <f>K2135</f>
        <v>2163</v>
      </c>
      <c r="M2135" s="113">
        <f t="shared" si="197"/>
        <v>3</v>
      </c>
      <c r="N2135" s="64">
        <f t="shared" si="200"/>
        <v>1.0003483333333334</v>
      </c>
    </row>
    <row r="2136" spans="1:14">
      <c r="A2136" s="84"/>
      <c r="B2136" s="228"/>
      <c r="C2136" s="103">
        <f t="shared" si="199"/>
        <v>45934</v>
      </c>
      <c r="E2136" s="167"/>
      <c r="F2136" s="58" t="str">
        <f>VLOOKUP(MOD(C2136,7),'CALENDAR INFO'!$I$2:$J$8,2)</f>
        <v>SAT</v>
      </c>
      <c r="G2136" s="214">
        <v>4.09</v>
      </c>
      <c r="H2136" s="425">
        <v>4.18</v>
      </c>
      <c r="I2136" s="457">
        <f t="shared" si="198"/>
        <v>8.9999999999999858E-2</v>
      </c>
      <c r="J2136" s="15" t="s">
        <v>244</v>
      </c>
      <c r="K2136" s="311">
        <f>ROW(D2161)</f>
        <v>2161</v>
      </c>
      <c r="L2136" s="15">
        <f>K2136</f>
        <v>2161</v>
      </c>
      <c r="M2136" s="113">
        <f t="shared" si="197"/>
        <v>0</v>
      </c>
      <c r="N2136" s="64">
        <f t="shared" si="200"/>
        <v>1</v>
      </c>
    </row>
    <row r="2137" spans="1:14">
      <c r="A2137" s="84"/>
      <c r="B2137" s="228"/>
      <c r="C2137" s="103">
        <f t="shared" si="199"/>
        <v>45935</v>
      </c>
      <c r="E2137" s="167"/>
      <c r="F2137" s="58" t="str">
        <f>VLOOKUP(MOD(C2137,7),'CALENDAR INFO'!$I$2:$J$8,2)</f>
        <v>SUN</v>
      </c>
      <c r="G2137" s="214">
        <v>4.09</v>
      </c>
      <c r="H2137" s="425">
        <v>4.18</v>
      </c>
      <c r="I2137" s="457">
        <f t="shared" si="198"/>
        <v>8.9999999999999858E-2</v>
      </c>
      <c r="K2137" s="311"/>
      <c r="L2137" s="15"/>
      <c r="M2137" s="113">
        <f t="shared" si="197"/>
        <v>0</v>
      </c>
      <c r="N2137" s="64">
        <f t="shared" si="200"/>
        <v>1</v>
      </c>
    </row>
    <row r="2138" spans="1:14">
      <c r="A2138" s="84"/>
      <c r="B2138" s="228"/>
      <c r="C2138" s="103">
        <f t="shared" si="199"/>
        <v>45936</v>
      </c>
      <c r="E2138" s="167"/>
      <c r="F2138" s="58" t="str">
        <f>VLOOKUP(MOD(C2138,7),'CALENDAR INFO'!$I$2:$J$8,2)</f>
        <v>MON</v>
      </c>
      <c r="G2138" s="214">
        <v>4.09</v>
      </c>
      <c r="H2138" s="425">
        <v>4.1500000000000004</v>
      </c>
      <c r="I2138" s="457">
        <f t="shared" si="198"/>
        <v>6.0000000000000497E-2</v>
      </c>
      <c r="J2138" s="15" t="s">
        <v>153</v>
      </c>
      <c r="K2138" s="15" t="str">
        <f>_xlfn.CONCAT(ADDRESS(K2133,7),":",ADDRESS(K2135,7))</f>
        <v>$G$2133:$G$2163</v>
      </c>
      <c r="L2138" s="15" t="str">
        <f>_xlfn.CONCAT(ADDRESS(L2133,8),":",ADDRESS(L2135,8))</f>
        <v>$H$2133:$H$2163</v>
      </c>
      <c r="M2138" s="113">
        <f t="shared" si="197"/>
        <v>1</v>
      </c>
      <c r="N2138" s="64">
        <f t="shared" si="200"/>
        <v>1.0001152777777778</v>
      </c>
    </row>
    <row r="2139" spans="1:14">
      <c r="A2139" s="84"/>
      <c r="B2139" s="228"/>
      <c r="C2139" s="103">
        <f t="shared" si="199"/>
        <v>45937</v>
      </c>
      <c r="E2139" s="167"/>
      <c r="F2139" s="58" t="str">
        <f>VLOOKUP(MOD(C2139,7),'CALENDAR INFO'!$I$2:$J$8,2)</f>
        <v>TUE</v>
      </c>
      <c r="G2139" s="214">
        <v>4.09</v>
      </c>
      <c r="H2139" s="425">
        <v>4.1399999999999997</v>
      </c>
      <c r="I2139" s="457">
        <f t="shared" si="198"/>
        <v>4.9999999999999822E-2</v>
      </c>
      <c r="J2139" s="176" t="s">
        <v>236</v>
      </c>
      <c r="K2139" s="15" t="str">
        <f>_xlfn.CONCAT(ADDRESS(K2133,1),":",ADDRESS(K2136,1))</f>
        <v>$A$2133:$A$2161</v>
      </c>
      <c r="L2139" s="15" t="str">
        <f>_xlfn.CONCAT(ADDRESS(L2133,2),":",ADDRESS(L2136,2))</f>
        <v>$B$2133:$B$2161</v>
      </c>
      <c r="M2139" s="113">
        <f t="shared" si="197"/>
        <v>1</v>
      </c>
      <c r="N2139" s="64">
        <f t="shared" si="200"/>
        <v>1.0001150000000001</v>
      </c>
    </row>
    <row r="2140" spans="1:14">
      <c r="A2140" s="84"/>
      <c r="B2140" s="228"/>
      <c r="C2140" s="103">
        <f t="shared" si="199"/>
        <v>45938</v>
      </c>
      <c r="E2140" s="167"/>
      <c r="F2140" s="58" t="str">
        <f>VLOOKUP(MOD(C2140,7),'CALENDAR INFO'!$I$2:$J$8,2)</f>
        <v>WED</v>
      </c>
      <c r="G2140" s="214">
        <v>4.0999999999999996</v>
      </c>
      <c r="H2140" s="425">
        <v>4.12</v>
      </c>
      <c r="I2140" s="457">
        <f t="shared" si="198"/>
        <v>2.0000000000000462E-2</v>
      </c>
      <c r="J2140" s="176" t="s">
        <v>235</v>
      </c>
      <c r="K2140" s="15" t="str">
        <f>_xlfn.CONCAT(ADDRESS(K2136+1,1),":",ADDRESS(K2135,1))</f>
        <v>$A$2162:$A$2163</v>
      </c>
      <c r="L2140" s="15" t="str">
        <f>_xlfn.CONCAT(ADDRESS(L2136+1,2),":",ADDRESS(L2135,2))</f>
        <v>$B$2162:$B$2163</v>
      </c>
      <c r="M2140" s="113">
        <f t="shared" si="197"/>
        <v>1</v>
      </c>
      <c r="N2140" s="64">
        <f t="shared" si="200"/>
        <v>1.0001144444444445</v>
      </c>
    </row>
    <row r="2141" spans="1:14">
      <c r="A2141" s="84"/>
      <c r="B2141" s="228"/>
      <c r="C2141" s="103">
        <f t="shared" si="199"/>
        <v>45939</v>
      </c>
      <c r="E2141" s="167"/>
      <c r="F2141" s="58" t="str">
        <f>VLOOKUP(MOD(C2141,7),'CALENDAR INFO'!$I$2:$J$8,2)</f>
        <v>THU</v>
      </c>
      <c r="G2141" s="214">
        <v>4.0999999999999996</v>
      </c>
      <c r="H2141" s="425">
        <v>4.13</v>
      </c>
      <c r="I2141" s="457">
        <f t="shared" si="198"/>
        <v>3.0000000000000249E-2</v>
      </c>
      <c r="M2141" s="113">
        <f t="shared" si="197"/>
        <v>1</v>
      </c>
      <c r="N2141" s="64">
        <f t="shared" si="200"/>
        <v>1.0001147222222222</v>
      </c>
    </row>
    <row r="2142" spans="1:14">
      <c r="A2142" s="84"/>
      <c r="B2142" s="228"/>
      <c r="C2142" s="103">
        <f t="shared" si="199"/>
        <v>45940</v>
      </c>
      <c r="E2142" s="167"/>
      <c r="F2142" s="58" t="str">
        <f>VLOOKUP(MOD(C2142,7),'CALENDAR INFO'!$I$2:$J$8,2)</f>
        <v>FRI</v>
      </c>
      <c r="G2142" s="214">
        <v>4.0999999999999996</v>
      </c>
      <c r="H2142" s="425">
        <v>4.1500000000000004</v>
      </c>
      <c r="I2142" s="457">
        <f t="shared" si="198"/>
        <v>5.0000000000000711E-2</v>
      </c>
      <c r="J2142" s="15" t="s">
        <v>241</v>
      </c>
      <c r="K2142" s="186">
        <f>A2164+G2164</f>
        <v>3.86</v>
      </c>
      <c r="L2142" s="194">
        <f>B2164+H2164</f>
        <v>4.22</v>
      </c>
      <c r="M2142" s="117">
        <v>4</v>
      </c>
      <c r="N2142" s="64">
        <f t="shared" si="200"/>
        <v>1.000461111111111</v>
      </c>
    </row>
    <row r="2143" spans="1:14">
      <c r="A2143" s="84"/>
      <c r="B2143" s="228"/>
      <c r="C2143" s="103">
        <f t="shared" si="199"/>
        <v>45941</v>
      </c>
      <c r="E2143" s="167"/>
      <c r="F2143" s="58" t="str">
        <f>VLOOKUP(MOD(C2143,7),'CALENDAR INFO'!$I$2:$J$8,2)</f>
        <v>SAT</v>
      </c>
      <c r="G2143" s="214">
        <v>4.0999999999999996</v>
      </c>
      <c r="H2143" s="425">
        <v>4.1500000000000004</v>
      </c>
      <c r="I2143" s="457">
        <f t="shared" si="198"/>
        <v>5.0000000000000711E-2</v>
      </c>
      <c r="K2143" s="178"/>
      <c r="L2143" s="192"/>
      <c r="M2143" s="117">
        <f>IF(MOD(C2143,7)&lt;2,0,IF(MOD(C2143,7)=6,3,1))</f>
        <v>0</v>
      </c>
      <c r="N2143" s="64">
        <f t="shared" si="200"/>
        <v>1</v>
      </c>
    </row>
    <row r="2144" spans="1:14">
      <c r="A2144" s="84"/>
      <c r="B2144" s="228"/>
      <c r="C2144" s="103">
        <f t="shared" si="199"/>
        <v>45942</v>
      </c>
      <c r="E2144" s="167"/>
      <c r="F2144" s="58" t="str">
        <f>VLOOKUP(MOD(C2144,7),'CALENDAR INFO'!$I$2:$J$8,2)</f>
        <v>SUN</v>
      </c>
      <c r="G2144" s="214">
        <v>4.0999999999999996</v>
      </c>
      <c r="H2144" s="425">
        <v>4.1500000000000004</v>
      </c>
      <c r="I2144" s="457">
        <f t="shared" si="198"/>
        <v>5.0000000000000711E-2</v>
      </c>
      <c r="J2144" s="15" t="s">
        <v>197</v>
      </c>
      <c r="K2144" s="180" t="e">
        <f>OUTPUT!#REF!</f>
        <v>#REF!</v>
      </c>
      <c r="L2144" s="180" t="e">
        <f>OUTPUT!#REF!</f>
        <v>#REF!</v>
      </c>
      <c r="M2144" s="117">
        <f>IF(MOD(C2144,7)&lt;2,0,IF(MOD(C2144,7)=6,3,1))</f>
        <v>0</v>
      </c>
      <c r="N2144" s="64">
        <f t="shared" si="200"/>
        <v>1</v>
      </c>
    </row>
    <row r="2145" spans="1:14">
      <c r="A2145" s="84"/>
      <c r="B2145" s="228"/>
      <c r="C2145" s="103">
        <f t="shared" si="199"/>
        <v>45943</v>
      </c>
      <c r="D2145" s="173" t="s">
        <v>108</v>
      </c>
      <c r="E2145" s="167"/>
      <c r="F2145" s="58" t="str">
        <f>VLOOKUP(MOD(C2145,7),'CALENDAR INFO'!$I$2:$J$8,2)</f>
        <v>MON</v>
      </c>
      <c r="G2145" s="214">
        <v>4.0999999999999996</v>
      </c>
      <c r="H2145" s="425">
        <v>4.1500000000000004</v>
      </c>
      <c r="I2145" s="457">
        <f t="shared" si="198"/>
        <v>5.0000000000000711E-2</v>
      </c>
      <c r="J2145" s="15" t="s">
        <v>118</v>
      </c>
      <c r="K2145" s="221">
        <f>VLOOKUP(MONTH($C2139),'CALENDAR INFO'!$I$12:$J$23,2)</f>
        <v>31</v>
      </c>
      <c r="L2145" s="221">
        <f>K2145</f>
        <v>31</v>
      </c>
      <c r="M2145" s="117">
        <v>0</v>
      </c>
      <c r="N2145" s="64">
        <f t="shared" si="200"/>
        <v>1</v>
      </c>
    </row>
    <row r="2146" spans="1:14">
      <c r="A2146" s="84"/>
      <c r="B2146" s="228"/>
      <c r="C2146" s="103">
        <f t="shared" si="199"/>
        <v>45944</v>
      </c>
      <c r="E2146" s="167"/>
      <c r="F2146" s="58" t="str">
        <f>VLOOKUP(MOD(C2146,7),'CALENDAR INFO'!$I$2:$J$8,2)</f>
        <v>TUE</v>
      </c>
      <c r="G2146" s="214">
        <v>4.0999999999999996</v>
      </c>
      <c r="H2146" s="425">
        <v>4.1900000000000004</v>
      </c>
      <c r="I2146" s="457">
        <f t="shared" si="198"/>
        <v>9.0000000000000746E-2</v>
      </c>
      <c r="J2146" s="15" t="s">
        <v>234</v>
      </c>
      <c r="K2146" s="178" t="e">
        <f>K2144*K2134</f>
        <v>#REF!</v>
      </c>
      <c r="L2146" s="178" t="e">
        <f>L2144*L2134</f>
        <v>#REF!</v>
      </c>
      <c r="M2146" s="113">
        <f t="shared" ref="M2146:M2169" si="201">IF(MOD(C2146,7)&lt;2,0,IF(MOD(C2146,7)=6,3,1))</f>
        <v>1</v>
      </c>
      <c r="N2146" s="64">
        <f t="shared" si="200"/>
        <v>1.0001163888888889</v>
      </c>
    </row>
    <row r="2147" spans="1:14">
      <c r="A2147" s="84"/>
      <c r="B2147" s="228"/>
      <c r="C2147" s="103">
        <f t="shared" si="199"/>
        <v>45945</v>
      </c>
      <c r="E2147" s="167" t="s">
        <v>19</v>
      </c>
      <c r="F2147" s="58" t="str">
        <f>VLOOKUP(MOD(C2147,7),'CALENDAR INFO'!$I$2:$J$8,2)</f>
        <v>WED</v>
      </c>
      <c r="G2147" s="214">
        <v>4.0999999999999996</v>
      </c>
      <c r="H2147" s="425">
        <v>4.29</v>
      </c>
      <c r="I2147" s="457">
        <f t="shared" si="198"/>
        <v>0.19000000000000039</v>
      </c>
      <c r="K2147" s="178"/>
      <c r="L2147" s="192"/>
      <c r="M2147" s="113">
        <f t="shared" si="201"/>
        <v>1</v>
      </c>
      <c r="N2147" s="64">
        <f t="shared" si="200"/>
        <v>1.0001191666666667</v>
      </c>
    </row>
    <row r="2148" spans="1:14">
      <c r="A2148" s="84"/>
      <c r="B2148" s="228"/>
      <c r="C2148" s="103">
        <f t="shared" si="199"/>
        <v>45946</v>
      </c>
      <c r="E2148" s="170" t="s">
        <v>18</v>
      </c>
      <c r="F2148" s="58" t="str">
        <f>VLOOKUP(MOD(C2148,7),'CALENDAR INFO'!$I$2:$J$8,2)</f>
        <v>THU</v>
      </c>
      <c r="G2148" s="214">
        <v>4.1100000000000003</v>
      </c>
      <c r="H2148" s="425">
        <v>4.3</v>
      </c>
      <c r="I2148" s="457">
        <f t="shared" si="198"/>
        <v>0.1899999999999995</v>
      </c>
      <c r="J2148" s="15" t="str">
        <f>J2146</f>
        <v>monthly target</v>
      </c>
      <c r="K2148" s="178" t="e">
        <f>K2146</f>
        <v>#REF!</v>
      </c>
      <c r="L2148" s="192" t="e">
        <f>L2146</f>
        <v>#REF!</v>
      </c>
      <c r="M2148" s="113">
        <f t="shared" si="201"/>
        <v>1</v>
      </c>
      <c r="N2148" s="64">
        <f t="shared" si="200"/>
        <v>1.0001194444444443</v>
      </c>
    </row>
    <row r="2149" spans="1:14">
      <c r="A2149" s="84"/>
      <c r="B2149" s="228"/>
      <c r="C2149" s="103">
        <f t="shared" si="199"/>
        <v>45947</v>
      </c>
      <c r="E2149" s="170"/>
      <c r="F2149" s="58" t="str">
        <f>VLOOKUP(MOD(C2149,7),'CALENDAR INFO'!$I$2:$J$8,2)</f>
        <v>FRI</v>
      </c>
      <c r="G2149" s="214">
        <v>4.1100000000000003</v>
      </c>
      <c r="H2149" s="425">
        <v>4.18</v>
      </c>
      <c r="I2149" s="457">
        <f t="shared" si="198"/>
        <v>6.9999999999999396E-2</v>
      </c>
      <c r="J2149" s="15" t="s">
        <v>155</v>
      </c>
      <c r="K2149" s="178">
        <f ca="1">SUM(INDIRECT(K2138))</f>
        <v>126.73000000000002</v>
      </c>
      <c r="L2149" s="192">
        <f ca="1">SUM(INDIRECT(L2138))</f>
        <v>130.07</v>
      </c>
      <c r="M2149" s="113">
        <f t="shared" si="201"/>
        <v>3</v>
      </c>
      <c r="N2149" s="64">
        <f t="shared" si="200"/>
        <v>1.0003483333333334</v>
      </c>
    </row>
    <row r="2150" spans="1:14">
      <c r="A2150" s="84"/>
      <c r="B2150" s="228"/>
      <c r="C2150" s="103">
        <f t="shared" si="199"/>
        <v>45948</v>
      </c>
      <c r="E2150" s="170"/>
      <c r="F2150" s="58" t="str">
        <f>VLOOKUP(MOD(C2150,7),'CALENDAR INFO'!$I$2:$J$8,2)</f>
        <v>SAT</v>
      </c>
      <c r="G2150" s="214">
        <v>4.1100000000000003</v>
      </c>
      <c r="H2150" s="425">
        <v>4.18</v>
      </c>
      <c r="I2150" s="457">
        <f t="shared" si="198"/>
        <v>6.9999999999999396E-2</v>
      </c>
      <c r="J2150" s="15" t="s">
        <v>237</v>
      </c>
      <c r="K2150" s="400">
        <f ca="1">SUM(INDIRECT(K2140))</f>
        <v>0</v>
      </c>
      <c r="L2150" s="401">
        <f ca="1">SUM(INDIRECT(L2140))</f>
        <v>0</v>
      </c>
      <c r="M2150" s="113">
        <f t="shared" si="201"/>
        <v>0</v>
      </c>
      <c r="N2150" s="64">
        <f t="shared" si="200"/>
        <v>1</v>
      </c>
    </row>
    <row r="2151" spans="1:14">
      <c r="A2151" s="84"/>
      <c r="B2151" s="228"/>
      <c r="C2151" s="103">
        <f t="shared" si="199"/>
        <v>45949</v>
      </c>
      <c r="E2151" s="170"/>
      <c r="F2151" s="58" t="str">
        <f>VLOOKUP(MOD(C2151,7),'CALENDAR INFO'!$I$2:$J$8,2)</f>
        <v>SUN</v>
      </c>
      <c r="G2151" s="214">
        <v>4.1100000000000003</v>
      </c>
      <c r="H2151" s="425">
        <v>4.18</v>
      </c>
      <c r="I2151" s="457">
        <f t="shared" si="198"/>
        <v>6.9999999999999396E-2</v>
      </c>
      <c r="J2151" s="15" t="s">
        <v>238</v>
      </c>
      <c r="K2151" s="182" t="e">
        <f ca="1">K2146-K2149-K2150</f>
        <v>#REF!</v>
      </c>
      <c r="L2151" s="201" t="e">
        <f ca="1">L2146-L2149-L2150</f>
        <v>#REF!</v>
      </c>
      <c r="M2151" s="113">
        <f t="shared" si="201"/>
        <v>0</v>
      </c>
      <c r="N2151" s="64">
        <f t="shared" si="200"/>
        <v>1</v>
      </c>
    </row>
    <row r="2152" spans="1:14">
      <c r="A2152" s="84"/>
      <c r="B2152" s="228"/>
      <c r="C2152" s="103">
        <f t="shared" si="199"/>
        <v>45950</v>
      </c>
      <c r="E2152" s="170"/>
      <c r="F2152" s="58" t="str">
        <f>VLOOKUP(MOD(C2152,7),'CALENDAR INFO'!$I$2:$J$8,2)</f>
        <v>MON</v>
      </c>
      <c r="G2152" s="214">
        <v>4.1100000000000003</v>
      </c>
      <c r="H2152" s="425">
        <v>4.16</v>
      </c>
      <c r="I2152" s="457">
        <f t="shared" si="198"/>
        <v>4.9999999999999822E-2</v>
      </c>
      <c r="K2152" s="152"/>
      <c r="L2152" s="202"/>
      <c r="M2152" s="113">
        <f t="shared" si="201"/>
        <v>1</v>
      </c>
      <c r="N2152" s="64">
        <f t="shared" si="200"/>
        <v>1.0001155555555556</v>
      </c>
    </row>
    <row r="2153" spans="1:14">
      <c r="A2153" s="84"/>
      <c r="B2153" s="228"/>
      <c r="C2153" s="103">
        <f t="shared" si="199"/>
        <v>45951</v>
      </c>
      <c r="E2153" s="170"/>
      <c r="F2153" s="58" t="str">
        <f>VLOOKUP(MOD(C2153,7),'CALENDAR INFO'!$I$2:$J$8,2)</f>
        <v>TUE</v>
      </c>
      <c r="G2153" s="214">
        <v>4.1100000000000003</v>
      </c>
      <c r="H2153" s="425">
        <v>4.2300000000000004</v>
      </c>
      <c r="I2153" s="457">
        <f t="shared" si="198"/>
        <v>0.12000000000000011</v>
      </c>
      <c r="J2153" s="15" t="s">
        <v>242</v>
      </c>
      <c r="K2153" s="15">
        <f>K2145</f>
        <v>31</v>
      </c>
      <c r="L2153" s="179">
        <f>L2145</f>
        <v>31</v>
      </c>
      <c r="M2153" s="113">
        <f t="shared" si="201"/>
        <v>1</v>
      </c>
      <c r="N2153" s="64">
        <f t="shared" si="200"/>
        <v>1.0001175</v>
      </c>
    </row>
    <row r="2154" spans="1:14">
      <c r="A2154" s="84"/>
      <c r="B2154" s="228"/>
      <c r="C2154" s="103">
        <f t="shared" si="199"/>
        <v>45952</v>
      </c>
      <c r="E2154" s="170"/>
      <c r="F2154" s="58" t="str">
        <f>VLOOKUP(MOD(C2154,7),'CALENDAR INFO'!$I$2:$J$8,2)</f>
        <v>WED</v>
      </c>
      <c r="G2154" s="214">
        <v>4.1100000000000003</v>
      </c>
      <c r="H2154" s="425">
        <v>4.21</v>
      </c>
      <c r="I2154" s="457">
        <f t="shared" si="198"/>
        <v>9.9999999999999645E-2</v>
      </c>
      <c r="J2154" s="15" t="s">
        <v>194</v>
      </c>
      <c r="K2154" s="15">
        <f ca="1">COUNTA(INDIRECT(K2138))</f>
        <v>31</v>
      </c>
      <c r="L2154" s="179">
        <f ca="1">COUNTA(INDIRECT(L2138))</f>
        <v>31</v>
      </c>
      <c r="M2154" s="113">
        <f t="shared" si="201"/>
        <v>1</v>
      </c>
      <c r="N2154" s="64">
        <f t="shared" si="200"/>
        <v>1.0001169444444444</v>
      </c>
    </row>
    <row r="2155" spans="1:14">
      <c r="A2155" s="84"/>
      <c r="B2155" s="228"/>
      <c r="C2155" s="103">
        <f t="shared" si="199"/>
        <v>45953</v>
      </c>
      <c r="E2155" s="170"/>
      <c r="F2155" s="58" t="str">
        <f>VLOOKUP(MOD(C2155,7),'CALENDAR INFO'!$I$2:$J$8,2)</f>
        <v>THU</v>
      </c>
      <c r="G2155" s="214">
        <v>4.1100000000000003</v>
      </c>
      <c r="H2155" s="425">
        <v>4.24</v>
      </c>
      <c r="I2155" s="457">
        <f t="shared" si="198"/>
        <v>0.12999999999999989</v>
      </c>
      <c r="J2155" s="15" t="s">
        <v>243</v>
      </c>
      <c r="K2155" s="402">
        <f ca="1">COUNTA(INDIRECT(K2140))</f>
        <v>0</v>
      </c>
      <c r="L2155" s="403">
        <f ca="1">COUNTA(INDIRECT(L2140))</f>
        <v>0</v>
      </c>
      <c r="M2155" s="113">
        <f t="shared" si="201"/>
        <v>1</v>
      </c>
      <c r="N2155" s="64">
        <f t="shared" si="200"/>
        <v>1.0001177777777779</v>
      </c>
    </row>
    <row r="2156" spans="1:14">
      <c r="A2156" s="84"/>
      <c r="B2156" s="228"/>
      <c r="C2156" s="103">
        <f t="shared" si="199"/>
        <v>45954</v>
      </c>
      <c r="E2156" s="170"/>
      <c r="F2156" s="58" t="str">
        <f>VLOOKUP(MOD(C2156,7),'CALENDAR INFO'!$I$2:$J$8,2)</f>
        <v>FRI</v>
      </c>
      <c r="G2156" s="214">
        <v>4.1100000000000003</v>
      </c>
      <c r="H2156" s="425">
        <v>4.24</v>
      </c>
      <c r="I2156" s="457">
        <f t="shared" si="198"/>
        <v>0.12999999999999989</v>
      </c>
      <c r="J2156" s="15" t="s">
        <v>239</v>
      </c>
      <c r="K2156" s="152">
        <f ca="1">K2153-K2154-K2155</f>
        <v>0</v>
      </c>
      <c r="L2156" s="202">
        <f ca="1">L2153-L2154-L2155</f>
        <v>0</v>
      </c>
      <c r="M2156" s="113">
        <f t="shared" si="201"/>
        <v>3</v>
      </c>
      <c r="N2156" s="64">
        <f t="shared" si="200"/>
        <v>1.0003533333333334</v>
      </c>
    </row>
    <row r="2157" spans="1:14">
      <c r="A2157" s="84"/>
      <c r="B2157" s="228"/>
      <c r="C2157" s="103">
        <f t="shared" si="199"/>
        <v>45955</v>
      </c>
      <c r="E2157" s="170"/>
      <c r="F2157" s="58" t="str">
        <f>VLOOKUP(MOD(C2157,7),'CALENDAR INFO'!$I$2:$J$8,2)</f>
        <v>SAT</v>
      </c>
      <c r="G2157" s="214">
        <v>4.1100000000000003</v>
      </c>
      <c r="H2157" s="425">
        <v>4.24</v>
      </c>
      <c r="I2157" s="457">
        <f t="shared" si="198"/>
        <v>0.12999999999999989</v>
      </c>
      <c r="K2157" s="178"/>
      <c r="L2157" s="192"/>
      <c r="M2157" s="113">
        <f t="shared" si="201"/>
        <v>0</v>
      </c>
      <c r="N2157" s="64">
        <f t="shared" si="200"/>
        <v>1</v>
      </c>
    </row>
    <row r="2158" spans="1:14">
      <c r="A2158" s="84"/>
      <c r="B2158" s="228"/>
      <c r="C2158" s="103">
        <f t="shared" si="199"/>
        <v>45956</v>
      </c>
      <c r="E2158" s="170"/>
      <c r="F2158" s="58" t="str">
        <f>VLOOKUP(MOD(C2158,7),'CALENDAR INFO'!$I$2:$J$8,2)</f>
        <v>SUN</v>
      </c>
      <c r="G2158" s="214">
        <v>4.1100000000000003</v>
      </c>
      <c r="H2158" s="425">
        <v>4.24</v>
      </c>
      <c r="I2158" s="457">
        <f t="shared" si="198"/>
        <v>0.12999999999999989</v>
      </c>
      <c r="J2158" s="15" t="s">
        <v>238</v>
      </c>
      <c r="K2158" s="178" t="e">
        <f ca="1">K2151</f>
        <v>#REF!</v>
      </c>
      <c r="L2158" s="192" t="e">
        <f ca="1">L2151</f>
        <v>#REF!</v>
      </c>
      <c r="M2158" s="113">
        <f t="shared" si="201"/>
        <v>0</v>
      </c>
      <c r="N2158" s="64">
        <f t="shared" si="200"/>
        <v>1</v>
      </c>
    </row>
    <row r="2159" spans="1:14">
      <c r="A2159" s="84"/>
      <c r="B2159" s="228"/>
      <c r="C2159" s="103">
        <f t="shared" si="199"/>
        <v>45957</v>
      </c>
      <c r="E2159" s="170"/>
      <c r="F2159" s="58" t="str">
        <f>VLOOKUP(MOD(C2159,7),'CALENDAR INFO'!$I$2:$J$8,2)</f>
        <v>MON</v>
      </c>
      <c r="G2159" s="214">
        <v>4.12</v>
      </c>
      <c r="H2159" s="425">
        <v>4.2699999999999996</v>
      </c>
      <c r="I2159" s="457">
        <f t="shared" si="198"/>
        <v>0.14999999999999947</v>
      </c>
      <c r="J2159" s="15" t="s">
        <v>239</v>
      </c>
      <c r="K2159" s="221">
        <f ca="1">K2156</f>
        <v>0</v>
      </c>
      <c r="L2159" s="223">
        <f ca="1">L2156</f>
        <v>0</v>
      </c>
      <c r="M2159" s="113">
        <f t="shared" si="201"/>
        <v>1</v>
      </c>
      <c r="N2159" s="64">
        <f t="shared" si="200"/>
        <v>1.0001186111111111</v>
      </c>
    </row>
    <row r="2160" spans="1:14">
      <c r="A2160" s="84"/>
      <c r="B2160" s="228"/>
      <c r="C2160" s="103">
        <f t="shared" si="199"/>
        <v>45958</v>
      </c>
      <c r="D2160" s="153" t="s">
        <v>20</v>
      </c>
      <c r="E2160" s="170"/>
      <c r="F2160" s="58" t="str">
        <f>VLOOKUP(MOD(C2160,7),'CALENDAR INFO'!$I$2:$J$8,2)</f>
        <v>TUE</v>
      </c>
      <c r="G2160" s="214">
        <v>4.12</v>
      </c>
      <c r="H2160" s="425">
        <v>4.3099999999999996</v>
      </c>
      <c r="I2160" s="457">
        <f t="shared" si="198"/>
        <v>0.1899999999999995</v>
      </c>
      <c r="J2160" s="15" t="s">
        <v>240</v>
      </c>
      <c r="K2160" s="178" t="e">
        <f ca="1">K2158/K2159</f>
        <v>#REF!</v>
      </c>
      <c r="L2160" s="192" t="e">
        <f ca="1">L2158/L2159</f>
        <v>#REF!</v>
      </c>
      <c r="M2160" s="113">
        <f t="shared" si="201"/>
        <v>1</v>
      </c>
      <c r="N2160" s="64">
        <f t="shared" si="200"/>
        <v>1.0001197222222222</v>
      </c>
    </row>
    <row r="2161" spans="1:14">
      <c r="A2161" s="84"/>
      <c r="B2161" s="228"/>
      <c r="C2161" s="103">
        <f t="shared" si="199"/>
        <v>45959</v>
      </c>
      <c r="D2161" s="153" t="s">
        <v>20</v>
      </c>
      <c r="E2161" s="170" t="s">
        <v>19</v>
      </c>
      <c r="F2161" s="58" t="str">
        <f>VLOOKUP(MOD(C2161,7),'CALENDAR INFO'!$I$2:$J$8,2)</f>
        <v>WED</v>
      </c>
      <c r="G2161" s="214">
        <v>4.12</v>
      </c>
      <c r="H2161" s="425">
        <v>4.2699999999999996</v>
      </c>
      <c r="I2161" s="457">
        <f t="shared" si="198"/>
        <v>0.14999999999999947</v>
      </c>
      <c r="M2161" s="113">
        <f t="shared" si="201"/>
        <v>1</v>
      </c>
      <c r="N2161" s="64">
        <f t="shared" si="200"/>
        <v>1.0001186111111111</v>
      </c>
    </row>
    <row r="2162" spans="1:14">
      <c r="A2162" s="304"/>
      <c r="B2162" s="305"/>
      <c r="C2162" s="103">
        <f t="shared" si="199"/>
        <v>45960</v>
      </c>
      <c r="E2162" s="167" t="s">
        <v>18</v>
      </c>
      <c r="F2162" s="58" t="str">
        <f>VLOOKUP(MOD(C2162,7),'CALENDAR INFO'!$I$2:$J$8,2)</f>
        <v>THU</v>
      </c>
      <c r="G2162" s="214">
        <v>3.87</v>
      </c>
      <c r="H2162" s="425">
        <v>4.04</v>
      </c>
      <c r="I2162" s="457">
        <f t="shared" si="198"/>
        <v>0.16999999999999993</v>
      </c>
      <c r="M2162" s="113">
        <f t="shared" si="201"/>
        <v>1</v>
      </c>
      <c r="N2162" s="64">
        <f t="shared" si="200"/>
        <v>1.0001122222222223</v>
      </c>
    </row>
    <row r="2163" spans="1:14" ht="15.75" thickBot="1">
      <c r="A2163" s="405"/>
      <c r="B2163" s="406"/>
      <c r="C2163" s="104">
        <f t="shared" si="199"/>
        <v>45961</v>
      </c>
      <c r="D2163" s="112"/>
      <c r="E2163" s="92"/>
      <c r="F2163" s="71" t="str">
        <f>VLOOKUP(MOD(C2163,7),'CALENDAR INFO'!$I$2:$J$8,2)</f>
        <v>FRI</v>
      </c>
      <c r="G2163" s="215">
        <v>3.86</v>
      </c>
      <c r="H2163" s="426">
        <v>4.22</v>
      </c>
      <c r="I2163" s="458">
        <f t="shared" si="198"/>
        <v>0.35999999999999988</v>
      </c>
      <c r="J2163" s="348"/>
      <c r="K2163" s="348"/>
      <c r="L2163" s="349"/>
      <c r="M2163" s="114">
        <f t="shared" si="201"/>
        <v>3</v>
      </c>
      <c r="N2163" s="292">
        <f t="shared" si="200"/>
        <v>1.0003516666666668</v>
      </c>
    </row>
    <row r="2164" spans="1:14">
      <c r="A2164" s="304"/>
      <c r="B2164" s="297"/>
      <c r="C2164" s="103">
        <f t="shared" si="199"/>
        <v>45962</v>
      </c>
      <c r="E2164" s="167"/>
      <c r="F2164" s="58" t="str">
        <f>VLOOKUP(MOD(C2164,7),'CALENDAR INFO'!$I$2:$J$8,2)</f>
        <v>SAT</v>
      </c>
      <c r="G2164" s="214">
        <v>3.86</v>
      </c>
      <c r="H2164" s="425">
        <v>4.22</v>
      </c>
      <c r="I2164" s="457">
        <f t="shared" si="198"/>
        <v>0.35999999999999988</v>
      </c>
      <c r="J2164" s="15" t="s">
        <v>151</v>
      </c>
      <c r="K2164" s="360">
        <f>ROW()</f>
        <v>2164</v>
      </c>
      <c r="L2164" s="233">
        <f>K2164</f>
        <v>2164</v>
      </c>
      <c r="M2164" s="113">
        <f t="shared" si="201"/>
        <v>0</v>
      </c>
      <c r="N2164" s="64">
        <f t="shared" si="200"/>
        <v>1</v>
      </c>
    </row>
    <row r="2165" spans="1:14">
      <c r="B2165" s="41"/>
      <c r="C2165" s="103">
        <f t="shared" si="199"/>
        <v>45963</v>
      </c>
      <c r="E2165" s="167"/>
      <c r="F2165" s="58" t="str">
        <f>VLOOKUP(MOD(C2165,7),'CALENDAR INFO'!$I$2:$J$8,2)</f>
        <v>SUN</v>
      </c>
      <c r="G2165" s="214">
        <v>3.86</v>
      </c>
      <c r="H2165" s="425">
        <v>4.22</v>
      </c>
      <c r="I2165" s="457">
        <f t="shared" si="198"/>
        <v>0.35999999999999988</v>
      </c>
      <c r="J2165" s="15" t="s">
        <v>118</v>
      </c>
      <c r="K2165" s="15">
        <f>VLOOKUP(MONTH($C2164),'CALENDAR INFO'!$I$12:$J$23,2)</f>
        <v>30</v>
      </c>
      <c r="L2165" s="179">
        <f>K2165</f>
        <v>30</v>
      </c>
      <c r="M2165" s="113">
        <f t="shared" si="201"/>
        <v>0</v>
      </c>
      <c r="N2165" s="64">
        <f t="shared" si="200"/>
        <v>1</v>
      </c>
    </row>
    <row r="2166" spans="1:14">
      <c r="B2166" s="41"/>
      <c r="C2166" s="103">
        <f t="shared" si="199"/>
        <v>45964</v>
      </c>
      <c r="E2166" s="167"/>
      <c r="F2166" s="58" t="str">
        <f>VLOOKUP(MOD(C2166,7),'CALENDAR INFO'!$I$2:$J$8,2)</f>
        <v>MON</v>
      </c>
      <c r="G2166" s="214">
        <v>3.87</v>
      </c>
      <c r="H2166" s="425">
        <v>4.13</v>
      </c>
      <c r="I2166" s="457">
        <f t="shared" si="198"/>
        <v>0.25999999999999979</v>
      </c>
      <c r="J2166" s="15" t="s">
        <v>152</v>
      </c>
      <c r="K2166" s="15">
        <f>K2164+K2165-1</f>
        <v>2193</v>
      </c>
      <c r="L2166" s="179">
        <f>K2166</f>
        <v>2193</v>
      </c>
      <c r="M2166" s="113">
        <f t="shared" si="201"/>
        <v>1</v>
      </c>
      <c r="N2166" s="64">
        <f t="shared" si="200"/>
        <v>1.0001147222222222</v>
      </c>
    </row>
    <row r="2167" spans="1:14">
      <c r="B2167" s="41"/>
      <c r="C2167" s="103">
        <f t="shared" si="199"/>
        <v>45965</v>
      </c>
      <c r="E2167" s="167"/>
      <c r="F2167" s="58" t="str">
        <f>VLOOKUP(MOD(C2167,7),'CALENDAR INFO'!$I$2:$J$8,2)</f>
        <v>TUE</v>
      </c>
      <c r="G2167" s="214">
        <v>3.87</v>
      </c>
      <c r="H2167" s="425">
        <v>4</v>
      </c>
      <c r="I2167" s="457">
        <f t="shared" si="198"/>
        <v>0.12999999999999989</v>
      </c>
      <c r="J2167" s="15" t="s">
        <v>244</v>
      </c>
      <c r="K2167" s="176">
        <f>ROW(D2164)</f>
        <v>2164</v>
      </c>
      <c r="L2167" s="179">
        <f>K2167</f>
        <v>2164</v>
      </c>
      <c r="M2167" s="113">
        <f t="shared" si="201"/>
        <v>1</v>
      </c>
      <c r="N2167" s="64">
        <f t="shared" si="200"/>
        <v>1.0001111111111112</v>
      </c>
    </row>
    <row r="2168" spans="1:14">
      <c r="B2168" s="41"/>
      <c r="C2168" s="103">
        <f t="shared" si="199"/>
        <v>45966</v>
      </c>
      <c r="E2168" s="167"/>
      <c r="F2168" s="58" t="str">
        <f>VLOOKUP(MOD(C2168,7),'CALENDAR INFO'!$I$2:$J$8,2)</f>
        <v>WED</v>
      </c>
      <c r="G2168" s="214">
        <v>3.87</v>
      </c>
      <c r="H2168" s="425">
        <v>3.91</v>
      </c>
      <c r="I2168" s="457">
        <f t="shared" si="198"/>
        <v>4.0000000000000036E-2</v>
      </c>
      <c r="K2168" s="176"/>
      <c r="M2168" s="113">
        <f t="shared" si="201"/>
        <v>1</v>
      </c>
      <c r="N2168" s="64">
        <f t="shared" si="200"/>
        <v>1.000108611111111</v>
      </c>
    </row>
    <row r="2169" spans="1:14">
      <c r="B2169" s="41"/>
      <c r="C2169" s="103">
        <f t="shared" si="199"/>
        <v>45967</v>
      </c>
      <c r="E2169" s="167"/>
      <c r="F2169" s="58" t="str">
        <f>VLOOKUP(MOD(C2169,7),'CALENDAR INFO'!$I$2:$J$8,2)</f>
        <v>THU</v>
      </c>
      <c r="G2169" s="214">
        <v>3.87</v>
      </c>
      <c r="H2169" s="425">
        <v>3.92</v>
      </c>
      <c r="I2169" s="457">
        <f t="shared" si="198"/>
        <v>4.9999999999999822E-2</v>
      </c>
      <c r="J2169" s="15" t="s">
        <v>153</v>
      </c>
      <c r="K2169" s="15" t="str">
        <f>_xlfn.CONCAT(ADDRESS(K2164,7),":",ADDRESS(K2166,7))</f>
        <v>$G$2164:$G$2193</v>
      </c>
      <c r="L2169" s="179" t="str">
        <f>_xlfn.CONCAT(ADDRESS(L2164,8),":",ADDRESS(L2166,8))</f>
        <v>$H$2164:$H$2193</v>
      </c>
      <c r="M2169" s="113">
        <f t="shared" si="201"/>
        <v>1</v>
      </c>
      <c r="N2169" s="64">
        <f t="shared" si="200"/>
        <v>1.0001088888888889</v>
      </c>
    </row>
    <row r="2170" spans="1:14">
      <c r="B2170" s="41"/>
      <c r="C2170" s="103">
        <f t="shared" si="199"/>
        <v>45968</v>
      </c>
      <c r="E2170" s="167"/>
      <c r="F2170" s="58" t="str">
        <f>VLOOKUP(MOD(C2170,7),'CALENDAR INFO'!$I$2:$J$8,2)</f>
        <v>FRI</v>
      </c>
      <c r="G2170" s="214">
        <v>3.87</v>
      </c>
      <c r="H2170" s="425">
        <v>3.93</v>
      </c>
      <c r="I2170" s="457">
        <f t="shared" si="198"/>
        <v>6.0000000000000053E-2</v>
      </c>
      <c r="J2170" s="176" t="s">
        <v>235</v>
      </c>
      <c r="K2170" s="15" t="str">
        <f>_xlfn.CONCAT(ADDRESS(K2164,1),":",ADDRESS(K2167,1))</f>
        <v>$A$2164:$A$2164</v>
      </c>
      <c r="L2170" s="179" t="str">
        <f>_xlfn.CONCAT(ADDRESS(L2164,2),":",ADDRESS(L2167,2))</f>
        <v>$B$2164:$B$2164</v>
      </c>
      <c r="M2170" s="211">
        <v>3</v>
      </c>
      <c r="N2170" s="64">
        <f t="shared" si="200"/>
        <v>1.0003275</v>
      </c>
    </row>
    <row r="2171" spans="1:14">
      <c r="B2171" s="41"/>
      <c r="C2171" s="103">
        <f t="shared" si="199"/>
        <v>45969</v>
      </c>
      <c r="E2171" s="167"/>
      <c r="F2171" s="58" t="str">
        <f>VLOOKUP(MOD(C2171,7),'CALENDAR INFO'!$I$2:$J$8,2)</f>
        <v>SAT</v>
      </c>
      <c r="G2171" s="214">
        <v>3.87</v>
      </c>
      <c r="H2171" s="425">
        <v>3.93</v>
      </c>
      <c r="I2171" s="457">
        <f t="shared" si="198"/>
        <v>6.0000000000000053E-2</v>
      </c>
      <c r="J2171" s="176" t="s">
        <v>236</v>
      </c>
      <c r="K2171" s="15" t="str">
        <f>_xlfn.CONCAT(ADDRESS(K2167+1,1),":",ADDRESS(K2166,1))</f>
        <v>$A$2165:$A$2193</v>
      </c>
      <c r="L2171" s="179" t="str">
        <f>_xlfn.CONCAT(ADDRESS(L2167+1,2),":",ADDRESS(L2166,2))</f>
        <v>$B$2165:$B$2193</v>
      </c>
      <c r="M2171" s="211">
        <f>IF(MOD(C2171,7)&lt;2,0,IF(MOD(C2171,7)=6,3,1))</f>
        <v>0</v>
      </c>
      <c r="N2171" s="64">
        <f t="shared" si="200"/>
        <v>1</v>
      </c>
    </row>
    <row r="2172" spans="1:14">
      <c r="B2172" s="41"/>
      <c r="C2172" s="103">
        <f t="shared" si="199"/>
        <v>45970</v>
      </c>
      <c r="E2172" s="167"/>
      <c r="F2172" s="58" t="str">
        <f>VLOOKUP(MOD(C2172,7),'CALENDAR INFO'!$I$2:$J$8,2)</f>
        <v>SUN</v>
      </c>
      <c r="G2172" s="214">
        <v>3.87</v>
      </c>
      <c r="H2172" s="425">
        <v>3.93</v>
      </c>
      <c r="I2172" s="457">
        <f t="shared" si="198"/>
        <v>6.0000000000000053E-2</v>
      </c>
      <c r="M2172" s="211">
        <f>IF(MOD(C2172,7)&lt;2,0,IF(MOD(C2172,7)=6,3,1))</f>
        <v>0</v>
      </c>
      <c r="N2172" s="64">
        <f t="shared" si="200"/>
        <v>1</v>
      </c>
    </row>
    <row r="2173" spans="1:14">
      <c r="B2173" s="41"/>
      <c r="C2173" s="103">
        <f t="shared" si="199"/>
        <v>45971</v>
      </c>
      <c r="E2173" s="167"/>
      <c r="F2173" s="58" t="str">
        <f>VLOOKUP(MOD(C2173,7),'CALENDAR INFO'!$I$2:$J$8,2)</f>
        <v>MON</v>
      </c>
      <c r="G2173" s="214">
        <v>3.87</v>
      </c>
      <c r="H2173" s="425">
        <v>3.95</v>
      </c>
      <c r="I2173" s="457">
        <f t="shared" si="198"/>
        <v>8.0000000000000071E-2</v>
      </c>
      <c r="J2173" s="15" t="s">
        <v>241</v>
      </c>
      <c r="K2173" s="186" t="e">
        <f>K2175</f>
        <v>#REF!</v>
      </c>
      <c r="L2173" s="194" t="e">
        <f>L2175</f>
        <v>#REF!</v>
      </c>
      <c r="M2173" s="117">
        <v>2</v>
      </c>
      <c r="N2173" s="64">
        <f t="shared" si="200"/>
        <v>1.0002194444444445</v>
      </c>
    </row>
    <row r="2174" spans="1:14">
      <c r="B2174" s="41"/>
      <c r="C2174" s="103">
        <f t="shared" si="199"/>
        <v>45972</v>
      </c>
      <c r="D2174" s="173" t="s">
        <v>109</v>
      </c>
      <c r="E2174" s="167"/>
      <c r="F2174" s="58" t="str">
        <f>VLOOKUP(MOD(C2174,7),'CALENDAR INFO'!$I$2:$J$8,2)</f>
        <v>TUE</v>
      </c>
      <c r="G2174" s="214">
        <v>3.87</v>
      </c>
      <c r="H2174" s="425">
        <v>3.95</v>
      </c>
      <c r="I2174" s="457">
        <f t="shared" si="198"/>
        <v>8.0000000000000071E-2</v>
      </c>
      <c r="M2174" s="117">
        <v>0</v>
      </c>
      <c r="N2174" s="64">
        <f t="shared" si="200"/>
        <v>1</v>
      </c>
    </row>
    <row r="2175" spans="1:14">
      <c r="B2175" s="41"/>
      <c r="C2175" s="103">
        <f t="shared" si="199"/>
        <v>45973</v>
      </c>
      <c r="E2175" s="167" t="s">
        <v>19</v>
      </c>
      <c r="F2175" s="58" t="str">
        <f>VLOOKUP(MOD(C2175,7),'CALENDAR INFO'!$I$2:$J$8,2)</f>
        <v>WED</v>
      </c>
      <c r="G2175" s="214">
        <v>3.87</v>
      </c>
      <c r="H2175" s="425">
        <v>3.98</v>
      </c>
      <c r="I2175" s="457">
        <f t="shared" si="198"/>
        <v>0.10999999999999988</v>
      </c>
      <c r="J2175" s="15" t="s">
        <v>197</v>
      </c>
      <c r="K2175" s="180" t="e">
        <f>OUTPUT!#REF!</f>
        <v>#REF!</v>
      </c>
      <c r="L2175" s="193" t="e">
        <f>OUTPUT!#REF!</f>
        <v>#REF!</v>
      </c>
      <c r="M2175" s="211">
        <f t="shared" ref="M2175:M2188" si="202">IF(MOD(C2175,7)&lt;2,0,IF(MOD(C2175,7)=6,3,1))</f>
        <v>1</v>
      </c>
      <c r="N2175" s="64">
        <f t="shared" si="200"/>
        <v>1.0001105555555556</v>
      </c>
    </row>
    <row r="2176" spans="1:14">
      <c r="B2176" s="41"/>
      <c r="C2176" s="103">
        <f t="shared" si="199"/>
        <v>45974</v>
      </c>
      <c r="E2176" s="170" t="s">
        <v>18</v>
      </c>
      <c r="F2176" s="58" t="str">
        <f>VLOOKUP(MOD(C2176,7),'CALENDAR INFO'!$I$2:$J$8,2)</f>
        <v>THU</v>
      </c>
      <c r="G2176" s="214">
        <v>3.88</v>
      </c>
      <c r="H2176" s="425">
        <v>4</v>
      </c>
      <c r="I2176" s="457">
        <f t="shared" si="198"/>
        <v>0.12000000000000011</v>
      </c>
      <c r="J2176" s="15" t="s">
        <v>118</v>
      </c>
      <c r="K2176" s="221">
        <f>VLOOKUP(MONTH($C2170),'CALENDAR INFO'!$I$12:$J$23,2)</f>
        <v>30</v>
      </c>
      <c r="L2176" s="223">
        <f>K2176</f>
        <v>30</v>
      </c>
      <c r="M2176" s="113">
        <f t="shared" si="202"/>
        <v>1</v>
      </c>
      <c r="N2176" s="64">
        <f t="shared" si="200"/>
        <v>1.0001111111111112</v>
      </c>
    </row>
    <row r="2177" spans="2:14">
      <c r="B2177" s="41"/>
      <c r="C2177" s="103">
        <f t="shared" si="199"/>
        <v>45975</v>
      </c>
      <c r="E2177" s="170"/>
      <c r="F2177" s="58" t="str">
        <f>VLOOKUP(MOD(C2177,7),'CALENDAR INFO'!$I$2:$J$8,2)</f>
        <v>FRI</v>
      </c>
      <c r="G2177" s="214">
        <v>3.88</v>
      </c>
      <c r="H2177" s="425">
        <v>3.95</v>
      </c>
      <c r="I2177" s="457">
        <f t="shared" si="198"/>
        <v>7.0000000000000284E-2</v>
      </c>
      <c r="J2177" s="15" t="s">
        <v>234</v>
      </c>
      <c r="K2177" s="178" t="e">
        <f>K2175*K2165</f>
        <v>#REF!</v>
      </c>
      <c r="L2177" s="192" t="e">
        <f>L2175*L2165</f>
        <v>#REF!</v>
      </c>
      <c r="M2177" s="113">
        <f t="shared" si="202"/>
        <v>3</v>
      </c>
      <c r="N2177" s="64">
        <f t="shared" si="200"/>
        <v>1.0003291666666667</v>
      </c>
    </row>
    <row r="2178" spans="2:14">
      <c r="B2178" s="41"/>
      <c r="C2178" s="103">
        <f t="shared" si="199"/>
        <v>45976</v>
      </c>
      <c r="E2178" s="170"/>
      <c r="F2178" s="58" t="str">
        <f>VLOOKUP(MOD(C2178,7),'CALENDAR INFO'!$I$2:$J$8,2)</f>
        <v>SAT</v>
      </c>
      <c r="G2178" s="214">
        <v>3.88</v>
      </c>
      <c r="H2178" s="425">
        <v>3.95</v>
      </c>
      <c r="I2178" s="457">
        <f t="shared" si="198"/>
        <v>7.0000000000000284E-2</v>
      </c>
      <c r="M2178" s="113">
        <f t="shared" si="202"/>
        <v>0</v>
      </c>
      <c r="N2178" s="64">
        <f t="shared" si="200"/>
        <v>1</v>
      </c>
    </row>
    <row r="2179" spans="2:14">
      <c r="B2179" s="41"/>
      <c r="C2179" s="103">
        <f t="shared" si="199"/>
        <v>45977</v>
      </c>
      <c r="E2179" s="170"/>
      <c r="F2179" s="58" t="str">
        <f>VLOOKUP(MOD(C2179,7),'CALENDAR INFO'!$I$2:$J$8,2)</f>
        <v>SUN</v>
      </c>
      <c r="G2179" s="214">
        <v>3.88</v>
      </c>
      <c r="H2179" s="425">
        <v>3.95</v>
      </c>
      <c r="I2179" s="457">
        <f t="shared" ref="I2179:I2242" si="203">H2179-G2179</f>
        <v>7.0000000000000284E-2</v>
      </c>
      <c r="J2179" s="15" t="str">
        <f>J2177</f>
        <v>monthly target</v>
      </c>
      <c r="K2179" s="178" t="e">
        <f>K2177</f>
        <v>#REF!</v>
      </c>
      <c r="L2179" s="192" t="e">
        <f>L2177</f>
        <v>#REF!</v>
      </c>
      <c r="M2179" s="113">
        <f t="shared" si="202"/>
        <v>0</v>
      </c>
      <c r="N2179" s="64">
        <f t="shared" si="200"/>
        <v>1</v>
      </c>
    </row>
    <row r="2180" spans="2:14">
      <c r="B2180" s="41"/>
      <c r="C2180" s="103">
        <f t="shared" ref="C2180:C2243" si="204">C2179+1</f>
        <v>45978</v>
      </c>
      <c r="E2180" s="170"/>
      <c r="F2180" s="58" t="str">
        <f>VLOOKUP(MOD(C2180,7),'CALENDAR INFO'!$I$2:$J$8,2)</f>
        <v>MON</v>
      </c>
      <c r="G2180" s="214">
        <v>3.88</v>
      </c>
      <c r="H2180" s="425">
        <v>4</v>
      </c>
      <c r="I2180" s="457">
        <f t="shared" si="203"/>
        <v>0.12000000000000011</v>
      </c>
      <c r="J2180" s="15" t="s">
        <v>155</v>
      </c>
      <c r="K2180" s="178">
        <f ca="1">SUM(INDIRECT(K2169))</f>
        <v>116.28999999999996</v>
      </c>
      <c r="L2180" s="192">
        <f ca="1">SUM(INDIRECT(L2169))</f>
        <v>119.90000000000003</v>
      </c>
      <c r="M2180" s="113">
        <f t="shared" si="202"/>
        <v>1</v>
      </c>
      <c r="N2180" s="64">
        <f t="shared" si="200"/>
        <v>1.0001111111111112</v>
      </c>
    </row>
    <row r="2181" spans="2:14">
      <c r="B2181" s="41"/>
      <c r="C2181" s="103">
        <f t="shared" si="204"/>
        <v>45979</v>
      </c>
      <c r="E2181" s="170"/>
      <c r="F2181" s="58" t="str">
        <f>VLOOKUP(MOD(C2181,7),'CALENDAR INFO'!$I$2:$J$8,2)</f>
        <v>TUE</v>
      </c>
      <c r="G2181" s="214">
        <v>3.88</v>
      </c>
      <c r="H2181" s="425">
        <v>3.94</v>
      </c>
      <c r="I2181" s="457">
        <f t="shared" si="203"/>
        <v>6.0000000000000053E-2</v>
      </c>
      <c r="J2181" s="15" t="s">
        <v>237</v>
      </c>
      <c r="K2181" s="400">
        <f ca="1">SUM(INDIRECT(K2170))</f>
        <v>0</v>
      </c>
      <c r="L2181" s="401">
        <f ca="1">SUM(INDIRECT(L2170))</f>
        <v>0</v>
      </c>
      <c r="M2181" s="113">
        <f t="shared" si="202"/>
        <v>1</v>
      </c>
      <c r="N2181" s="64">
        <f t="shared" si="200"/>
        <v>1.0001094444444445</v>
      </c>
    </row>
    <row r="2182" spans="2:14">
      <c r="B2182" s="41"/>
      <c r="C2182" s="103">
        <f t="shared" si="204"/>
        <v>45980</v>
      </c>
      <c r="E2182" s="170"/>
      <c r="F2182" s="58" t="str">
        <f>VLOOKUP(MOD(C2182,7),'CALENDAR INFO'!$I$2:$J$8,2)</f>
        <v>WED</v>
      </c>
      <c r="G2182" s="214">
        <v>3.88</v>
      </c>
      <c r="H2182" s="425">
        <v>3.91</v>
      </c>
      <c r="I2182" s="457">
        <f t="shared" si="203"/>
        <v>3.0000000000000249E-2</v>
      </c>
      <c r="J2182" s="15" t="s">
        <v>238</v>
      </c>
      <c r="K2182" s="152" t="e">
        <f ca="1">K2177-K2180-K2181</f>
        <v>#REF!</v>
      </c>
      <c r="L2182" s="201" t="e">
        <f ca="1">L2177-L2180-L2181</f>
        <v>#REF!</v>
      </c>
      <c r="M2182" s="113">
        <f t="shared" si="202"/>
        <v>1</v>
      </c>
      <c r="N2182" s="64">
        <f t="shared" si="200"/>
        <v>1.000108611111111</v>
      </c>
    </row>
    <row r="2183" spans="2:14">
      <c r="B2183" s="41"/>
      <c r="C2183" s="103">
        <f t="shared" si="204"/>
        <v>45981</v>
      </c>
      <c r="E2183" s="170"/>
      <c r="F2183" s="58" t="str">
        <f>VLOOKUP(MOD(C2183,7),'CALENDAR INFO'!$I$2:$J$8,2)</f>
        <v>THU</v>
      </c>
      <c r="G2183" s="214">
        <v>3.88</v>
      </c>
      <c r="H2183" s="425">
        <v>3.91</v>
      </c>
      <c r="I2183" s="457">
        <f t="shared" si="203"/>
        <v>3.0000000000000249E-2</v>
      </c>
      <c r="K2183" s="178"/>
      <c r="L2183" s="192"/>
      <c r="M2183" s="113">
        <f t="shared" si="202"/>
        <v>1</v>
      </c>
      <c r="N2183" s="64">
        <f t="shared" si="200"/>
        <v>1.000108611111111</v>
      </c>
    </row>
    <row r="2184" spans="2:14">
      <c r="B2184" s="41"/>
      <c r="C2184" s="103">
        <f t="shared" si="204"/>
        <v>45982</v>
      </c>
      <c r="E2184" s="170"/>
      <c r="F2184" s="58" t="str">
        <f>VLOOKUP(MOD(C2184,7),'CALENDAR INFO'!$I$2:$J$8,2)</f>
        <v>FRI</v>
      </c>
      <c r="G2184" s="214">
        <v>3.88</v>
      </c>
      <c r="H2184" s="425">
        <v>3.93</v>
      </c>
      <c r="I2184" s="457">
        <f t="shared" si="203"/>
        <v>5.0000000000000266E-2</v>
      </c>
      <c r="J2184" s="15" t="s">
        <v>242</v>
      </c>
      <c r="K2184" s="15">
        <f>K2176</f>
        <v>30</v>
      </c>
      <c r="L2184" s="179">
        <f>L2176</f>
        <v>30</v>
      </c>
      <c r="M2184" s="113">
        <f t="shared" si="202"/>
        <v>3</v>
      </c>
      <c r="N2184" s="64">
        <f t="shared" si="200"/>
        <v>1.0003275</v>
      </c>
    </row>
    <row r="2185" spans="2:14">
      <c r="B2185" s="41"/>
      <c r="C2185" s="103">
        <f t="shared" si="204"/>
        <v>45983</v>
      </c>
      <c r="E2185" s="170"/>
      <c r="F2185" s="58" t="str">
        <f>VLOOKUP(MOD(C2185,7),'CALENDAR INFO'!$I$2:$J$8,2)</f>
        <v>SAT</v>
      </c>
      <c r="G2185" s="214">
        <v>3.88</v>
      </c>
      <c r="H2185" s="425">
        <v>3.93</v>
      </c>
      <c r="I2185" s="457">
        <f t="shared" si="203"/>
        <v>5.0000000000000266E-2</v>
      </c>
      <c r="J2185" s="15" t="s">
        <v>194</v>
      </c>
      <c r="K2185" s="15">
        <f ca="1">COUNTA(INDIRECT(K2169))</f>
        <v>30</v>
      </c>
      <c r="L2185" s="179">
        <f ca="1">COUNTA(INDIRECT(L2169))</f>
        <v>30</v>
      </c>
      <c r="M2185" s="113">
        <f t="shared" si="202"/>
        <v>0</v>
      </c>
      <c r="N2185" s="64">
        <f t="shared" si="200"/>
        <v>1</v>
      </c>
    </row>
    <row r="2186" spans="2:14">
      <c r="B2186" s="41"/>
      <c r="C2186" s="103">
        <f t="shared" si="204"/>
        <v>45984</v>
      </c>
      <c r="E2186" s="170"/>
      <c r="F2186" s="58" t="str">
        <f>VLOOKUP(MOD(C2186,7),'CALENDAR INFO'!$I$2:$J$8,2)</f>
        <v>SUN</v>
      </c>
      <c r="G2186" s="214">
        <v>3.88</v>
      </c>
      <c r="H2186" s="425">
        <v>3.93</v>
      </c>
      <c r="I2186" s="457">
        <f t="shared" si="203"/>
        <v>5.0000000000000266E-2</v>
      </c>
      <c r="J2186" s="15" t="s">
        <v>243</v>
      </c>
      <c r="K2186" s="402">
        <f ca="1">COUNTA(INDIRECT(K2170))</f>
        <v>0</v>
      </c>
      <c r="L2186" s="403">
        <f ca="1">COUNTA(INDIRECT(L2170))</f>
        <v>0</v>
      </c>
      <c r="M2186" s="113">
        <f t="shared" si="202"/>
        <v>0</v>
      </c>
      <c r="N2186" s="64">
        <f t="shared" si="200"/>
        <v>1</v>
      </c>
    </row>
    <row r="2187" spans="2:14">
      <c r="B2187" s="41"/>
      <c r="C2187" s="103">
        <f t="shared" si="204"/>
        <v>45985</v>
      </c>
      <c r="E2187" s="170"/>
      <c r="F2187" s="58" t="str">
        <f>VLOOKUP(MOD(C2187,7),'CALENDAR INFO'!$I$2:$J$8,2)</f>
        <v>MON</v>
      </c>
      <c r="G2187" s="214">
        <v>3.88</v>
      </c>
      <c r="H2187" s="425">
        <v>3.96</v>
      </c>
      <c r="I2187" s="457">
        <f t="shared" si="203"/>
        <v>8.0000000000000071E-2</v>
      </c>
      <c r="J2187" s="15" t="s">
        <v>239</v>
      </c>
      <c r="K2187" s="152">
        <f ca="1">K2184-K2185-K2186</f>
        <v>0</v>
      </c>
      <c r="L2187" s="202">
        <f ca="1">L2184-L2185-L2186</f>
        <v>0</v>
      </c>
      <c r="M2187" s="113">
        <f t="shared" si="202"/>
        <v>1</v>
      </c>
      <c r="N2187" s="64">
        <f t="shared" si="200"/>
        <v>1.0001100000000001</v>
      </c>
    </row>
    <row r="2188" spans="2:14">
      <c r="B2188" s="41"/>
      <c r="C2188" s="103">
        <f t="shared" si="204"/>
        <v>45986</v>
      </c>
      <c r="E2188" s="170"/>
      <c r="F2188" s="58" t="str">
        <f>VLOOKUP(MOD(C2188,7),'CALENDAR INFO'!$I$2:$J$8,2)</f>
        <v>TUE</v>
      </c>
      <c r="G2188" s="214">
        <v>3.88</v>
      </c>
      <c r="H2188" s="425">
        <v>4.01</v>
      </c>
      <c r="I2188" s="457">
        <f t="shared" si="203"/>
        <v>0.12999999999999989</v>
      </c>
      <c r="K2188" s="178"/>
      <c r="L2188" s="192"/>
      <c r="M2188" s="113">
        <f t="shared" si="202"/>
        <v>1</v>
      </c>
      <c r="N2188" s="64">
        <f t="shared" si="200"/>
        <v>1.0001113888888888</v>
      </c>
    </row>
    <row r="2189" spans="2:14">
      <c r="B2189" s="41"/>
      <c r="C2189" s="103">
        <f t="shared" si="204"/>
        <v>45987</v>
      </c>
      <c r="E2189" s="170" t="s">
        <v>19</v>
      </c>
      <c r="F2189" s="58" t="str">
        <f>VLOOKUP(MOD(C2189,7),'CALENDAR INFO'!$I$2:$J$8,2)</f>
        <v>WED</v>
      </c>
      <c r="G2189" s="214">
        <v>3.88</v>
      </c>
      <c r="H2189" s="425">
        <v>4.05</v>
      </c>
      <c r="I2189" s="457">
        <f t="shared" si="203"/>
        <v>0.16999999999999993</v>
      </c>
      <c r="J2189" s="15" t="s">
        <v>238</v>
      </c>
      <c r="K2189" s="178" t="e">
        <f ca="1">K2182</f>
        <v>#REF!</v>
      </c>
      <c r="L2189" s="192" t="e">
        <f ca="1">L2182</f>
        <v>#REF!</v>
      </c>
      <c r="M2189" s="117">
        <v>2</v>
      </c>
      <c r="N2189" s="64">
        <f t="shared" si="200"/>
        <v>1.0002249999999999</v>
      </c>
    </row>
    <row r="2190" spans="2:14">
      <c r="B2190" s="41"/>
      <c r="C2190" s="103">
        <f t="shared" si="204"/>
        <v>45988</v>
      </c>
      <c r="D2190" s="173" t="s">
        <v>110</v>
      </c>
      <c r="E2190" s="167" t="s">
        <v>18</v>
      </c>
      <c r="F2190" s="58" t="str">
        <f>VLOOKUP(MOD(C2190,7),'CALENDAR INFO'!$I$2:$J$8,2)</f>
        <v>THU</v>
      </c>
      <c r="G2190" s="214">
        <v>3.88</v>
      </c>
      <c r="H2190" s="425">
        <v>4.05</v>
      </c>
      <c r="I2190" s="457">
        <f t="shared" si="203"/>
        <v>0.16999999999999993</v>
      </c>
      <c r="J2190" s="15" t="s">
        <v>239</v>
      </c>
      <c r="K2190" s="221">
        <f ca="1">K2187</f>
        <v>0</v>
      </c>
      <c r="L2190" s="223">
        <f ca="1">L2187</f>
        <v>0</v>
      </c>
      <c r="M2190" s="117">
        <v>0</v>
      </c>
      <c r="N2190" s="64">
        <f t="shared" si="200"/>
        <v>1</v>
      </c>
    </row>
    <row r="2191" spans="2:14">
      <c r="B2191" s="41"/>
      <c r="C2191" s="103">
        <f t="shared" si="204"/>
        <v>45989</v>
      </c>
      <c r="E2191" s="167"/>
      <c r="F2191" s="58" t="str">
        <f>VLOOKUP(MOD(C2191,7),'CALENDAR INFO'!$I$2:$J$8,2)</f>
        <v>FRI</v>
      </c>
      <c r="G2191" s="214">
        <v>3.89</v>
      </c>
      <c r="H2191" s="425">
        <v>4.12</v>
      </c>
      <c r="I2191" s="457">
        <f t="shared" si="203"/>
        <v>0.22999999999999998</v>
      </c>
      <c r="J2191" s="15" t="s">
        <v>240</v>
      </c>
      <c r="K2191" s="178" t="e">
        <f ca="1">K2189/K2190</f>
        <v>#REF!</v>
      </c>
      <c r="L2191" s="192" t="e">
        <f ca="1">L2189/L2190</f>
        <v>#REF!</v>
      </c>
      <c r="M2191" s="113">
        <f t="shared" ref="M2191:M2216" si="205">IF(MOD(C2191,7)&lt;2,0,IF(MOD(C2191,7)=6,3,1))</f>
        <v>3</v>
      </c>
      <c r="N2191" s="64">
        <f t="shared" si="200"/>
        <v>1.0003433333333334</v>
      </c>
    </row>
    <row r="2192" spans="2:14">
      <c r="B2192" s="41"/>
      <c r="C2192" s="103">
        <f t="shared" si="204"/>
        <v>45990</v>
      </c>
      <c r="E2192" s="167"/>
      <c r="F2192" s="58" t="str">
        <f>VLOOKUP(MOD(C2192,7),'CALENDAR INFO'!$I$2:$J$8,2)</f>
        <v>SAT</v>
      </c>
      <c r="G2192" s="214">
        <v>3.89</v>
      </c>
      <c r="H2192" s="425">
        <v>4.12</v>
      </c>
      <c r="I2192" s="457">
        <f t="shared" si="203"/>
        <v>0.22999999999999998</v>
      </c>
      <c r="M2192" s="113">
        <f t="shared" si="205"/>
        <v>0</v>
      </c>
      <c r="N2192" s="64">
        <f t="shared" si="200"/>
        <v>1</v>
      </c>
    </row>
    <row r="2193" spans="1:14" ht="15.75" thickBot="1">
      <c r="A2193" s="98"/>
      <c r="B2193" s="230"/>
      <c r="C2193" s="104">
        <f t="shared" si="204"/>
        <v>45991</v>
      </c>
      <c r="D2193" s="112"/>
      <c r="E2193" s="92"/>
      <c r="F2193" s="71" t="str">
        <f>VLOOKUP(MOD(C2193,7),'CALENDAR INFO'!$I$2:$J$8,2)</f>
        <v>SUN</v>
      </c>
      <c r="G2193" s="215">
        <v>3.89</v>
      </c>
      <c r="H2193" s="426">
        <v>4.12</v>
      </c>
      <c r="I2193" s="458">
        <f t="shared" si="203"/>
        <v>0.22999999999999998</v>
      </c>
      <c r="J2193" s="348"/>
      <c r="K2193" s="348"/>
      <c r="L2193" s="349"/>
      <c r="M2193" s="114">
        <f t="shared" si="205"/>
        <v>0</v>
      </c>
      <c r="N2193" s="292">
        <f t="shared" si="200"/>
        <v>1</v>
      </c>
    </row>
    <row r="2194" spans="1:14">
      <c r="A2194" s="304"/>
      <c r="B2194" s="305"/>
      <c r="C2194" s="103">
        <f t="shared" si="204"/>
        <v>45992</v>
      </c>
      <c r="E2194" s="167"/>
      <c r="F2194" s="58" t="str">
        <f>VLOOKUP(MOD(C2194,7),'CALENDAR INFO'!$I$2:$J$8,2)</f>
        <v>MON</v>
      </c>
      <c r="G2194" s="214">
        <v>3.89</v>
      </c>
      <c r="H2194" s="425">
        <v>4.12</v>
      </c>
      <c r="I2194" s="457">
        <f t="shared" si="203"/>
        <v>0.22999999999999998</v>
      </c>
      <c r="J2194" s="15" t="s">
        <v>151</v>
      </c>
      <c r="K2194" s="360">
        <f>ROW()</f>
        <v>2194</v>
      </c>
      <c r="L2194" s="60">
        <f>K2194</f>
        <v>2194</v>
      </c>
      <c r="M2194" s="113">
        <f t="shared" si="205"/>
        <v>1</v>
      </c>
      <c r="N2194" s="64">
        <f t="shared" si="200"/>
        <v>1.0001144444444445</v>
      </c>
    </row>
    <row r="2195" spans="1:14">
      <c r="A2195" s="304"/>
      <c r="B2195" s="305"/>
      <c r="C2195" s="103">
        <f t="shared" si="204"/>
        <v>45993</v>
      </c>
      <c r="E2195" s="167"/>
      <c r="F2195" s="58" t="str">
        <f>VLOOKUP(MOD(C2195,7),'CALENDAR INFO'!$I$2:$J$8,2)</f>
        <v>TUE</v>
      </c>
      <c r="G2195" s="214">
        <v>3.89</v>
      </c>
      <c r="H2195" s="425">
        <v>4.01</v>
      </c>
      <c r="I2195" s="457">
        <f t="shared" si="203"/>
        <v>0.11999999999999966</v>
      </c>
      <c r="J2195" s="15" t="s">
        <v>118</v>
      </c>
      <c r="K2195" s="15">
        <f>VLOOKUP(MONTH($C2194),'CALENDAR INFO'!$I$12:$J$23,2)</f>
        <v>31</v>
      </c>
      <c r="L2195" s="15">
        <f>K2195</f>
        <v>31</v>
      </c>
      <c r="M2195" s="113">
        <f t="shared" si="205"/>
        <v>1</v>
      </c>
      <c r="N2195" s="64">
        <f t="shared" ref="N2195:N2258" si="206">1+(M2195/360)*(MAX(H2195,B2195)/100)</f>
        <v>1.0001113888888888</v>
      </c>
    </row>
    <row r="2196" spans="1:14">
      <c r="A2196" s="304"/>
      <c r="B2196" s="305"/>
      <c r="C2196" s="103">
        <f t="shared" si="204"/>
        <v>45994</v>
      </c>
      <c r="E2196" s="167"/>
      <c r="F2196" s="58" t="str">
        <f>VLOOKUP(MOD(C2196,7),'CALENDAR INFO'!$I$2:$J$8,2)</f>
        <v>WED</v>
      </c>
      <c r="G2196" s="214">
        <v>3.89</v>
      </c>
      <c r="H2196" s="425">
        <v>3.95</v>
      </c>
      <c r="I2196" s="457">
        <f t="shared" si="203"/>
        <v>6.0000000000000053E-2</v>
      </c>
      <c r="J2196" s="15" t="s">
        <v>152</v>
      </c>
      <c r="K2196" s="15">
        <f>K2194+K2195-1</f>
        <v>2224</v>
      </c>
      <c r="L2196" s="15">
        <f>K2196</f>
        <v>2224</v>
      </c>
      <c r="M2196" s="113">
        <f t="shared" si="205"/>
        <v>1</v>
      </c>
      <c r="N2196" s="64">
        <f t="shared" si="206"/>
        <v>1.0001097222222222</v>
      </c>
    </row>
    <row r="2197" spans="1:14">
      <c r="A2197" s="304"/>
      <c r="B2197" s="305"/>
      <c r="C2197" s="103">
        <f t="shared" si="204"/>
        <v>45995</v>
      </c>
      <c r="E2197" s="167"/>
      <c r="F2197" s="58" t="str">
        <f>VLOOKUP(MOD(C2197,7),'CALENDAR INFO'!$I$2:$J$8,2)</f>
        <v>THU</v>
      </c>
      <c r="G2197" s="214">
        <v>3.89</v>
      </c>
      <c r="H2197" s="425">
        <v>3.92</v>
      </c>
      <c r="I2197" s="457">
        <f t="shared" si="203"/>
        <v>2.9999999999999805E-2</v>
      </c>
      <c r="J2197" s="15" t="s">
        <v>244</v>
      </c>
      <c r="K2197" s="311">
        <f>ROW(D2203)</f>
        <v>2203</v>
      </c>
      <c r="L2197" s="15">
        <f>K2197</f>
        <v>2203</v>
      </c>
      <c r="M2197" s="113">
        <f t="shared" si="205"/>
        <v>1</v>
      </c>
      <c r="N2197" s="64">
        <f t="shared" si="206"/>
        <v>1.0001088888888889</v>
      </c>
    </row>
    <row r="2198" spans="1:14">
      <c r="A2198" s="304"/>
      <c r="B2198" s="305"/>
      <c r="C2198" s="103">
        <f t="shared" si="204"/>
        <v>45996</v>
      </c>
      <c r="E2198" s="167"/>
      <c r="F2198" s="58" t="str">
        <f>VLOOKUP(MOD(C2198,7),'CALENDAR INFO'!$I$2:$J$8,2)</f>
        <v>FRI</v>
      </c>
      <c r="G2198" s="214">
        <v>3.89</v>
      </c>
      <c r="H2198" s="425">
        <v>3.93</v>
      </c>
      <c r="I2198" s="457">
        <f t="shared" si="203"/>
        <v>4.0000000000000036E-2</v>
      </c>
      <c r="K2198" s="311"/>
      <c r="L2198" s="15"/>
      <c r="M2198" s="113">
        <f t="shared" si="205"/>
        <v>3</v>
      </c>
      <c r="N2198" s="64">
        <f t="shared" si="206"/>
        <v>1.0003275</v>
      </c>
    </row>
    <row r="2199" spans="1:14">
      <c r="A2199" s="304"/>
      <c r="B2199" s="305"/>
      <c r="C2199" s="103">
        <f t="shared" si="204"/>
        <v>45997</v>
      </c>
      <c r="E2199" s="167"/>
      <c r="F2199" s="58" t="str">
        <f>VLOOKUP(MOD(C2199,7),'CALENDAR INFO'!$I$2:$J$8,2)</f>
        <v>SAT</v>
      </c>
      <c r="G2199" s="214">
        <v>3.89</v>
      </c>
      <c r="H2199" s="425">
        <v>3.93</v>
      </c>
      <c r="I2199" s="457">
        <f t="shared" si="203"/>
        <v>4.0000000000000036E-2</v>
      </c>
      <c r="J2199" s="15" t="s">
        <v>153</v>
      </c>
      <c r="K2199" s="15" t="str">
        <f>_xlfn.CONCAT(ADDRESS(K2194,7),":",ADDRESS(K2196,7))</f>
        <v>$G$2194:$G$2224</v>
      </c>
      <c r="L2199" s="15" t="str">
        <f>_xlfn.CONCAT(ADDRESS(L2194,8),":",ADDRESS(L2196,8))</f>
        <v>$H$2194:$H$2224</v>
      </c>
      <c r="M2199" s="113">
        <f t="shared" si="205"/>
        <v>0</v>
      </c>
      <c r="N2199" s="64">
        <f t="shared" si="206"/>
        <v>1</v>
      </c>
    </row>
    <row r="2200" spans="1:14">
      <c r="A2200" s="304"/>
      <c r="B2200" s="305"/>
      <c r="C2200" s="103">
        <f t="shared" si="204"/>
        <v>45998</v>
      </c>
      <c r="E2200" s="167"/>
      <c r="F2200" s="58" t="str">
        <f>VLOOKUP(MOD(C2200,7),'CALENDAR INFO'!$I$2:$J$8,2)</f>
        <v>SUN</v>
      </c>
      <c r="G2200" s="214">
        <v>3.89</v>
      </c>
      <c r="H2200" s="425">
        <v>3.93</v>
      </c>
      <c r="I2200" s="457">
        <f t="shared" si="203"/>
        <v>4.0000000000000036E-2</v>
      </c>
      <c r="J2200" s="176" t="s">
        <v>235</v>
      </c>
      <c r="K2200" s="15" t="str">
        <f>_xlfn.CONCAT(ADDRESS(K2194,1),":",ADDRESS(K2197,1))</f>
        <v>$A$2194:$A$2203</v>
      </c>
      <c r="L2200" s="15" t="str">
        <f>_xlfn.CONCAT(ADDRESS(L2194,2),":",ADDRESS(L2197,2))</f>
        <v>$B$2194:$B$2203</v>
      </c>
      <c r="M2200" s="113">
        <f t="shared" si="205"/>
        <v>0</v>
      </c>
      <c r="N2200" s="64">
        <f t="shared" si="206"/>
        <v>1</v>
      </c>
    </row>
    <row r="2201" spans="1:14">
      <c r="A2201" s="304"/>
      <c r="B2201" s="305"/>
      <c r="C2201" s="103">
        <f t="shared" si="204"/>
        <v>45999</v>
      </c>
      <c r="E2201" s="167"/>
      <c r="F2201" s="58" t="str">
        <f>VLOOKUP(MOD(C2201,7),'CALENDAR INFO'!$I$2:$J$8,2)</f>
        <v>MON</v>
      </c>
      <c r="G2201" s="214">
        <v>3.89</v>
      </c>
      <c r="H2201" s="425">
        <v>3.95</v>
      </c>
      <c r="I2201" s="457">
        <f t="shared" si="203"/>
        <v>6.0000000000000053E-2</v>
      </c>
      <c r="J2201" s="176" t="s">
        <v>236</v>
      </c>
      <c r="K2201" s="15" t="str">
        <f>_xlfn.CONCAT(ADDRESS(K2197+1,1),":",ADDRESS(K2196,1))</f>
        <v>$A$2204:$A$2224</v>
      </c>
      <c r="L2201" s="15" t="str">
        <f>_xlfn.CONCAT(ADDRESS(L2197+1,2),":",ADDRESS(L2196,2))</f>
        <v>$B$2204:$B$2224</v>
      </c>
      <c r="M2201" s="113">
        <f t="shared" si="205"/>
        <v>1</v>
      </c>
      <c r="N2201" s="64">
        <f t="shared" si="206"/>
        <v>1.0001097222222222</v>
      </c>
    </row>
    <row r="2202" spans="1:14">
      <c r="A2202" s="304"/>
      <c r="B2202" s="305"/>
      <c r="C2202" s="103">
        <f t="shared" si="204"/>
        <v>46000</v>
      </c>
      <c r="D2202" s="153" t="s">
        <v>20</v>
      </c>
      <c r="E2202" s="167"/>
      <c r="F2202" s="58" t="str">
        <f>VLOOKUP(MOD(C2202,7),'CALENDAR INFO'!$I$2:$J$8,2)</f>
        <v>TUE</v>
      </c>
      <c r="G2202" s="214">
        <v>3.89</v>
      </c>
      <c r="H2202" s="425">
        <v>3.93</v>
      </c>
      <c r="I2202" s="457">
        <f t="shared" si="203"/>
        <v>4.0000000000000036E-2</v>
      </c>
      <c r="M2202" s="113">
        <f t="shared" si="205"/>
        <v>1</v>
      </c>
      <c r="N2202" s="64">
        <f t="shared" si="206"/>
        <v>1.0001091666666666</v>
      </c>
    </row>
    <row r="2203" spans="1:14">
      <c r="A2203" s="304"/>
      <c r="B2203" s="305"/>
      <c r="C2203" s="103">
        <f t="shared" si="204"/>
        <v>46001</v>
      </c>
      <c r="D2203" s="153" t="s">
        <v>20</v>
      </c>
      <c r="E2203" s="167" t="s">
        <v>19</v>
      </c>
      <c r="F2203" s="58" t="str">
        <f>VLOOKUP(MOD(C2203,7),'CALENDAR INFO'!$I$2:$J$8,2)</f>
        <v>WED</v>
      </c>
      <c r="G2203" s="214">
        <v>3.89</v>
      </c>
      <c r="H2203" s="425">
        <v>3.9</v>
      </c>
      <c r="I2203" s="457">
        <f t="shared" si="203"/>
        <v>9.9999999999997868E-3</v>
      </c>
      <c r="J2203" s="15" t="s">
        <v>241</v>
      </c>
      <c r="K2203" s="186">
        <f>A2193+G2193</f>
        <v>3.89</v>
      </c>
      <c r="L2203" s="194">
        <f>B2193+H2193</f>
        <v>4.12</v>
      </c>
      <c r="M2203" s="113">
        <f t="shared" si="205"/>
        <v>1</v>
      </c>
      <c r="N2203" s="64">
        <f t="shared" si="206"/>
        <v>1.0001083333333334</v>
      </c>
    </row>
    <row r="2204" spans="1:14">
      <c r="A2204" s="84"/>
      <c r="B2204" s="228"/>
      <c r="C2204" s="103">
        <f t="shared" si="204"/>
        <v>46002</v>
      </c>
      <c r="E2204" s="170" t="s">
        <v>18</v>
      </c>
      <c r="F2204" s="58" t="str">
        <f>VLOOKUP(MOD(C2204,7),'CALENDAR INFO'!$I$2:$J$8,2)</f>
        <v>THU</v>
      </c>
      <c r="G2204" s="214">
        <v>3.64</v>
      </c>
      <c r="H2204" s="425">
        <v>3.66</v>
      </c>
      <c r="I2204" s="457">
        <f t="shared" si="203"/>
        <v>2.0000000000000018E-2</v>
      </c>
      <c r="K2204" s="178"/>
      <c r="L2204" s="192"/>
      <c r="M2204" s="113">
        <f t="shared" si="205"/>
        <v>1</v>
      </c>
      <c r="N2204" s="64">
        <f t="shared" si="206"/>
        <v>1.0001016666666667</v>
      </c>
    </row>
    <row r="2205" spans="1:14">
      <c r="A2205" s="84"/>
      <c r="B2205" s="228"/>
      <c r="C2205" s="103">
        <f t="shared" si="204"/>
        <v>46003</v>
      </c>
      <c r="E2205" s="170"/>
      <c r="F2205" s="58" t="str">
        <f>VLOOKUP(MOD(C2205,7),'CALENDAR INFO'!$I$2:$J$8,2)</f>
        <v>FRI</v>
      </c>
      <c r="G2205" s="214">
        <v>3.64</v>
      </c>
      <c r="H2205" s="425">
        <v>3.67</v>
      </c>
      <c r="I2205" s="457">
        <f t="shared" si="203"/>
        <v>2.9999999999999805E-2</v>
      </c>
      <c r="J2205" s="15" t="s">
        <v>197</v>
      </c>
      <c r="K2205" s="180" t="e">
        <f>OUTPUT!#REF!</f>
        <v>#REF!</v>
      </c>
      <c r="L2205" s="180" t="e">
        <f>OUTPUT!#REF!</f>
        <v>#REF!</v>
      </c>
      <c r="M2205" s="113">
        <f t="shared" si="205"/>
        <v>3</v>
      </c>
      <c r="N2205" s="64">
        <f t="shared" si="206"/>
        <v>1.0003058333333332</v>
      </c>
    </row>
    <row r="2206" spans="1:14">
      <c r="A2206" s="84"/>
      <c r="B2206" s="228"/>
      <c r="C2206" s="103">
        <f t="shared" si="204"/>
        <v>46004</v>
      </c>
      <c r="E2206" s="170"/>
      <c r="F2206" s="58" t="str">
        <f>VLOOKUP(MOD(C2206,7),'CALENDAR INFO'!$I$2:$J$8,2)</f>
        <v>SAT</v>
      </c>
      <c r="G2206" s="214">
        <v>3.64</v>
      </c>
      <c r="H2206" s="425">
        <v>3.67</v>
      </c>
      <c r="I2206" s="457">
        <f t="shared" si="203"/>
        <v>2.9999999999999805E-2</v>
      </c>
      <c r="J2206" s="15" t="s">
        <v>118</v>
      </c>
      <c r="K2206" s="221">
        <f>VLOOKUP(MONTH($C2200),'CALENDAR INFO'!$I$12:$J$23,2)</f>
        <v>31</v>
      </c>
      <c r="L2206" s="221">
        <f>K2206</f>
        <v>31</v>
      </c>
      <c r="M2206" s="113">
        <f t="shared" si="205"/>
        <v>0</v>
      </c>
      <c r="N2206" s="64">
        <f t="shared" si="206"/>
        <v>1</v>
      </c>
    </row>
    <row r="2207" spans="1:14">
      <c r="A2207" s="84"/>
      <c r="B2207" s="228"/>
      <c r="C2207" s="103">
        <f t="shared" si="204"/>
        <v>46005</v>
      </c>
      <c r="E2207" s="170"/>
      <c r="F2207" s="58" t="str">
        <f>VLOOKUP(MOD(C2207,7),'CALENDAR INFO'!$I$2:$J$8,2)</f>
        <v>SUN</v>
      </c>
      <c r="G2207" s="214">
        <v>3.64</v>
      </c>
      <c r="H2207" s="425">
        <v>3.67</v>
      </c>
      <c r="I2207" s="457">
        <f t="shared" si="203"/>
        <v>2.9999999999999805E-2</v>
      </c>
      <c r="J2207" s="15" t="s">
        <v>234</v>
      </c>
      <c r="K2207" s="178" t="e">
        <f>K2205*K2195</f>
        <v>#REF!</v>
      </c>
      <c r="L2207" s="178" t="e">
        <f>L2205*L2195</f>
        <v>#REF!</v>
      </c>
      <c r="M2207" s="113">
        <f t="shared" si="205"/>
        <v>0</v>
      </c>
      <c r="N2207" s="64">
        <f t="shared" si="206"/>
        <v>1</v>
      </c>
    </row>
    <row r="2208" spans="1:14">
      <c r="A2208" s="84"/>
      <c r="B2208" s="228"/>
      <c r="C2208" s="103">
        <f t="shared" si="204"/>
        <v>46006</v>
      </c>
      <c r="E2208" s="170"/>
      <c r="F2208" s="58" t="str">
        <f>VLOOKUP(MOD(C2208,7),'CALENDAR INFO'!$I$2:$J$8,2)</f>
        <v>MON</v>
      </c>
      <c r="G2208" s="214">
        <v>3.64</v>
      </c>
      <c r="H2208" s="425">
        <v>3.75</v>
      </c>
      <c r="I2208" s="457">
        <f t="shared" si="203"/>
        <v>0.10999999999999988</v>
      </c>
      <c r="K2208" s="178"/>
      <c r="L2208" s="192"/>
      <c r="M2208" s="113">
        <f t="shared" si="205"/>
        <v>1</v>
      </c>
      <c r="N2208" s="64">
        <f t="shared" si="206"/>
        <v>1.0001041666666666</v>
      </c>
    </row>
    <row r="2209" spans="1:14">
      <c r="A2209" s="84"/>
      <c r="B2209" s="228"/>
      <c r="C2209" s="103">
        <f t="shared" si="204"/>
        <v>46007</v>
      </c>
      <c r="E2209" s="170"/>
      <c r="F2209" s="58" t="str">
        <f>VLOOKUP(MOD(C2209,7),'CALENDAR INFO'!$I$2:$J$8,2)</f>
        <v>TUE</v>
      </c>
      <c r="G2209" s="214">
        <v>3.64</v>
      </c>
      <c r="H2209" s="425">
        <v>3.69</v>
      </c>
      <c r="I2209" s="457">
        <f t="shared" si="203"/>
        <v>4.9999999999999822E-2</v>
      </c>
      <c r="J2209" s="15" t="str">
        <f>J2207</f>
        <v>monthly target</v>
      </c>
      <c r="K2209" s="178" t="e">
        <f>K2207</f>
        <v>#REF!</v>
      </c>
      <c r="L2209" s="192" t="e">
        <f>L2207</f>
        <v>#REF!</v>
      </c>
      <c r="M2209" s="113">
        <f t="shared" si="205"/>
        <v>1</v>
      </c>
      <c r="N2209" s="64">
        <f t="shared" si="206"/>
        <v>1.0001024999999999</v>
      </c>
    </row>
    <row r="2210" spans="1:14">
      <c r="A2210" s="84"/>
      <c r="B2210" s="228"/>
      <c r="C2210" s="103">
        <f t="shared" si="204"/>
        <v>46008</v>
      </c>
      <c r="E2210" s="170"/>
      <c r="F2210" s="58" t="str">
        <f>VLOOKUP(MOD(C2210,7),'CALENDAR INFO'!$I$2:$J$8,2)</f>
        <v>WED</v>
      </c>
      <c r="G2210" s="214">
        <v>3.64</v>
      </c>
      <c r="H2210" s="425">
        <v>3.69</v>
      </c>
      <c r="I2210" s="457">
        <f t="shared" si="203"/>
        <v>4.9999999999999822E-2</v>
      </c>
      <c r="J2210" s="15" t="s">
        <v>155</v>
      </c>
      <c r="K2210" s="178">
        <f ca="1">SUM(INDIRECT(K2199))</f>
        <v>115.34</v>
      </c>
      <c r="L2210" s="192">
        <f ca="1">SUM(INDIRECT(L2199))</f>
        <v>117.3</v>
      </c>
      <c r="M2210" s="113">
        <f t="shared" si="205"/>
        <v>1</v>
      </c>
      <c r="N2210" s="64">
        <f t="shared" si="206"/>
        <v>1.0001024999999999</v>
      </c>
    </row>
    <row r="2211" spans="1:14">
      <c r="A2211" s="84"/>
      <c r="B2211" s="228"/>
      <c r="C2211" s="103">
        <f t="shared" si="204"/>
        <v>46009</v>
      </c>
      <c r="E2211" s="170"/>
      <c r="F2211" s="58" t="str">
        <f>VLOOKUP(MOD(C2211,7),'CALENDAR INFO'!$I$2:$J$8,2)</f>
        <v>THU</v>
      </c>
      <c r="G2211" s="214">
        <v>3.64</v>
      </c>
      <c r="H2211" s="425">
        <v>3.66</v>
      </c>
      <c r="I2211" s="457">
        <f t="shared" si="203"/>
        <v>2.0000000000000018E-2</v>
      </c>
      <c r="J2211" s="15" t="s">
        <v>237</v>
      </c>
      <c r="K2211" s="400">
        <f ca="1">SUM(INDIRECT(K2200))</f>
        <v>0</v>
      </c>
      <c r="L2211" s="401">
        <f ca="1">SUM(INDIRECT(L2200))</f>
        <v>0</v>
      </c>
      <c r="M2211" s="113">
        <f t="shared" si="205"/>
        <v>1</v>
      </c>
      <c r="N2211" s="64">
        <f t="shared" si="206"/>
        <v>1.0001016666666667</v>
      </c>
    </row>
    <row r="2212" spans="1:14">
      <c r="A2212" s="84"/>
      <c r="B2212" s="228"/>
      <c r="C2212" s="103">
        <f t="shared" si="204"/>
        <v>46010</v>
      </c>
      <c r="E2212" s="170"/>
      <c r="F2212" s="58" t="str">
        <f>VLOOKUP(MOD(C2212,7),'CALENDAR INFO'!$I$2:$J$8,2)</f>
        <v>FRI</v>
      </c>
      <c r="G2212" s="214">
        <v>3.64</v>
      </c>
      <c r="H2212" s="425">
        <v>3.66</v>
      </c>
      <c r="I2212" s="457">
        <f t="shared" si="203"/>
        <v>2.0000000000000018E-2</v>
      </c>
      <c r="J2212" s="15" t="s">
        <v>238</v>
      </c>
      <c r="K2212" s="182" t="e">
        <f ca="1">K2207-K2210-K2211</f>
        <v>#REF!</v>
      </c>
      <c r="L2212" s="201" t="e">
        <f ca="1">L2207-L2210-L2211</f>
        <v>#REF!</v>
      </c>
      <c r="M2212" s="113">
        <f t="shared" si="205"/>
        <v>3</v>
      </c>
      <c r="N2212" s="64">
        <f t="shared" si="206"/>
        <v>1.000305</v>
      </c>
    </row>
    <row r="2213" spans="1:14">
      <c r="A2213" s="84"/>
      <c r="B2213" s="228"/>
      <c r="C2213" s="103">
        <f t="shared" si="204"/>
        <v>46011</v>
      </c>
      <c r="E2213" s="170"/>
      <c r="F2213" s="58" t="str">
        <f>VLOOKUP(MOD(C2213,7),'CALENDAR INFO'!$I$2:$J$8,2)</f>
        <v>SAT</v>
      </c>
      <c r="G2213" s="214">
        <v>3.64</v>
      </c>
      <c r="H2213" s="425">
        <v>3.66</v>
      </c>
      <c r="I2213" s="457">
        <f t="shared" si="203"/>
        <v>2.0000000000000018E-2</v>
      </c>
      <c r="M2213" s="113">
        <f t="shared" si="205"/>
        <v>0</v>
      </c>
      <c r="N2213" s="64">
        <f t="shared" si="206"/>
        <v>1</v>
      </c>
    </row>
    <row r="2214" spans="1:14">
      <c r="A2214" s="84"/>
      <c r="B2214" s="228"/>
      <c r="C2214" s="103">
        <f t="shared" si="204"/>
        <v>46012</v>
      </c>
      <c r="E2214" s="170"/>
      <c r="F2214" s="58" t="str">
        <f>VLOOKUP(MOD(C2214,7),'CALENDAR INFO'!$I$2:$J$8,2)</f>
        <v>SUN</v>
      </c>
      <c r="G2214" s="214">
        <v>3.64</v>
      </c>
      <c r="H2214" s="425">
        <v>3.66</v>
      </c>
      <c r="I2214" s="457">
        <f t="shared" si="203"/>
        <v>2.0000000000000018E-2</v>
      </c>
      <c r="J2214" s="15" t="s">
        <v>242</v>
      </c>
      <c r="K2214" s="15">
        <f>K2206</f>
        <v>31</v>
      </c>
      <c r="L2214" s="179">
        <f>L2206</f>
        <v>31</v>
      </c>
      <c r="M2214" s="113">
        <f t="shared" si="205"/>
        <v>0</v>
      </c>
      <c r="N2214" s="64">
        <f t="shared" si="206"/>
        <v>1</v>
      </c>
    </row>
    <row r="2215" spans="1:14">
      <c r="A2215" s="84"/>
      <c r="B2215" s="228"/>
      <c r="C2215" s="103">
        <f t="shared" si="204"/>
        <v>46013</v>
      </c>
      <c r="E2215" s="170"/>
      <c r="F2215" s="58" t="str">
        <f>VLOOKUP(MOD(C2215,7),'CALENDAR INFO'!$I$2:$J$8,2)</f>
        <v>MON</v>
      </c>
      <c r="G2215" s="214">
        <v>3.64</v>
      </c>
      <c r="H2215" s="425">
        <v>3.68</v>
      </c>
      <c r="I2215" s="457">
        <f t="shared" si="203"/>
        <v>4.0000000000000036E-2</v>
      </c>
      <c r="J2215" s="15" t="s">
        <v>194</v>
      </c>
      <c r="K2215" s="15">
        <f ca="1">COUNTA(INDIRECT(K2199))</f>
        <v>31</v>
      </c>
      <c r="L2215" s="179">
        <f ca="1">COUNTA(INDIRECT(L2199))</f>
        <v>31</v>
      </c>
      <c r="M2215" s="113">
        <f t="shared" si="205"/>
        <v>1</v>
      </c>
      <c r="N2215" s="64">
        <f t="shared" si="206"/>
        <v>1.0001022222222222</v>
      </c>
    </row>
    <row r="2216" spans="1:14">
      <c r="A2216" s="84"/>
      <c r="B2216" s="228"/>
      <c r="C2216" s="103">
        <f t="shared" si="204"/>
        <v>46014</v>
      </c>
      <c r="E2216" s="170"/>
      <c r="F2216" s="58" t="str">
        <f>VLOOKUP(MOD(C2216,7),'CALENDAR INFO'!$I$2:$J$8,2)</f>
        <v>TUE</v>
      </c>
      <c r="G2216" s="214">
        <v>3.64</v>
      </c>
      <c r="H2216" s="425">
        <v>3.66</v>
      </c>
      <c r="I2216" s="457">
        <f t="shared" si="203"/>
        <v>2.0000000000000018E-2</v>
      </c>
      <c r="J2216" s="15" t="s">
        <v>243</v>
      </c>
      <c r="K2216" s="402">
        <f ca="1">COUNTA(INDIRECT(K2200))</f>
        <v>0</v>
      </c>
      <c r="L2216" s="403">
        <f ca="1">COUNTA(INDIRECT(L2200))</f>
        <v>0</v>
      </c>
      <c r="M2216" s="113">
        <f t="shared" si="205"/>
        <v>1</v>
      </c>
      <c r="N2216" s="64">
        <f t="shared" si="206"/>
        <v>1.0001016666666667</v>
      </c>
    </row>
    <row r="2217" spans="1:14">
      <c r="A2217" s="84"/>
      <c r="B2217" s="228"/>
      <c r="C2217" s="103">
        <f t="shared" si="204"/>
        <v>46015</v>
      </c>
      <c r="E2217" s="170" t="s">
        <v>19</v>
      </c>
      <c r="F2217" s="58" t="str">
        <f>VLOOKUP(MOD(C2217,7),'CALENDAR INFO'!$I$2:$J$8,2)</f>
        <v>WED</v>
      </c>
      <c r="G2217" s="214">
        <v>3.64</v>
      </c>
      <c r="H2217" s="425">
        <v>3.66</v>
      </c>
      <c r="I2217" s="457">
        <f t="shared" si="203"/>
        <v>2.0000000000000018E-2</v>
      </c>
      <c r="J2217" s="15" t="s">
        <v>239</v>
      </c>
      <c r="K2217" s="152">
        <f ca="1">K2214-K2215-K2216</f>
        <v>0</v>
      </c>
      <c r="L2217" s="202">
        <f ca="1">L2214-L2215-L2216</f>
        <v>0</v>
      </c>
      <c r="M2217" s="117">
        <v>2</v>
      </c>
      <c r="N2217" s="64">
        <f t="shared" si="206"/>
        <v>1.0002033333333333</v>
      </c>
    </row>
    <row r="2218" spans="1:14">
      <c r="A2218" s="84"/>
      <c r="B2218" s="228"/>
      <c r="C2218" s="103">
        <f t="shared" si="204"/>
        <v>46016</v>
      </c>
      <c r="D2218" s="173" t="s">
        <v>52</v>
      </c>
      <c r="E2218" s="167" t="s">
        <v>18</v>
      </c>
      <c r="F2218" s="58" t="str">
        <f>VLOOKUP(MOD(C2218,7),'CALENDAR INFO'!$I$2:$J$8,2)</f>
        <v>THU</v>
      </c>
      <c r="G2218" s="214">
        <v>3.64</v>
      </c>
      <c r="H2218" s="425">
        <v>3.66</v>
      </c>
      <c r="I2218" s="457">
        <f t="shared" si="203"/>
        <v>2.0000000000000018E-2</v>
      </c>
      <c r="K2218" s="178"/>
      <c r="L2218" s="192"/>
      <c r="M2218" s="117">
        <v>0</v>
      </c>
      <c r="N2218" s="64">
        <f t="shared" si="206"/>
        <v>1</v>
      </c>
    </row>
    <row r="2219" spans="1:14">
      <c r="A2219" s="84"/>
      <c r="B2219" s="228"/>
      <c r="C2219" s="103">
        <f t="shared" si="204"/>
        <v>46017</v>
      </c>
      <c r="E2219" s="167"/>
      <c r="F2219" s="58" t="str">
        <f>VLOOKUP(MOD(C2219,7),'CALENDAR INFO'!$I$2:$J$8,2)</f>
        <v>FRI</v>
      </c>
      <c r="G2219" s="214">
        <v>3.64</v>
      </c>
      <c r="H2219" s="425">
        <v>3.76</v>
      </c>
      <c r="I2219" s="457">
        <f t="shared" si="203"/>
        <v>0.11999999999999966</v>
      </c>
      <c r="J2219" s="15" t="s">
        <v>238</v>
      </c>
      <c r="K2219" s="178" t="e">
        <f ca="1">K2212</f>
        <v>#REF!</v>
      </c>
      <c r="L2219" s="192" t="e">
        <f ca="1">L2212</f>
        <v>#REF!</v>
      </c>
      <c r="M2219" s="113">
        <f t="shared" ref="M2219:M2239" si="207">IF(MOD(C2219,7)&lt;2,0,IF(MOD(C2219,7)=6,3,1))</f>
        <v>3</v>
      </c>
      <c r="N2219" s="64">
        <f t="shared" si="206"/>
        <v>1.0003133333333334</v>
      </c>
    </row>
    <row r="2220" spans="1:14">
      <c r="A2220" s="84"/>
      <c r="B2220" s="228"/>
      <c r="C2220" s="103">
        <f t="shared" si="204"/>
        <v>46018</v>
      </c>
      <c r="E2220" s="167"/>
      <c r="F2220" s="58" t="str">
        <f>VLOOKUP(MOD(C2220,7),'CALENDAR INFO'!$I$2:$J$8,2)</f>
        <v>SAT</v>
      </c>
      <c r="G2220" s="214">
        <v>3.64</v>
      </c>
      <c r="H2220" s="425">
        <v>3.76</v>
      </c>
      <c r="I2220" s="457">
        <f t="shared" si="203"/>
        <v>0.11999999999999966</v>
      </c>
      <c r="J2220" s="15" t="s">
        <v>239</v>
      </c>
      <c r="K2220" s="221">
        <f ca="1">K2217</f>
        <v>0</v>
      </c>
      <c r="L2220" s="223">
        <f ca="1">L2217</f>
        <v>0</v>
      </c>
      <c r="M2220" s="113">
        <f t="shared" si="207"/>
        <v>0</v>
      </c>
      <c r="N2220" s="64">
        <f t="shared" si="206"/>
        <v>1</v>
      </c>
    </row>
    <row r="2221" spans="1:14">
      <c r="A2221" s="84"/>
      <c r="B2221" s="228"/>
      <c r="C2221" s="103">
        <f t="shared" si="204"/>
        <v>46019</v>
      </c>
      <c r="E2221" s="167"/>
      <c r="F2221" s="58" t="str">
        <f>VLOOKUP(MOD(C2221,7),'CALENDAR INFO'!$I$2:$J$8,2)</f>
        <v>SUN</v>
      </c>
      <c r="G2221" s="214">
        <v>3.64</v>
      </c>
      <c r="H2221" s="425">
        <v>3.76</v>
      </c>
      <c r="I2221" s="457">
        <f t="shared" si="203"/>
        <v>0.11999999999999966</v>
      </c>
      <c r="J2221" s="15" t="s">
        <v>240</v>
      </c>
      <c r="K2221" s="178" t="e">
        <f ca="1">K2219/K2220</f>
        <v>#REF!</v>
      </c>
      <c r="L2221" s="192" t="e">
        <f ca="1">L2219/L2220</f>
        <v>#REF!</v>
      </c>
      <c r="M2221" s="113">
        <f t="shared" si="207"/>
        <v>0</v>
      </c>
      <c r="N2221" s="64">
        <f t="shared" si="206"/>
        <v>1</v>
      </c>
    </row>
    <row r="2222" spans="1:14">
      <c r="A2222" s="84"/>
      <c r="B2222" s="228"/>
      <c r="C2222" s="103">
        <f t="shared" si="204"/>
        <v>46020</v>
      </c>
      <c r="E2222" s="167"/>
      <c r="F2222" s="58" t="str">
        <f>VLOOKUP(MOD(C2222,7),'CALENDAR INFO'!$I$2:$J$8,2)</f>
        <v>MON</v>
      </c>
      <c r="G2222" s="214">
        <v>3.64</v>
      </c>
      <c r="H2222" s="425">
        <v>3.77</v>
      </c>
      <c r="I2222" s="457">
        <f t="shared" si="203"/>
        <v>0.12999999999999989</v>
      </c>
      <c r="M2222" s="113">
        <f t="shared" si="207"/>
        <v>1</v>
      </c>
      <c r="N2222" s="64">
        <f t="shared" si="206"/>
        <v>1.0001047222222221</v>
      </c>
    </row>
    <row r="2223" spans="1:14">
      <c r="A2223" s="84"/>
      <c r="B2223" s="228"/>
      <c r="C2223" s="103">
        <f t="shared" si="204"/>
        <v>46021</v>
      </c>
      <c r="E2223" s="167"/>
      <c r="F2223" s="58" t="str">
        <f>VLOOKUP(MOD(C2223,7),'CALENDAR INFO'!$I$2:$J$8,2)</f>
        <v>TUE</v>
      </c>
      <c r="G2223" s="214">
        <v>3.64</v>
      </c>
      <c r="H2223" s="425">
        <v>3.71</v>
      </c>
      <c r="I2223" s="457">
        <f t="shared" si="203"/>
        <v>6.999999999999984E-2</v>
      </c>
      <c r="K2223" s="15" t="s">
        <v>245</v>
      </c>
      <c r="L2223" s="179" t="s">
        <v>245</v>
      </c>
      <c r="M2223" s="113">
        <f t="shared" si="207"/>
        <v>1</v>
      </c>
      <c r="N2223" s="64">
        <f t="shared" si="206"/>
        <v>1.0001030555555555</v>
      </c>
    </row>
    <row r="2224" spans="1:14" ht="15.75" thickBot="1">
      <c r="A2224" s="407"/>
      <c r="B2224" s="408"/>
      <c r="C2224" s="104">
        <f t="shared" si="204"/>
        <v>46022</v>
      </c>
      <c r="D2224" s="112"/>
      <c r="E2224" s="92"/>
      <c r="F2224" s="71" t="str">
        <f>VLOOKUP(MOD(C2224,7),'CALENDAR INFO'!$I$2:$J$8,2)</f>
        <v>WED</v>
      </c>
      <c r="G2224" s="215">
        <v>3.64</v>
      </c>
      <c r="H2224" s="426">
        <v>3.87</v>
      </c>
      <c r="I2224" s="458">
        <f t="shared" si="203"/>
        <v>0.22999999999999998</v>
      </c>
      <c r="J2224" s="348"/>
      <c r="K2224" s="421">
        <f>100-AVERAGE(G2194:G2224)</f>
        <v>96.279354838709679</v>
      </c>
      <c r="L2224" s="422">
        <f>100-AVERAGE(H2194:H2224)</f>
        <v>96.216129032258067</v>
      </c>
      <c r="M2224" s="281">
        <v>2</v>
      </c>
      <c r="N2224" s="292">
        <f t="shared" si="206"/>
        <v>1.0002150000000001</v>
      </c>
    </row>
    <row r="2225" spans="1:14">
      <c r="A2225" s="84"/>
      <c r="B2225" s="228"/>
      <c r="C2225" s="103">
        <f t="shared" si="204"/>
        <v>46023</v>
      </c>
      <c r="D2225" s="173" t="s">
        <v>115</v>
      </c>
      <c r="E2225" s="167"/>
      <c r="F2225" s="58" t="str">
        <f>VLOOKUP(MOD(C2225,7),'CALENDAR INFO'!$I$2:$J$8,2)</f>
        <v>THU</v>
      </c>
      <c r="G2225" s="214">
        <v>3.64</v>
      </c>
      <c r="H2225" s="425">
        <v>3.87</v>
      </c>
      <c r="I2225" s="457">
        <f t="shared" si="203"/>
        <v>0.22999999999999998</v>
      </c>
      <c r="J2225" s="15" t="s">
        <v>151</v>
      </c>
      <c r="K2225" s="360">
        <f>ROW()</f>
        <v>2225</v>
      </c>
      <c r="L2225" s="233">
        <f>K2225</f>
        <v>2225</v>
      </c>
      <c r="M2225" s="117">
        <v>0</v>
      </c>
      <c r="N2225" s="64">
        <f t="shared" si="206"/>
        <v>1</v>
      </c>
    </row>
    <row r="2226" spans="1:14">
      <c r="A2226" s="84"/>
      <c r="B2226" s="228"/>
      <c r="C2226" s="103">
        <f t="shared" si="204"/>
        <v>46024</v>
      </c>
      <c r="E2226" s="167"/>
      <c r="F2226" s="58" t="str">
        <f>VLOOKUP(MOD(C2226,7),'CALENDAR INFO'!$I$2:$J$8,2)</f>
        <v>FRI</v>
      </c>
      <c r="G2226" s="214">
        <v>3.64</v>
      </c>
      <c r="H2226" s="425">
        <v>3.75</v>
      </c>
      <c r="I2226" s="457">
        <f t="shared" si="203"/>
        <v>0.10999999999999988</v>
      </c>
      <c r="J2226" s="15" t="s">
        <v>118</v>
      </c>
      <c r="K2226" s="15">
        <f>VLOOKUP(MONTH($C2225),'CALENDAR INFO'!$I$12:$J$23,2)</f>
        <v>31</v>
      </c>
      <c r="L2226" s="179">
        <f>K2226</f>
        <v>31</v>
      </c>
      <c r="M2226" s="113">
        <f t="shared" si="207"/>
        <v>3</v>
      </c>
      <c r="N2226" s="64">
        <f t="shared" si="206"/>
        <v>1.0003124999999999</v>
      </c>
    </row>
    <row r="2227" spans="1:14">
      <c r="A2227" s="84"/>
      <c r="B2227" s="228"/>
      <c r="C2227" s="103">
        <f t="shared" si="204"/>
        <v>46025</v>
      </c>
      <c r="E2227" s="167"/>
      <c r="F2227" s="58" t="str">
        <f>VLOOKUP(MOD(C2227,7),'CALENDAR INFO'!$I$2:$J$8,2)</f>
        <v>SAT</v>
      </c>
      <c r="G2227" s="214">
        <v>3.64</v>
      </c>
      <c r="H2227" s="425">
        <v>3.75</v>
      </c>
      <c r="I2227" s="457">
        <f t="shared" si="203"/>
        <v>0.10999999999999988</v>
      </c>
      <c r="J2227" s="15" t="s">
        <v>152</v>
      </c>
      <c r="K2227" s="15">
        <f>K2225+K2226-1</f>
        <v>2255</v>
      </c>
      <c r="L2227" s="179">
        <f>K2227</f>
        <v>2255</v>
      </c>
      <c r="M2227" s="113">
        <f t="shared" si="207"/>
        <v>0</v>
      </c>
      <c r="N2227" s="64">
        <f t="shared" si="206"/>
        <v>1</v>
      </c>
    </row>
    <row r="2228" spans="1:14">
      <c r="A2228" s="84"/>
      <c r="B2228" s="228"/>
      <c r="C2228" s="103">
        <f t="shared" si="204"/>
        <v>46026</v>
      </c>
      <c r="E2228" s="167"/>
      <c r="F2228" s="58" t="str">
        <f>VLOOKUP(MOD(C2228,7),'CALENDAR INFO'!$I$2:$J$8,2)</f>
        <v>SUN</v>
      </c>
      <c r="G2228" s="214">
        <v>3.64</v>
      </c>
      <c r="H2228" s="425">
        <v>3.75</v>
      </c>
      <c r="I2228" s="457">
        <f t="shared" si="203"/>
        <v>0.10999999999999988</v>
      </c>
      <c r="J2228" s="15" t="s">
        <v>244</v>
      </c>
      <c r="K2228" s="176">
        <f>ROW(D2252)</f>
        <v>2252</v>
      </c>
      <c r="L2228" s="179">
        <f>K2228</f>
        <v>2252</v>
      </c>
      <c r="M2228" s="113">
        <f t="shared" si="207"/>
        <v>0</v>
      </c>
      <c r="N2228" s="64">
        <f t="shared" si="206"/>
        <v>1</v>
      </c>
    </row>
    <row r="2229" spans="1:14">
      <c r="A2229" s="84"/>
      <c r="B2229" s="228"/>
      <c r="C2229" s="103">
        <f t="shared" si="204"/>
        <v>46027</v>
      </c>
      <c r="E2229" s="167"/>
      <c r="F2229" s="58" t="str">
        <f>VLOOKUP(MOD(C2229,7),'CALENDAR INFO'!$I$2:$J$8,2)</f>
        <v>MON</v>
      </c>
      <c r="G2229" s="214">
        <v>3.64</v>
      </c>
      <c r="H2229" s="425">
        <v>3.7</v>
      </c>
      <c r="I2229" s="457">
        <f t="shared" si="203"/>
        <v>6.0000000000000053E-2</v>
      </c>
      <c r="K2229" s="176"/>
      <c r="M2229" s="113">
        <f t="shared" si="207"/>
        <v>1</v>
      </c>
      <c r="N2229" s="64">
        <f t="shared" si="206"/>
        <v>1.0001027777777778</v>
      </c>
    </row>
    <row r="2230" spans="1:14">
      <c r="A2230" s="84"/>
      <c r="B2230" s="228"/>
      <c r="C2230" s="103">
        <f t="shared" si="204"/>
        <v>46028</v>
      </c>
      <c r="E2230" s="167"/>
      <c r="F2230" s="58" t="str">
        <f>VLOOKUP(MOD(C2230,7),'CALENDAR INFO'!$I$2:$J$8,2)</f>
        <v>TUE</v>
      </c>
      <c r="G2230" s="214">
        <v>3.64</v>
      </c>
      <c r="H2230" s="425">
        <v>3.66</v>
      </c>
      <c r="I2230" s="457">
        <f t="shared" si="203"/>
        <v>2.0000000000000018E-2</v>
      </c>
      <c r="J2230" s="15" t="s">
        <v>153</v>
      </c>
      <c r="K2230" s="15" t="str">
        <f>_xlfn.CONCAT(ADDRESS(K2225,7),":",ADDRESS(K2227,7))</f>
        <v>$G$2225:$G$2255</v>
      </c>
      <c r="L2230" s="179" t="str">
        <f>_xlfn.CONCAT(ADDRESS(L2225,8),":",ADDRESS(L2227,8))</f>
        <v>$H$2225:$H$2255</v>
      </c>
      <c r="M2230" s="113">
        <f t="shared" si="207"/>
        <v>1</v>
      </c>
      <c r="N2230" s="64">
        <f t="shared" si="206"/>
        <v>1.0001016666666667</v>
      </c>
    </row>
    <row r="2231" spans="1:14">
      <c r="A2231" s="84"/>
      <c r="B2231" s="228"/>
      <c r="C2231" s="103">
        <f t="shared" si="204"/>
        <v>46029</v>
      </c>
      <c r="E2231" s="167" t="s">
        <v>19</v>
      </c>
      <c r="F2231" s="58" t="str">
        <f>VLOOKUP(MOD(C2231,7),'CALENDAR INFO'!$I$2:$J$8,2)</f>
        <v>WED</v>
      </c>
      <c r="G2231" s="214">
        <v>3.64</v>
      </c>
      <c r="H2231" s="425">
        <v>3.65</v>
      </c>
      <c r="I2231" s="457">
        <f t="shared" si="203"/>
        <v>9.9999999999997868E-3</v>
      </c>
      <c r="J2231" s="176" t="s">
        <v>236</v>
      </c>
      <c r="K2231" s="15" t="str">
        <f>_xlfn.CONCAT(ADDRESS(K2225,1),":",ADDRESS(K2228,1))</f>
        <v>$A$2225:$A$2252</v>
      </c>
      <c r="L2231" s="179" t="str">
        <f>_xlfn.CONCAT(ADDRESS(L2225,2),":",ADDRESS(L2228,2))</f>
        <v>$B$2225:$B$2252</v>
      </c>
      <c r="M2231" s="113">
        <f t="shared" si="207"/>
        <v>1</v>
      </c>
      <c r="N2231" s="64">
        <f t="shared" si="206"/>
        <v>1.000101388888889</v>
      </c>
    </row>
    <row r="2232" spans="1:14">
      <c r="A2232" s="84"/>
      <c r="B2232" s="228"/>
      <c r="C2232" s="103">
        <f t="shared" si="204"/>
        <v>46030</v>
      </c>
      <c r="E2232" s="170" t="s">
        <v>18</v>
      </c>
      <c r="F2232" s="58" t="str">
        <f>VLOOKUP(MOD(C2232,7),'CALENDAR INFO'!$I$2:$J$8,2)</f>
        <v>THU</v>
      </c>
      <c r="G2232" s="214">
        <v>3.64</v>
      </c>
      <c r="H2232" s="425">
        <v>3.64</v>
      </c>
      <c r="I2232" s="457">
        <f t="shared" si="203"/>
        <v>0</v>
      </c>
      <c r="J2232" s="176" t="s">
        <v>235</v>
      </c>
      <c r="K2232" s="15" t="str">
        <f>_xlfn.CONCAT(ADDRESS(K2228+1,1),":",ADDRESS(K2227,1))</f>
        <v>$A$2253:$A$2255</v>
      </c>
      <c r="L2232" s="179" t="str">
        <f>_xlfn.CONCAT(ADDRESS(L2228+1,2),":",ADDRESS(L2227,2))</f>
        <v>$B$2253:$B$2255</v>
      </c>
      <c r="M2232" s="113">
        <f t="shared" si="207"/>
        <v>1</v>
      </c>
      <c r="N2232" s="64">
        <f t="shared" si="206"/>
        <v>1.0001011111111111</v>
      </c>
    </row>
    <row r="2233" spans="1:14">
      <c r="A2233" s="84"/>
      <c r="B2233" s="228"/>
      <c r="C2233" s="103">
        <f t="shared" si="204"/>
        <v>46031</v>
      </c>
      <c r="E2233" s="170"/>
      <c r="F2233" s="58" t="str">
        <f>VLOOKUP(MOD(C2233,7),'CALENDAR INFO'!$I$2:$J$8,2)</f>
        <v>FRI</v>
      </c>
      <c r="G2233" s="214">
        <v>3.64</v>
      </c>
      <c r="H2233" s="425">
        <v>3.64</v>
      </c>
      <c r="I2233" s="457">
        <f t="shared" si="203"/>
        <v>0</v>
      </c>
      <c r="M2233" s="113">
        <f t="shared" si="207"/>
        <v>3</v>
      </c>
      <c r="N2233" s="64">
        <f t="shared" si="206"/>
        <v>1.0003033333333333</v>
      </c>
    </row>
    <row r="2234" spans="1:14">
      <c r="A2234" s="84"/>
      <c r="B2234" s="228"/>
      <c r="C2234" s="103">
        <f t="shared" si="204"/>
        <v>46032</v>
      </c>
      <c r="E2234" s="170"/>
      <c r="F2234" s="58" t="str">
        <f>VLOOKUP(MOD(C2234,7),'CALENDAR INFO'!$I$2:$J$8,2)</f>
        <v>SAT</v>
      </c>
      <c r="G2234" s="214">
        <v>3.64</v>
      </c>
      <c r="H2234" s="425">
        <v>3.64</v>
      </c>
      <c r="I2234" s="457">
        <f t="shared" si="203"/>
        <v>0</v>
      </c>
      <c r="J2234" s="15" t="s">
        <v>241</v>
      </c>
      <c r="K2234" s="186">
        <f>A2256+G2256</f>
        <v>3.64</v>
      </c>
      <c r="L2234" s="194">
        <f>B2256+H2256</f>
        <v>3.68</v>
      </c>
      <c r="M2234" s="113">
        <f t="shared" si="207"/>
        <v>0</v>
      </c>
      <c r="N2234" s="64">
        <f t="shared" si="206"/>
        <v>1</v>
      </c>
    </row>
    <row r="2235" spans="1:14">
      <c r="A2235" s="84"/>
      <c r="B2235" s="228"/>
      <c r="C2235" s="103">
        <f t="shared" si="204"/>
        <v>46033</v>
      </c>
      <c r="E2235" s="170"/>
      <c r="F2235" s="58" t="str">
        <f>VLOOKUP(MOD(C2235,7),'CALENDAR INFO'!$I$2:$J$8,2)</f>
        <v>SUN</v>
      </c>
      <c r="G2235" s="214">
        <v>3.64</v>
      </c>
      <c r="H2235" s="425">
        <v>3.64</v>
      </c>
      <c r="I2235" s="457">
        <f t="shared" si="203"/>
        <v>0</v>
      </c>
      <c r="M2235" s="113">
        <f t="shared" si="207"/>
        <v>0</v>
      </c>
      <c r="N2235" s="64">
        <f t="shared" si="206"/>
        <v>1</v>
      </c>
    </row>
    <row r="2236" spans="1:14">
      <c r="A2236" s="84"/>
      <c r="B2236" s="228"/>
      <c r="C2236" s="103">
        <f t="shared" si="204"/>
        <v>46034</v>
      </c>
      <c r="E2236" s="170"/>
      <c r="F2236" s="58" t="str">
        <f>VLOOKUP(MOD(C2236,7),'CALENDAR INFO'!$I$2:$J$8,2)</f>
        <v>MON</v>
      </c>
      <c r="G2236" s="214">
        <v>3.64</v>
      </c>
      <c r="H2236" s="425">
        <v>3.64</v>
      </c>
      <c r="I2236" s="457">
        <f t="shared" si="203"/>
        <v>0</v>
      </c>
      <c r="J2236" s="15" t="s">
        <v>197</v>
      </c>
      <c r="K2236" s="180" t="e">
        <f>OUTPUT!#REF!</f>
        <v>#REF!</v>
      </c>
      <c r="L2236" s="193" t="e">
        <f>OUTPUT!#REF!</f>
        <v>#REF!</v>
      </c>
      <c r="M2236" s="113">
        <f t="shared" si="207"/>
        <v>1</v>
      </c>
      <c r="N2236" s="64">
        <f t="shared" si="206"/>
        <v>1.0001011111111111</v>
      </c>
    </row>
    <row r="2237" spans="1:14">
      <c r="A2237" s="84"/>
      <c r="B2237" s="228"/>
      <c r="C2237" s="103">
        <f t="shared" si="204"/>
        <v>46035</v>
      </c>
      <c r="E2237" s="170"/>
      <c r="F2237" s="58" t="str">
        <f>VLOOKUP(MOD(C2237,7),'CALENDAR INFO'!$I$2:$J$8,2)</f>
        <v>TUE</v>
      </c>
      <c r="G2237" s="214">
        <v>3.64</v>
      </c>
      <c r="H2237" s="425">
        <v>3.65</v>
      </c>
      <c r="I2237" s="457">
        <f t="shared" si="203"/>
        <v>9.9999999999997868E-3</v>
      </c>
      <c r="J2237" s="15" t="s">
        <v>118</v>
      </c>
      <c r="K2237" s="221">
        <f>VLOOKUP(MONTH($C2231),'CALENDAR INFO'!$I$12:$J$23,2)</f>
        <v>31</v>
      </c>
      <c r="L2237" s="223">
        <f>K2237</f>
        <v>31</v>
      </c>
      <c r="M2237" s="113">
        <f t="shared" si="207"/>
        <v>1</v>
      </c>
      <c r="N2237" s="64">
        <f t="shared" si="206"/>
        <v>1.000101388888889</v>
      </c>
    </row>
    <row r="2238" spans="1:14">
      <c r="A2238" s="84"/>
      <c r="B2238" s="228"/>
      <c r="C2238" s="103">
        <f t="shared" si="204"/>
        <v>46036</v>
      </c>
      <c r="E2238" s="170"/>
      <c r="F2238" s="58" t="str">
        <f>VLOOKUP(MOD(C2238,7),'CALENDAR INFO'!$I$2:$J$8,2)</f>
        <v>WED</v>
      </c>
      <c r="G2238" s="214">
        <v>3.64</v>
      </c>
      <c r="H2238" s="425">
        <v>3.64</v>
      </c>
      <c r="I2238" s="457">
        <f t="shared" si="203"/>
        <v>0</v>
      </c>
      <c r="J2238" s="15" t="s">
        <v>234</v>
      </c>
      <c r="K2238" s="178" t="e">
        <f>K2236*K2226</f>
        <v>#REF!</v>
      </c>
      <c r="L2238" s="192" t="e">
        <f>L2236*L2226</f>
        <v>#REF!</v>
      </c>
      <c r="M2238" s="113">
        <f t="shared" si="207"/>
        <v>1</v>
      </c>
      <c r="N2238" s="64">
        <f t="shared" si="206"/>
        <v>1.0001011111111111</v>
      </c>
    </row>
    <row r="2239" spans="1:14">
      <c r="A2239" s="84"/>
      <c r="B2239" s="228"/>
      <c r="C2239" s="103">
        <f t="shared" si="204"/>
        <v>46037</v>
      </c>
      <c r="E2239" s="170"/>
      <c r="F2239" s="58" t="str">
        <f>VLOOKUP(MOD(C2239,7),'CALENDAR INFO'!$I$2:$J$8,2)</f>
        <v>THU</v>
      </c>
      <c r="G2239" s="214">
        <v>3.64</v>
      </c>
      <c r="H2239" s="425">
        <v>3.66</v>
      </c>
      <c r="I2239" s="457">
        <f t="shared" si="203"/>
        <v>2.0000000000000018E-2</v>
      </c>
      <c r="M2239" s="113">
        <f t="shared" si="207"/>
        <v>1</v>
      </c>
      <c r="N2239" s="64">
        <f t="shared" si="206"/>
        <v>1.0001016666666667</v>
      </c>
    </row>
    <row r="2240" spans="1:14">
      <c r="A2240" s="84"/>
      <c r="B2240" s="228"/>
      <c r="C2240" s="103">
        <f t="shared" si="204"/>
        <v>46038</v>
      </c>
      <c r="E2240" s="170"/>
      <c r="F2240" s="58" t="str">
        <f>VLOOKUP(MOD(C2240,7),'CALENDAR INFO'!$I$2:$J$8,2)</f>
        <v>FRI</v>
      </c>
      <c r="G2240" s="214">
        <v>3.64</v>
      </c>
      <c r="H2240" s="425">
        <v>3.66</v>
      </c>
      <c r="I2240" s="457">
        <f t="shared" si="203"/>
        <v>2.0000000000000018E-2</v>
      </c>
      <c r="J2240" s="15" t="str">
        <f>J2238</f>
        <v>monthly target</v>
      </c>
      <c r="K2240" s="178" t="e">
        <f>K2238</f>
        <v>#REF!</v>
      </c>
      <c r="L2240" s="192" t="e">
        <f>L2238</f>
        <v>#REF!</v>
      </c>
      <c r="M2240" s="117">
        <v>4</v>
      </c>
      <c r="N2240" s="64">
        <f t="shared" si="206"/>
        <v>1.0004066666666667</v>
      </c>
    </row>
    <row r="2241" spans="1:14">
      <c r="A2241" s="84"/>
      <c r="B2241" s="228"/>
      <c r="C2241" s="103">
        <f t="shared" si="204"/>
        <v>46039</v>
      </c>
      <c r="E2241" s="170"/>
      <c r="F2241" s="58" t="str">
        <f>VLOOKUP(MOD(C2241,7),'CALENDAR INFO'!$I$2:$J$8,2)</f>
        <v>SAT</v>
      </c>
      <c r="G2241" s="214">
        <v>3.64</v>
      </c>
      <c r="H2241" s="425">
        <v>3.66</v>
      </c>
      <c r="I2241" s="457">
        <f t="shared" si="203"/>
        <v>2.0000000000000018E-2</v>
      </c>
      <c r="J2241" s="15" t="s">
        <v>155</v>
      </c>
      <c r="K2241" s="178">
        <f ca="1">SUM(INDIRECT(K2230))</f>
        <v>112.84</v>
      </c>
      <c r="L2241" s="192">
        <f ca="1">SUM(INDIRECT(L2230))</f>
        <v>113.75000000000001</v>
      </c>
      <c r="M2241" s="113">
        <f>IF(MOD(C2241,7)&lt;2,0,IF(MOD(C2241,7)=6,3,1))</f>
        <v>0</v>
      </c>
      <c r="N2241" s="64">
        <f t="shared" si="206"/>
        <v>1</v>
      </c>
    </row>
    <row r="2242" spans="1:14">
      <c r="A2242" s="84"/>
      <c r="B2242" s="228"/>
      <c r="C2242" s="103">
        <f t="shared" si="204"/>
        <v>46040</v>
      </c>
      <c r="E2242" s="170"/>
      <c r="F2242" s="58" t="str">
        <f>VLOOKUP(MOD(C2242,7),'CALENDAR INFO'!$I$2:$J$8,2)</f>
        <v>SUN</v>
      </c>
      <c r="G2242" s="214">
        <v>3.64</v>
      </c>
      <c r="H2242" s="425">
        <v>3.66</v>
      </c>
      <c r="I2242" s="457">
        <f t="shared" si="203"/>
        <v>2.0000000000000018E-2</v>
      </c>
      <c r="J2242" s="15" t="s">
        <v>237</v>
      </c>
      <c r="K2242" s="400">
        <f ca="1">SUM(INDIRECT(K2232))</f>
        <v>0</v>
      </c>
      <c r="L2242" s="401">
        <f ca="1">SUM(INDIRECT(L2232))</f>
        <v>0</v>
      </c>
      <c r="M2242" s="113">
        <f>IF(MOD(C2242,7)&lt;2,0,IF(MOD(C2242,7)=6,3,1))</f>
        <v>0</v>
      </c>
      <c r="N2242" s="64">
        <f t="shared" si="206"/>
        <v>1</v>
      </c>
    </row>
    <row r="2243" spans="1:14">
      <c r="A2243" s="84"/>
      <c r="B2243" s="228"/>
      <c r="C2243" s="103">
        <f t="shared" si="204"/>
        <v>46041</v>
      </c>
      <c r="D2243" s="173" t="s">
        <v>103</v>
      </c>
      <c r="E2243" s="170"/>
      <c r="F2243" s="58" t="str">
        <f>VLOOKUP(MOD(C2243,7),'CALENDAR INFO'!$I$2:$J$8,2)</f>
        <v>MON</v>
      </c>
      <c r="G2243" s="214">
        <v>3.64</v>
      </c>
      <c r="H2243" s="425">
        <v>3.66</v>
      </c>
      <c r="I2243" s="457">
        <f t="shared" ref="I2243:I2306" si="208">H2243-G2243</f>
        <v>2.0000000000000018E-2</v>
      </c>
      <c r="J2243" s="15" t="s">
        <v>238</v>
      </c>
      <c r="K2243" s="182" t="e">
        <f ca="1">K2238-K2241-K2242</f>
        <v>#REF!</v>
      </c>
      <c r="L2243" s="201" t="e">
        <f ca="1">L2238-L2241-L2242</f>
        <v>#REF!</v>
      </c>
      <c r="M2243" s="117">
        <v>0</v>
      </c>
      <c r="N2243" s="64">
        <f t="shared" si="206"/>
        <v>1</v>
      </c>
    </row>
    <row r="2244" spans="1:14">
      <c r="A2244" s="84"/>
      <c r="B2244" s="228"/>
      <c r="C2244" s="103">
        <f t="shared" ref="C2244:C2307" si="209">C2243+1</f>
        <v>46042</v>
      </c>
      <c r="E2244" s="170"/>
      <c r="F2244" s="58" t="str">
        <f>VLOOKUP(MOD(C2244,7),'CALENDAR INFO'!$I$2:$J$8,2)</f>
        <v>TUE</v>
      </c>
      <c r="G2244" s="214">
        <v>3.64</v>
      </c>
      <c r="H2244" s="425">
        <v>3.64</v>
      </c>
      <c r="I2244" s="457">
        <f t="shared" si="208"/>
        <v>0</v>
      </c>
      <c r="K2244" s="178"/>
      <c r="L2244" s="192"/>
      <c r="M2244" s="113">
        <f t="shared" ref="M2244:M2267" si="210">IF(MOD(C2244,7)&lt;2,0,IF(MOD(C2244,7)=6,3,1))</f>
        <v>1</v>
      </c>
      <c r="N2244" s="64">
        <f t="shared" si="206"/>
        <v>1.0001011111111111</v>
      </c>
    </row>
    <row r="2245" spans="1:14">
      <c r="A2245" s="84"/>
      <c r="B2245" s="228"/>
      <c r="C2245" s="103">
        <f t="shared" si="209"/>
        <v>46043</v>
      </c>
      <c r="E2245" s="170" t="s">
        <v>19</v>
      </c>
      <c r="F2245" s="58" t="str">
        <f>VLOOKUP(MOD(C2245,7),'CALENDAR INFO'!$I$2:$J$8,2)</f>
        <v>WED</v>
      </c>
      <c r="G2245" s="214">
        <v>3.64</v>
      </c>
      <c r="H2245" s="425">
        <v>3.63</v>
      </c>
      <c r="I2245" s="457">
        <f t="shared" si="208"/>
        <v>-1.0000000000000231E-2</v>
      </c>
      <c r="J2245" s="15" t="s">
        <v>242</v>
      </c>
      <c r="K2245" s="15">
        <f>K2237</f>
        <v>31</v>
      </c>
      <c r="L2245" s="179">
        <f>L2237</f>
        <v>31</v>
      </c>
      <c r="M2245" s="113">
        <f t="shared" si="210"/>
        <v>1</v>
      </c>
      <c r="N2245" s="64">
        <f>1+(M2245/360)*(MAX(H2245,B2245)/100)</f>
        <v>1.0001008333333334</v>
      </c>
    </row>
    <row r="2246" spans="1:14">
      <c r="A2246" s="84"/>
      <c r="B2246" s="228"/>
      <c r="C2246" s="103">
        <f t="shared" si="209"/>
        <v>46044</v>
      </c>
      <c r="E2246" s="167" t="s">
        <v>18</v>
      </c>
      <c r="F2246" s="58" t="str">
        <f>VLOOKUP(MOD(C2246,7),'CALENDAR INFO'!$I$2:$J$8,2)</f>
        <v>THU</v>
      </c>
      <c r="G2246" s="214">
        <v>3.64</v>
      </c>
      <c r="H2246" s="425">
        <v>3.64</v>
      </c>
      <c r="I2246" s="457">
        <f t="shared" si="208"/>
        <v>0</v>
      </c>
      <c r="J2246" s="15" t="s">
        <v>194</v>
      </c>
      <c r="K2246" s="15">
        <f ca="1">COUNTA(INDIRECT(K2230))</f>
        <v>31</v>
      </c>
      <c r="L2246" s="179">
        <f ca="1">COUNTA(INDIRECT(L2230))</f>
        <v>31</v>
      </c>
      <c r="M2246" s="113">
        <f t="shared" si="210"/>
        <v>1</v>
      </c>
      <c r="N2246" s="64">
        <f t="shared" si="206"/>
        <v>1.0001011111111111</v>
      </c>
    </row>
    <row r="2247" spans="1:14">
      <c r="A2247" s="84"/>
      <c r="B2247" s="228"/>
      <c r="C2247" s="103">
        <f t="shared" si="209"/>
        <v>46045</v>
      </c>
      <c r="E2247" s="167"/>
      <c r="F2247" s="58" t="str">
        <f>VLOOKUP(MOD(C2247,7),'CALENDAR INFO'!$I$2:$J$8,2)</f>
        <v>FRI</v>
      </c>
      <c r="G2247" s="214">
        <v>3.64</v>
      </c>
      <c r="H2247" s="425">
        <v>3.65</v>
      </c>
      <c r="I2247" s="457">
        <f t="shared" si="208"/>
        <v>9.9999999999997868E-3</v>
      </c>
      <c r="J2247" s="15" t="s">
        <v>243</v>
      </c>
      <c r="K2247" s="402">
        <f ca="1">COUNTA(INDIRECT(K2232))</f>
        <v>0</v>
      </c>
      <c r="L2247" s="403">
        <f ca="1">COUNTA(INDIRECT(L2232))</f>
        <v>0</v>
      </c>
      <c r="M2247" s="113">
        <f t="shared" si="210"/>
        <v>3</v>
      </c>
      <c r="N2247" s="64">
        <f t="shared" si="206"/>
        <v>1.0003041666666668</v>
      </c>
    </row>
    <row r="2248" spans="1:14">
      <c r="A2248" s="84"/>
      <c r="B2248" s="228"/>
      <c r="C2248" s="103">
        <f t="shared" si="209"/>
        <v>46046</v>
      </c>
      <c r="E2248" s="167"/>
      <c r="F2248" s="58" t="str">
        <f>VLOOKUP(MOD(C2248,7),'CALENDAR INFO'!$I$2:$J$8,2)</f>
        <v>SAT</v>
      </c>
      <c r="G2248" s="214">
        <v>3.64</v>
      </c>
      <c r="H2248" s="425">
        <v>3.65</v>
      </c>
      <c r="I2248" s="457">
        <f t="shared" si="208"/>
        <v>9.9999999999997868E-3</v>
      </c>
      <c r="J2248" s="15" t="s">
        <v>239</v>
      </c>
      <c r="K2248" s="152">
        <f ca="1">K2245-K2246-K2247</f>
        <v>0</v>
      </c>
      <c r="L2248" s="202">
        <f ca="1">L2245-L2246-L2247</f>
        <v>0</v>
      </c>
      <c r="M2248" s="113">
        <f t="shared" si="210"/>
        <v>0</v>
      </c>
      <c r="N2248" s="64">
        <f t="shared" si="206"/>
        <v>1</v>
      </c>
    </row>
    <row r="2249" spans="1:14">
      <c r="A2249" s="84"/>
      <c r="B2249" s="228"/>
      <c r="C2249" s="103">
        <f t="shared" si="209"/>
        <v>46047</v>
      </c>
      <c r="E2249" s="167"/>
      <c r="F2249" s="58" t="str">
        <f>VLOOKUP(MOD(C2249,7),'CALENDAR INFO'!$I$2:$J$8,2)</f>
        <v>SUN</v>
      </c>
      <c r="G2249" s="214">
        <v>3.64</v>
      </c>
      <c r="H2249" s="425">
        <v>3.65</v>
      </c>
      <c r="I2249" s="457">
        <f t="shared" si="208"/>
        <v>9.9999999999997868E-3</v>
      </c>
      <c r="K2249" s="178"/>
      <c r="L2249" s="192"/>
      <c r="M2249" s="113">
        <f t="shared" si="210"/>
        <v>0</v>
      </c>
      <c r="N2249" s="64">
        <f t="shared" si="206"/>
        <v>1</v>
      </c>
    </row>
    <row r="2250" spans="1:14">
      <c r="A2250" s="84"/>
      <c r="B2250" s="228"/>
      <c r="C2250" s="103">
        <f t="shared" si="209"/>
        <v>46048</v>
      </c>
      <c r="E2250" s="167"/>
      <c r="F2250" s="58" t="str">
        <f>VLOOKUP(MOD(C2250,7),'CALENDAR INFO'!$I$2:$J$8,2)</f>
        <v>MON</v>
      </c>
      <c r="G2250" s="214">
        <v>3.64</v>
      </c>
      <c r="H2250" s="425">
        <v>3.66</v>
      </c>
      <c r="I2250" s="457">
        <f t="shared" si="208"/>
        <v>2.0000000000000018E-2</v>
      </c>
      <c r="J2250" s="15" t="s">
        <v>238</v>
      </c>
      <c r="K2250" s="178" t="e">
        <f ca="1">K2243</f>
        <v>#REF!</v>
      </c>
      <c r="L2250" s="192" t="e">
        <f ca="1">L2243</f>
        <v>#REF!</v>
      </c>
      <c r="M2250" s="113">
        <f t="shared" si="210"/>
        <v>1</v>
      </c>
      <c r="N2250" s="64">
        <f t="shared" si="206"/>
        <v>1.0001016666666667</v>
      </c>
    </row>
    <row r="2251" spans="1:14">
      <c r="A2251" s="84"/>
      <c r="B2251" s="228"/>
      <c r="C2251" s="103">
        <f t="shared" si="209"/>
        <v>46049</v>
      </c>
      <c r="D2251" s="153" t="s">
        <v>20</v>
      </c>
      <c r="E2251" s="167"/>
      <c r="F2251" s="58" t="str">
        <f>VLOOKUP(MOD(C2251,7),'CALENDAR INFO'!$I$2:$J$8,2)</f>
        <v>TUE</v>
      </c>
      <c r="G2251" s="214">
        <v>3.64</v>
      </c>
      <c r="H2251" s="425">
        <v>3.66</v>
      </c>
      <c r="I2251" s="457">
        <f t="shared" si="208"/>
        <v>2.0000000000000018E-2</v>
      </c>
      <c r="J2251" s="15" t="s">
        <v>239</v>
      </c>
      <c r="K2251" s="221">
        <f ca="1">K2248</f>
        <v>0</v>
      </c>
      <c r="L2251" s="223">
        <f ca="1">L2248</f>
        <v>0</v>
      </c>
      <c r="M2251" s="113">
        <f t="shared" si="210"/>
        <v>1</v>
      </c>
      <c r="N2251" s="64">
        <f t="shared" si="206"/>
        <v>1.0001016666666667</v>
      </c>
    </row>
    <row r="2252" spans="1:14">
      <c r="A2252" s="84"/>
      <c r="B2252" s="228"/>
      <c r="C2252" s="103">
        <f t="shared" si="209"/>
        <v>46050</v>
      </c>
      <c r="D2252" s="153" t="s">
        <v>20</v>
      </c>
      <c r="E2252" s="167"/>
      <c r="F2252" s="58" t="str">
        <f>VLOOKUP(MOD(C2252,7),'CALENDAR INFO'!$I$2:$J$8,2)</f>
        <v>WED</v>
      </c>
      <c r="G2252" s="214">
        <v>3.64</v>
      </c>
      <c r="H2252" s="425">
        <v>3.64</v>
      </c>
      <c r="I2252" s="457">
        <f t="shared" si="208"/>
        <v>0</v>
      </c>
      <c r="J2252" s="15" t="s">
        <v>240</v>
      </c>
      <c r="K2252" s="178" t="e">
        <f ca="1">K2250/K2251</f>
        <v>#REF!</v>
      </c>
      <c r="L2252" s="192" t="e">
        <f ca="1">L2250/L2251</f>
        <v>#REF!</v>
      </c>
      <c r="M2252" s="113">
        <f t="shared" si="210"/>
        <v>1</v>
      </c>
      <c r="N2252" s="64">
        <f t="shared" si="206"/>
        <v>1.0001011111111111</v>
      </c>
    </row>
    <row r="2253" spans="1:14">
      <c r="A2253" s="304"/>
      <c r="B2253" s="305"/>
      <c r="C2253" s="103">
        <f t="shared" si="209"/>
        <v>46051</v>
      </c>
      <c r="E2253" s="167"/>
      <c r="F2253" s="58" t="str">
        <f>VLOOKUP(MOD(C2253,7),'CALENDAR INFO'!$I$2:$J$8,2)</f>
        <v>THU</v>
      </c>
      <c r="G2253" s="214">
        <v>3.64</v>
      </c>
      <c r="H2253" s="425">
        <v>3.65</v>
      </c>
      <c r="I2253" s="457">
        <f t="shared" si="208"/>
        <v>9.9999999999997868E-3</v>
      </c>
      <c r="M2253" s="113">
        <f t="shared" si="210"/>
        <v>1</v>
      </c>
      <c r="N2253" s="64">
        <f t="shared" si="206"/>
        <v>1.000101388888889</v>
      </c>
    </row>
    <row r="2254" spans="1:14">
      <c r="A2254" s="304"/>
      <c r="B2254" s="305"/>
      <c r="C2254" s="103">
        <f t="shared" si="209"/>
        <v>46052</v>
      </c>
      <c r="E2254" s="167"/>
      <c r="F2254" s="58" t="str">
        <f>VLOOKUP(MOD(C2254,7),'CALENDAR INFO'!$I$2:$J$8,2)</f>
        <v>FRI</v>
      </c>
      <c r="G2254" s="214">
        <v>3.64</v>
      </c>
      <c r="H2254" s="425">
        <v>3.68</v>
      </c>
      <c r="I2254" s="457">
        <f t="shared" si="208"/>
        <v>4.0000000000000036E-2</v>
      </c>
      <c r="M2254" s="113">
        <f t="shared" si="210"/>
        <v>3</v>
      </c>
      <c r="N2254" s="64">
        <f t="shared" si="206"/>
        <v>1.0003066666666667</v>
      </c>
    </row>
    <row r="2255" spans="1:14" ht="15.75" thickBot="1">
      <c r="A2255" s="304"/>
      <c r="B2255" s="305"/>
      <c r="C2255" s="103">
        <f t="shared" si="209"/>
        <v>46053</v>
      </c>
      <c r="E2255" s="167"/>
      <c r="F2255" s="58" t="str">
        <f>VLOOKUP(MOD(C2255,7),'CALENDAR INFO'!$I$2:$J$8,2)</f>
        <v>SAT</v>
      </c>
      <c r="G2255" s="214">
        <v>3.64</v>
      </c>
      <c r="H2255" s="425">
        <v>3.68</v>
      </c>
      <c r="I2255" s="457">
        <f t="shared" si="208"/>
        <v>4.0000000000000036E-2</v>
      </c>
      <c r="M2255" s="113">
        <f t="shared" si="210"/>
        <v>0</v>
      </c>
      <c r="N2255" s="64">
        <f t="shared" si="206"/>
        <v>1</v>
      </c>
    </row>
    <row r="2256" spans="1:14">
      <c r="A2256" s="296"/>
      <c r="B2256" s="297"/>
      <c r="C2256" s="109">
        <f t="shared" si="209"/>
        <v>46054</v>
      </c>
      <c r="D2256" s="108"/>
      <c r="E2256" s="107"/>
      <c r="F2256" s="105" t="str">
        <f>VLOOKUP(MOD(C2256,7),'CALENDAR INFO'!$I$2:$J$8,2)</f>
        <v>SUN</v>
      </c>
      <c r="G2256" s="218">
        <v>3.64</v>
      </c>
      <c r="H2256" s="430">
        <v>3.68</v>
      </c>
      <c r="I2256" s="461">
        <f t="shared" si="208"/>
        <v>4.0000000000000036E-2</v>
      </c>
      <c r="J2256" s="438" t="s">
        <v>151</v>
      </c>
      <c r="K2256" s="360">
        <f>ROW()</f>
        <v>2256</v>
      </c>
      <c r="L2256" s="233">
        <f>K2256</f>
        <v>2256</v>
      </c>
      <c r="M2256" s="116">
        <f t="shared" si="210"/>
        <v>0</v>
      </c>
      <c r="N2256" s="294">
        <f t="shared" si="206"/>
        <v>1</v>
      </c>
    </row>
    <row r="2257" spans="1:14">
      <c r="A2257" s="84"/>
      <c r="B2257" s="228"/>
      <c r="C2257" s="103">
        <f t="shared" si="209"/>
        <v>46055</v>
      </c>
      <c r="E2257" s="167"/>
      <c r="F2257" s="58" t="str">
        <f>VLOOKUP(MOD(C2257,7),'CALENDAR INFO'!$I$2:$J$8,2)</f>
        <v>MON</v>
      </c>
      <c r="G2257" s="214">
        <v>3.64</v>
      </c>
      <c r="H2257" s="425">
        <v>3.69</v>
      </c>
      <c r="I2257" s="457">
        <f t="shared" si="208"/>
        <v>4.9999999999999822E-2</v>
      </c>
      <c r="J2257" s="15" t="s">
        <v>118</v>
      </c>
      <c r="K2257" s="15">
        <f>VLOOKUP(MONTH($C2256),'CALENDAR INFO'!$I$12:$J$23,2)</f>
        <v>28</v>
      </c>
      <c r="L2257" s="15">
        <f>K2257</f>
        <v>28</v>
      </c>
      <c r="M2257" s="113">
        <f t="shared" si="210"/>
        <v>1</v>
      </c>
      <c r="N2257" s="64">
        <f t="shared" si="206"/>
        <v>1.0001024999999999</v>
      </c>
    </row>
    <row r="2258" spans="1:14">
      <c r="A2258" s="84"/>
      <c r="B2258" s="228"/>
      <c r="C2258" s="103">
        <f t="shared" si="209"/>
        <v>46056</v>
      </c>
      <c r="E2258" s="167"/>
      <c r="F2258" s="58" t="str">
        <f>VLOOKUP(MOD(C2258,7),'CALENDAR INFO'!$I$2:$J$8,2)</f>
        <v>TUE</v>
      </c>
      <c r="G2258" s="214">
        <v>3.64</v>
      </c>
      <c r="H2258" s="425">
        <v>3.69</v>
      </c>
      <c r="I2258" s="457">
        <f t="shared" si="208"/>
        <v>4.9999999999999822E-2</v>
      </c>
      <c r="J2258" s="15" t="s">
        <v>152</v>
      </c>
      <c r="K2258" s="15">
        <f>K2256+K2257-1</f>
        <v>2283</v>
      </c>
      <c r="L2258" s="15">
        <f>K2258</f>
        <v>2283</v>
      </c>
      <c r="M2258" s="113">
        <f t="shared" si="210"/>
        <v>1</v>
      </c>
      <c r="N2258" s="64">
        <f t="shared" si="206"/>
        <v>1.0001024999999999</v>
      </c>
    </row>
    <row r="2259" spans="1:14">
      <c r="A2259" s="84"/>
      <c r="B2259" s="228"/>
      <c r="C2259" s="103">
        <f t="shared" si="209"/>
        <v>46057</v>
      </c>
      <c r="E2259" s="167" t="s">
        <v>19</v>
      </c>
      <c r="F2259" s="58" t="str">
        <f>VLOOKUP(MOD(C2259,7),'CALENDAR INFO'!$I$2:$J$8,2)</f>
        <v>WED</v>
      </c>
      <c r="G2259" s="214">
        <v>3.64</v>
      </c>
      <c r="H2259" s="425">
        <v>3.65</v>
      </c>
      <c r="I2259" s="457">
        <f t="shared" si="208"/>
        <v>9.9999999999997868E-3</v>
      </c>
      <c r="J2259" s="15" t="s">
        <v>244</v>
      </c>
      <c r="K2259" s="311">
        <f>ROW(D2256)</f>
        <v>2256</v>
      </c>
      <c r="L2259" s="15">
        <f>K2259</f>
        <v>2256</v>
      </c>
      <c r="M2259" s="113">
        <f t="shared" si="210"/>
        <v>1</v>
      </c>
      <c r="N2259" s="64">
        <f t="shared" ref="N2259:N2322" si="211">1+(M2259/360)*(MAX(H2259,B2259)/100)</f>
        <v>1.000101388888889</v>
      </c>
    </row>
    <row r="2260" spans="1:14">
      <c r="A2260" s="84"/>
      <c r="B2260" s="228"/>
      <c r="C2260" s="103">
        <f t="shared" si="209"/>
        <v>46058</v>
      </c>
      <c r="E2260" s="170" t="s">
        <v>18</v>
      </c>
      <c r="F2260" s="58" t="str">
        <f>VLOOKUP(MOD(C2260,7),'CALENDAR INFO'!$I$2:$J$8,2)</f>
        <v>THU</v>
      </c>
      <c r="G2260" s="214">
        <v>3.64</v>
      </c>
      <c r="H2260" s="425">
        <v>3.65</v>
      </c>
      <c r="I2260" s="457">
        <f t="shared" si="208"/>
        <v>9.9999999999997868E-3</v>
      </c>
      <c r="K2260" s="311"/>
      <c r="L2260" s="15"/>
      <c r="M2260" s="113">
        <f t="shared" si="210"/>
        <v>1</v>
      </c>
      <c r="N2260" s="64">
        <f t="shared" si="211"/>
        <v>1.000101388888889</v>
      </c>
    </row>
    <row r="2261" spans="1:14">
      <c r="A2261" s="84"/>
      <c r="B2261" s="228"/>
      <c r="C2261" s="103">
        <f t="shared" si="209"/>
        <v>46059</v>
      </c>
      <c r="E2261" s="170"/>
      <c r="F2261" s="58" t="str">
        <f>VLOOKUP(MOD(C2261,7),'CALENDAR INFO'!$I$2:$J$8,2)</f>
        <v>FRI</v>
      </c>
      <c r="G2261" s="214">
        <v>3.64</v>
      </c>
      <c r="H2261" s="425">
        <v>3.64</v>
      </c>
      <c r="I2261" s="457">
        <f t="shared" si="208"/>
        <v>0</v>
      </c>
      <c r="J2261" s="15" t="s">
        <v>153</v>
      </c>
      <c r="K2261" s="15" t="str">
        <f>_xlfn.CONCAT(ADDRESS(K2256,7),":",ADDRESS(K2258,7))</f>
        <v>$G$2256:$G$2283</v>
      </c>
      <c r="L2261" s="15" t="str">
        <f>_xlfn.CONCAT(ADDRESS(L2256,8),":",ADDRESS(L2258,8))</f>
        <v>$H$2256:$H$2283</v>
      </c>
      <c r="M2261" s="113">
        <f t="shared" si="210"/>
        <v>3</v>
      </c>
      <c r="N2261" s="64">
        <f t="shared" si="211"/>
        <v>1.0003033333333333</v>
      </c>
    </row>
    <row r="2262" spans="1:14">
      <c r="A2262" s="84"/>
      <c r="B2262" s="228"/>
      <c r="C2262" s="103">
        <f t="shared" si="209"/>
        <v>46060</v>
      </c>
      <c r="E2262" s="170"/>
      <c r="F2262" s="58" t="str">
        <f>VLOOKUP(MOD(C2262,7),'CALENDAR INFO'!$I$2:$J$8,2)</f>
        <v>SAT</v>
      </c>
      <c r="G2262" s="214">
        <v>3.64</v>
      </c>
      <c r="H2262" s="425">
        <v>3.64</v>
      </c>
      <c r="I2262" s="457">
        <f t="shared" si="208"/>
        <v>0</v>
      </c>
      <c r="J2262" s="176" t="s">
        <v>235</v>
      </c>
      <c r="K2262" s="15" t="str">
        <f>_xlfn.CONCAT(ADDRESS(K2256,1),":",ADDRESS(K2259,1))</f>
        <v>$A$2256:$A$2256</v>
      </c>
      <c r="L2262" s="15" t="str">
        <f>_xlfn.CONCAT(ADDRESS(L2256,2),":",ADDRESS(L2259,2))</f>
        <v>$B$2256:$B$2256</v>
      </c>
      <c r="M2262" s="113">
        <f t="shared" si="210"/>
        <v>0</v>
      </c>
      <c r="N2262" s="64">
        <f t="shared" si="211"/>
        <v>1</v>
      </c>
    </row>
    <row r="2263" spans="1:14">
      <c r="A2263" s="84"/>
      <c r="B2263" s="228"/>
      <c r="C2263" s="103">
        <f t="shared" si="209"/>
        <v>46061</v>
      </c>
      <c r="E2263" s="170"/>
      <c r="F2263" s="58" t="str">
        <f>VLOOKUP(MOD(C2263,7),'CALENDAR INFO'!$I$2:$J$8,2)</f>
        <v>SUN</v>
      </c>
      <c r="G2263" s="214">
        <v>3.64</v>
      </c>
      <c r="H2263" s="425">
        <v>3.64</v>
      </c>
      <c r="I2263" s="457">
        <f t="shared" si="208"/>
        <v>0</v>
      </c>
      <c r="J2263" s="176" t="s">
        <v>236</v>
      </c>
      <c r="K2263" s="15" t="str">
        <f>_xlfn.CONCAT(ADDRESS(K2259+1,1),":",ADDRESS(K2258,1))</f>
        <v>$A$2257:$A$2283</v>
      </c>
      <c r="L2263" s="15" t="str">
        <f>_xlfn.CONCAT(ADDRESS(L2259+1,2),":",ADDRESS(L2258,2))</f>
        <v>$B$2257:$B$2283</v>
      </c>
      <c r="M2263" s="113">
        <f t="shared" si="210"/>
        <v>0</v>
      </c>
      <c r="N2263" s="64">
        <f t="shared" si="211"/>
        <v>1</v>
      </c>
    </row>
    <row r="2264" spans="1:14">
      <c r="A2264" s="84"/>
      <c r="B2264" s="228"/>
      <c r="C2264" s="103">
        <f t="shared" si="209"/>
        <v>46062</v>
      </c>
      <c r="E2264" s="170"/>
      <c r="F2264" s="58" t="str">
        <f>VLOOKUP(MOD(C2264,7),'CALENDAR INFO'!$I$2:$J$8,2)</f>
        <v>MON</v>
      </c>
      <c r="G2264" s="214">
        <v>3.64</v>
      </c>
      <c r="H2264" s="425">
        <v>3.63</v>
      </c>
      <c r="I2264" s="457">
        <f t="shared" si="208"/>
        <v>-1.0000000000000231E-2</v>
      </c>
      <c r="M2264" s="113">
        <f t="shared" si="210"/>
        <v>1</v>
      </c>
      <c r="N2264" s="64">
        <f t="shared" si="211"/>
        <v>1.0001008333333334</v>
      </c>
    </row>
    <row r="2265" spans="1:14">
      <c r="A2265" s="84"/>
      <c r="B2265" s="228"/>
      <c r="C2265" s="103">
        <f t="shared" si="209"/>
        <v>46063</v>
      </c>
      <c r="E2265" s="170"/>
      <c r="F2265" s="58" t="str">
        <f>VLOOKUP(MOD(C2265,7),'CALENDAR INFO'!$I$2:$J$8,2)</f>
        <v>TUE</v>
      </c>
      <c r="G2265" s="214">
        <v>3.64</v>
      </c>
      <c r="H2265" s="425">
        <v>3.65</v>
      </c>
      <c r="I2265" s="457">
        <f t="shared" si="208"/>
        <v>9.9999999999997868E-3</v>
      </c>
      <c r="J2265" s="15" t="s">
        <v>241</v>
      </c>
      <c r="K2265" s="186" t="e">
        <f>K2267</f>
        <v>#REF!</v>
      </c>
      <c r="L2265" s="194" t="e">
        <f>L2267</f>
        <v>#REF!</v>
      </c>
      <c r="M2265" s="113">
        <f t="shared" si="210"/>
        <v>1</v>
      </c>
      <c r="N2265" s="64">
        <f t="shared" si="211"/>
        <v>1.000101388888889</v>
      </c>
    </row>
    <row r="2266" spans="1:14">
      <c r="A2266" s="84"/>
      <c r="B2266" s="228"/>
      <c r="C2266" s="103">
        <f t="shared" si="209"/>
        <v>46064</v>
      </c>
      <c r="E2266" s="170"/>
      <c r="F2266" s="58" t="str">
        <f>VLOOKUP(MOD(C2266,7),'CALENDAR INFO'!$I$2:$J$8,2)</f>
        <v>WED</v>
      </c>
      <c r="G2266" s="214">
        <v>3.64</v>
      </c>
      <c r="H2266" s="425">
        <v>3.65</v>
      </c>
      <c r="I2266" s="457">
        <f t="shared" si="208"/>
        <v>9.9999999999997868E-3</v>
      </c>
      <c r="K2266" s="178"/>
      <c r="L2266" s="192"/>
      <c r="M2266" s="113">
        <f t="shared" si="210"/>
        <v>1</v>
      </c>
      <c r="N2266" s="64">
        <f t="shared" si="211"/>
        <v>1.000101388888889</v>
      </c>
    </row>
    <row r="2267" spans="1:14">
      <c r="A2267" s="84"/>
      <c r="B2267" s="228"/>
      <c r="C2267" s="103">
        <f t="shared" si="209"/>
        <v>46065</v>
      </c>
      <c r="E2267" s="170"/>
      <c r="F2267" s="58" t="str">
        <f>VLOOKUP(MOD(C2267,7),'CALENDAR INFO'!$I$2:$J$8,2)</f>
        <v>THU</v>
      </c>
      <c r="G2267" s="214">
        <v>3.64</v>
      </c>
      <c r="H2267" s="425">
        <v>3.65</v>
      </c>
      <c r="I2267" s="457">
        <f t="shared" si="208"/>
        <v>9.9999999999997868E-3</v>
      </c>
      <c r="J2267" s="15" t="s">
        <v>197</v>
      </c>
      <c r="K2267" s="180" t="e">
        <f>OUTPUT!#REF!</f>
        <v>#REF!</v>
      </c>
      <c r="L2267" s="180" t="e">
        <f>OUTPUT!#REF!</f>
        <v>#REF!</v>
      </c>
      <c r="M2267" s="113">
        <f t="shared" si="210"/>
        <v>1</v>
      </c>
      <c r="N2267" s="64">
        <f t="shared" si="211"/>
        <v>1.000101388888889</v>
      </c>
    </row>
    <row r="2268" spans="1:14">
      <c r="A2268" s="84"/>
      <c r="B2268" s="228"/>
      <c r="C2268" s="103">
        <f t="shared" si="209"/>
        <v>46066</v>
      </c>
      <c r="E2268" s="170"/>
      <c r="F2268" s="58" t="str">
        <f>VLOOKUP(MOD(C2268,7),'CALENDAR INFO'!$I$2:$J$8,2)</f>
        <v>FRI</v>
      </c>
      <c r="G2268" s="214">
        <v>3.64</v>
      </c>
      <c r="H2268" s="425">
        <v>3.66</v>
      </c>
      <c r="I2268" s="457">
        <f t="shared" si="208"/>
        <v>2.0000000000000018E-2</v>
      </c>
      <c r="J2268" s="15" t="s">
        <v>118</v>
      </c>
      <c r="K2268" s="221">
        <f>VLOOKUP(MONTH($C2262),'CALENDAR INFO'!$I$12:$J$23,2)</f>
        <v>28</v>
      </c>
      <c r="L2268" s="221">
        <f>K2268</f>
        <v>28</v>
      </c>
      <c r="M2268" s="117">
        <v>4</v>
      </c>
      <c r="N2268" s="64">
        <f t="shared" si="211"/>
        <v>1.0004066666666667</v>
      </c>
    </row>
    <row r="2269" spans="1:14">
      <c r="A2269" s="84"/>
      <c r="B2269" s="228"/>
      <c r="C2269" s="103">
        <f t="shared" si="209"/>
        <v>46067</v>
      </c>
      <c r="E2269" s="170"/>
      <c r="F2269" s="58" t="str">
        <f>VLOOKUP(MOD(C2269,7),'CALENDAR INFO'!$I$2:$J$8,2)</f>
        <v>SAT</v>
      </c>
      <c r="G2269" s="214">
        <v>3.64</v>
      </c>
      <c r="H2269" s="425">
        <v>3.66</v>
      </c>
      <c r="I2269" s="457">
        <f t="shared" si="208"/>
        <v>2.0000000000000018E-2</v>
      </c>
      <c r="J2269" s="15" t="s">
        <v>234</v>
      </c>
      <c r="K2269" s="178" t="e">
        <f>K2267*K2257</f>
        <v>#REF!</v>
      </c>
      <c r="L2269" s="178" t="e">
        <f>L2267*L2257</f>
        <v>#REF!</v>
      </c>
      <c r="M2269" s="113">
        <f>IF(MOD(C2269,7)&lt;2,0,IF(MOD(C2269,7)=6,3,1))</f>
        <v>0</v>
      </c>
      <c r="N2269" s="64">
        <f t="shared" si="211"/>
        <v>1</v>
      </c>
    </row>
    <row r="2270" spans="1:14">
      <c r="A2270" s="84"/>
      <c r="B2270" s="228"/>
      <c r="C2270" s="103">
        <f t="shared" si="209"/>
        <v>46068</v>
      </c>
      <c r="E2270" s="170"/>
      <c r="F2270" s="58" t="str">
        <f>VLOOKUP(MOD(C2270,7),'CALENDAR INFO'!$I$2:$J$8,2)</f>
        <v>SUN</v>
      </c>
      <c r="G2270" s="214">
        <v>3.64</v>
      </c>
      <c r="H2270" s="425">
        <v>3.66</v>
      </c>
      <c r="I2270" s="457">
        <f t="shared" si="208"/>
        <v>2.0000000000000018E-2</v>
      </c>
      <c r="K2270" s="178"/>
      <c r="L2270" s="192"/>
      <c r="M2270" s="113">
        <f>IF(MOD(C2270,7)&lt;2,0,IF(MOD(C2270,7)=6,3,1))</f>
        <v>0</v>
      </c>
      <c r="N2270" s="64">
        <f t="shared" si="211"/>
        <v>1</v>
      </c>
    </row>
    <row r="2271" spans="1:14">
      <c r="A2271" s="84"/>
      <c r="B2271" s="228"/>
      <c r="C2271" s="103">
        <f t="shared" si="209"/>
        <v>46069</v>
      </c>
      <c r="D2271" s="173" t="s">
        <v>206</v>
      </c>
      <c r="E2271" s="170"/>
      <c r="F2271" s="58" t="str">
        <f>VLOOKUP(MOD(C2271,7),'CALENDAR INFO'!$I$2:$J$8,2)</f>
        <v>MON</v>
      </c>
      <c r="G2271" s="214">
        <v>3.64</v>
      </c>
      <c r="H2271" s="425">
        <v>3.66</v>
      </c>
      <c r="I2271" s="457">
        <f t="shared" si="208"/>
        <v>2.0000000000000018E-2</v>
      </c>
      <c r="J2271" s="15" t="str">
        <f>J2269</f>
        <v>monthly target</v>
      </c>
      <c r="K2271" s="178" t="e">
        <f>K2269</f>
        <v>#REF!</v>
      </c>
      <c r="L2271" s="192" t="e">
        <f>L2269</f>
        <v>#REF!</v>
      </c>
      <c r="M2271" s="117">
        <v>0</v>
      </c>
      <c r="N2271" s="64">
        <f t="shared" si="211"/>
        <v>1</v>
      </c>
    </row>
    <row r="2272" spans="1:14">
      <c r="A2272" s="84"/>
      <c r="B2272" s="228"/>
      <c r="C2272" s="103">
        <f t="shared" si="209"/>
        <v>46070</v>
      </c>
      <c r="E2272" s="170"/>
      <c r="F2272" s="58" t="str">
        <f>VLOOKUP(MOD(C2272,7),'CALENDAR INFO'!$I$2:$J$8,2)</f>
        <v>TUE</v>
      </c>
      <c r="G2272" s="214">
        <v>3.64</v>
      </c>
      <c r="H2272" s="425">
        <v>3.71</v>
      </c>
      <c r="I2272" s="457">
        <f t="shared" si="208"/>
        <v>6.999999999999984E-2</v>
      </c>
      <c r="J2272" s="15" t="s">
        <v>155</v>
      </c>
      <c r="K2272" s="178">
        <f ca="1">SUM(INDIRECT(K2261))</f>
        <v>101.92</v>
      </c>
      <c r="L2272" s="192">
        <f ca="1">SUM(INDIRECT(L2261))</f>
        <v>102.61999999999999</v>
      </c>
      <c r="M2272" s="113">
        <f t="shared" ref="M2272:M2316" si="212">IF(MOD(C2272,7)&lt;2,0,IF(MOD(C2272,7)=6,3,1))</f>
        <v>1</v>
      </c>
      <c r="N2272" s="64">
        <f t="shared" si="211"/>
        <v>1.0001030555555555</v>
      </c>
    </row>
    <row r="2273" spans="1:14">
      <c r="A2273" s="84"/>
      <c r="B2273" s="228"/>
      <c r="C2273" s="103">
        <f t="shared" si="209"/>
        <v>46071</v>
      </c>
      <c r="E2273" s="170" t="s">
        <v>19</v>
      </c>
      <c r="F2273" s="58" t="str">
        <f>VLOOKUP(MOD(C2273,7),'CALENDAR INFO'!$I$2:$J$8,2)</f>
        <v>WED</v>
      </c>
      <c r="G2273" s="214">
        <v>3.64</v>
      </c>
      <c r="H2273" s="425">
        <v>3.73</v>
      </c>
      <c r="I2273" s="457">
        <f t="shared" si="208"/>
        <v>8.9999999999999858E-2</v>
      </c>
      <c r="J2273" s="15" t="s">
        <v>237</v>
      </c>
      <c r="K2273" s="400">
        <f ca="1">SUM(INDIRECT(K2262))</f>
        <v>0</v>
      </c>
      <c r="L2273" s="401">
        <f ca="1">SUM(INDIRECT(L2262))</f>
        <v>0</v>
      </c>
      <c r="M2273" s="113">
        <f t="shared" si="212"/>
        <v>1</v>
      </c>
      <c r="N2273" s="64">
        <f t="shared" si="211"/>
        <v>1.000103611111111</v>
      </c>
    </row>
    <row r="2274" spans="1:14">
      <c r="A2274" s="84"/>
      <c r="B2274" s="228"/>
      <c r="C2274" s="103">
        <f t="shared" si="209"/>
        <v>46072</v>
      </c>
      <c r="E2274" s="167" t="s">
        <v>18</v>
      </c>
      <c r="F2274" s="58" t="str">
        <f>VLOOKUP(MOD(C2274,7),'CALENDAR INFO'!$I$2:$J$8,2)</f>
        <v>THU</v>
      </c>
      <c r="G2274" s="214">
        <v>3.64</v>
      </c>
      <c r="H2274" s="425">
        <v>3.67</v>
      </c>
      <c r="I2274" s="457">
        <f t="shared" si="208"/>
        <v>2.9999999999999805E-2</v>
      </c>
      <c r="J2274" s="15" t="s">
        <v>238</v>
      </c>
      <c r="K2274" s="182" t="e">
        <f ca="1">K2269-K2272-K2273</f>
        <v>#REF!</v>
      </c>
      <c r="L2274" s="201" t="e">
        <f ca="1">L2269-L2272-L2273</f>
        <v>#REF!</v>
      </c>
      <c r="M2274" s="113">
        <f t="shared" si="212"/>
        <v>1</v>
      </c>
      <c r="N2274" s="64">
        <f t="shared" si="211"/>
        <v>1.0001019444444443</v>
      </c>
    </row>
    <row r="2275" spans="1:14">
      <c r="A2275" s="84"/>
      <c r="B2275" s="228"/>
      <c r="C2275" s="103">
        <f t="shared" si="209"/>
        <v>46073</v>
      </c>
      <c r="E2275" s="167"/>
      <c r="F2275" s="58" t="str">
        <f>VLOOKUP(MOD(C2275,7),'CALENDAR INFO'!$I$2:$J$8,2)</f>
        <v>FRI</v>
      </c>
      <c r="G2275" s="214">
        <v>3.64</v>
      </c>
      <c r="H2275" s="425">
        <v>3.66</v>
      </c>
      <c r="I2275" s="457">
        <f t="shared" si="208"/>
        <v>2.0000000000000018E-2</v>
      </c>
      <c r="M2275" s="113">
        <f t="shared" si="212"/>
        <v>3</v>
      </c>
      <c r="N2275" s="64">
        <f t="shared" si="211"/>
        <v>1.000305</v>
      </c>
    </row>
    <row r="2276" spans="1:14">
      <c r="A2276" s="84"/>
      <c r="B2276" s="228"/>
      <c r="C2276" s="103">
        <f t="shared" si="209"/>
        <v>46074</v>
      </c>
      <c r="E2276" s="167"/>
      <c r="F2276" s="58" t="str">
        <f>VLOOKUP(MOD(C2276,7),'CALENDAR INFO'!$I$2:$J$8,2)</f>
        <v>SAT</v>
      </c>
      <c r="G2276" s="214">
        <v>3.64</v>
      </c>
      <c r="H2276" s="425">
        <v>3.66</v>
      </c>
      <c r="I2276" s="457">
        <f t="shared" si="208"/>
        <v>2.0000000000000018E-2</v>
      </c>
      <c r="J2276" s="15" t="s">
        <v>242</v>
      </c>
      <c r="K2276" s="15">
        <f>K2268</f>
        <v>28</v>
      </c>
      <c r="L2276" s="179">
        <f>L2268</f>
        <v>28</v>
      </c>
      <c r="M2276" s="113">
        <f t="shared" si="212"/>
        <v>0</v>
      </c>
      <c r="N2276" s="64">
        <f t="shared" si="211"/>
        <v>1</v>
      </c>
    </row>
    <row r="2277" spans="1:14">
      <c r="A2277" s="84"/>
      <c r="B2277" s="228"/>
      <c r="C2277" s="103">
        <f t="shared" si="209"/>
        <v>46075</v>
      </c>
      <c r="E2277" s="167"/>
      <c r="F2277" s="58" t="str">
        <f>VLOOKUP(MOD(C2277,7),'CALENDAR INFO'!$I$2:$J$8,2)</f>
        <v>SUN</v>
      </c>
      <c r="G2277" s="214">
        <v>3.64</v>
      </c>
      <c r="H2277" s="425">
        <v>3.66</v>
      </c>
      <c r="I2277" s="457">
        <f t="shared" si="208"/>
        <v>2.0000000000000018E-2</v>
      </c>
      <c r="J2277" s="15" t="s">
        <v>194</v>
      </c>
      <c r="K2277" s="15">
        <f ca="1">COUNTA(INDIRECT(K2261))</f>
        <v>28</v>
      </c>
      <c r="L2277" s="179">
        <f ca="1">COUNTA(INDIRECT(L2261))</f>
        <v>28</v>
      </c>
      <c r="M2277" s="113">
        <f t="shared" si="212"/>
        <v>0</v>
      </c>
      <c r="N2277" s="64">
        <f t="shared" si="211"/>
        <v>1</v>
      </c>
    </row>
    <row r="2278" spans="1:14">
      <c r="A2278" s="84"/>
      <c r="B2278" s="228"/>
      <c r="C2278" s="103">
        <f t="shared" si="209"/>
        <v>46076</v>
      </c>
      <c r="E2278" s="167"/>
      <c r="F2278" s="58" t="str">
        <f>VLOOKUP(MOD(C2278,7),'CALENDAR INFO'!$I$2:$J$8,2)</f>
        <v>MON</v>
      </c>
      <c r="G2278" s="214">
        <v>3.64</v>
      </c>
      <c r="H2278" s="425">
        <v>3.66</v>
      </c>
      <c r="I2278" s="457">
        <f t="shared" si="208"/>
        <v>2.0000000000000018E-2</v>
      </c>
      <c r="J2278" s="15" t="s">
        <v>243</v>
      </c>
      <c r="K2278" s="402">
        <f ca="1">COUNTA(INDIRECT(K2262))</f>
        <v>0</v>
      </c>
      <c r="L2278" s="403">
        <f ca="1">COUNTA(INDIRECT(L2262))</f>
        <v>0</v>
      </c>
      <c r="M2278" s="113">
        <f t="shared" si="212"/>
        <v>1</v>
      </c>
      <c r="N2278" s="64">
        <f t="shared" si="211"/>
        <v>1.0001016666666667</v>
      </c>
    </row>
    <row r="2279" spans="1:14">
      <c r="A2279" s="84"/>
      <c r="B2279" s="228"/>
      <c r="C2279" s="103">
        <f t="shared" si="209"/>
        <v>46077</v>
      </c>
      <c r="E2279" s="167"/>
      <c r="F2279" s="58" t="str">
        <f>VLOOKUP(MOD(C2279,7),'CALENDAR INFO'!$I$2:$J$8,2)</f>
        <v>TUE</v>
      </c>
      <c r="G2279" s="214">
        <v>3.64</v>
      </c>
      <c r="H2279" s="425">
        <v>3.67</v>
      </c>
      <c r="I2279" s="457">
        <f t="shared" si="208"/>
        <v>2.9999999999999805E-2</v>
      </c>
      <c r="J2279" s="15" t="s">
        <v>239</v>
      </c>
      <c r="K2279" s="152">
        <f ca="1">K2276-K2277-K2278</f>
        <v>0</v>
      </c>
      <c r="L2279" s="202">
        <f ca="1">L2276-L2277-L2278</f>
        <v>0</v>
      </c>
      <c r="M2279" s="113">
        <f t="shared" si="212"/>
        <v>1</v>
      </c>
      <c r="N2279" s="64">
        <f t="shared" si="211"/>
        <v>1.0001019444444443</v>
      </c>
    </row>
    <row r="2280" spans="1:14">
      <c r="A2280" s="84"/>
      <c r="B2280" s="228"/>
      <c r="C2280" s="103">
        <f t="shared" si="209"/>
        <v>46078</v>
      </c>
      <c r="E2280" s="167"/>
      <c r="F2280" s="58" t="str">
        <f>VLOOKUP(MOD(C2280,7),'CALENDAR INFO'!$I$2:$J$8,2)</f>
        <v>WED</v>
      </c>
      <c r="G2280" s="214">
        <v>3.64</v>
      </c>
      <c r="H2280" s="425">
        <v>3.67</v>
      </c>
      <c r="I2280" s="457">
        <f t="shared" si="208"/>
        <v>2.9999999999999805E-2</v>
      </c>
      <c r="K2280" s="178"/>
      <c r="L2280" s="192"/>
      <c r="M2280" s="113">
        <f t="shared" si="212"/>
        <v>1</v>
      </c>
      <c r="N2280" s="64">
        <f t="shared" si="211"/>
        <v>1.0001019444444443</v>
      </c>
    </row>
    <row r="2281" spans="1:14">
      <c r="A2281" s="84"/>
      <c r="B2281" s="228"/>
      <c r="C2281" s="103">
        <f t="shared" si="209"/>
        <v>46079</v>
      </c>
      <c r="E2281" s="167"/>
      <c r="F2281" s="58" t="str">
        <f>VLOOKUP(MOD(C2281,7),'CALENDAR INFO'!$I$2:$J$8,2)</f>
        <v>THU</v>
      </c>
      <c r="G2281" s="214">
        <v>3.64</v>
      </c>
      <c r="H2281" s="425">
        <v>3.67</v>
      </c>
      <c r="I2281" s="457">
        <f t="shared" si="208"/>
        <v>2.9999999999999805E-2</v>
      </c>
      <c r="J2281" s="15" t="s">
        <v>238</v>
      </c>
      <c r="K2281" s="178" t="e">
        <f ca="1">K2274</f>
        <v>#REF!</v>
      </c>
      <c r="L2281" s="192" t="e">
        <f ca="1">L2274</f>
        <v>#REF!</v>
      </c>
      <c r="M2281" s="113">
        <f t="shared" si="212"/>
        <v>1</v>
      </c>
      <c r="N2281" s="64">
        <f t="shared" si="211"/>
        <v>1.0001019444444443</v>
      </c>
    </row>
    <row r="2282" spans="1:14">
      <c r="A2282" s="84"/>
      <c r="B2282" s="228"/>
      <c r="C2282" s="103">
        <f t="shared" si="209"/>
        <v>46080</v>
      </c>
      <c r="E2282" s="167"/>
      <c r="F2282" s="58" t="str">
        <f>VLOOKUP(MOD(C2282,7),'CALENDAR INFO'!$I$2:$J$8,2)</f>
        <v>FRI</v>
      </c>
      <c r="G2282" s="214">
        <v>3.64</v>
      </c>
      <c r="H2282" s="425">
        <v>3.68</v>
      </c>
      <c r="I2282" s="457">
        <f t="shared" si="208"/>
        <v>4.0000000000000036E-2</v>
      </c>
      <c r="J2282" s="15" t="s">
        <v>239</v>
      </c>
      <c r="K2282" s="221">
        <f ca="1">K2279</f>
        <v>0</v>
      </c>
      <c r="L2282" s="223">
        <f ca="1">L2279</f>
        <v>0</v>
      </c>
      <c r="M2282" s="113">
        <f t="shared" si="212"/>
        <v>3</v>
      </c>
      <c r="N2282" s="64">
        <f t="shared" si="211"/>
        <v>1.0003066666666667</v>
      </c>
    </row>
    <row r="2283" spans="1:14" ht="15.75" thickBot="1">
      <c r="A2283" s="84"/>
      <c r="B2283" s="228"/>
      <c r="C2283" s="103">
        <f t="shared" si="209"/>
        <v>46081</v>
      </c>
      <c r="E2283" s="167"/>
      <c r="F2283" s="58" t="str">
        <f>VLOOKUP(MOD(C2283,7),'CALENDAR INFO'!$I$2:$J$8,2)</f>
        <v>SAT</v>
      </c>
      <c r="G2283" s="214">
        <v>3.64</v>
      </c>
      <c r="H2283" s="425">
        <v>3.68</v>
      </c>
      <c r="I2283" s="458">
        <f t="shared" si="208"/>
        <v>4.0000000000000036E-2</v>
      </c>
      <c r="J2283" s="348" t="s">
        <v>240</v>
      </c>
      <c r="K2283" s="178" t="e">
        <f ca="1">K2281/K2282</f>
        <v>#REF!</v>
      </c>
      <c r="L2283" s="192" t="e">
        <f ca="1">L2281/L2282</f>
        <v>#REF!</v>
      </c>
      <c r="M2283" s="113">
        <f t="shared" si="212"/>
        <v>0</v>
      </c>
      <c r="N2283" s="64">
        <f t="shared" si="211"/>
        <v>1</v>
      </c>
    </row>
    <row r="2284" spans="1:14">
      <c r="A2284" s="100"/>
      <c r="B2284" s="231"/>
      <c r="C2284" s="109">
        <f t="shared" si="209"/>
        <v>46082</v>
      </c>
      <c r="D2284" s="108"/>
      <c r="E2284" s="107"/>
      <c r="F2284" s="105" t="str">
        <f>VLOOKUP(MOD(C2284,7),'CALENDAR INFO'!$I$2:$J$8,2)</f>
        <v>SUN</v>
      </c>
      <c r="G2284" s="218">
        <v>3.64</v>
      </c>
      <c r="H2284" s="430">
        <v>3.68</v>
      </c>
      <c r="I2284" s="457">
        <f t="shared" si="208"/>
        <v>4.0000000000000036E-2</v>
      </c>
      <c r="J2284" s="15" t="s">
        <v>151</v>
      </c>
      <c r="K2284" s="360">
        <f>ROW()</f>
        <v>2284</v>
      </c>
      <c r="L2284" s="233">
        <f>K2284</f>
        <v>2284</v>
      </c>
      <c r="M2284" s="116">
        <f t="shared" si="212"/>
        <v>0</v>
      </c>
      <c r="N2284" s="294">
        <f t="shared" si="211"/>
        <v>1</v>
      </c>
    </row>
    <row r="2285" spans="1:14">
      <c r="B2285" s="41"/>
      <c r="C2285" s="103">
        <f t="shared" si="209"/>
        <v>46083</v>
      </c>
      <c r="E2285" s="167"/>
      <c r="F2285" s="58" t="str">
        <f>VLOOKUP(MOD(C2285,7),'CALENDAR INFO'!$I$2:$J$8,2)</f>
        <v>MON</v>
      </c>
      <c r="G2285" s="214">
        <v>3.64</v>
      </c>
      <c r="H2285" s="425">
        <v>3.71</v>
      </c>
      <c r="I2285" s="457">
        <f t="shared" si="208"/>
        <v>6.999999999999984E-2</v>
      </c>
      <c r="J2285" s="15" t="s">
        <v>118</v>
      </c>
      <c r="K2285" s="15">
        <f>VLOOKUP(MONTH($C2284),'CALENDAR INFO'!$I$12:$J$23,2)</f>
        <v>31</v>
      </c>
      <c r="L2285" s="179">
        <f>K2285</f>
        <v>31</v>
      </c>
      <c r="M2285" s="113">
        <f t="shared" si="212"/>
        <v>1</v>
      </c>
      <c r="N2285" s="64">
        <f t="shared" si="211"/>
        <v>1.0001030555555555</v>
      </c>
    </row>
    <row r="2286" spans="1:14">
      <c r="B2286" s="41"/>
      <c r="C2286" s="103">
        <f t="shared" si="209"/>
        <v>46084</v>
      </c>
      <c r="E2286" s="167"/>
      <c r="F2286" s="58" t="str">
        <f>VLOOKUP(MOD(C2286,7),'CALENDAR INFO'!$I$2:$J$8,2)</f>
        <v>TUE</v>
      </c>
      <c r="G2286" s="214">
        <v>3.64</v>
      </c>
      <c r="H2286" s="425">
        <v>3.7</v>
      </c>
      <c r="I2286" s="457">
        <f t="shared" si="208"/>
        <v>6.0000000000000053E-2</v>
      </c>
      <c r="J2286" s="15" t="s">
        <v>152</v>
      </c>
      <c r="K2286" s="15">
        <f>K2284+K2285-1</f>
        <v>2314</v>
      </c>
      <c r="L2286" s="179">
        <f>K2286</f>
        <v>2314</v>
      </c>
      <c r="M2286" s="113">
        <f t="shared" si="212"/>
        <v>1</v>
      </c>
      <c r="N2286" s="64">
        <f t="shared" si="211"/>
        <v>1.0001027777777778</v>
      </c>
    </row>
    <row r="2287" spans="1:14">
      <c r="B2287" s="41"/>
      <c r="C2287" s="103">
        <f t="shared" si="209"/>
        <v>46085</v>
      </c>
      <c r="E2287" s="167" t="s">
        <v>19</v>
      </c>
      <c r="F2287" s="58" t="str">
        <f>VLOOKUP(MOD(C2287,7),'CALENDAR INFO'!$I$2:$J$8,2)</f>
        <v>WED</v>
      </c>
      <c r="G2287" s="214">
        <v>3.64</v>
      </c>
      <c r="H2287" s="425">
        <v>3.67</v>
      </c>
      <c r="I2287" s="457">
        <f t="shared" si="208"/>
        <v>2.9999999999999805E-2</v>
      </c>
      <c r="J2287" s="15" t="s">
        <v>244</v>
      </c>
      <c r="K2287" s="176">
        <f>ROW(D2301)</f>
        <v>2301</v>
      </c>
      <c r="L2287" s="179">
        <f>K2287</f>
        <v>2301</v>
      </c>
      <c r="M2287" s="113">
        <f t="shared" si="212"/>
        <v>1</v>
      </c>
      <c r="N2287" s="64">
        <f t="shared" si="211"/>
        <v>1.0001019444444443</v>
      </c>
    </row>
    <row r="2288" spans="1:14">
      <c r="B2288" s="41"/>
      <c r="C2288" s="103">
        <f t="shared" si="209"/>
        <v>46086</v>
      </c>
      <c r="E2288" s="170" t="s">
        <v>18</v>
      </c>
      <c r="F2288" s="58" t="str">
        <f>VLOOKUP(MOD(C2288,7),'CALENDAR INFO'!$I$2:$J$8,2)</f>
        <v>THU</v>
      </c>
      <c r="G2288" s="214">
        <v>3.64</v>
      </c>
      <c r="H2288" s="425">
        <v>3.66</v>
      </c>
      <c r="I2288" s="457">
        <f t="shared" si="208"/>
        <v>2.0000000000000018E-2</v>
      </c>
      <c r="K2288" s="176"/>
      <c r="M2288" s="113">
        <f t="shared" si="212"/>
        <v>1</v>
      </c>
      <c r="N2288" s="64">
        <f t="shared" si="211"/>
        <v>1.0001016666666667</v>
      </c>
    </row>
    <row r="2289" spans="1:14">
      <c r="B2289" s="41"/>
      <c r="C2289" s="103">
        <f t="shared" si="209"/>
        <v>46087</v>
      </c>
      <c r="E2289" s="170"/>
      <c r="F2289" s="58" t="str">
        <f>VLOOKUP(MOD(C2289,7),'CALENDAR INFO'!$I$2:$J$8,2)</f>
        <v>FRI</v>
      </c>
      <c r="G2289" s="214">
        <v>3.64</v>
      </c>
      <c r="H2289" s="425">
        <v>3.65</v>
      </c>
      <c r="I2289" s="457">
        <f t="shared" si="208"/>
        <v>9.9999999999997868E-3</v>
      </c>
      <c r="J2289" s="15" t="s">
        <v>153</v>
      </c>
      <c r="K2289" s="15" t="str">
        <f>_xlfn.CONCAT(ADDRESS(K2284,7),":",ADDRESS(K2286,7))</f>
        <v>$G$2284:$G$2314</v>
      </c>
      <c r="L2289" s="179" t="str">
        <f>_xlfn.CONCAT(ADDRESS(L2284,8),":",ADDRESS(L2286,8))</f>
        <v>$H$2284:$H$2314</v>
      </c>
      <c r="M2289" s="113">
        <f t="shared" si="212"/>
        <v>3</v>
      </c>
      <c r="N2289" s="64">
        <f t="shared" si="211"/>
        <v>1.0003041666666668</v>
      </c>
    </row>
    <row r="2290" spans="1:14">
      <c r="B2290" s="41"/>
      <c r="C2290" s="103">
        <f t="shared" si="209"/>
        <v>46088</v>
      </c>
      <c r="E2290" s="170"/>
      <c r="F2290" s="58" t="str">
        <f>VLOOKUP(MOD(C2290,7),'CALENDAR INFO'!$I$2:$J$8,2)</f>
        <v>SAT</v>
      </c>
      <c r="G2290" s="214">
        <v>3.64</v>
      </c>
      <c r="H2290" s="425">
        <v>3.65</v>
      </c>
      <c r="I2290" s="457">
        <f t="shared" si="208"/>
        <v>9.9999999999997868E-3</v>
      </c>
      <c r="J2290" s="176" t="s">
        <v>236</v>
      </c>
      <c r="K2290" s="15" t="str">
        <f>_xlfn.CONCAT(ADDRESS(K2284,1),":",ADDRESS(K2287,1))</f>
        <v>$A$2284:$A$2301</v>
      </c>
      <c r="L2290" s="179" t="str">
        <f>_xlfn.CONCAT(ADDRESS(L2284,2),":",ADDRESS(L2287,2))</f>
        <v>$B$2284:$B$2301</v>
      </c>
      <c r="M2290" s="113">
        <f t="shared" si="212"/>
        <v>0</v>
      </c>
      <c r="N2290" s="64">
        <f t="shared" si="211"/>
        <v>1</v>
      </c>
    </row>
    <row r="2291" spans="1:14">
      <c r="B2291" s="41"/>
      <c r="C2291" s="103">
        <f t="shared" si="209"/>
        <v>46089</v>
      </c>
      <c r="E2291" s="170"/>
      <c r="F2291" s="58" t="str">
        <f>VLOOKUP(MOD(C2291,7),'CALENDAR INFO'!$I$2:$J$8,2)</f>
        <v>SUN</v>
      </c>
      <c r="G2291" s="214">
        <v>3.64</v>
      </c>
      <c r="H2291" s="425">
        <v>3.65</v>
      </c>
      <c r="I2291" s="457">
        <f t="shared" si="208"/>
        <v>9.9999999999997868E-3</v>
      </c>
      <c r="J2291" s="176" t="s">
        <v>235</v>
      </c>
      <c r="K2291" s="15" t="str">
        <f>_xlfn.CONCAT(ADDRESS(K2287+1,1),":",ADDRESS(K2286,1))</f>
        <v>$A$2302:$A$2314</v>
      </c>
      <c r="L2291" s="179" t="str">
        <f>_xlfn.CONCAT(ADDRESS(L2287+1,2),":",ADDRESS(L2286,2))</f>
        <v>$B$2302:$B$2314</v>
      </c>
      <c r="M2291" s="113">
        <f t="shared" si="212"/>
        <v>0</v>
      </c>
      <c r="N2291" s="64">
        <f t="shared" si="211"/>
        <v>1</v>
      </c>
    </row>
    <row r="2292" spans="1:14">
      <c r="B2292" s="41"/>
      <c r="C2292" s="103">
        <f t="shared" si="209"/>
        <v>46090</v>
      </c>
      <c r="E2292" s="170"/>
      <c r="F2292" s="58" t="str">
        <f>VLOOKUP(MOD(C2292,7),'CALENDAR INFO'!$I$2:$J$8,2)</f>
        <v>MON</v>
      </c>
      <c r="G2292" s="214">
        <v>3.64</v>
      </c>
      <c r="H2292" s="425">
        <v>3.65</v>
      </c>
      <c r="I2292" s="457">
        <f t="shared" si="208"/>
        <v>9.9999999999997868E-3</v>
      </c>
      <c r="M2292" s="113">
        <f t="shared" si="212"/>
        <v>1</v>
      </c>
      <c r="N2292" s="64">
        <f t="shared" si="211"/>
        <v>1.000101388888889</v>
      </c>
    </row>
    <row r="2293" spans="1:14">
      <c r="B2293" s="41"/>
      <c r="C2293" s="103">
        <f t="shared" si="209"/>
        <v>46091</v>
      </c>
      <c r="E2293" s="170"/>
      <c r="F2293" s="58" t="str">
        <f>VLOOKUP(MOD(C2293,7),'CALENDAR INFO'!$I$2:$J$8,2)</f>
        <v>TUE</v>
      </c>
      <c r="G2293" s="214">
        <v>3.64</v>
      </c>
      <c r="H2293" s="425">
        <v>3.64</v>
      </c>
      <c r="I2293" s="457">
        <f t="shared" si="208"/>
        <v>0</v>
      </c>
      <c r="J2293" s="15" t="s">
        <v>241</v>
      </c>
      <c r="K2293" s="186">
        <f>A2315+G2315</f>
        <v>3.64</v>
      </c>
      <c r="L2293" s="194">
        <f>B2315+H2315</f>
        <v>3.65</v>
      </c>
      <c r="M2293" s="113">
        <f t="shared" si="212"/>
        <v>1</v>
      </c>
      <c r="N2293" s="64">
        <f t="shared" si="211"/>
        <v>1.0001011111111111</v>
      </c>
    </row>
    <row r="2294" spans="1:14">
      <c r="B2294" s="41"/>
      <c r="C2294" s="103">
        <f t="shared" si="209"/>
        <v>46092</v>
      </c>
      <c r="E2294" s="170"/>
      <c r="F2294" s="58" t="str">
        <f>VLOOKUP(MOD(C2294,7),'CALENDAR INFO'!$I$2:$J$8,2)</f>
        <v>WED</v>
      </c>
      <c r="G2294" s="214">
        <v>3.64</v>
      </c>
      <c r="H2294" s="425">
        <v>3.64</v>
      </c>
      <c r="I2294" s="457">
        <f t="shared" si="208"/>
        <v>0</v>
      </c>
      <c r="M2294" s="113">
        <f t="shared" si="212"/>
        <v>1</v>
      </c>
      <c r="N2294" s="64">
        <f t="shared" si="211"/>
        <v>1.0001011111111111</v>
      </c>
    </row>
    <row r="2295" spans="1:14">
      <c r="B2295" s="41"/>
      <c r="C2295" s="103">
        <f t="shared" si="209"/>
        <v>46093</v>
      </c>
      <c r="E2295" s="170"/>
      <c r="F2295" s="58" t="str">
        <f>VLOOKUP(MOD(C2295,7),'CALENDAR INFO'!$I$2:$J$8,2)</f>
        <v>THU</v>
      </c>
      <c r="G2295" s="214">
        <v>3.64</v>
      </c>
      <c r="H2295" s="425">
        <v>3.65</v>
      </c>
      <c r="I2295" s="457">
        <f t="shared" si="208"/>
        <v>9.9999999999997868E-3</v>
      </c>
      <c r="J2295" s="15" t="s">
        <v>197</v>
      </c>
      <c r="K2295" s="180" t="e">
        <f>OUTPUT!#REF!</f>
        <v>#REF!</v>
      </c>
      <c r="L2295" s="193" t="e">
        <f>OUTPUT!#REF!</f>
        <v>#REF!</v>
      </c>
      <c r="M2295" s="113">
        <f t="shared" si="212"/>
        <v>1</v>
      </c>
      <c r="N2295" s="64">
        <f t="shared" si="211"/>
        <v>1.000101388888889</v>
      </c>
    </row>
    <row r="2296" spans="1:14">
      <c r="B2296" s="41"/>
      <c r="C2296" s="103">
        <f t="shared" si="209"/>
        <v>46094</v>
      </c>
      <c r="E2296" s="170"/>
      <c r="F2296" s="58" t="str">
        <f>VLOOKUP(MOD(C2296,7),'CALENDAR INFO'!$I$2:$J$8,2)</f>
        <v>FRI</v>
      </c>
      <c r="G2296" s="214">
        <v>3.64</v>
      </c>
      <c r="H2296" s="425">
        <v>3.65</v>
      </c>
      <c r="I2296" s="457">
        <f t="shared" si="208"/>
        <v>9.9999999999997868E-3</v>
      </c>
      <c r="J2296" s="15" t="s">
        <v>118</v>
      </c>
      <c r="K2296" s="221">
        <f>VLOOKUP(MONTH($C2290),'CALENDAR INFO'!$I$12:$J$23,2)</f>
        <v>31</v>
      </c>
      <c r="L2296" s="223">
        <f>K2296</f>
        <v>31</v>
      </c>
      <c r="M2296" s="113">
        <f t="shared" si="212"/>
        <v>3</v>
      </c>
      <c r="N2296" s="64">
        <f t="shared" si="211"/>
        <v>1.0003041666666668</v>
      </c>
    </row>
    <row r="2297" spans="1:14">
      <c r="B2297" s="41"/>
      <c r="C2297" s="103">
        <f t="shared" si="209"/>
        <v>46095</v>
      </c>
      <c r="E2297" s="170"/>
      <c r="F2297" s="58" t="str">
        <f>VLOOKUP(MOD(C2297,7),'CALENDAR INFO'!$I$2:$J$8,2)</f>
        <v>SAT</v>
      </c>
      <c r="G2297" s="214">
        <v>3.64</v>
      </c>
      <c r="H2297" s="425">
        <v>3.65</v>
      </c>
      <c r="I2297" s="457">
        <f t="shared" si="208"/>
        <v>9.9999999999997868E-3</v>
      </c>
      <c r="J2297" s="15" t="s">
        <v>234</v>
      </c>
      <c r="K2297" s="178" t="e">
        <f>K2295*K2285</f>
        <v>#REF!</v>
      </c>
      <c r="L2297" s="192" t="e">
        <f>L2295*L2285</f>
        <v>#REF!</v>
      </c>
      <c r="M2297" s="113">
        <f t="shared" si="212"/>
        <v>0</v>
      </c>
      <c r="N2297" s="64">
        <f t="shared" si="211"/>
        <v>1</v>
      </c>
    </row>
    <row r="2298" spans="1:14">
      <c r="B2298" s="41"/>
      <c r="C2298" s="103">
        <f t="shared" si="209"/>
        <v>46096</v>
      </c>
      <c r="E2298" s="170"/>
      <c r="F2298" s="58" t="str">
        <f>VLOOKUP(MOD(C2298,7),'CALENDAR INFO'!$I$2:$J$8,2)</f>
        <v>SUN</v>
      </c>
      <c r="G2298" s="214">
        <v>3.64</v>
      </c>
      <c r="H2298" s="425">
        <v>3.65</v>
      </c>
      <c r="I2298" s="457">
        <f t="shared" si="208"/>
        <v>9.9999999999997868E-3</v>
      </c>
      <c r="M2298" s="113">
        <f t="shared" si="212"/>
        <v>0</v>
      </c>
      <c r="N2298" s="64">
        <f t="shared" si="211"/>
        <v>1</v>
      </c>
    </row>
    <row r="2299" spans="1:14">
      <c r="B2299" s="41"/>
      <c r="C2299" s="103">
        <f t="shared" si="209"/>
        <v>46097</v>
      </c>
      <c r="E2299" s="170"/>
      <c r="F2299" s="58" t="str">
        <f>VLOOKUP(MOD(C2299,7),'CALENDAR INFO'!$I$2:$J$8,2)</f>
        <v>MON</v>
      </c>
      <c r="G2299" s="214">
        <v>3.64</v>
      </c>
      <c r="H2299" s="425">
        <v>3.7</v>
      </c>
      <c r="I2299" s="457">
        <f t="shared" si="208"/>
        <v>6.0000000000000053E-2</v>
      </c>
      <c r="J2299" s="15" t="str">
        <f>J2297</f>
        <v>monthly target</v>
      </c>
      <c r="K2299" s="178" t="e">
        <f>K2297</f>
        <v>#REF!</v>
      </c>
      <c r="L2299" s="192" t="e">
        <f>L2297</f>
        <v>#REF!</v>
      </c>
      <c r="M2299" s="113">
        <f t="shared" si="212"/>
        <v>1</v>
      </c>
      <c r="N2299" s="64">
        <f t="shared" si="211"/>
        <v>1.0001027777777778</v>
      </c>
    </row>
    <row r="2300" spans="1:14">
      <c r="B2300" s="41"/>
      <c r="C2300" s="103">
        <f t="shared" si="209"/>
        <v>46098</v>
      </c>
      <c r="D2300" s="153" t="s">
        <v>20</v>
      </c>
      <c r="E2300" s="170"/>
      <c r="F2300" s="58" t="str">
        <f>VLOOKUP(MOD(C2300,7),'CALENDAR INFO'!$I$2:$J$8,2)</f>
        <v>TUE</v>
      </c>
      <c r="G2300" s="214">
        <v>3.64</v>
      </c>
      <c r="H2300" s="425">
        <v>3.65</v>
      </c>
      <c r="I2300" s="457">
        <f t="shared" si="208"/>
        <v>9.9999999999997868E-3</v>
      </c>
      <c r="J2300" s="15" t="s">
        <v>155</v>
      </c>
      <c r="K2300" s="178">
        <f ca="1">SUM(INDIRECT(K2289))</f>
        <v>112.84</v>
      </c>
      <c r="L2300" s="192">
        <f ca="1">SUM(INDIRECT(L2289))</f>
        <v>113.09</v>
      </c>
      <c r="M2300" s="113">
        <f t="shared" si="212"/>
        <v>1</v>
      </c>
      <c r="N2300" s="64">
        <f t="shared" si="211"/>
        <v>1.000101388888889</v>
      </c>
    </row>
    <row r="2301" spans="1:14">
      <c r="B2301" s="41"/>
      <c r="C2301" s="103">
        <f t="shared" si="209"/>
        <v>46099</v>
      </c>
      <c r="D2301" s="153" t="s">
        <v>20</v>
      </c>
      <c r="E2301" s="170" t="s">
        <v>19</v>
      </c>
      <c r="F2301" s="58" t="str">
        <f>VLOOKUP(MOD(C2301,7),'CALENDAR INFO'!$I$2:$J$8,2)</f>
        <v>WED</v>
      </c>
      <c r="G2301" s="214">
        <v>3.64</v>
      </c>
      <c r="H2301" s="425">
        <v>3.62</v>
      </c>
      <c r="I2301" s="457">
        <f t="shared" si="208"/>
        <v>-2.0000000000000018E-2</v>
      </c>
      <c r="J2301" s="15" t="s">
        <v>237</v>
      </c>
      <c r="K2301" s="400">
        <f ca="1">SUM(INDIRECT(K2291))</f>
        <v>0</v>
      </c>
      <c r="L2301" s="401">
        <f ca="1">SUM(INDIRECT(L2291))</f>
        <v>0</v>
      </c>
      <c r="M2301" s="113">
        <f t="shared" si="212"/>
        <v>1</v>
      </c>
      <c r="N2301" s="64">
        <f t="shared" si="211"/>
        <v>1.0001005555555555</v>
      </c>
    </row>
    <row r="2302" spans="1:14">
      <c r="A2302" s="304"/>
      <c r="B2302" s="305"/>
      <c r="C2302" s="103">
        <f t="shared" si="209"/>
        <v>46100</v>
      </c>
      <c r="E2302" s="167" t="s">
        <v>18</v>
      </c>
      <c r="F2302" s="58" t="str">
        <f>VLOOKUP(MOD(C2302,7),'CALENDAR INFO'!$I$2:$J$8,2)</f>
        <v>THU</v>
      </c>
      <c r="G2302" s="214">
        <v>3.64</v>
      </c>
      <c r="H2302" s="425">
        <v>3.62</v>
      </c>
      <c r="I2302" s="457">
        <f t="shared" si="208"/>
        <v>-2.0000000000000018E-2</v>
      </c>
      <c r="J2302" s="15" t="s">
        <v>238</v>
      </c>
      <c r="K2302" s="182" t="e">
        <f ca="1">K2297-K2300-K2301</f>
        <v>#REF!</v>
      </c>
      <c r="L2302" s="201" t="e">
        <f ca="1">L2297-L2300-L2301</f>
        <v>#REF!</v>
      </c>
      <c r="M2302" s="113">
        <f t="shared" si="212"/>
        <v>1</v>
      </c>
      <c r="N2302" s="64">
        <f t="shared" si="211"/>
        <v>1.0001005555555555</v>
      </c>
    </row>
    <row r="2303" spans="1:14">
      <c r="A2303" s="304"/>
      <c r="B2303" s="305"/>
      <c r="C2303" s="103">
        <f t="shared" si="209"/>
        <v>46101</v>
      </c>
      <c r="E2303" s="167"/>
      <c r="F2303" s="58" t="str">
        <f>VLOOKUP(MOD(C2303,7),'CALENDAR INFO'!$I$2:$J$8,2)</f>
        <v>FRI</v>
      </c>
      <c r="G2303" s="214">
        <v>3.64</v>
      </c>
      <c r="H2303" s="425">
        <v>3.62</v>
      </c>
      <c r="I2303" s="457">
        <f t="shared" si="208"/>
        <v>-2.0000000000000018E-2</v>
      </c>
      <c r="K2303" s="178"/>
      <c r="L2303" s="192"/>
      <c r="M2303" s="113">
        <f t="shared" si="212"/>
        <v>3</v>
      </c>
      <c r="N2303" s="64">
        <f t="shared" si="211"/>
        <v>1.0003016666666666</v>
      </c>
    </row>
    <row r="2304" spans="1:14">
      <c r="A2304" s="304"/>
      <c r="B2304" s="305"/>
      <c r="C2304" s="103">
        <f t="shared" si="209"/>
        <v>46102</v>
      </c>
      <c r="E2304" s="167"/>
      <c r="F2304" s="58" t="str">
        <f>VLOOKUP(MOD(C2304,7),'CALENDAR INFO'!$I$2:$J$8,2)</f>
        <v>SAT</v>
      </c>
      <c r="G2304" s="214">
        <v>3.64</v>
      </c>
      <c r="H2304" s="425">
        <v>3.62</v>
      </c>
      <c r="I2304" s="457">
        <f t="shared" si="208"/>
        <v>-2.0000000000000018E-2</v>
      </c>
      <c r="J2304" s="15" t="s">
        <v>242</v>
      </c>
      <c r="K2304" s="15">
        <f>K2296</f>
        <v>31</v>
      </c>
      <c r="L2304" s="179">
        <f>L2296</f>
        <v>31</v>
      </c>
      <c r="M2304" s="113">
        <f t="shared" si="212"/>
        <v>0</v>
      </c>
      <c r="N2304" s="64">
        <f t="shared" si="211"/>
        <v>1</v>
      </c>
    </row>
    <row r="2305" spans="1:14">
      <c r="A2305" s="304"/>
      <c r="B2305" s="305"/>
      <c r="C2305" s="103">
        <f t="shared" si="209"/>
        <v>46103</v>
      </c>
      <c r="E2305" s="167"/>
      <c r="F2305" s="58" t="str">
        <f>VLOOKUP(MOD(C2305,7),'CALENDAR INFO'!$I$2:$J$8,2)</f>
        <v>SUN</v>
      </c>
      <c r="G2305" s="214">
        <v>3.64</v>
      </c>
      <c r="H2305" s="425">
        <v>3.62</v>
      </c>
      <c r="I2305" s="457">
        <f t="shared" si="208"/>
        <v>-2.0000000000000018E-2</v>
      </c>
      <c r="J2305" s="15" t="s">
        <v>194</v>
      </c>
      <c r="K2305" s="15">
        <f ca="1">COUNTA(INDIRECT(K2289))</f>
        <v>31</v>
      </c>
      <c r="L2305" s="179">
        <f ca="1">COUNTA(INDIRECT(L2289))</f>
        <v>31</v>
      </c>
      <c r="M2305" s="113">
        <f t="shared" si="212"/>
        <v>0</v>
      </c>
      <c r="N2305" s="64">
        <f t="shared" si="211"/>
        <v>1</v>
      </c>
    </row>
    <row r="2306" spans="1:14">
      <c r="A2306" s="304"/>
      <c r="B2306" s="305"/>
      <c r="C2306" s="103">
        <f t="shared" si="209"/>
        <v>46104</v>
      </c>
      <c r="E2306" s="167"/>
      <c r="F2306" s="58" t="str">
        <f>VLOOKUP(MOD(C2306,7),'CALENDAR INFO'!$I$2:$J$8,2)</f>
        <v>MON</v>
      </c>
      <c r="G2306" s="214">
        <v>3.64</v>
      </c>
      <c r="H2306" s="425">
        <v>3.62</v>
      </c>
      <c r="I2306" s="457">
        <f t="shared" si="208"/>
        <v>-2.0000000000000018E-2</v>
      </c>
      <c r="J2306" s="15" t="s">
        <v>243</v>
      </c>
      <c r="K2306" s="402">
        <f ca="1">COUNTA(INDIRECT(K2291))</f>
        <v>0</v>
      </c>
      <c r="L2306" s="403">
        <f ca="1">COUNTA(INDIRECT(L2291))</f>
        <v>0</v>
      </c>
      <c r="M2306" s="113">
        <f t="shared" si="212"/>
        <v>1</v>
      </c>
      <c r="N2306" s="64">
        <f t="shared" si="211"/>
        <v>1.0001005555555555</v>
      </c>
    </row>
    <row r="2307" spans="1:14">
      <c r="A2307" s="304"/>
      <c r="B2307" s="305"/>
      <c r="C2307" s="103">
        <f t="shared" si="209"/>
        <v>46105</v>
      </c>
      <c r="E2307" s="167"/>
      <c r="F2307" s="58" t="str">
        <f>VLOOKUP(MOD(C2307,7),'CALENDAR INFO'!$I$2:$J$8,2)</f>
        <v>TUE</v>
      </c>
      <c r="G2307" s="214">
        <v>3.64</v>
      </c>
      <c r="H2307" s="425">
        <v>3.63</v>
      </c>
      <c r="I2307" s="457">
        <f t="shared" ref="I2307:I2370" si="213">H2307-G2307</f>
        <v>-1.0000000000000231E-2</v>
      </c>
      <c r="J2307" s="15" t="s">
        <v>239</v>
      </c>
      <c r="K2307" s="152">
        <f ca="1">K2304-K2305-K2306</f>
        <v>0</v>
      </c>
      <c r="L2307" s="202">
        <f ca="1">L2304-L2305-L2306</f>
        <v>0</v>
      </c>
      <c r="M2307" s="113">
        <f t="shared" si="212"/>
        <v>1</v>
      </c>
      <c r="N2307" s="64">
        <f t="shared" si="211"/>
        <v>1.0001008333333334</v>
      </c>
    </row>
    <row r="2308" spans="1:14">
      <c r="A2308" s="304"/>
      <c r="B2308" s="305"/>
      <c r="C2308" s="103">
        <f t="shared" ref="C2308:C2371" si="214">C2307+1</f>
        <v>46106</v>
      </c>
      <c r="E2308" s="167"/>
      <c r="F2308" s="58" t="str">
        <f>VLOOKUP(MOD(C2308,7),'CALENDAR INFO'!$I$2:$J$8,2)</f>
        <v>WED</v>
      </c>
      <c r="G2308" s="214">
        <v>3.64</v>
      </c>
      <c r="H2308" s="425">
        <v>3.64</v>
      </c>
      <c r="I2308" s="457">
        <f t="shared" si="213"/>
        <v>0</v>
      </c>
      <c r="K2308" s="178"/>
      <c r="L2308" s="192"/>
      <c r="M2308" s="113">
        <f t="shared" si="212"/>
        <v>1</v>
      </c>
      <c r="N2308" s="64">
        <f t="shared" si="211"/>
        <v>1.0001011111111111</v>
      </c>
    </row>
    <row r="2309" spans="1:14">
      <c r="A2309" s="304"/>
      <c r="B2309" s="305"/>
      <c r="C2309" s="103">
        <f t="shared" si="214"/>
        <v>46107</v>
      </c>
      <c r="E2309" s="167"/>
      <c r="F2309" s="58" t="str">
        <f>VLOOKUP(MOD(C2309,7),'CALENDAR INFO'!$I$2:$J$8,2)</f>
        <v>THU</v>
      </c>
      <c r="G2309" s="214">
        <v>3.64</v>
      </c>
      <c r="H2309" s="425">
        <v>3.65</v>
      </c>
      <c r="I2309" s="457">
        <f t="shared" si="213"/>
        <v>9.9999999999997868E-3</v>
      </c>
      <c r="J2309" s="15" t="s">
        <v>238</v>
      </c>
      <c r="K2309" s="178" t="e">
        <f ca="1">K2302</f>
        <v>#REF!</v>
      </c>
      <c r="L2309" s="192" t="e">
        <f ca="1">L2302</f>
        <v>#REF!</v>
      </c>
      <c r="M2309" s="113">
        <f t="shared" si="212"/>
        <v>1</v>
      </c>
      <c r="N2309" s="64">
        <f t="shared" si="211"/>
        <v>1.000101388888889</v>
      </c>
    </row>
    <row r="2310" spans="1:14">
      <c r="A2310" s="304"/>
      <c r="B2310" s="305"/>
      <c r="C2310" s="103">
        <f t="shared" si="214"/>
        <v>46108</v>
      </c>
      <c r="E2310" s="167"/>
      <c r="F2310" s="58" t="str">
        <f>VLOOKUP(MOD(C2310,7),'CALENDAR INFO'!$I$2:$J$8,2)</f>
        <v>FRI</v>
      </c>
      <c r="G2310" s="214">
        <v>3.64</v>
      </c>
      <c r="H2310" s="425">
        <v>3.63</v>
      </c>
      <c r="I2310" s="457">
        <f t="shared" si="213"/>
        <v>-1.0000000000000231E-2</v>
      </c>
      <c r="J2310" s="15" t="s">
        <v>239</v>
      </c>
      <c r="K2310" s="221">
        <f ca="1">K2307</f>
        <v>0</v>
      </c>
      <c r="L2310" s="223">
        <f ca="1">L2307</f>
        <v>0</v>
      </c>
      <c r="M2310" s="113">
        <f t="shared" si="212"/>
        <v>3</v>
      </c>
      <c r="N2310" s="64">
        <f t="shared" si="211"/>
        <v>1.0003025000000001</v>
      </c>
    </row>
    <row r="2311" spans="1:14">
      <c r="A2311" s="304"/>
      <c r="B2311" s="305"/>
      <c r="C2311" s="103">
        <f t="shared" si="214"/>
        <v>46109</v>
      </c>
      <c r="E2311" s="167"/>
      <c r="F2311" s="58" t="str">
        <f>VLOOKUP(MOD(C2311,7),'CALENDAR INFO'!$I$2:$J$8,2)</f>
        <v>SAT</v>
      </c>
      <c r="G2311" s="214">
        <v>3.64</v>
      </c>
      <c r="H2311" s="425">
        <v>3.63</v>
      </c>
      <c r="I2311" s="457">
        <f t="shared" si="213"/>
        <v>-1.0000000000000231E-2</v>
      </c>
      <c r="J2311" s="15" t="s">
        <v>240</v>
      </c>
      <c r="K2311" s="178" t="e">
        <f ca="1">K2309/K2310</f>
        <v>#REF!</v>
      </c>
      <c r="L2311" s="192" t="e">
        <f ca="1">L2309/L2310</f>
        <v>#REF!</v>
      </c>
      <c r="M2311" s="113">
        <f t="shared" si="212"/>
        <v>0</v>
      </c>
      <c r="N2311" s="64">
        <f t="shared" si="211"/>
        <v>1</v>
      </c>
    </row>
    <row r="2312" spans="1:14">
      <c r="A2312" s="304"/>
      <c r="B2312" s="305"/>
      <c r="C2312" s="103">
        <f t="shared" si="214"/>
        <v>46110</v>
      </c>
      <c r="E2312" s="167"/>
      <c r="F2312" s="58" t="str">
        <f>VLOOKUP(MOD(C2312,7),'CALENDAR INFO'!$I$2:$J$8,2)</f>
        <v>SUN</v>
      </c>
      <c r="G2312" s="214">
        <v>3.64</v>
      </c>
      <c r="H2312" s="425">
        <v>3.63</v>
      </c>
      <c r="I2312" s="457">
        <f t="shared" si="213"/>
        <v>-1.0000000000000231E-2</v>
      </c>
      <c r="K2312" s="15">
        <f ca="1">+K2300/K2296</f>
        <v>3.64</v>
      </c>
      <c r="L2312" s="192">
        <f ca="1">+L2300/L2296</f>
        <v>3.6480645161290322</v>
      </c>
      <c r="M2312" s="113">
        <f t="shared" si="212"/>
        <v>0</v>
      </c>
      <c r="N2312" s="64">
        <f t="shared" si="211"/>
        <v>1</v>
      </c>
    </row>
    <row r="2313" spans="1:14">
      <c r="A2313" s="304"/>
      <c r="B2313" s="305"/>
      <c r="C2313" s="103">
        <f t="shared" si="214"/>
        <v>46111</v>
      </c>
      <c r="E2313" s="167"/>
      <c r="F2313" s="58" t="str">
        <f>VLOOKUP(MOD(C2313,7),'CALENDAR INFO'!$I$2:$J$8,2)</f>
        <v>MON</v>
      </c>
      <c r="G2313" s="214">
        <v>3.64</v>
      </c>
      <c r="H2313" s="425">
        <v>3.63</v>
      </c>
      <c r="I2313" s="457">
        <f t="shared" si="213"/>
        <v>-1.0000000000000231E-2</v>
      </c>
      <c r="K2313" s="189">
        <f ca="1">100-K2312</f>
        <v>96.36</v>
      </c>
      <c r="L2313" s="415">
        <f ca="1">100-L2312</f>
        <v>96.351935483870975</v>
      </c>
      <c r="M2313" s="113">
        <f t="shared" si="212"/>
        <v>1</v>
      </c>
      <c r="N2313" s="64">
        <f t="shared" si="211"/>
        <v>1.0001008333333334</v>
      </c>
    </row>
    <row r="2314" spans="1:14" ht="15.75" thickBot="1">
      <c r="A2314" s="405"/>
      <c r="B2314" s="406"/>
      <c r="C2314" s="104">
        <f t="shared" si="214"/>
        <v>46112</v>
      </c>
      <c r="D2314" s="112"/>
      <c r="E2314" s="92"/>
      <c r="F2314" s="71" t="str">
        <f>VLOOKUP(MOD(C2314,7),'CALENDAR INFO'!$I$2:$J$8,2)</f>
        <v>TUE</v>
      </c>
      <c r="G2314" s="215">
        <v>3.64</v>
      </c>
      <c r="H2314" s="426">
        <v>3.68</v>
      </c>
      <c r="I2314" s="458">
        <f t="shared" si="213"/>
        <v>4.0000000000000036E-2</v>
      </c>
      <c r="J2314" s="348"/>
      <c r="K2314" s="348" t="s">
        <v>202</v>
      </c>
      <c r="L2314" s="349" t="s">
        <v>202</v>
      </c>
      <c r="M2314" s="114">
        <f t="shared" si="212"/>
        <v>1</v>
      </c>
      <c r="N2314" s="292">
        <f t="shared" si="211"/>
        <v>1.0001022222222222</v>
      </c>
    </row>
    <row r="2315" spans="1:14">
      <c r="B2315" s="41"/>
      <c r="C2315" s="103">
        <f t="shared" si="214"/>
        <v>46113</v>
      </c>
      <c r="E2315" s="167" t="s">
        <v>19</v>
      </c>
      <c r="F2315" s="58" t="str">
        <f>VLOOKUP(MOD(C2315,7),'CALENDAR INFO'!$I$2:$J$8,2)</f>
        <v>WED</v>
      </c>
      <c r="G2315" s="214">
        <v>3.64</v>
      </c>
      <c r="H2315" s="425">
        <v>3.65</v>
      </c>
      <c r="I2315" s="457">
        <f t="shared" si="213"/>
        <v>9.9999999999997868E-3</v>
      </c>
      <c r="J2315" s="15" t="s">
        <v>151</v>
      </c>
      <c r="K2315" s="375">
        <f>ROW()</f>
        <v>2315</v>
      </c>
      <c r="L2315" s="60">
        <f>K2315</f>
        <v>2315</v>
      </c>
      <c r="M2315" s="113">
        <f t="shared" si="212"/>
        <v>1</v>
      </c>
      <c r="N2315" s="64">
        <f t="shared" si="211"/>
        <v>1.000101388888889</v>
      </c>
    </row>
    <row r="2316" spans="1:14">
      <c r="B2316" s="41"/>
      <c r="C2316" s="103">
        <f t="shared" si="214"/>
        <v>46114</v>
      </c>
      <c r="E2316" s="170" t="s">
        <v>18</v>
      </c>
      <c r="F2316" s="58" t="str">
        <f>VLOOKUP(MOD(C2316,7),'CALENDAR INFO'!$I$2:$J$8,2)</f>
        <v>THU</v>
      </c>
      <c r="G2316" s="214">
        <v>3.64</v>
      </c>
      <c r="H2316" s="425">
        <v>3.66</v>
      </c>
      <c r="I2316" s="457">
        <f t="shared" si="213"/>
        <v>2.0000000000000018E-2</v>
      </c>
      <c r="J2316" s="15" t="s">
        <v>118</v>
      </c>
      <c r="K2316" s="15">
        <f>VLOOKUP(MONTH($C2315),'CALENDAR INFO'!$I$12:$J$23,2)</f>
        <v>30</v>
      </c>
      <c r="L2316" s="15">
        <f>K2316</f>
        <v>30</v>
      </c>
      <c r="M2316" s="113">
        <f t="shared" si="212"/>
        <v>1</v>
      </c>
      <c r="N2316" s="64">
        <f t="shared" si="211"/>
        <v>1.0001016666666667</v>
      </c>
    </row>
    <row r="2317" spans="1:14">
      <c r="B2317" s="41"/>
      <c r="C2317" s="103">
        <f t="shared" si="214"/>
        <v>46115</v>
      </c>
      <c r="D2317" s="173" t="s">
        <v>44</v>
      </c>
      <c r="E2317" s="170"/>
      <c r="F2317" s="58" t="str">
        <f>VLOOKUP(MOD(C2317,7),'CALENDAR INFO'!$I$2:$J$8,2)</f>
        <v>FRI</v>
      </c>
      <c r="G2317" s="214">
        <v>3.64</v>
      </c>
      <c r="H2317" s="425">
        <v>3.66</v>
      </c>
      <c r="I2317" s="457">
        <f t="shared" si="213"/>
        <v>2.0000000000000018E-2</v>
      </c>
      <c r="J2317" s="15" t="s">
        <v>152</v>
      </c>
      <c r="K2317" s="15">
        <f>K2315+K2316-1</f>
        <v>2344</v>
      </c>
      <c r="L2317" s="15">
        <f>K2317</f>
        <v>2344</v>
      </c>
      <c r="M2317" s="117">
        <v>4</v>
      </c>
      <c r="N2317" s="64">
        <f t="shared" si="211"/>
        <v>1.0004066666666667</v>
      </c>
    </row>
    <row r="2318" spans="1:14">
      <c r="B2318" s="41"/>
      <c r="C2318" s="103">
        <f t="shared" si="214"/>
        <v>46116</v>
      </c>
      <c r="E2318" s="170"/>
      <c r="F2318" s="58" t="str">
        <f>VLOOKUP(MOD(C2318,7),'CALENDAR INFO'!$I$2:$J$8,2)</f>
        <v>SAT</v>
      </c>
      <c r="G2318" s="214">
        <v>3.64</v>
      </c>
      <c r="H2318" s="425">
        <v>3.66</v>
      </c>
      <c r="I2318" s="457">
        <f t="shared" si="213"/>
        <v>2.0000000000000018E-2</v>
      </c>
      <c r="J2318" s="15" t="s">
        <v>244</v>
      </c>
      <c r="K2318" s="311">
        <f>ROW(D2343)</f>
        <v>2343</v>
      </c>
      <c r="L2318" s="15">
        <f>K2318</f>
        <v>2343</v>
      </c>
      <c r="M2318" s="113">
        <f>IF(MOD(C2318,7)&lt;2,0,IF(MOD(C2318,7)=6,3,1))</f>
        <v>0</v>
      </c>
      <c r="N2318" s="64">
        <f t="shared" si="211"/>
        <v>1</v>
      </c>
    </row>
    <row r="2319" spans="1:14">
      <c r="B2319" s="41"/>
      <c r="C2319" s="103">
        <f t="shared" si="214"/>
        <v>46117</v>
      </c>
      <c r="E2319" s="170"/>
      <c r="F2319" s="58" t="str">
        <f>VLOOKUP(MOD(C2319,7),'CALENDAR INFO'!$I$2:$J$8,2)</f>
        <v>SUN</v>
      </c>
      <c r="G2319" s="214">
        <v>3.64</v>
      </c>
      <c r="H2319" s="425">
        <v>3.66</v>
      </c>
      <c r="I2319" s="457">
        <f t="shared" si="213"/>
        <v>2.0000000000000018E-2</v>
      </c>
      <c r="K2319" s="311"/>
      <c r="L2319" s="15"/>
      <c r="M2319" s="113">
        <f>IF(MOD(C2319,7)&lt;2,0,IF(MOD(C2319,7)=6,3,1))</f>
        <v>0</v>
      </c>
      <c r="N2319" s="64">
        <f t="shared" si="211"/>
        <v>1</v>
      </c>
    </row>
    <row r="2320" spans="1:14">
      <c r="B2320" s="41"/>
      <c r="C2320" s="103">
        <f t="shared" si="214"/>
        <v>46118</v>
      </c>
      <c r="E2320" s="170"/>
      <c r="F2320" s="58" t="str">
        <f>VLOOKUP(MOD(C2320,7),'CALENDAR INFO'!$I$2:$J$8,2)</f>
        <v>MON</v>
      </c>
      <c r="G2320" s="214">
        <v>3.64</v>
      </c>
      <c r="H2320" s="425">
        <v>3.65</v>
      </c>
      <c r="I2320" s="457">
        <f t="shared" si="213"/>
        <v>9.9999999999997868E-3</v>
      </c>
      <c r="J2320" s="15" t="s">
        <v>153</v>
      </c>
      <c r="K2320" s="15" t="str">
        <f>_xlfn.CONCAT(ADDRESS(K2315,7),":",ADDRESS(K2317,7))</f>
        <v>$G$2315:$G$2344</v>
      </c>
      <c r="L2320" s="15" t="str">
        <f>_xlfn.CONCAT(ADDRESS(L2315,8),":",ADDRESS(L2317,8))</f>
        <v>$H$2315:$H$2344</v>
      </c>
      <c r="M2320" s="117">
        <v>0</v>
      </c>
      <c r="N2320" s="64">
        <f t="shared" si="211"/>
        <v>1</v>
      </c>
    </row>
    <row r="2321" spans="2:14">
      <c r="B2321" s="41"/>
      <c r="C2321" s="103">
        <f t="shared" si="214"/>
        <v>46119</v>
      </c>
      <c r="E2321" s="170"/>
      <c r="F2321" s="58" t="str">
        <f>VLOOKUP(MOD(C2321,7),'CALENDAR INFO'!$I$2:$J$8,2)</f>
        <v>TUE</v>
      </c>
      <c r="G2321" s="214">
        <v>3.64</v>
      </c>
      <c r="H2321" s="425">
        <v>3.62</v>
      </c>
      <c r="I2321" s="457">
        <f t="shared" si="213"/>
        <v>-2.0000000000000018E-2</v>
      </c>
      <c r="J2321" s="176" t="s">
        <v>236</v>
      </c>
      <c r="K2321" s="15" t="str">
        <f>_xlfn.CONCAT(ADDRESS(K2315,1),":",ADDRESS(K2318,1))</f>
        <v>$A$2315:$A$2343</v>
      </c>
      <c r="L2321" s="15" t="str">
        <f>_xlfn.CONCAT(ADDRESS(L2315,2),":",ADDRESS(L2318,2))</f>
        <v>$B$2315:$B$2343</v>
      </c>
      <c r="M2321" s="113">
        <f t="shared" ref="M2321:M2365" si="215">IF(MOD(C2321,7)&lt;2,0,IF(MOD(C2321,7)=6,3,1))</f>
        <v>1</v>
      </c>
      <c r="N2321" s="64">
        <f t="shared" si="211"/>
        <v>1.0001005555555555</v>
      </c>
    </row>
    <row r="2322" spans="2:14">
      <c r="B2322" s="41"/>
      <c r="C2322" s="103">
        <f t="shared" si="214"/>
        <v>46120</v>
      </c>
      <c r="E2322" s="170"/>
      <c r="F2322" s="58" t="str">
        <f>VLOOKUP(MOD(C2322,7),'CALENDAR INFO'!$I$2:$J$8,2)</f>
        <v>WED</v>
      </c>
      <c r="G2322" s="214">
        <v>3.64</v>
      </c>
      <c r="H2322" s="425">
        <v>3.59</v>
      </c>
      <c r="I2322" s="457">
        <f t="shared" si="213"/>
        <v>-5.0000000000000266E-2</v>
      </c>
      <c r="J2322" s="176" t="s">
        <v>235</v>
      </c>
      <c r="K2322" s="15" t="str">
        <f>_xlfn.CONCAT(ADDRESS(K2318+1,1),":",ADDRESS(K2317,1))</f>
        <v>$A$2344:$A$2344</v>
      </c>
      <c r="L2322" s="15" t="str">
        <f>_xlfn.CONCAT(ADDRESS(L2318+1,2),":",ADDRESS(L2317,2))</f>
        <v>$B$2344:$B$2344</v>
      </c>
      <c r="M2322" s="113">
        <f t="shared" si="215"/>
        <v>1</v>
      </c>
      <c r="N2322" s="64">
        <f t="shared" si="211"/>
        <v>1.0000997222222223</v>
      </c>
    </row>
    <row r="2323" spans="2:14">
      <c r="B2323" s="41"/>
      <c r="C2323" s="103">
        <f t="shared" si="214"/>
        <v>46121</v>
      </c>
      <c r="E2323" s="170"/>
      <c r="F2323" s="58" t="str">
        <f>VLOOKUP(MOD(C2323,7),'CALENDAR INFO'!$I$2:$J$8,2)</f>
        <v>THU</v>
      </c>
      <c r="G2323" s="214">
        <v>3.64</v>
      </c>
      <c r="H2323" s="425">
        <v>3.57</v>
      </c>
      <c r="I2323" s="457">
        <f t="shared" si="213"/>
        <v>-7.0000000000000284E-2</v>
      </c>
      <c r="M2323" s="113">
        <f t="shared" si="215"/>
        <v>1</v>
      </c>
      <c r="N2323" s="64">
        <f t="shared" ref="N2323:N2386" si="216">1+(M2323/360)*(MAX(H2323,B2323)/100)</f>
        <v>1.0000991666666668</v>
      </c>
    </row>
    <row r="2324" spans="2:14">
      <c r="B2324" s="41"/>
      <c r="C2324" s="103">
        <f t="shared" si="214"/>
        <v>46122</v>
      </c>
      <c r="E2324" s="170"/>
      <c r="F2324" s="58" t="str">
        <f>VLOOKUP(MOD(C2324,7),'CALENDAR INFO'!$I$2:$J$8,2)</f>
        <v>FRI</v>
      </c>
      <c r="G2324" s="214">
        <v>3.64</v>
      </c>
      <c r="H2324" s="425">
        <v>3.61</v>
      </c>
      <c r="I2324" s="457">
        <f t="shared" si="213"/>
        <v>-3.0000000000000249E-2</v>
      </c>
      <c r="J2324" s="15" t="s">
        <v>241</v>
      </c>
      <c r="K2324" s="186">
        <f>A2345+G2345</f>
        <v>3.64</v>
      </c>
      <c r="L2324" s="194">
        <f>B2345+H2345</f>
        <v>3.64</v>
      </c>
      <c r="M2324" s="113">
        <f t="shared" si="215"/>
        <v>3</v>
      </c>
      <c r="N2324" s="64">
        <f t="shared" si="216"/>
        <v>1.0003008333333334</v>
      </c>
    </row>
    <row r="2325" spans="2:14">
      <c r="B2325" s="41"/>
      <c r="C2325" s="103">
        <f t="shared" si="214"/>
        <v>46123</v>
      </c>
      <c r="E2325" s="170"/>
      <c r="F2325" s="58" t="str">
        <f>VLOOKUP(MOD(C2325,7),'CALENDAR INFO'!$I$2:$J$8,2)</f>
        <v>SAT</v>
      </c>
      <c r="G2325" s="214">
        <v>3.64</v>
      </c>
      <c r="H2325" s="425">
        <v>3.61</v>
      </c>
      <c r="I2325" s="457">
        <f t="shared" si="213"/>
        <v>-3.0000000000000249E-2</v>
      </c>
      <c r="K2325" s="178"/>
      <c r="L2325" s="192"/>
      <c r="M2325" s="113">
        <f t="shared" si="215"/>
        <v>0</v>
      </c>
      <c r="N2325" s="64">
        <f t="shared" si="216"/>
        <v>1</v>
      </c>
    </row>
    <row r="2326" spans="2:14">
      <c r="B2326" s="41"/>
      <c r="C2326" s="103">
        <f t="shared" si="214"/>
        <v>46124</v>
      </c>
      <c r="E2326" s="170"/>
      <c r="F2326" s="58" t="str">
        <f>VLOOKUP(MOD(C2326,7),'CALENDAR INFO'!$I$2:$J$8,2)</f>
        <v>SUN</v>
      </c>
      <c r="G2326" s="214">
        <v>3.64</v>
      </c>
      <c r="H2326" s="425">
        <v>3.61</v>
      </c>
      <c r="I2326" s="457">
        <f t="shared" si="213"/>
        <v>-3.0000000000000249E-2</v>
      </c>
      <c r="J2326" s="15" t="s">
        <v>197</v>
      </c>
      <c r="K2326" s="180" t="e">
        <f>OUTPUT!#REF!</f>
        <v>#REF!</v>
      </c>
      <c r="L2326" s="180" t="e">
        <f>OUTPUT!#REF!</f>
        <v>#REF!</v>
      </c>
      <c r="M2326" s="113">
        <f t="shared" si="215"/>
        <v>0</v>
      </c>
      <c r="N2326" s="64">
        <f t="shared" si="216"/>
        <v>1</v>
      </c>
    </row>
    <row r="2327" spans="2:14">
      <c r="B2327" s="41"/>
      <c r="C2327" s="103">
        <f t="shared" si="214"/>
        <v>46125</v>
      </c>
      <c r="E2327" s="170"/>
      <c r="F2327" s="58" t="str">
        <f>VLOOKUP(MOD(C2327,7),'CALENDAR INFO'!$I$2:$J$8,2)</f>
        <v>MON</v>
      </c>
      <c r="G2327" s="214">
        <v>3.64</v>
      </c>
      <c r="H2327" s="425">
        <v>3.63</v>
      </c>
      <c r="I2327" s="457">
        <f t="shared" si="213"/>
        <v>-1.0000000000000231E-2</v>
      </c>
      <c r="J2327" s="15" t="s">
        <v>118</v>
      </c>
      <c r="K2327" s="221">
        <f>VLOOKUP(MONTH($C2321),'CALENDAR INFO'!$I$12:$J$23,2)</f>
        <v>30</v>
      </c>
      <c r="L2327" s="221">
        <f>K2327</f>
        <v>30</v>
      </c>
      <c r="M2327" s="113">
        <f t="shared" si="215"/>
        <v>1</v>
      </c>
      <c r="N2327" s="64">
        <f t="shared" si="216"/>
        <v>1.0001008333333334</v>
      </c>
    </row>
    <row r="2328" spans="2:14">
      <c r="B2328" s="41"/>
      <c r="C2328" s="103">
        <f t="shared" si="214"/>
        <v>46126</v>
      </c>
      <c r="E2328" s="170"/>
      <c r="F2328" s="58" t="str">
        <f>VLOOKUP(MOD(C2328,7),'CALENDAR INFO'!$I$2:$J$8,2)</f>
        <v>TUE</v>
      </c>
      <c r="G2328" s="214">
        <v>3.64</v>
      </c>
      <c r="H2328" s="425">
        <v>3.66</v>
      </c>
      <c r="I2328" s="457">
        <f t="shared" si="213"/>
        <v>2.0000000000000018E-2</v>
      </c>
      <c r="J2328" s="15" t="s">
        <v>234</v>
      </c>
      <c r="K2328" s="178" t="e">
        <f>K2326*K2316</f>
        <v>#REF!</v>
      </c>
      <c r="L2328" s="178" t="e">
        <f>L2326*L2316</f>
        <v>#REF!</v>
      </c>
      <c r="M2328" s="113">
        <f t="shared" si="215"/>
        <v>1</v>
      </c>
      <c r="N2328" s="64">
        <f t="shared" si="216"/>
        <v>1.0001016666666667</v>
      </c>
    </row>
    <row r="2329" spans="2:14">
      <c r="B2329" s="41"/>
      <c r="C2329" s="103">
        <f t="shared" si="214"/>
        <v>46127</v>
      </c>
      <c r="E2329" s="170" t="s">
        <v>19</v>
      </c>
      <c r="F2329" s="58" t="str">
        <f>VLOOKUP(MOD(C2329,7),'CALENDAR INFO'!$I$2:$J$8,2)</f>
        <v>WED</v>
      </c>
      <c r="G2329" s="214">
        <v>3.64</v>
      </c>
      <c r="H2329" s="425">
        <v>3.72</v>
      </c>
      <c r="I2329" s="457">
        <f t="shared" si="213"/>
        <v>8.0000000000000071E-2</v>
      </c>
      <c r="K2329" s="178"/>
      <c r="L2329" s="192"/>
      <c r="M2329" s="113">
        <f t="shared" si="215"/>
        <v>1</v>
      </c>
      <c r="N2329" s="64">
        <f t="shared" si="216"/>
        <v>1.0001033333333333</v>
      </c>
    </row>
    <row r="2330" spans="2:14">
      <c r="B2330" s="41"/>
      <c r="C2330" s="103">
        <f t="shared" si="214"/>
        <v>46128</v>
      </c>
      <c r="E2330" s="167" t="s">
        <v>18</v>
      </c>
      <c r="F2330" s="58" t="str">
        <f>VLOOKUP(MOD(C2330,7),'CALENDAR INFO'!$I$2:$J$8,2)</f>
        <v>THU</v>
      </c>
      <c r="G2330" s="214">
        <v>3.64</v>
      </c>
      <c r="H2330" s="425">
        <v>3.67</v>
      </c>
      <c r="I2330" s="457">
        <f t="shared" si="213"/>
        <v>2.9999999999999805E-2</v>
      </c>
      <c r="J2330" s="15" t="str">
        <f>J2328</f>
        <v>monthly target</v>
      </c>
      <c r="K2330" s="178" t="e">
        <f>K2328</f>
        <v>#REF!</v>
      </c>
      <c r="L2330" s="192" t="e">
        <f>L2328</f>
        <v>#REF!</v>
      </c>
      <c r="M2330" s="113">
        <f t="shared" si="215"/>
        <v>1</v>
      </c>
      <c r="N2330" s="64">
        <f t="shared" si="216"/>
        <v>1.0001019444444443</v>
      </c>
    </row>
    <row r="2331" spans="2:14">
      <c r="B2331" s="41"/>
      <c r="C2331" s="103">
        <f t="shared" si="214"/>
        <v>46129</v>
      </c>
      <c r="E2331" s="167"/>
      <c r="F2331" s="58" t="str">
        <f>VLOOKUP(MOD(C2331,7),'CALENDAR INFO'!$I$2:$J$8,2)</f>
        <v>FRI</v>
      </c>
      <c r="G2331" s="214">
        <v>3.64</v>
      </c>
      <c r="H2331" s="425">
        <v>3.65</v>
      </c>
      <c r="I2331" s="457">
        <f t="shared" si="213"/>
        <v>9.9999999999997868E-3</v>
      </c>
      <c r="J2331" s="15" t="s">
        <v>155</v>
      </c>
      <c r="K2331" s="178">
        <f ca="1">SUM(INDIRECT(K2320))</f>
        <v>109.2</v>
      </c>
      <c r="L2331" s="192">
        <f ca="1">SUM(INDIRECT(L2320))</f>
        <v>109.29999999999998</v>
      </c>
      <c r="M2331" s="113">
        <f t="shared" si="215"/>
        <v>3</v>
      </c>
      <c r="N2331" s="64">
        <f t="shared" si="216"/>
        <v>1.0003041666666668</v>
      </c>
    </row>
    <row r="2332" spans="2:14">
      <c r="B2332" s="41"/>
      <c r="C2332" s="103">
        <f t="shared" si="214"/>
        <v>46130</v>
      </c>
      <c r="E2332" s="167"/>
      <c r="F2332" s="58" t="str">
        <f>VLOOKUP(MOD(C2332,7),'CALENDAR INFO'!$I$2:$J$8,2)</f>
        <v>SAT</v>
      </c>
      <c r="G2332" s="214">
        <v>3.64</v>
      </c>
      <c r="H2332" s="425">
        <v>3.65</v>
      </c>
      <c r="I2332" s="457">
        <f t="shared" si="213"/>
        <v>9.9999999999997868E-3</v>
      </c>
      <c r="J2332" s="15" t="s">
        <v>237</v>
      </c>
      <c r="K2332" s="400">
        <f ca="1">SUM(INDIRECT(K2322))</f>
        <v>0</v>
      </c>
      <c r="L2332" s="401">
        <f ca="1">SUM(INDIRECT(L2322))</f>
        <v>0</v>
      </c>
      <c r="M2332" s="113">
        <f t="shared" si="215"/>
        <v>0</v>
      </c>
      <c r="N2332" s="64">
        <f t="shared" si="216"/>
        <v>1</v>
      </c>
    </row>
    <row r="2333" spans="2:14">
      <c r="B2333" s="41"/>
      <c r="C2333" s="103">
        <f t="shared" si="214"/>
        <v>46131</v>
      </c>
      <c r="E2333" s="167"/>
      <c r="F2333" s="58" t="str">
        <f>VLOOKUP(MOD(C2333,7),'CALENDAR INFO'!$I$2:$J$8,2)</f>
        <v>SUN</v>
      </c>
      <c r="G2333" s="214">
        <v>3.64</v>
      </c>
      <c r="H2333" s="425">
        <v>3.65</v>
      </c>
      <c r="I2333" s="457">
        <f t="shared" si="213"/>
        <v>9.9999999999997868E-3</v>
      </c>
      <c r="J2333" s="15" t="s">
        <v>238</v>
      </c>
      <c r="K2333" s="182" t="e">
        <f ca="1">K2328-K2331-K2332</f>
        <v>#REF!</v>
      </c>
      <c r="L2333" s="201" t="e">
        <f ca="1">L2328-L2331-L2332</f>
        <v>#REF!</v>
      </c>
      <c r="M2333" s="113">
        <f t="shared" si="215"/>
        <v>0</v>
      </c>
      <c r="N2333" s="64">
        <f t="shared" si="216"/>
        <v>1</v>
      </c>
    </row>
    <row r="2334" spans="2:14">
      <c r="B2334" s="41"/>
      <c r="C2334" s="103">
        <f t="shared" si="214"/>
        <v>46132</v>
      </c>
      <c r="E2334" s="167"/>
      <c r="F2334" s="58" t="str">
        <f>VLOOKUP(MOD(C2334,7),'CALENDAR INFO'!$I$2:$J$8,2)</f>
        <v>MON</v>
      </c>
      <c r="G2334" s="214">
        <v>3.64</v>
      </c>
      <c r="H2334" s="425">
        <v>3.63</v>
      </c>
      <c r="I2334" s="457">
        <f t="shared" si="213"/>
        <v>-1.0000000000000231E-2</v>
      </c>
      <c r="M2334" s="113">
        <f t="shared" si="215"/>
        <v>1</v>
      </c>
      <c r="N2334" s="64">
        <f t="shared" si="216"/>
        <v>1.0001008333333334</v>
      </c>
    </row>
    <row r="2335" spans="2:14">
      <c r="B2335" s="41"/>
      <c r="C2335" s="103">
        <f t="shared" si="214"/>
        <v>46133</v>
      </c>
      <c r="E2335" s="167"/>
      <c r="F2335" s="58" t="str">
        <f>VLOOKUP(MOD(C2335,7),'CALENDAR INFO'!$I$2:$J$8,2)</f>
        <v>TUE</v>
      </c>
      <c r="G2335" s="214">
        <v>3.64</v>
      </c>
      <c r="H2335" s="425">
        <v>3.63</v>
      </c>
      <c r="I2335" s="457">
        <f t="shared" si="213"/>
        <v>-1.0000000000000231E-2</v>
      </c>
      <c r="J2335" s="15" t="s">
        <v>242</v>
      </c>
      <c r="K2335" s="15">
        <f>K2327</f>
        <v>30</v>
      </c>
      <c r="L2335" s="179">
        <f>L2327</f>
        <v>30</v>
      </c>
      <c r="M2335" s="113">
        <f t="shared" si="215"/>
        <v>1</v>
      </c>
      <c r="N2335" s="64">
        <f t="shared" si="216"/>
        <v>1.0001008333333334</v>
      </c>
    </row>
    <row r="2336" spans="2:14">
      <c r="B2336" s="41"/>
      <c r="C2336" s="103">
        <f t="shared" si="214"/>
        <v>46134</v>
      </c>
      <c r="E2336" s="167"/>
      <c r="F2336" s="58" t="str">
        <f>VLOOKUP(MOD(C2336,7),'CALENDAR INFO'!$I$2:$J$8,2)</f>
        <v>WED</v>
      </c>
      <c r="G2336" s="214">
        <v>3.64</v>
      </c>
      <c r="H2336" s="425">
        <v>3.64</v>
      </c>
      <c r="I2336" s="457">
        <f t="shared" si="213"/>
        <v>0</v>
      </c>
      <c r="J2336" s="15" t="s">
        <v>194</v>
      </c>
      <c r="K2336" s="15">
        <f ca="1">COUNTA(INDIRECT(K2320))</f>
        <v>30</v>
      </c>
      <c r="L2336" s="179">
        <f ca="1">COUNTA(INDIRECT(L2320))</f>
        <v>30</v>
      </c>
      <c r="M2336" s="113">
        <f t="shared" si="215"/>
        <v>1</v>
      </c>
      <c r="N2336" s="64">
        <f t="shared" si="216"/>
        <v>1.0001011111111111</v>
      </c>
    </row>
    <row r="2337" spans="1:14">
      <c r="B2337" s="41"/>
      <c r="C2337" s="103">
        <f t="shared" si="214"/>
        <v>46135</v>
      </c>
      <c r="E2337" s="167"/>
      <c r="F2337" s="58" t="str">
        <f>VLOOKUP(MOD(C2337,7),'CALENDAR INFO'!$I$2:$J$8,2)</f>
        <v>THU</v>
      </c>
      <c r="G2337" s="214">
        <v>3.64</v>
      </c>
      <c r="H2337" s="425">
        <v>3.65</v>
      </c>
      <c r="I2337" s="457">
        <f t="shared" si="213"/>
        <v>9.9999999999997868E-3</v>
      </c>
      <c r="J2337" s="15" t="s">
        <v>243</v>
      </c>
      <c r="K2337" s="402">
        <f ca="1">COUNTA(INDIRECT(K2322))</f>
        <v>0</v>
      </c>
      <c r="L2337" s="403">
        <f ca="1">COUNTA(INDIRECT(L2322))</f>
        <v>0</v>
      </c>
      <c r="M2337" s="113">
        <f t="shared" si="215"/>
        <v>1</v>
      </c>
      <c r="N2337" s="64">
        <f t="shared" si="216"/>
        <v>1.000101388888889</v>
      </c>
    </row>
    <row r="2338" spans="1:14">
      <c r="B2338" s="41"/>
      <c r="C2338" s="103">
        <f t="shared" si="214"/>
        <v>46136</v>
      </c>
      <c r="E2338" s="167"/>
      <c r="F2338" s="58" t="str">
        <f>VLOOKUP(MOD(C2338,7),'CALENDAR INFO'!$I$2:$J$8,2)</f>
        <v>FRI</v>
      </c>
      <c r="G2338" s="214">
        <v>3.64</v>
      </c>
      <c r="H2338" s="425">
        <v>3.66</v>
      </c>
      <c r="I2338" s="457">
        <f t="shared" si="213"/>
        <v>2.0000000000000018E-2</v>
      </c>
      <c r="J2338" s="15" t="s">
        <v>239</v>
      </c>
      <c r="K2338" s="152">
        <f ca="1">K2335-K2336-K2337</f>
        <v>0</v>
      </c>
      <c r="L2338" s="202">
        <f ca="1">L2335-L2336-L2337</f>
        <v>0</v>
      </c>
      <c r="M2338" s="113">
        <f t="shared" si="215"/>
        <v>3</v>
      </c>
      <c r="N2338" s="64">
        <f t="shared" si="216"/>
        <v>1.000305</v>
      </c>
    </row>
    <row r="2339" spans="1:14">
      <c r="B2339" s="41"/>
      <c r="C2339" s="103">
        <f t="shared" si="214"/>
        <v>46137</v>
      </c>
      <c r="E2339" s="167"/>
      <c r="F2339" s="58" t="str">
        <f>VLOOKUP(MOD(C2339,7),'CALENDAR INFO'!$I$2:$J$8,2)</f>
        <v>SAT</v>
      </c>
      <c r="G2339" s="214">
        <v>3.64</v>
      </c>
      <c r="H2339" s="425">
        <v>3.66</v>
      </c>
      <c r="I2339" s="457">
        <f t="shared" si="213"/>
        <v>2.0000000000000018E-2</v>
      </c>
      <c r="K2339" s="178"/>
      <c r="L2339" s="192"/>
      <c r="M2339" s="113">
        <f t="shared" si="215"/>
        <v>0</v>
      </c>
      <c r="N2339" s="64">
        <f t="shared" si="216"/>
        <v>1</v>
      </c>
    </row>
    <row r="2340" spans="1:14">
      <c r="B2340" s="41"/>
      <c r="C2340" s="103">
        <f t="shared" si="214"/>
        <v>46138</v>
      </c>
      <c r="E2340" s="167"/>
      <c r="F2340" s="58" t="str">
        <f>VLOOKUP(MOD(C2340,7),'CALENDAR INFO'!$I$2:$J$8,2)</f>
        <v>SUN</v>
      </c>
      <c r="G2340" s="214">
        <v>3.64</v>
      </c>
      <c r="H2340" s="425">
        <v>3.66</v>
      </c>
      <c r="I2340" s="457">
        <f t="shared" si="213"/>
        <v>2.0000000000000018E-2</v>
      </c>
      <c r="J2340" s="15" t="s">
        <v>238</v>
      </c>
      <c r="K2340" s="178" t="e">
        <f ca="1">K2333</f>
        <v>#REF!</v>
      </c>
      <c r="L2340" s="192" t="e">
        <f ca="1">L2333</f>
        <v>#REF!</v>
      </c>
      <c r="M2340" s="113">
        <f t="shared" si="215"/>
        <v>0</v>
      </c>
      <c r="N2340" s="64">
        <f t="shared" si="216"/>
        <v>1</v>
      </c>
    </row>
    <row r="2341" spans="1:14">
      <c r="B2341" s="41"/>
      <c r="C2341" s="103">
        <f t="shared" si="214"/>
        <v>46139</v>
      </c>
      <c r="E2341" s="167"/>
      <c r="F2341" s="58" t="str">
        <f>VLOOKUP(MOD(C2341,7),'CALENDAR INFO'!$I$2:$J$8,2)</f>
        <v>MON</v>
      </c>
      <c r="G2341" s="214">
        <v>3.64</v>
      </c>
      <c r="H2341" s="425">
        <v>3.66</v>
      </c>
      <c r="I2341" s="457">
        <f t="shared" si="213"/>
        <v>2.0000000000000018E-2</v>
      </c>
      <c r="J2341" s="15" t="s">
        <v>239</v>
      </c>
      <c r="K2341" s="221">
        <f ca="1">K2338</f>
        <v>0</v>
      </c>
      <c r="L2341" s="223">
        <f ca="1">L2338</f>
        <v>0</v>
      </c>
      <c r="M2341" s="113">
        <f t="shared" si="215"/>
        <v>1</v>
      </c>
      <c r="N2341" s="64">
        <f t="shared" si="216"/>
        <v>1.0001016666666667</v>
      </c>
    </row>
    <row r="2342" spans="1:14">
      <c r="B2342" s="41"/>
      <c r="C2342" s="103">
        <f t="shared" si="214"/>
        <v>46140</v>
      </c>
      <c r="D2342" s="153" t="s">
        <v>20</v>
      </c>
      <c r="E2342" s="167"/>
      <c r="F2342" s="58" t="str">
        <f>VLOOKUP(MOD(C2342,7),'CALENDAR INFO'!$I$2:$J$8,2)</f>
        <v>TUE</v>
      </c>
      <c r="G2342" s="214">
        <v>3.64</v>
      </c>
      <c r="H2342" s="425">
        <v>3.64</v>
      </c>
      <c r="I2342" s="457">
        <f t="shared" si="213"/>
        <v>0</v>
      </c>
      <c r="J2342" s="15" t="s">
        <v>240</v>
      </c>
      <c r="K2342" s="178" t="e">
        <f ca="1">K2340/K2341</f>
        <v>#REF!</v>
      </c>
      <c r="L2342" s="192" t="e">
        <f ca="1">L2340/L2341</f>
        <v>#REF!</v>
      </c>
      <c r="M2342" s="113">
        <f t="shared" si="215"/>
        <v>1</v>
      </c>
      <c r="N2342" s="64">
        <f t="shared" si="216"/>
        <v>1.0001011111111111</v>
      </c>
    </row>
    <row r="2343" spans="1:14">
      <c r="B2343" s="41"/>
      <c r="C2343" s="103">
        <f t="shared" si="214"/>
        <v>46141</v>
      </c>
      <c r="D2343" s="153" t="s">
        <v>20</v>
      </c>
      <c r="E2343" s="167" t="s">
        <v>19</v>
      </c>
      <c r="F2343" s="58" t="str">
        <f>VLOOKUP(MOD(C2343,7),'CALENDAR INFO'!$I$2:$J$8,2)</f>
        <v>WED</v>
      </c>
      <c r="G2343" s="214">
        <v>3.64</v>
      </c>
      <c r="H2343" s="425">
        <v>3.63</v>
      </c>
      <c r="I2343" s="457">
        <f t="shared" si="213"/>
        <v>-1.0000000000000231E-2</v>
      </c>
      <c r="K2343" s="15" t="e">
        <f ca="1">+K2333/K2327</f>
        <v>#REF!</v>
      </c>
      <c r="L2343" s="415" t="e">
        <f ca="1">+L2333/L2327</f>
        <v>#REF!</v>
      </c>
      <c r="M2343" s="113">
        <f t="shared" si="215"/>
        <v>1</v>
      </c>
      <c r="N2343" s="64">
        <f t="shared" si="216"/>
        <v>1.0001008333333334</v>
      </c>
    </row>
    <row r="2344" spans="1:14" ht="15.75" thickBot="1">
      <c r="A2344" s="405"/>
      <c r="B2344" s="406"/>
      <c r="C2344" s="104">
        <f t="shared" si="214"/>
        <v>46142</v>
      </c>
      <c r="D2344" s="112"/>
      <c r="E2344" s="101" t="s">
        <v>18</v>
      </c>
      <c r="F2344" s="71" t="str">
        <f>VLOOKUP(MOD(C2344,7),'CALENDAR INFO'!$I$2:$J$8,2)</f>
        <v>THU</v>
      </c>
      <c r="G2344" s="215">
        <v>3.64</v>
      </c>
      <c r="H2344" s="426">
        <v>3.66</v>
      </c>
      <c r="I2344" s="458">
        <f t="shared" si="213"/>
        <v>2.0000000000000018E-2</v>
      </c>
      <c r="J2344" s="348"/>
      <c r="K2344" s="348">
        <v>96.36</v>
      </c>
      <c r="L2344" s="349">
        <v>96.356999999999999</v>
      </c>
      <c r="M2344" s="114">
        <f t="shared" si="215"/>
        <v>1</v>
      </c>
      <c r="N2344" s="292">
        <f t="shared" si="216"/>
        <v>1.0001016666666667</v>
      </c>
    </row>
    <row r="2345" spans="1:14">
      <c r="A2345" s="304"/>
      <c r="B2345" s="305"/>
      <c r="C2345" s="103">
        <f t="shared" si="214"/>
        <v>46143</v>
      </c>
      <c r="E2345" s="170"/>
      <c r="F2345" s="58" t="str">
        <f>VLOOKUP(MOD(C2345,7),'CALENDAR INFO'!$I$2:$J$8,2)</f>
        <v>FRI</v>
      </c>
      <c r="G2345" s="214">
        <v>3.64</v>
      </c>
      <c r="H2345" s="425">
        <v>3.64</v>
      </c>
      <c r="I2345" s="457">
        <f t="shared" si="213"/>
        <v>0</v>
      </c>
      <c r="J2345" s="15" t="s">
        <v>151</v>
      </c>
      <c r="K2345" s="360">
        <f>ROW()</f>
        <v>2345</v>
      </c>
      <c r="L2345" s="233">
        <f>K2345</f>
        <v>2345</v>
      </c>
      <c r="M2345" s="113">
        <f t="shared" si="215"/>
        <v>3</v>
      </c>
      <c r="N2345" s="64">
        <f t="shared" si="216"/>
        <v>1.0003033333333333</v>
      </c>
    </row>
    <row r="2346" spans="1:14">
      <c r="A2346" s="84"/>
      <c r="B2346" s="228"/>
      <c r="C2346" s="103">
        <f t="shared" si="214"/>
        <v>46144</v>
      </c>
      <c r="E2346" s="170"/>
      <c r="F2346" s="58" t="str">
        <f>VLOOKUP(MOD(C2346,7),'CALENDAR INFO'!$I$2:$J$8,2)</f>
        <v>SAT</v>
      </c>
      <c r="G2346" s="214">
        <v>3.64</v>
      </c>
      <c r="H2346" s="425">
        <v>3.64</v>
      </c>
      <c r="I2346" s="457">
        <f t="shared" si="213"/>
        <v>0</v>
      </c>
      <c r="J2346" s="15" t="s">
        <v>118</v>
      </c>
      <c r="K2346" s="15">
        <f>VLOOKUP(MONTH($C2345),'CALENDAR INFO'!$I$12:$J$23,2)</f>
        <v>31</v>
      </c>
      <c r="L2346" s="179">
        <f>K2346</f>
        <v>31</v>
      </c>
      <c r="M2346" s="113">
        <f t="shared" si="215"/>
        <v>0</v>
      </c>
      <c r="N2346" s="64">
        <f t="shared" si="216"/>
        <v>1</v>
      </c>
    </row>
    <row r="2347" spans="1:14">
      <c r="A2347" s="84"/>
      <c r="B2347" s="228"/>
      <c r="C2347" s="103">
        <f t="shared" si="214"/>
        <v>46145</v>
      </c>
      <c r="E2347" s="170"/>
      <c r="F2347" s="58" t="str">
        <f>VLOOKUP(MOD(C2347,7),'CALENDAR INFO'!$I$2:$J$8,2)</f>
        <v>SUN</v>
      </c>
      <c r="G2347" s="214">
        <v>3.64</v>
      </c>
      <c r="H2347" s="425">
        <v>3.64</v>
      </c>
      <c r="I2347" s="457">
        <f t="shared" si="213"/>
        <v>0</v>
      </c>
      <c r="J2347" s="15" t="s">
        <v>152</v>
      </c>
      <c r="K2347" s="15">
        <f>K2345+K2346-1</f>
        <v>2375</v>
      </c>
      <c r="L2347" s="179">
        <f>K2347</f>
        <v>2375</v>
      </c>
      <c r="M2347" s="113">
        <f t="shared" si="215"/>
        <v>0</v>
      </c>
      <c r="N2347" s="64">
        <f t="shared" si="216"/>
        <v>1</v>
      </c>
    </row>
    <row r="2348" spans="1:14">
      <c r="A2348" s="84"/>
      <c r="B2348" s="228"/>
      <c r="C2348" s="103">
        <f t="shared" si="214"/>
        <v>46146</v>
      </c>
      <c r="E2348" s="170"/>
      <c r="F2348" s="58" t="str">
        <f>VLOOKUP(MOD(C2348,7),'CALENDAR INFO'!$I$2:$J$8,2)</f>
        <v>MON</v>
      </c>
      <c r="G2348" s="214">
        <v>3.64</v>
      </c>
      <c r="H2348" s="425">
        <v>3.63</v>
      </c>
      <c r="I2348" s="457">
        <f t="shared" si="213"/>
        <v>-1.0000000000000231E-2</v>
      </c>
      <c r="J2348" s="15" t="s">
        <v>244</v>
      </c>
      <c r="K2348" s="176">
        <f>ROW(D2345)</f>
        <v>2345</v>
      </c>
      <c r="L2348" s="179">
        <f>K2348</f>
        <v>2345</v>
      </c>
      <c r="M2348" s="113">
        <f t="shared" si="215"/>
        <v>1</v>
      </c>
      <c r="N2348" s="64">
        <f t="shared" si="216"/>
        <v>1.0001008333333334</v>
      </c>
    </row>
    <row r="2349" spans="1:14">
      <c r="A2349" s="84"/>
      <c r="B2349" s="228"/>
      <c r="C2349" s="103">
        <f t="shared" si="214"/>
        <v>46147</v>
      </c>
      <c r="E2349" s="170"/>
      <c r="F2349" s="58" t="str">
        <f>VLOOKUP(MOD(C2349,7),'CALENDAR INFO'!$I$2:$J$8,2)</f>
        <v>TUE</v>
      </c>
      <c r="G2349" s="214">
        <v>3.64</v>
      </c>
      <c r="H2349" s="425">
        <v>3.62</v>
      </c>
      <c r="I2349" s="457">
        <f t="shared" si="213"/>
        <v>-2.0000000000000018E-2</v>
      </c>
      <c r="K2349" s="176"/>
      <c r="M2349" s="113">
        <f t="shared" si="215"/>
        <v>1</v>
      </c>
      <c r="N2349" s="64">
        <f t="shared" si="216"/>
        <v>1.0001005555555555</v>
      </c>
    </row>
    <row r="2350" spans="1:14">
      <c r="A2350" s="84"/>
      <c r="B2350" s="228"/>
      <c r="C2350" s="103">
        <f t="shared" si="214"/>
        <v>46148</v>
      </c>
      <c r="E2350" s="170"/>
      <c r="F2350" s="58" t="str">
        <f>VLOOKUP(MOD(C2350,7),'CALENDAR INFO'!$I$2:$J$8,2)</f>
        <v>WED</v>
      </c>
      <c r="G2350" s="214">
        <v>3.64</v>
      </c>
      <c r="H2350" s="425">
        <v>3.61</v>
      </c>
      <c r="I2350" s="457">
        <f t="shared" si="213"/>
        <v>-3.0000000000000249E-2</v>
      </c>
      <c r="J2350" s="15" t="s">
        <v>153</v>
      </c>
      <c r="K2350" s="15" t="str">
        <f>_xlfn.CONCAT(ADDRESS(K2345,7),":",ADDRESS(K2347,7))</f>
        <v>$G$2345:$G$2375</v>
      </c>
      <c r="L2350" s="179" t="str">
        <f>_xlfn.CONCAT(ADDRESS(L2345,8),":",ADDRESS(L2347,8))</f>
        <v>$H$2345:$H$2375</v>
      </c>
      <c r="M2350" s="113">
        <f t="shared" si="215"/>
        <v>1</v>
      </c>
      <c r="N2350" s="64">
        <f t="shared" si="216"/>
        <v>1.0001002777777779</v>
      </c>
    </row>
    <row r="2351" spans="1:14">
      <c r="A2351" s="84"/>
      <c r="B2351" s="228"/>
      <c r="C2351" s="103">
        <f t="shared" si="214"/>
        <v>46149</v>
      </c>
      <c r="E2351" s="170"/>
      <c r="F2351" s="58" t="str">
        <f>VLOOKUP(MOD(C2351,7),'CALENDAR INFO'!$I$2:$J$8,2)</f>
        <v>THU</v>
      </c>
      <c r="G2351" s="214">
        <v>3.63</v>
      </c>
      <c r="H2351" s="425">
        <v>3.6</v>
      </c>
      <c r="I2351" s="457">
        <f t="shared" si="213"/>
        <v>-2.9999999999999805E-2</v>
      </c>
      <c r="J2351" s="176" t="s">
        <v>235</v>
      </c>
      <c r="K2351" s="15" t="str">
        <f>_xlfn.CONCAT(ADDRESS(K2345,1),":",ADDRESS(K2348,1))</f>
        <v>$A$2345:$A$2345</v>
      </c>
      <c r="L2351" s="179" t="str">
        <f>_xlfn.CONCAT(ADDRESS(L2345,2),":",ADDRESS(L2348,2))</f>
        <v>$B$2345:$B$2345</v>
      </c>
      <c r="M2351" s="113">
        <f t="shared" si="215"/>
        <v>1</v>
      </c>
      <c r="N2351" s="64">
        <f t="shared" si="216"/>
        <v>1.0001</v>
      </c>
    </row>
    <row r="2352" spans="1:14">
      <c r="A2352" s="84"/>
      <c r="B2352" s="228"/>
      <c r="C2352" s="103">
        <f t="shared" si="214"/>
        <v>46150</v>
      </c>
      <c r="E2352" s="170"/>
      <c r="F2352" s="58" t="str">
        <f>VLOOKUP(MOD(C2352,7),'CALENDAR INFO'!$I$2:$J$8,2)</f>
        <v>FRI</v>
      </c>
      <c r="G2352" s="214">
        <v>3.63</v>
      </c>
      <c r="H2352" s="425">
        <v>3.6</v>
      </c>
      <c r="I2352" s="457">
        <f t="shared" si="213"/>
        <v>-2.9999999999999805E-2</v>
      </c>
      <c r="J2352" s="176" t="s">
        <v>236</v>
      </c>
      <c r="K2352" s="15" t="str">
        <f>_xlfn.CONCAT(ADDRESS(K2348+1,1),":",ADDRESS(K2347,1))</f>
        <v>$A$2346:$A$2375</v>
      </c>
      <c r="L2352" s="179" t="str">
        <f>_xlfn.CONCAT(ADDRESS(L2348+1,2),":",ADDRESS(L2347,2))</f>
        <v>$B$2346:$B$2375</v>
      </c>
      <c r="M2352" s="113">
        <f t="shared" si="215"/>
        <v>3</v>
      </c>
      <c r="N2352" s="64">
        <f t="shared" si="216"/>
        <v>1.0003</v>
      </c>
    </row>
    <row r="2353" spans="1:14">
      <c r="A2353" s="84"/>
      <c r="B2353" s="228"/>
      <c r="C2353" s="103">
        <f t="shared" si="214"/>
        <v>46151</v>
      </c>
      <c r="E2353" s="170"/>
      <c r="F2353" s="58" t="str">
        <f>VLOOKUP(MOD(C2353,7),'CALENDAR INFO'!$I$2:$J$8,2)</f>
        <v>SAT</v>
      </c>
      <c r="G2353" s="214">
        <v>3.63</v>
      </c>
      <c r="H2353" s="425">
        <v>3.6</v>
      </c>
      <c r="I2353" s="457">
        <f t="shared" si="213"/>
        <v>-2.9999999999999805E-2</v>
      </c>
      <c r="M2353" s="113">
        <f t="shared" si="215"/>
        <v>0</v>
      </c>
      <c r="N2353" s="64">
        <f t="shared" si="216"/>
        <v>1</v>
      </c>
    </row>
    <row r="2354" spans="1:14">
      <c r="A2354" s="84"/>
      <c r="B2354" s="228"/>
      <c r="C2354" s="103">
        <f t="shared" si="214"/>
        <v>46152</v>
      </c>
      <c r="E2354" s="170"/>
      <c r="F2354" s="58" t="str">
        <f>VLOOKUP(MOD(C2354,7),'CALENDAR INFO'!$I$2:$J$8,2)</f>
        <v>SUN</v>
      </c>
      <c r="G2354" s="214">
        <v>3.63</v>
      </c>
      <c r="H2354" s="425">
        <v>3.6</v>
      </c>
      <c r="I2354" s="457">
        <f t="shared" si="213"/>
        <v>-2.9999999999999805E-2</v>
      </c>
      <c r="J2354" s="15" t="s">
        <v>241</v>
      </c>
      <c r="K2354" s="186" t="e">
        <f>K2356</f>
        <v>#REF!</v>
      </c>
      <c r="L2354" s="194" t="e">
        <f>L2356</f>
        <v>#REF!</v>
      </c>
      <c r="M2354" s="113">
        <f t="shared" si="215"/>
        <v>0</v>
      </c>
      <c r="N2354" s="64">
        <f t="shared" si="216"/>
        <v>1</v>
      </c>
    </row>
    <row r="2355" spans="1:14">
      <c r="A2355" s="84"/>
      <c r="B2355" s="228"/>
      <c r="C2355" s="103">
        <f t="shared" si="214"/>
        <v>46153</v>
      </c>
      <c r="E2355" s="170"/>
      <c r="F2355" s="58" t="str">
        <f>VLOOKUP(MOD(C2355,7),'CALENDAR INFO'!$I$2:$J$8,2)</f>
        <v>MON</v>
      </c>
      <c r="G2355" s="214">
        <v>3.63</v>
      </c>
      <c r="H2355" s="425">
        <v>3.6</v>
      </c>
      <c r="I2355" s="457">
        <f t="shared" si="213"/>
        <v>-2.9999999999999805E-2</v>
      </c>
      <c r="M2355" s="113">
        <f t="shared" si="215"/>
        <v>1</v>
      </c>
      <c r="N2355" s="64">
        <f t="shared" si="216"/>
        <v>1.0001</v>
      </c>
    </row>
    <row r="2356" spans="1:14">
      <c r="A2356" s="84"/>
      <c r="B2356" s="228"/>
      <c r="C2356" s="103">
        <f t="shared" si="214"/>
        <v>46154</v>
      </c>
      <c r="E2356" s="170"/>
      <c r="F2356" s="58" t="str">
        <f>VLOOKUP(MOD(C2356,7),'CALENDAR INFO'!$I$2:$J$8,2)</f>
        <v>TUE</v>
      </c>
      <c r="G2356" s="214">
        <v>3.63</v>
      </c>
      <c r="H2356" s="425">
        <v>3.6</v>
      </c>
      <c r="I2356" s="457">
        <f t="shared" si="213"/>
        <v>-2.9999999999999805E-2</v>
      </c>
      <c r="J2356" s="15" t="s">
        <v>197</v>
      </c>
      <c r="K2356" s="180" t="e">
        <f>OUTPUT!#REF!</f>
        <v>#REF!</v>
      </c>
      <c r="L2356" s="193" t="e">
        <f>OUTPUT!#REF!</f>
        <v>#REF!</v>
      </c>
      <c r="M2356" s="113">
        <f t="shared" si="215"/>
        <v>1</v>
      </c>
      <c r="N2356" s="64">
        <f t="shared" si="216"/>
        <v>1.0001</v>
      </c>
    </row>
    <row r="2357" spans="1:14">
      <c r="A2357" s="84"/>
      <c r="B2357" s="228"/>
      <c r="C2357" s="103">
        <f t="shared" si="214"/>
        <v>46155</v>
      </c>
      <c r="E2357" s="170" t="s">
        <v>19</v>
      </c>
      <c r="F2357" s="58" t="str">
        <f>VLOOKUP(MOD(C2357,7),'CALENDAR INFO'!$I$2:$J$8,2)</f>
        <v>WED</v>
      </c>
      <c r="G2357" s="214">
        <v>3.63</v>
      </c>
      <c r="H2357" s="425">
        <v>3.59</v>
      </c>
      <c r="I2357" s="457">
        <f t="shared" si="213"/>
        <v>-4.0000000000000036E-2</v>
      </c>
      <c r="J2357" s="15" t="s">
        <v>118</v>
      </c>
      <c r="K2357" s="221">
        <f>VLOOKUP(MONTH($C2351),'CALENDAR INFO'!$I$12:$J$23,2)</f>
        <v>31</v>
      </c>
      <c r="L2357" s="223">
        <f>K2357</f>
        <v>31</v>
      </c>
      <c r="M2357" s="113">
        <f t="shared" si="215"/>
        <v>1</v>
      </c>
      <c r="N2357" s="64">
        <f t="shared" si="216"/>
        <v>1.0000997222222223</v>
      </c>
    </row>
    <row r="2358" spans="1:14">
      <c r="A2358" s="84"/>
      <c r="B2358" s="228"/>
      <c r="C2358" s="103">
        <f t="shared" si="214"/>
        <v>46156</v>
      </c>
      <c r="E2358" s="167" t="s">
        <v>18</v>
      </c>
      <c r="F2358" s="58" t="str">
        <f>VLOOKUP(MOD(C2358,7),'CALENDAR INFO'!$I$2:$J$8,2)</f>
        <v>THU</v>
      </c>
      <c r="G2358" s="214">
        <v>3.63</v>
      </c>
      <c r="H2358" s="425">
        <v>3.56</v>
      </c>
      <c r="I2358" s="457">
        <f t="shared" si="213"/>
        <v>-6.999999999999984E-2</v>
      </c>
      <c r="J2358" s="15" t="s">
        <v>234</v>
      </c>
      <c r="K2358" s="178" t="e">
        <f>K2356*K2346</f>
        <v>#REF!</v>
      </c>
      <c r="L2358" s="192" t="e">
        <f>L2356*L2346</f>
        <v>#REF!</v>
      </c>
      <c r="M2358" s="113">
        <f t="shared" si="215"/>
        <v>1</v>
      </c>
      <c r="N2358" s="64">
        <f t="shared" si="216"/>
        <v>1.0000988888888889</v>
      </c>
    </row>
    <row r="2359" spans="1:14">
      <c r="A2359" s="84"/>
      <c r="B2359" s="228"/>
      <c r="C2359" s="103">
        <f t="shared" si="214"/>
        <v>46157</v>
      </c>
      <c r="E2359" s="167"/>
      <c r="F2359" s="58" t="str">
        <f>VLOOKUP(MOD(C2359,7),'CALENDAR INFO'!$I$2:$J$8,2)</f>
        <v>FRI</v>
      </c>
      <c r="G2359" s="214">
        <v>3.63</v>
      </c>
      <c r="H2359" s="425">
        <v>3.55</v>
      </c>
      <c r="I2359" s="457">
        <f t="shared" si="213"/>
        <v>-8.0000000000000071E-2</v>
      </c>
      <c r="M2359" s="113">
        <f t="shared" si="215"/>
        <v>3</v>
      </c>
      <c r="N2359" s="64">
        <f t="shared" si="216"/>
        <v>1.0002958333333334</v>
      </c>
    </row>
    <row r="2360" spans="1:14">
      <c r="A2360" s="84"/>
      <c r="B2360" s="228"/>
      <c r="C2360" s="103">
        <f t="shared" si="214"/>
        <v>46158</v>
      </c>
      <c r="E2360" s="167"/>
      <c r="F2360" s="58" t="str">
        <f>VLOOKUP(MOD(C2360,7),'CALENDAR INFO'!$I$2:$J$8,2)</f>
        <v>SAT</v>
      </c>
      <c r="G2360" s="214">
        <v>3.63</v>
      </c>
      <c r="H2360" s="425">
        <v>3.55</v>
      </c>
      <c r="I2360" s="457">
        <f t="shared" si="213"/>
        <v>-8.0000000000000071E-2</v>
      </c>
      <c r="J2360" s="15" t="str">
        <f>J2358</f>
        <v>monthly target</v>
      </c>
      <c r="K2360" s="178" t="e">
        <f>K2358</f>
        <v>#REF!</v>
      </c>
      <c r="L2360" s="192" t="e">
        <f>L2358</f>
        <v>#REF!</v>
      </c>
      <c r="M2360" s="113">
        <f t="shared" si="215"/>
        <v>0</v>
      </c>
      <c r="N2360" s="64">
        <f t="shared" si="216"/>
        <v>1</v>
      </c>
    </row>
    <row r="2361" spans="1:14">
      <c r="A2361" s="84"/>
      <c r="B2361" s="228"/>
      <c r="C2361" s="103">
        <f t="shared" si="214"/>
        <v>46159</v>
      </c>
      <c r="E2361" s="167"/>
      <c r="F2361" s="58" t="str">
        <f>VLOOKUP(MOD(C2361,7),'CALENDAR INFO'!$I$2:$J$8,2)</f>
        <v>SUN</v>
      </c>
      <c r="G2361" s="214">
        <v>3.63</v>
      </c>
      <c r="H2361" s="425">
        <v>3.55</v>
      </c>
      <c r="I2361" s="457">
        <f t="shared" si="213"/>
        <v>-8.0000000000000071E-2</v>
      </c>
      <c r="J2361" s="15" t="s">
        <v>155</v>
      </c>
      <c r="K2361" s="178">
        <f ca="1">SUM(INDIRECT(K2350))</f>
        <v>112.46000000000008</v>
      </c>
      <c r="L2361" s="192">
        <f ca="1">SUM(INDIRECT(L2350))</f>
        <v>111.19999999999999</v>
      </c>
      <c r="M2361" s="113">
        <f t="shared" si="215"/>
        <v>0</v>
      </c>
      <c r="N2361" s="64">
        <f t="shared" si="216"/>
        <v>1</v>
      </c>
    </row>
    <row r="2362" spans="1:14">
      <c r="A2362" s="84"/>
      <c r="B2362" s="228"/>
      <c r="C2362" s="103">
        <f t="shared" si="214"/>
        <v>46160</v>
      </c>
      <c r="E2362" s="167"/>
      <c r="F2362" s="58" t="str">
        <f>VLOOKUP(MOD(C2362,7),'CALENDAR INFO'!$I$2:$J$8,2)</f>
        <v>MON</v>
      </c>
      <c r="G2362" s="214">
        <v>3.63</v>
      </c>
      <c r="H2362" s="425">
        <v>3.53</v>
      </c>
      <c r="I2362" s="457">
        <f t="shared" si="213"/>
        <v>-0.10000000000000009</v>
      </c>
      <c r="J2362" s="15" t="s">
        <v>237</v>
      </c>
      <c r="K2362" s="400">
        <f ca="1">SUM(INDIRECT(K2351))</f>
        <v>0</v>
      </c>
      <c r="L2362" s="401">
        <f ca="1">SUM(INDIRECT(L2351))</f>
        <v>0</v>
      </c>
      <c r="M2362" s="113">
        <f t="shared" si="215"/>
        <v>1</v>
      </c>
      <c r="N2362" s="64">
        <f t="shared" si="216"/>
        <v>1.0000980555555556</v>
      </c>
    </row>
    <row r="2363" spans="1:14">
      <c r="A2363" s="84"/>
      <c r="B2363" s="228"/>
      <c r="C2363" s="103">
        <f t="shared" si="214"/>
        <v>46161</v>
      </c>
      <c r="E2363" s="167"/>
      <c r="F2363" s="58" t="str">
        <f>VLOOKUP(MOD(C2363,7),'CALENDAR INFO'!$I$2:$J$8,2)</f>
        <v>TUE</v>
      </c>
      <c r="G2363" s="214">
        <v>3.62</v>
      </c>
      <c r="H2363" s="425">
        <v>3.51</v>
      </c>
      <c r="I2363" s="457">
        <f t="shared" si="213"/>
        <v>-0.11000000000000032</v>
      </c>
      <c r="J2363" s="15" t="s">
        <v>238</v>
      </c>
      <c r="K2363" s="182" t="e">
        <f ca="1">K2358-K2361-K2362</f>
        <v>#REF!</v>
      </c>
      <c r="L2363" s="201" t="e">
        <f ca="1">L2358-L2361-L2362</f>
        <v>#REF!</v>
      </c>
      <c r="M2363" s="113">
        <f t="shared" si="215"/>
        <v>1</v>
      </c>
      <c r="N2363" s="64">
        <f t="shared" si="216"/>
        <v>1.0000975000000001</v>
      </c>
    </row>
    <row r="2364" spans="1:14">
      <c r="A2364" s="84"/>
      <c r="B2364" s="228"/>
      <c r="C2364" s="103">
        <f t="shared" si="214"/>
        <v>46162</v>
      </c>
      <c r="E2364" s="167"/>
      <c r="F2364" s="58" t="str">
        <f>VLOOKUP(MOD(C2364,7),'CALENDAR INFO'!$I$2:$J$8,2)</f>
        <v>WED</v>
      </c>
      <c r="G2364" s="214">
        <v>3.62</v>
      </c>
      <c r="H2364" s="425">
        <v>3.5</v>
      </c>
      <c r="I2364" s="457">
        <f t="shared" si="213"/>
        <v>-0.12000000000000011</v>
      </c>
      <c r="K2364" s="178"/>
      <c r="L2364" s="192"/>
      <c r="M2364" s="113">
        <f t="shared" si="215"/>
        <v>1</v>
      </c>
      <c r="N2364" s="64">
        <f t="shared" si="216"/>
        <v>1.0000972222222222</v>
      </c>
    </row>
    <row r="2365" spans="1:14">
      <c r="A2365" s="84"/>
      <c r="B2365" s="228"/>
      <c r="C2365" s="103">
        <f t="shared" si="214"/>
        <v>46163</v>
      </c>
      <c r="E2365" s="167"/>
      <c r="F2365" s="58" t="str">
        <f>VLOOKUP(MOD(C2365,7),'CALENDAR INFO'!$I$2:$J$8,2)</f>
        <v>THU</v>
      </c>
      <c r="G2365" s="214">
        <v>3.62</v>
      </c>
      <c r="H2365" s="425">
        <v>3.51</v>
      </c>
      <c r="I2365" s="457">
        <f t="shared" si="213"/>
        <v>-0.11000000000000032</v>
      </c>
      <c r="J2365" s="15" t="s">
        <v>242</v>
      </c>
      <c r="K2365" s="15">
        <f>K2357</f>
        <v>31</v>
      </c>
      <c r="L2365" s="179">
        <f>L2357</f>
        <v>31</v>
      </c>
      <c r="M2365" s="113">
        <f t="shared" si="215"/>
        <v>1</v>
      </c>
      <c r="N2365" s="64">
        <f t="shared" si="216"/>
        <v>1.0000975000000001</v>
      </c>
    </row>
    <row r="2366" spans="1:14">
      <c r="A2366" s="84"/>
      <c r="B2366" s="228"/>
      <c r="C2366" s="103">
        <f t="shared" si="214"/>
        <v>46164</v>
      </c>
      <c r="E2366" s="167"/>
      <c r="F2366" s="58" t="str">
        <f>VLOOKUP(MOD(C2366,7),'CALENDAR INFO'!$I$2:$J$8,2)</f>
        <v>FRI</v>
      </c>
      <c r="G2366" s="214">
        <v>3.62</v>
      </c>
      <c r="H2366" s="425">
        <v>3.55</v>
      </c>
      <c r="I2366" s="457">
        <f t="shared" si="213"/>
        <v>-7.0000000000000284E-2</v>
      </c>
      <c r="J2366" s="15" t="s">
        <v>194</v>
      </c>
      <c r="K2366" s="15">
        <f ca="1">COUNTA(INDIRECT(K2350))</f>
        <v>31</v>
      </c>
      <c r="L2366" s="179">
        <f ca="1">COUNTA(INDIRECT(L2350))</f>
        <v>31</v>
      </c>
      <c r="M2366" s="117">
        <v>4</v>
      </c>
      <c r="N2366" s="64">
        <f t="shared" si="216"/>
        <v>1.0003944444444444</v>
      </c>
    </row>
    <row r="2367" spans="1:14">
      <c r="A2367" s="84"/>
      <c r="B2367" s="228"/>
      <c r="C2367" s="103">
        <f t="shared" si="214"/>
        <v>46165</v>
      </c>
      <c r="E2367" s="167"/>
      <c r="F2367" s="58" t="str">
        <f>VLOOKUP(MOD(C2367,7),'CALENDAR INFO'!$I$2:$J$8,2)</f>
        <v>SAT</v>
      </c>
      <c r="G2367" s="214">
        <v>3.62</v>
      </c>
      <c r="H2367" s="425">
        <v>3.55</v>
      </c>
      <c r="I2367" s="457">
        <f t="shared" si="213"/>
        <v>-7.0000000000000284E-2</v>
      </c>
      <c r="J2367" s="15" t="s">
        <v>243</v>
      </c>
      <c r="K2367" s="402">
        <f ca="1">COUNTA(INDIRECT(K2351))</f>
        <v>0</v>
      </c>
      <c r="L2367" s="403">
        <f ca="1">COUNTA(INDIRECT(L2351))</f>
        <v>0</v>
      </c>
      <c r="M2367" s="113">
        <f>IF(MOD(C2367,7)&lt;2,0,IF(MOD(C2367,7)=6,3,1))</f>
        <v>0</v>
      </c>
      <c r="N2367" s="64">
        <f t="shared" si="216"/>
        <v>1</v>
      </c>
    </row>
    <row r="2368" spans="1:14">
      <c r="A2368" s="84"/>
      <c r="B2368" s="228"/>
      <c r="C2368" s="103">
        <f t="shared" si="214"/>
        <v>46166</v>
      </c>
      <c r="E2368" s="167"/>
      <c r="F2368" s="58" t="str">
        <f>VLOOKUP(MOD(C2368,7),'CALENDAR INFO'!$I$2:$J$8,2)</f>
        <v>SUN</v>
      </c>
      <c r="G2368" s="214">
        <v>3.62</v>
      </c>
      <c r="H2368" s="425">
        <v>3.55</v>
      </c>
      <c r="I2368" s="457">
        <f t="shared" si="213"/>
        <v>-7.0000000000000284E-2</v>
      </c>
      <c r="J2368" s="15" t="s">
        <v>239</v>
      </c>
      <c r="K2368" s="152">
        <f ca="1">K2365-K2366-K2367</f>
        <v>0</v>
      </c>
      <c r="L2368" s="202">
        <f ca="1">L2365-L2366-L2367</f>
        <v>0</v>
      </c>
      <c r="M2368" s="113">
        <f>IF(MOD(C2368,7)&lt;2,0,IF(MOD(C2368,7)=6,3,1))</f>
        <v>0</v>
      </c>
      <c r="N2368" s="64">
        <f t="shared" si="216"/>
        <v>1</v>
      </c>
    </row>
    <row r="2369" spans="1:14">
      <c r="A2369" s="84"/>
      <c r="B2369" s="228"/>
      <c r="C2369" s="103">
        <f t="shared" si="214"/>
        <v>46167</v>
      </c>
      <c r="D2369" s="173" t="s">
        <v>113</v>
      </c>
      <c r="E2369" s="167"/>
      <c r="F2369" s="58" t="str">
        <f>VLOOKUP(MOD(C2369,7),'CALENDAR INFO'!$I$2:$J$8,2)</f>
        <v>MON</v>
      </c>
      <c r="G2369" s="214">
        <v>3.62</v>
      </c>
      <c r="H2369" s="425">
        <v>3.55</v>
      </c>
      <c r="I2369" s="457">
        <f t="shared" si="213"/>
        <v>-7.0000000000000284E-2</v>
      </c>
      <c r="K2369" s="178"/>
      <c r="L2369" s="192"/>
      <c r="M2369" s="117">
        <v>0</v>
      </c>
      <c r="N2369" s="64">
        <f t="shared" si="216"/>
        <v>1</v>
      </c>
    </row>
    <row r="2370" spans="1:14">
      <c r="A2370" s="84"/>
      <c r="B2370" s="228"/>
      <c r="C2370" s="103">
        <f t="shared" si="214"/>
        <v>46168</v>
      </c>
      <c r="E2370" s="167"/>
      <c r="F2370" s="58" t="str">
        <f>VLOOKUP(MOD(C2370,7),'CALENDAR INFO'!$I$2:$J$8,2)</f>
        <v>TUE</v>
      </c>
      <c r="G2370" s="214">
        <v>3.62</v>
      </c>
      <c r="H2370" s="425">
        <v>3.63</v>
      </c>
      <c r="I2370" s="457">
        <f t="shared" si="213"/>
        <v>9.9999999999997868E-3</v>
      </c>
      <c r="J2370" s="15" t="s">
        <v>238</v>
      </c>
      <c r="K2370" s="178" t="e">
        <f ca="1">K2363</f>
        <v>#REF!</v>
      </c>
      <c r="L2370" s="192" t="e">
        <f ca="1">L2363</f>
        <v>#REF!</v>
      </c>
      <c r="M2370" s="113">
        <f t="shared" ref="M2370:M2392" si="217">IF(MOD(C2370,7)&lt;2,0,IF(MOD(C2370,7)=6,3,1))</f>
        <v>1</v>
      </c>
      <c r="N2370" s="64">
        <f t="shared" si="216"/>
        <v>1.0001008333333334</v>
      </c>
    </row>
    <row r="2371" spans="1:14">
      <c r="A2371" s="84"/>
      <c r="B2371" s="228"/>
      <c r="C2371" s="103">
        <f t="shared" si="214"/>
        <v>46169</v>
      </c>
      <c r="E2371" s="167" t="s">
        <v>19</v>
      </c>
      <c r="F2371" s="58" t="str">
        <f>VLOOKUP(MOD(C2371,7),'CALENDAR INFO'!$I$2:$J$8,2)</f>
        <v>WED</v>
      </c>
      <c r="G2371" s="214">
        <v>3.62</v>
      </c>
      <c r="H2371" s="425">
        <v>3.63</v>
      </c>
      <c r="I2371" s="457">
        <f t="shared" ref="I2371:I2434" si="218">H2371-G2371</f>
        <v>9.9999999999997868E-3</v>
      </c>
      <c r="J2371" s="15" t="s">
        <v>239</v>
      </c>
      <c r="K2371" s="221">
        <f ca="1">K2368</f>
        <v>0</v>
      </c>
      <c r="L2371" s="223">
        <f ca="1">L2368</f>
        <v>0</v>
      </c>
      <c r="M2371" s="113">
        <f t="shared" si="217"/>
        <v>1</v>
      </c>
      <c r="N2371" s="64">
        <f t="shared" si="216"/>
        <v>1.0001008333333334</v>
      </c>
    </row>
    <row r="2372" spans="1:14">
      <c r="A2372" s="84"/>
      <c r="B2372" s="228"/>
      <c r="C2372" s="103">
        <f t="shared" ref="C2372:C2435" si="219">C2371+1</f>
        <v>46170</v>
      </c>
      <c r="E2372" s="170" t="s">
        <v>18</v>
      </c>
      <c r="F2372" s="58" t="str">
        <f>VLOOKUP(MOD(C2372,7),'CALENDAR INFO'!$I$2:$J$8,2)</f>
        <v>THU</v>
      </c>
      <c r="G2372" s="214">
        <v>3.62</v>
      </c>
      <c r="H2372" s="425">
        <v>3.62</v>
      </c>
      <c r="I2372" s="457">
        <f t="shared" si="218"/>
        <v>0</v>
      </c>
      <c r="J2372" s="15" t="s">
        <v>240</v>
      </c>
      <c r="K2372" s="178" t="e">
        <f ca="1">K2370/K2371</f>
        <v>#REF!</v>
      </c>
      <c r="L2372" s="192" t="e">
        <f ca="1">L2370/L2371</f>
        <v>#REF!</v>
      </c>
      <c r="M2372" s="113">
        <f t="shared" si="217"/>
        <v>1</v>
      </c>
      <c r="N2372" s="64">
        <f t="shared" si="216"/>
        <v>1.0001005555555555</v>
      </c>
    </row>
    <row r="2373" spans="1:14">
      <c r="A2373" s="84"/>
      <c r="B2373" s="228"/>
      <c r="C2373" s="103">
        <f t="shared" si="219"/>
        <v>46171</v>
      </c>
      <c r="E2373" s="170"/>
      <c r="F2373" s="58" t="str">
        <f>VLOOKUP(MOD(C2373,7),'CALENDAR INFO'!$I$2:$J$8,2)</f>
        <v>FRI</v>
      </c>
      <c r="G2373" s="214">
        <v>3.62</v>
      </c>
      <c r="H2373" s="425">
        <v>3.63</v>
      </c>
      <c r="I2373" s="457">
        <f t="shared" si="218"/>
        <v>9.9999999999997868E-3</v>
      </c>
      <c r="M2373" s="113">
        <f t="shared" si="217"/>
        <v>3</v>
      </c>
      <c r="N2373" s="64">
        <f t="shared" si="216"/>
        <v>1.0003025000000001</v>
      </c>
    </row>
    <row r="2374" spans="1:14">
      <c r="A2374" s="84"/>
      <c r="B2374" s="228"/>
      <c r="C2374" s="103">
        <f t="shared" si="219"/>
        <v>46172</v>
      </c>
      <c r="E2374" s="170"/>
      <c r="F2374" s="58" t="str">
        <f>VLOOKUP(MOD(C2374,7),'CALENDAR INFO'!$I$2:$J$8,2)</f>
        <v>SAT</v>
      </c>
      <c r="G2374" s="214">
        <v>3.62</v>
      </c>
      <c r="H2374" s="425">
        <v>3.63</v>
      </c>
      <c r="I2374" s="457">
        <f t="shared" si="218"/>
        <v>9.9999999999997868E-3</v>
      </c>
      <c r="K2374" s="189">
        <f ca="1">100-K2361/K2357</f>
        <v>96.372258064516132</v>
      </c>
      <c r="L2374" s="415">
        <f ca="1">100-L2361/L2357</f>
        <v>96.412903225806446</v>
      </c>
      <c r="M2374" s="113">
        <f t="shared" si="217"/>
        <v>0</v>
      </c>
      <c r="N2374" s="64">
        <f t="shared" si="216"/>
        <v>1</v>
      </c>
    </row>
    <row r="2375" spans="1:14" ht="15.75" thickBot="1">
      <c r="A2375" s="407"/>
      <c r="B2375" s="408"/>
      <c r="C2375" s="104">
        <f t="shared" si="219"/>
        <v>46173</v>
      </c>
      <c r="D2375" s="112"/>
      <c r="E2375" s="101"/>
      <c r="F2375" s="71" t="str">
        <f>VLOOKUP(MOD(C2375,7),'CALENDAR INFO'!$I$2:$J$8,2)</f>
        <v>SUN</v>
      </c>
      <c r="G2375" s="215">
        <v>3.62</v>
      </c>
      <c r="H2375" s="426">
        <v>3.63</v>
      </c>
      <c r="I2375" s="458">
        <f t="shared" si="218"/>
        <v>9.9999999999997868E-3</v>
      </c>
      <c r="J2375" s="348"/>
      <c r="K2375" s="434" t="s">
        <v>245</v>
      </c>
      <c r="L2375" s="196" t="s">
        <v>245</v>
      </c>
      <c r="M2375" s="114">
        <f t="shared" si="217"/>
        <v>0</v>
      </c>
      <c r="N2375" s="292">
        <f t="shared" si="216"/>
        <v>1</v>
      </c>
    </row>
    <row r="2376" spans="1:14">
      <c r="B2376" s="41"/>
      <c r="C2376" s="103">
        <f t="shared" si="219"/>
        <v>46174</v>
      </c>
      <c r="E2376" s="170"/>
      <c r="F2376" s="58" t="str">
        <f>VLOOKUP(MOD(C2376,7),'CALENDAR INFO'!$I$2:$J$8,2)</f>
        <v>MON</v>
      </c>
      <c r="G2376" s="214">
        <v>3.62</v>
      </c>
      <c r="H2376" s="425">
        <v>3.65</v>
      </c>
      <c r="I2376" s="457">
        <f t="shared" si="218"/>
        <v>2.9999999999999805E-2</v>
      </c>
      <c r="J2376" s="15" t="s">
        <v>151</v>
      </c>
      <c r="K2376" s="375">
        <f>ROW()</f>
        <v>2376</v>
      </c>
      <c r="L2376" s="60">
        <f>K2376</f>
        <v>2376</v>
      </c>
      <c r="M2376" s="113">
        <f>IF(MOD(C2376,7)&lt;2,0,IF(MOD(C2376,7)=6,3,1))</f>
        <v>1</v>
      </c>
      <c r="N2376" s="64">
        <f>1+(M2376/360)*(MAX(H2376,B2376)/100)</f>
        <v>1.000101388888889</v>
      </c>
    </row>
    <row r="2377" spans="1:14">
      <c r="B2377" s="41"/>
      <c r="C2377" s="103">
        <f t="shared" si="219"/>
        <v>46175</v>
      </c>
      <c r="E2377" s="170"/>
      <c r="F2377" s="58" t="str">
        <f>VLOOKUP(MOD(C2377,7),'CALENDAR INFO'!$I$2:$J$8,2)</f>
        <v>TUE</v>
      </c>
      <c r="G2377" s="214">
        <v>3.62</v>
      </c>
      <c r="H2377" s="425">
        <v>3.63</v>
      </c>
      <c r="I2377" s="457">
        <f t="shared" si="218"/>
        <v>9.9999999999997868E-3</v>
      </c>
      <c r="J2377" s="15" t="s">
        <v>118</v>
      </c>
      <c r="K2377" s="15">
        <f>VLOOKUP(MONTH($C2376),'CALENDAR INFO'!$I$12:$J$23,2)</f>
        <v>30</v>
      </c>
      <c r="L2377" s="15">
        <f>K2377</f>
        <v>30</v>
      </c>
      <c r="M2377" s="113">
        <f t="shared" si="217"/>
        <v>1</v>
      </c>
      <c r="N2377" s="64">
        <f t="shared" si="216"/>
        <v>1.0001008333333334</v>
      </c>
    </row>
    <row r="2378" spans="1:14">
      <c r="B2378" s="41"/>
      <c r="C2378" s="103">
        <f t="shared" si="219"/>
        <v>46176</v>
      </c>
      <c r="E2378" s="170"/>
      <c r="F2378" s="58" t="str">
        <f>VLOOKUP(MOD(C2378,7),'CALENDAR INFO'!$I$2:$J$8,2)</f>
        <v>WED</v>
      </c>
      <c r="G2378" s="214">
        <v>3.62</v>
      </c>
      <c r="H2378" s="425">
        <v>3.61</v>
      </c>
      <c r="I2378" s="457">
        <f t="shared" si="218"/>
        <v>-1.0000000000000231E-2</v>
      </c>
      <c r="J2378" s="15" t="s">
        <v>152</v>
      </c>
      <c r="K2378" s="15">
        <f>K2376+K2377-1</f>
        <v>2405</v>
      </c>
      <c r="L2378" s="15">
        <f>K2378</f>
        <v>2405</v>
      </c>
      <c r="M2378" s="113">
        <f t="shared" si="217"/>
        <v>1</v>
      </c>
      <c r="N2378" s="64">
        <f t="shared" si="216"/>
        <v>1.0001002777777779</v>
      </c>
    </row>
    <row r="2379" spans="1:14">
      <c r="B2379" s="41"/>
      <c r="C2379" s="103">
        <f t="shared" si="219"/>
        <v>46177</v>
      </c>
      <c r="E2379" s="170"/>
      <c r="F2379" s="58" t="str">
        <f>VLOOKUP(MOD(C2379,7),'CALENDAR INFO'!$I$2:$J$8,2)</f>
        <v>THU</v>
      </c>
      <c r="G2379" s="214">
        <v>3.62</v>
      </c>
      <c r="H2379" s="425">
        <v>3.62</v>
      </c>
      <c r="I2379" s="457">
        <f t="shared" si="218"/>
        <v>0</v>
      </c>
      <c r="J2379" s="15" t="s">
        <v>244</v>
      </c>
      <c r="K2379" s="311">
        <f>ROW(D2392)</f>
        <v>2392</v>
      </c>
      <c r="L2379" s="15">
        <f>K2379</f>
        <v>2392</v>
      </c>
      <c r="M2379" s="113">
        <f t="shared" si="217"/>
        <v>1</v>
      </c>
      <c r="N2379" s="64">
        <f t="shared" si="216"/>
        <v>1.0001005555555555</v>
      </c>
    </row>
    <row r="2380" spans="1:14">
      <c r="B2380" s="41"/>
      <c r="C2380" s="103">
        <f t="shared" si="219"/>
        <v>46178</v>
      </c>
      <c r="E2380" s="170"/>
      <c r="F2380" s="58" t="str">
        <f>VLOOKUP(MOD(C2380,7),'CALENDAR INFO'!$I$2:$J$8,2)</f>
        <v>FRI</v>
      </c>
      <c r="G2380" s="214">
        <v>3.62</v>
      </c>
      <c r="H2380" s="425">
        <v>3.63</v>
      </c>
      <c r="I2380" s="457">
        <f t="shared" si="218"/>
        <v>9.9999999999997868E-3</v>
      </c>
      <c r="K2380" s="311"/>
      <c r="L2380" s="15"/>
      <c r="M2380" s="113">
        <f t="shared" si="217"/>
        <v>3</v>
      </c>
      <c r="N2380" s="64">
        <f t="shared" si="216"/>
        <v>1.0003025000000001</v>
      </c>
    </row>
    <row r="2381" spans="1:14">
      <c r="B2381" s="41"/>
      <c r="C2381" s="103">
        <f t="shared" si="219"/>
        <v>46179</v>
      </c>
      <c r="E2381" s="170"/>
      <c r="F2381" s="58" t="str">
        <f>VLOOKUP(MOD(C2381,7),'CALENDAR INFO'!$I$2:$J$8,2)</f>
        <v>SAT</v>
      </c>
      <c r="G2381" s="214">
        <v>3.62</v>
      </c>
      <c r="H2381" s="425">
        <v>3.63</v>
      </c>
      <c r="I2381" s="457">
        <f t="shared" si="218"/>
        <v>9.9999999999997868E-3</v>
      </c>
      <c r="J2381" s="15" t="s">
        <v>153</v>
      </c>
      <c r="K2381" s="15" t="str">
        <f>_xlfn.CONCAT(ADDRESS(K2376,7),":",ADDRESS(K2378,7))</f>
        <v>$G$2376:$G$2405</v>
      </c>
      <c r="L2381" s="15" t="str">
        <f>_xlfn.CONCAT(ADDRESS(L2376,8),":",ADDRESS(L2378,8))</f>
        <v>$H$2376:$H$2405</v>
      </c>
      <c r="M2381" s="113">
        <f t="shared" si="217"/>
        <v>0</v>
      </c>
      <c r="N2381" s="64">
        <f t="shared" si="216"/>
        <v>1</v>
      </c>
    </row>
    <row r="2382" spans="1:14">
      <c r="B2382" s="41"/>
      <c r="C2382" s="103">
        <f t="shared" si="219"/>
        <v>46180</v>
      </c>
      <c r="E2382" s="170"/>
      <c r="F2382" s="58" t="str">
        <f>VLOOKUP(MOD(C2382,7),'CALENDAR INFO'!$I$2:$J$8,2)</f>
        <v>SUN</v>
      </c>
      <c r="G2382" s="214">
        <v>3.62</v>
      </c>
      <c r="H2382" s="425">
        <v>3.63</v>
      </c>
      <c r="I2382" s="457">
        <f t="shared" si="218"/>
        <v>9.9999999999997868E-3</v>
      </c>
      <c r="J2382" s="176" t="s">
        <v>236</v>
      </c>
      <c r="K2382" s="15" t="str">
        <f>_xlfn.CONCAT(ADDRESS(K2376,1),":",ADDRESS(K2379,1))</f>
        <v>$A$2376:$A$2392</v>
      </c>
      <c r="L2382" s="15" t="str">
        <f>_xlfn.CONCAT(ADDRESS(L2376,2),":",ADDRESS(L2379,2))</f>
        <v>$B$2376:$B$2392</v>
      </c>
      <c r="M2382" s="113">
        <f t="shared" si="217"/>
        <v>0</v>
      </c>
      <c r="N2382" s="64">
        <f t="shared" si="216"/>
        <v>1</v>
      </c>
    </row>
    <row r="2383" spans="1:14">
      <c r="B2383" s="41"/>
      <c r="C2383" s="103">
        <f t="shared" si="219"/>
        <v>46181</v>
      </c>
      <c r="E2383" s="170"/>
      <c r="F2383" s="58" t="str">
        <f>VLOOKUP(MOD(C2383,7),'CALENDAR INFO'!$I$2:$J$8,2)</f>
        <v>MON</v>
      </c>
      <c r="G2383" s="214">
        <v>3.62</v>
      </c>
      <c r="H2383" s="425">
        <v>3.63</v>
      </c>
      <c r="I2383" s="457">
        <f t="shared" si="218"/>
        <v>9.9999999999997868E-3</v>
      </c>
      <c r="J2383" s="176" t="s">
        <v>235</v>
      </c>
      <c r="K2383" s="15" t="str">
        <f>_xlfn.CONCAT(ADDRESS(K2379+1,1),":",ADDRESS(K2378,1))</f>
        <v>$A$2393:$A$2405</v>
      </c>
      <c r="L2383" s="15" t="str">
        <f>_xlfn.CONCAT(ADDRESS(L2379+1,2),":",ADDRESS(L2378,2))</f>
        <v>$B$2393:$B$2405</v>
      </c>
      <c r="M2383" s="113">
        <f t="shared" si="217"/>
        <v>1</v>
      </c>
      <c r="N2383" s="64">
        <f t="shared" si="216"/>
        <v>1.0001008333333334</v>
      </c>
    </row>
    <row r="2384" spans="1:14">
      <c r="B2384" s="41"/>
      <c r="C2384" s="103">
        <f t="shared" si="219"/>
        <v>46182</v>
      </c>
      <c r="E2384" s="170"/>
      <c r="F2384" s="58" t="str">
        <f>VLOOKUP(MOD(C2384,7),'CALENDAR INFO'!$I$2:$J$8,2)</f>
        <v>TUE</v>
      </c>
      <c r="G2384" s="214">
        <v>3.62</v>
      </c>
      <c r="H2384" s="425">
        <v>3.6</v>
      </c>
      <c r="I2384" s="457">
        <f t="shared" si="218"/>
        <v>-2.0000000000000018E-2</v>
      </c>
      <c r="M2384" s="113">
        <f t="shared" si="217"/>
        <v>1</v>
      </c>
      <c r="N2384" s="64">
        <f t="shared" si="216"/>
        <v>1.0001</v>
      </c>
    </row>
    <row r="2385" spans="1:14">
      <c r="B2385" s="41"/>
      <c r="C2385" s="103">
        <f t="shared" si="219"/>
        <v>46183</v>
      </c>
      <c r="E2385" s="170" t="s">
        <v>19</v>
      </c>
      <c r="F2385" s="58" t="str">
        <f>VLOOKUP(MOD(C2385,7),'CALENDAR INFO'!$I$2:$J$8,2)</f>
        <v>WED</v>
      </c>
      <c r="G2385" s="214">
        <v>3.62</v>
      </c>
      <c r="H2385" s="425">
        <v>3.59</v>
      </c>
      <c r="I2385" s="457">
        <f t="shared" si="218"/>
        <v>-3.0000000000000249E-2</v>
      </c>
      <c r="J2385" s="15" t="s">
        <v>241</v>
      </c>
      <c r="K2385" s="186">
        <f>A2406+G2406</f>
        <v>3.63</v>
      </c>
      <c r="L2385" s="194">
        <f>B2406+H2406</f>
        <v>3.66</v>
      </c>
      <c r="M2385" s="113">
        <f t="shared" si="217"/>
        <v>1</v>
      </c>
      <c r="N2385" s="64">
        <f t="shared" si="216"/>
        <v>1.0000997222222223</v>
      </c>
    </row>
    <row r="2386" spans="1:14">
      <c r="B2386" s="41"/>
      <c r="C2386" s="103">
        <f t="shared" si="219"/>
        <v>46184</v>
      </c>
      <c r="E2386" s="167" t="s">
        <v>18</v>
      </c>
      <c r="F2386" s="58" t="str">
        <f>VLOOKUP(MOD(C2386,7),'CALENDAR INFO'!$I$2:$J$8,2)</f>
        <v>THU</v>
      </c>
      <c r="G2386" s="214">
        <v>3.62</v>
      </c>
      <c r="H2386" s="425">
        <v>3.6</v>
      </c>
      <c r="I2386" s="457">
        <f t="shared" si="218"/>
        <v>-2.0000000000000018E-2</v>
      </c>
      <c r="K2386" s="178"/>
      <c r="L2386" s="192"/>
      <c r="M2386" s="113">
        <f t="shared" si="217"/>
        <v>1</v>
      </c>
      <c r="N2386" s="64">
        <f t="shared" si="216"/>
        <v>1.0001</v>
      </c>
    </row>
    <row r="2387" spans="1:14">
      <c r="B2387" s="41"/>
      <c r="C2387" s="103">
        <f t="shared" si="219"/>
        <v>46185</v>
      </c>
      <c r="E2387" s="167"/>
      <c r="F2387" s="58" t="str">
        <f>VLOOKUP(MOD(C2387,7),'CALENDAR INFO'!$I$2:$J$8,2)</f>
        <v>FRI</v>
      </c>
      <c r="G2387" s="214">
        <v>3.62</v>
      </c>
      <c r="H2387" s="425">
        <v>3.65</v>
      </c>
      <c r="I2387" s="457">
        <f t="shared" si="218"/>
        <v>2.9999999999999805E-2</v>
      </c>
      <c r="J2387" s="15" t="s">
        <v>197</v>
      </c>
      <c r="K2387" s="180">
        <f>OUTPUT!C3</f>
        <v>0</v>
      </c>
      <c r="L2387" s="180">
        <f>OUTPUT!F3</f>
        <v>0</v>
      </c>
      <c r="M2387" s="113">
        <f t="shared" si="217"/>
        <v>3</v>
      </c>
      <c r="N2387" s="64">
        <f t="shared" ref="N2387:N2450" si="220">1+(M2387/360)*(MAX(H2387,B2387)/100)</f>
        <v>1.0003041666666668</v>
      </c>
    </row>
    <row r="2388" spans="1:14">
      <c r="B2388" s="41"/>
      <c r="C2388" s="103">
        <f t="shared" si="219"/>
        <v>46186</v>
      </c>
      <c r="E2388" s="167"/>
      <c r="F2388" s="58" t="str">
        <f>VLOOKUP(MOD(C2388,7),'CALENDAR INFO'!$I$2:$J$8,2)</f>
        <v>SAT</v>
      </c>
      <c r="G2388" s="214">
        <v>3.62</v>
      </c>
      <c r="H2388" s="425">
        <v>3.65</v>
      </c>
      <c r="I2388" s="457">
        <f t="shared" si="218"/>
        <v>2.9999999999999805E-2</v>
      </c>
      <c r="J2388" s="15" t="s">
        <v>118</v>
      </c>
      <c r="K2388" s="221">
        <f>VLOOKUP(MONTH($C2382),'CALENDAR INFO'!$I$12:$J$23,2)</f>
        <v>30</v>
      </c>
      <c r="L2388" s="221">
        <f>K2388</f>
        <v>30</v>
      </c>
      <c r="M2388" s="113">
        <f t="shared" si="217"/>
        <v>0</v>
      </c>
      <c r="N2388" s="64">
        <f t="shared" si="220"/>
        <v>1</v>
      </c>
    </row>
    <row r="2389" spans="1:14">
      <c r="B2389" s="41"/>
      <c r="C2389" s="103">
        <f t="shared" si="219"/>
        <v>46187</v>
      </c>
      <c r="E2389" s="167"/>
      <c r="F2389" s="58" t="str">
        <f>VLOOKUP(MOD(C2389,7),'CALENDAR INFO'!$I$2:$J$8,2)</f>
        <v>SUN</v>
      </c>
      <c r="G2389" s="214">
        <v>3.62</v>
      </c>
      <c r="H2389" s="425">
        <v>3.65</v>
      </c>
      <c r="I2389" s="457">
        <f t="shared" si="218"/>
        <v>2.9999999999999805E-2</v>
      </c>
      <c r="J2389" s="15" t="s">
        <v>234</v>
      </c>
      <c r="K2389" s="178">
        <f>K2387*K2377</f>
        <v>0</v>
      </c>
      <c r="L2389" s="178">
        <f>L2387*L2377</f>
        <v>0</v>
      </c>
      <c r="M2389" s="113">
        <f t="shared" si="217"/>
        <v>0</v>
      </c>
      <c r="N2389" s="64">
        <f t="shared" si="220"/>
        <v>1</v>
      </c>
    </row>
    <row r="2390" spans="1:14">
      <c r="B2390" s="41"/>
      <c r="C2390" s="103">
        <f t="shared" si="219"/>
        <v>46188</v>
      </c>
      <c r="E2390" s="167"/>
      <c r="F2390" s="58" t="str">
        <f>VLOOKUP(MOD(C2390,7),'CALENDAR INFO'!$I$2:$J$8,2)</f>
        <v>MON</v>
      </c>
      <c r="G2390" s="214">
        <v>3.63</v>
      </c>
      <c r="H2390" s="425">
        <v>3.69</v>
      </c>
      <c r="I2390" s="457">
        <f t="shared" si="218"/>
        <v>6.0000000000000053E-2</v>
      </c>
      <c r="K2390" s="178"/>
      <c r="L2390" s="192"/>
      <c r="M2390" s="113">
        <f t="shared" si="217"/>
        <v>1</v>
      </c>
      <c r="N2390" s="64">
        <f t="shared" si="220"/>
        <v>1.0001024999999999</v>
      </c>
    </row>
    <row r="2391" spans="1:14">
      <c r="B2391" s="41"/>
      <c r="C2391" s="103">
        <f t="shared" si="219"/>
        <v>46189</v>
      </c>
      <c r="D2391" s="153" t="s">
        <v>20</v>
      </c>
      <c r="E2391" s="167"/>
      <c r="F2391" s="58" t="str">
        <f>VLOOKUP(MOD(C2391,7),'CALENDAR INFO'!$I$2:$J$8,2)</f>
        <v>TUE</v>
      </c>
      <c r="G2391" s="214">
        <v>3.63</v>
      </c>
      <c r="H2391" s="425">
        <v>3.63</v>
      </c>
      <c r="I2391" s="457">
        <f t="shared" si="218"/>
        <v>0</v>
      </c>
      <c r="J2391" s="15" t="str">
        <f>J2389</f>
        <v>monthly target</v>
      </c>
      <c r="K2391" s="178">
        <f>K2389</f>
        <v>0</v>
      </c>
      <c r="L2391" s="192">
        <f>L2389</f>
        <v>0</v>
      </c>
      <c r="M2391" s="113">
        <f t="shared" si="217"/>
        <v>1</v>
      </c>
      <c r="N2391" s="64">
        <f t="shared" si="220"/>
        <v>1.0001008333333334</v>
      </c>
    </row>
    <row r="2392" spans="1:14">
      <c r="B2392" s="41"/>
      <c r="C2392" s="103">
        <f t="shared" si="219"/>
        <v>46190</v>
      </c>
      <c r="D2392" s="153" t="s">
        <v>20</v>
      </c>
      <c r="E2392" s="167"/>
      <c r="F2392" s="58" t="str">
        <f>VLOOKUP(MOD(C2392,7),'CALENDAR INFO'!$I$2:$J$8,2)</f>
        <v>WED</v>
      </c>
      <c r="G2392" s="214">
        <v>3.63</v>
      </c>
      <c r="H2392" s="425">
        <v>3.63</v>
      </c>
      <c r="I2392" s="457">
        <f t="shared" si="218"/>
        <v>0</v>
      </c>
      <c r="J2392" s="15" t="s">
        <v>155</v>
      </c>
      <c r="K2392" s="178">
        <f ca="1">SUM(INDIRECT(K2381))</f>
        <v>108.75999999999995</v>
      </c>
      <c r="L2392" s="192">
        <f ca="1">SUM(INDIRECT(L2381))</f>
        <v>108.85000000000005</v>
      </c>
      <c r="M2392" s="113">
        <f t="shared" si="217"/>
        <v>1</v>
      </c>
      <c r="N2392" s="64">
        <f t="shared" si="220"/>
        <v>1.0001008333333334</v>
      </c>
    </row>
    <row r="2393" spans="1:14">
      <c r="A2393" s="304"/>
      <c r="B2393" s="305"/>
      <c r="C2393" s="103">
        <f t="shared" si="219"/>
        <v>46191</v>
      </c>
      <c r="E2393" s="167"/>
      <c r="F2393" s="58" t="str">
        <f>VLOOKUP(MOD(C2393,7),'CALENDAR INFO'!$I$2:$J$8,2)</f>
        <v>THU</v>
      </c>
      <c r="G2393" s="214">
        <v>3.63</v>
      </c>
      <c r="H2393" s="425">
        <v>3.62</v>
      </c>
      <c r="I2393" s="457">
        <f t="shared" si="218"/>
        <v>-9.9999999999997868E-3</v>
      </c>
      <c r="J2393" s="15" t="s">
        <v>237</v>
      </c>
      <c r="K2393" s="400">
        <f ca="1">SUM(INDIRECT(K2383))</f>
        <v>0</v>
      </c>
      <c r="L2393" s="401">
        <f ca="1">SUM(INDIRECT(L2383))</f>
        <v>0</v>
      </c>
      <c r="M2393" s="117">
        <v>4</v>
      </c>
      <c r="N2393" s="64">
        <f t="shared" si="220"/>
        <v>1.0004022222222222</v>
      </c>
    </row>
    <row r="2394" spans="1:14">
      <c r="A2394" s="304"/>
      <c r="B2394" s="305"/>
      <c r="C2394" s="103">
        <f t="shared" si="219"/>
        <v>46192</v>
      </c>
      <c r="D2394" s="173" t="s">
        <v>198</v>
      </c>
      <c r="E2394" s="167"/>
      <c r="F2394" s="58" t="str">
        <f>VLOOKUP(MOD(C2394,7),'CALENDAR INFO'!$I$2:$J$8,2)</f>
        <v>FRI</v>
      </c>
      <c r="G2394" s="214">
        <v>3.63</v>
      </c>
      <c r="H2394" s="425">
        <v>3.62</v>
      </c>
      <c r="I2394" s="457">
        <f t="shared" si="218"/>
        <v>-9.9999999999997868E-3</v>
      </c>
      <c r="J2394" s="15" t="s">
        <v>238</v>
      </c>
      <c r="K2394" s="182">
        <f ca="1">K2389-K2392-K2393</f>
        <v>-108.75999999999995</v>
      </c>
      <c r="L2394" s="201">
        <f ca="1">L2389-L2392-L2393</f>
        <v>-108.85000000000005</v>
      </c>
      <c r="M2394" s="117">
        <v>0</v>
      </c>
      <c r="N2394" s="64">
        <f t="shared" si="220"/>
        <v>1</v>
      </c>
    </row>
    <row r="2395" spans="1:14">
      <c r="A2395" s="304"/>
      <c r="B2395" s="305"/>
      <c r="C2395" s="103">
        <f t="shared" si="219"/>
        <v>46193</v>
      </c>
      <c r="E2395" s="167"/>
      <c r="F2395" s="58" t="str">
        <f>VLOOKUP(MOD(C2395,7),'CALENDAR INFO'!$I$2:$J$8,2)</f>
        <v>SAT</v>
      </c>
      <c r="G2395" s="214">
        <v>3.63</v>
      </c>
      <c r="H2395" s="425">
        <v>3.62</v>
      </c>
      <c r="I2395" s="457">
        <f t="shared" si="218"/>
        <v>-9.9999999999997868E-3</v>
      </c>
      <c r="M2395" s="113">
        <f t="shared" ref="M2395:M2406" si="221">IF(MOD(C2395,7)&lt;2,0,IF(MOD(C2395,7)=6,3,1))</f>
        <v>0</v>
      </c>
      <c r="N2395" s="64">
        <f t="shared" si="220"/>
        <v>1</v>
      </c>
    </row>
    <row r="2396" spans="1:14">
      <c r="A2396" s="304"/>
      <c r="B2396" s="305"/>
      <c r="C2396" s="103">
        <f t="shared" si="219"/>
        <v>46194</v>
      </c>
      <c r="E2396" s="167"/>
      <c r="F2396" s="58" t="str">
        <f>VLOOKUP(MOD(C2396,7),'CALENDAR INFO'!$I$2:$J$8,2)</f>
        <v>SUN</v>
      </c>
      <c r="G2396" s="214">
        <v>3.63</v>
      </c>
      <c r="H2396" s="425">
        <v>3.62</v>
      </c>
      <c r="I2396" s="457">
        <f t="shared" si="218"/>
        <v>-9.9999999999997868E-3</v>
      </c>
      <c r="J2396" s="15" t="s">
        <v>242</v>
      </c>
      <c r="K2396" s="15">
        <f>K2388</f>
        <v>30</v>
      </c>
      <c r="L2396" s="179">
        <f>L2388</f>
        <v>30</v>
      </c>
      <c r="M2396" s="113">
        <f t="shared" si="221"/>
        <v>0</v>
      </c>
      <c r="N2396" s="64">
        <f t="shared" si="220"/>
        <v>1</v>
      </c>
    </row>
    <row r="2397" spans="1:14">
      <c r="A2397" s="304"/>
      <c r="B2397" s="305"/>
      <c r="C2397" s="103">
        <f t="shared" si="219"/>
        <v>46195</v>
      </c>
      <c r="E2397" s="167"/>
      <c r="F2397" s="58" t="str">
        <f>VLOOKUP(MOD(C2397,7),'CALENDAR INFO'!$I$2:$J$8,2)</f>
        <v>MON</v>
      </c>
      <c r="G2397" s="214">
        <v>3.63</v>
      </c>
      <c r="H2397" s="425">
        <v>3.61</v>
      </c>
      <c r="I2397" s="457">
        <f t="shared" si="218"/>
        <v>-2.0000000000000018E-2</v>
      </c>
      <c r="J2397" s="15" t="s">
        <v>194</v>
      </c>
      <c r="K2397" s="15">
        <f ca="1">COUNTA(INDIRECT(K2381))</f>
        <v>30</v>
      </c>
      <c r="L2397" s="179">
        <f ca="1">COUNTA(INDIRECT(L2381))</f>
        <v>30</v>
      </c>
      <c r="M2397" s="113">
        <f t="shared" si="221"/>
        <v>1</v>
      </c>
      <c r="N2397" s="64">
        <f t="shared" si="220"/>
        <v>1.0001002777777779</v>
      </c>
    </row>
    <row r="2398" spans="1:14">
      <c r="A2398" s="304"/>
      <c r="B2398" s="305"/>
      <c r="C2398" s="103">
        <f t="shared" si="219"/>
        <v>46196</v>
      </c>
      <c r="E2398" s="167"/>
      <c r="F2398" s="58" t="str">
        <f>VLOOKUP(MOD(C2398,7),'CALENDAR INFO'!$I$2:$J$8,2)</f>
        <v>TUE</v>
      </c>
      <c r="G2398" s="214">
        <v>3.63</v>
      </c>
      <c r="H2398" s="425">
        <v>3.62</v>
      </c>
      <c r="I2398" s="457">
        <f t="shared" si="218"/>
        <v>-9.9999999999997868E-3</v>
      </c>
      <c r="J2398" s="15" t="s">
        <v>243</v>
      </c>
      <c r="K2398" s="402">
        <f ca="1">COUNTA(INDIRECT(K2383))</f>
        <v>0</v>
      </c>
      <c r="L2398" s="403">
        <f ca="1">COUNTA(INDIRECT(L2383))</f>
        <v>0</v>
      </c>
      <c r="M2398" s="113">
        <f t="shared" si="221"/>
        <v>1</v>
      </c>
      <c r="N2398" s="64">
        <f t="shared" si="220"/>
        <v>1.0001005555555555</v>
      </c>
    </row>
    <row r="2399" spans="1:14">
      <c r="A2399" s="304"/>
      <c r="B2399" s="305"/>
      <c r="C2399" s="103">
        <f t="shared" si="219"/>
        <v>46197</v>
      </c>
      <c r="E2399" s="167" t="s">
        <v>19</v>
      </c>
      <c r="F2399" s="58" t="str">
        <f>VLOOKUP(MOD(C2399,7),'CALENDAR INFO'!$I$2:$J$8,2)</f>
        <v>WED</v>
      </c>
      <c r="G2399" s="214">
        <v>3.63</v>
      </c>
      <c r="H2399" s="425">
        <v>3.62</v>
      </c>
      <c r="I2399" s="457">
        <f t="shared" si="218"/>
        <v>-9.9999999999997868E-3</v>
      </c>
      <c r="J2399" s="15" t="s">
        <v>239</v>
      </c>
      <c r="K2399" s="152">
        <f ca="1">K2396-K2397-K2398</f>
        <v>0</v>
      </c>
      <c r="L2399" s="202">
        <f ca="1">L2396-L2397-L2398</f>
        <v>0</v>
      </c>
      <c r="M2399" s="113">
        <f t="shared" si="221"/>
        <v>1</v>
      </c>
      <c r="N2399" s="64">
        <f>1+(M2399/360)*(MAX(H2399,B2399)/100)</f>
        <v>1.0001005555555555</v>
      </c>
    </row>
    <row r="2400" spans="1:14">
      <c r="A2400" s="304"/>
      <c r="B2400" s="305"/>
      <c r="C2400" s="103">
        <f t="shared" si="219"/>
        <v>46198</v>
      </c>
      <c r="E2400" s="170" t="s">
        <v>18</v>
      </c>
      <c r="F2400" s="58" t="str">
        <f>VLOOKUP(MOD(C2400,7),'CALENDAR INFO'!$I$2:$J$8,2)</f>
        <v>THU</v>
      </c>
      <c r="G2400" s="214">
        <v>3.63</v>
      </c>
      <c r="H2400" s="425">
        <v>3.64</v>
      </c>
      <c r="I2400" s="457">
        <f t="shared" si="218"/>
        <v>1.0000000000000231E-2</v>
      </c>
      <c r="K2400" s="178"/>
      <c r="L2400" s="192"/>
      <c r="M2400" s="113">
        <f t="shared" si="221"/>
        <v>1</v>
      </c>
      <c r="N2400" s="64">
        <f t="shared" si="220"/>
        <v>1.0001011111111111</v>
      </c>
    </row>
    <row r="2401" spans="1:14">
      <c r="A2401" s="304"/>
      <c r="B2401" s="305"/>
      <c r="C2401" s="103">
        <f t="shared" si="219"/>
        <v>46199</v>
      </c>
      <c r="E2401" s="170"/>
      <c r="F2401" s="58" t="str">
        <f>VLOOKUP(MOD(C2401,7),'CALENDAR INFO'!$I$2:$J$8,2)</f>
        <v>FRI</v>
      </c>
      <c r="G2401" s="214">
        <v>3.63</v>
      </c>
      <c r="H2401" s="425">
        <v>3.62</v>
      </c>
      <c r="I2401" s="457">
        <f t="shared" si="218"/>
        <v>-9.9999999999997868E-3</v>
      </c>
      <c r="J2401" s="15" t="s">
        <v>238</v>
      </c>
      <c r="K2401" s="178">
        <f ca="1">K2394</f>
        <v>-108.75999999999995</v>
      </c>
      <c r="L2401" s="192">
        <f ca="1">L2394</f>
        <v>-108.85000000000005</v>
      </c>
      <c r="M2401" s="113">
        <f t="shared" si="221"/>
        <v>3</v>
      </c>
      <c r="N2401" s="64">
        <f t="shared" si="220"/>
        <v>1.0003016666666666</v>
      </c>
    </row>
    <row r="2402" spans="1:14">
      <c r="A2402" s="304"/>
      <c r="B2402" s="305"/>
      <c r="C2402" s="103">
        <f t="shared" si="219"/>
        <v>46200</v>
      </c>
      <c r="E2402" s="170"/>
      <c r="F2402" s="58" t="str">
        <f>VLOOKUP(MOD(C2402,7),'CALENDAR INFO'!$I$2:$J$8,2)</f>
        <v>SAT</v>
      </c>
      <c r="G2402" s="214">
        <v>3.63</v>
      </c>
      <c r="H2402" s="425">
        <v>3.62</v>
      </c>
      <c r="I2402" s="457">
        <f t="shared" si="218"/>
        <v>-9.9999999999997868E-3</v>
      </c>
      <c r="J2402" s="15" t="s">
        <v>239</v>
      </c>
      <c r="K2402" s="221">
        <f ca="1">K2399</f>
        <v>0</v>
      </c>
      <c r="L2402" s="223">
        <f ca="1">L2399</f>
        <v>0</v>
      </c>
      <c r="M2402" s="113">
        <f t="shared" si="221"/>
        <v>0</v>
      </c>
      <c r="N2402" s="64">
        <f t="shared" si="220"/>
        <v>1</v>
      </c>
    </row>
    <row r="2403" spans="1:14">
      <c r="A2403" s="304"/>
      <c r="B2403" s="305"/>
      <c r="C2403" s="103">
        <f t="shared" si="219"/>
        <v>46201</v>
      </c>
      <c r="E2403" s="170"/>
      <c r="F2403" s="58" t="str">
        <f>VLOOKUP(MOD(C2403,7),'CALENDAR INFO'!$I$2:$J$8,2)</f>
        <v>SUN</v>
      </c>
      <c r="G2403" s="214">
        <v>3.63</v>
      </c>
      <c r="H2403" s="425">
        <v>3.62</v>
      </c>
      <c r="I2403" s="457">
        <f t="shared" si="218"/>
        <v>-9.9999999999997868E-3</v>
      </c>
      <c r="J2403" s="15" t="s">
        <v>240</v>
      </c>
      <c r="K2403" s="178" t="e">
        <f ca="1">K2401/K2402</f>
        <v>#DIV/0!</v>
      </c>
      <c r="L2403" s="192" t="e">
        <f ca="1">L2401/L2402</f>
        <v>#DIV/0!</v>
      </c>
      <c r="M2403" s="113">
        <f t="shared" si="221"/>
        <v>0</v>
      </c>
      <c r="N2403" s="64">
        <f t="shared" si="220"/>
        <v>1</v>
      </c>
    </row>
    <row r="2404" spans="1:14">
      <c r="A2404" s="304"/>
      <c r="B2404" s="305"/>
      <c r="C2404" s="103">
        <f t="shared" si="219"/>
        <v>46202</v>
      </c>
      <c r="E2404" s="170"/>
      <c r="F2404" s="58" t="str">
        <f>VLOOKUP(MOD(C2404,7),'CALENDAR INFO'!$I$2:$J$8,2)</f>
        <v>MON</v>
      </c>
      <c r="G2404" s="214">
        <v>3.63</v>
      </c>
      <c r="H2404" s="425">
        <v>3.62</v>
      </c>
      <c r="I2404" s="457">
        <f t="shared" si="218"/>
        <v>-9.9999999999997868E-3</v>
      </c>
      <c r="K2404" s="189">
        <f ca="1">100-K2405</f>
        <v>96.37466666666667</v>
      </c>
      <c r="L2404" s="415">
        <f ca="1">100-L2405</f>
        <v>96.37166666666667</v>
      </c>
      <c r="M2404" s="113">
        <f t="shared" si="221"/>
        <v>1</v>
      </c>
      <c r="N2404" s="64">
        <f t="shared" si="220"/>
        <v>1.0001005555555555</v>
      </c>
    </row>
    <row r="2405" spans="1:14" ht="15.75" thickBot="1">
      <c r="A2405" s="405"/>
      <c r="B2405" s="406"/>
      <c r="C2405" s="104">
        <f t="shared" si="219"/>
        <v>46203</v>
      </c>
      <c r="D2405" s="112"/>
      <c r="E2405" s="101"/>
      <c r="F2405" s="71" t="str">
        <f>VLOOKUP(MOD(C2405,7),'CALENDAR INFO'!$I$2:$J$8,2)</f>
        <v>TUE</v>
      </c>
      <c r="G2405" s="215">
        <v>3.63</v>
      </c>
      <c r="H2405" s="426">
        <v>3.68</v>
      </c>
      <c r="I2405" s="458">
        <f t="shared" si="218"/>
        <v>5.0000000000000266E-2</v>
      </c>
      <c r="J2405" s="348"/>
      <c r="K2405" s="421">
        <f ca="1">+K2392/K2388</f>
        <v>3.6253333333333315</v>
      </c>
      <c r="L2405" s="422">
        <f ca="1">+L2392/L2388</f>
        <v>3.6283333333333352</v>
      </c>
      <c r="M2405" s="114">
        <f t="shared" si="221"/>
        <v>1</v>
      </c>
      <c r="N2405" s="292">
        <f t="shared" si="220"/>
        <v>1.0001022222222222</v>
      </c>
    </row>
    <row r="2406" spans="1:14">
      <c r="B2406" s="41"/>
      <c r="C2406" s="103">
        <f t="shared" si="219"/>
        <v>46204</v>
      </c>
      <c r="E2406" s="170"/>
      <c r="F2406" s="58" t="str">
        <f>VLOOKUP(MOD(C2406,7),'CALENDAR INFO'!$I$2:$J$8,2)</f>
        <v>WED</v>
      </c>
      <c r="G2406" s="214">
        <v>3.63</v>
      </c>
      <c r="H2406" s="425">
        <v>3.66</v>
      </c>
      <c r="I2406" s="457">
        <f t="shared" si="218"/>
        <v>3.0000000000000249E-2</v>
      </c>
      <c r="J2406" s="15" t="s">
        <v>151</v>
      </c>
      <c r="K2406" s="360">
        <f>ROW()</f>
        <v>2406</v>
      </c>
      <c r="L2406" s="233">
        <f>K2406</f>
        <v>2406</v>
      </c>
      <c r="M2406" s="113">
        <f t="shared" si="221"/>
        <v>1</v>
      </c>
      <c r="N2406" s="64">
        <f t="shared" si="220"/>
        <v>1.0001016666666667</v>
      </c>
    </row>
    <row r="2407" spans="1:14">
      <c r="B2407" s="41"/>
      <c r="C2407" s="103">
        <f t="shared" si="219"/>
        <v>46205</v>
      </c>
      <c r="E2407" s="170"/>
      <c r="F2407" s="58" t="str">
        <f>VLOOKUP(MOD(C2407,7),'CALENDAR INFO'!$I$2:$J$8,2)</f>
        <v>THU</v>
      </c>
      <c r="G2407" s="214">
        <v>3.63</v>
      </c>
      <c r="H2407" s="425">
        <v>3.64</v>
      </c>
      <c r="I2407" s="457">
        <f t="shared" si="218"/>
        <v>1.0000000000000231E-2</v>
      </c>
      <c r="J2407" s="15" t="s">
        <v>118</v>
      </c>
      <c r="K2407" s="15">
        <f>VLOOKUP(MONTH($C2406),'CALENDAR INFO'!$I$12:$J$23,2)</f>
        <v>31</v>
      </c>
      <c r="L2407" s="179">
        <f>K2407</f>
        <v>31</v>
      </c>
      <c r="M2407" s="117">
        <v>4</v>
      </c>
      <c r="N2407" s="64">
        <f t="shared" si="220"/>
        <v>1.0004044444444444</v>
      </c>
    </row>
    <row r="2408" spans="1:14">
      <c r="B2408" s="41"/>
      <c r="C2408" s="103">
        <f t="shared" si="219"/>
        <v>46206</v>
      </c>
      <c r="D2408" s="173" t="s">
        <v>49</v>
      </c>
      <c r="E2408" s="170"/>
      <c r="F2408" s="58" t="str">
        <f>VLOOKUP(MOD(C2408,7),'CALENDAR INFO'!$I$2:$J$8,2)</f>
        <v>FRI</v>
      </c>
      <c r="G2408" s="214">
        <v>3.63</v>
      </c>
      <c r="H2408" s="425">
        <v>3.64</v>
      </c>
      <c r="I2408" s="457">
        <f t="shared" si="218"/>
        <v>1.0000000000000231E-2</v>
      </c>
      <c r="J2408" s="15" t="s">
        <v>152</v>
      </c>
      <c r="K2408" s="15">
        <f>K2406+K2407-1</f>
        <v>2436</v>
      </c>
      <c r="L2408" s="179">
        <f>K2408</f>
        <v>2436</v>
      </c>
      <c r="M2408" s="117">
        <v>0</v>
      </c>
      <c r="N2408" s="64">
        <f t="shared" si="220"/>
        <v>1</v>
      </c>
    </row>
    <row r="2409" spans="1:14">
      <c r="B2409" s="41"/>
      <c r="C2409" s="103">
        <f t="shared" si="219"/>
        <v>46207</v>
      </c>
      <c r="E2409" s="170"/>
      <c r="F2409" s="58" t="str">
        <f>VLOOKUP(MOD(C2409,7),'CALENDAR INFO'!$I$2:$J$8,2)</f>
        <v>SAT</v>
      </c>
      <c r="G2409" s="214">
        <v>3.63</v>
      </c>
      <c r="H2409" s="425">
        <v>3.64</v>
      </c>
      <c r="I2409" s="457">
        <f t="shared" si="218"/>
        <v>1.0000000000000231E-2</v>
      </c>
      <c r="J2409" s="15" t="s">
        <v>244</v>
      </c>
      <c r="K2409" s="176">
        <f>ROW(D2434)</f>
        <v>2434</v>
      </c>
      <c r="L2409" s="179">
        <f>K2409</f>
        <v>2434</v>
      </c>
      <c r="M2409" s="113">
        <f t="shared" ref="M2409:M2440" si="222">IF(MOD(C2409,7)&lt;2,0,IF(MOD(C2409,7)=6,3,1))</f>
        <v>0</v>
      </c>
      <c r="N2409" s="64">
        <f t="shared" si="220"/>
        <v>1</v>
      </c>
    </row>
    <row r="2410" spans="1:14">
      <c r="B2410" s="41"/>
      <c r="C2410" s="103">
        <f t="shared" si="219"/>
        <v>46208</v>
      </c>
      <c r="E2410" s="170"/>
      <c r="F2410" s="58" t="str">
        <f>VLOOKUP(MOD(C2410,7),'CALENDAR INFO'!$I$2:$J$8,2)</f>
        <v>SUN</v>
      </c>
      <c r="G2410" s="214">
        <v>3.63</v>
      </c>
      <c r="H2410" s="425">
        <v>3.64</v>
      </c>
      <c r="I2410" s="457">
        <f t="shared" si="218"/>
        <v>1.0000000000000231E-2</v>
      </c>
      <c r="K2410" s="176"/>
      <c r="M2410" s="113">
        <f t="shared" si="222"/>
        <v>0</v>
      </c>
      <c r="N2410" s="64">
        <f t="shared" si="220"/>
        <v>1</v>
      </c>
    </row>
    <row r="2411" spans="1:14">
      <c r="B2411" s="41"/>
      <c r="C2411" s="103">
        <f t="shared" si="219"/>
        <v>46209</v>
      </c>
      <c r="E2411" s="170"/>
      <c r="F2411" s="58" t="str">
        <f>VLOOKUP(MOD(C2411,7),'CALENDAR INFO'!$I$2:$J$8,2)</f>
        <v>MON</v>
      </c>
      <c r="G2411" s="214">
        <v>3.63</v>
      </c>
      <c r="H2411" s="425">
        <v>3.63</v>
      </c>
      <c r="I2411" s="457">
        <f t="shared" si="218"/>
        <v>0</v>
      </c>
      <c r="J2411" s="15" t="s">
        <v>153</v>
      </c>
      <c r="K2411" s="15" t="str">
        <f>_xlfn.CONCAT(ADDRESS(K2406,7),":",ADDRESS(K2408,7))</f>
        <v>$G$2406:$G$2436</v>
      </c>
      <c r="L2411" s="179" t="str">
        <f>_xlfn.CONCAT(ADDRESS(L2406,8),":",ADDRESS(L2408,8))</f>
        <v>$H$2406:$H$2436</v>
      </c>
      <c r="M2411" s="113">
        <f t="shared" si="222"/>
        <v>1</v>
      </c>
      <c r="N2411" s="64">
        <f t="shared" si="220"/>
        <v>1.0001008333333334</v>
      </c>
    </row>
    <row r="2412" spans="1:14">
      <c r="B2412" s="41"/>
      <c r="C2412" s="103">
        <f t="shared" si="219"/>
        <v>46210</v>
      </c>
      <c r="E2412" s="170"/>
      <c r="F2412" s="58" t="str">
        <f>VLOOKUP(MOD(C2412,7),'CALENDAR INFO'!$I$2:$J$8,2)</f>
        <v>TUE</v>
      </c>
      <c r="G2412" s="214">
        <v>3.63</v>
      </c>
      <c r="H2412" s="425">
        <v>3.62</v>
      </c>
      <c r="I2412" s="457">
        <f t="shared" si="218"/>
        <v>-9.9999999999997868E-3</v>
      </c>
      <c r="J2412" s="176" t="s">
        <v>236</v>
      </c>
      <c r="K2412" s="15" t="str">
        <f>_xlfn.CONCAT(ADDRESS(K2406,1),":",ADDRESS(K2409,1))</f>
        <v>$A$2406:$A$2434</v>
      </c>
      <c r="L2412" s="179" t="str">
        <f>_xlfn.CONCAT(ADDRESS(L2406,2),":",ADDRESS(L2409,2))</f>
        <v>$B$2406:$B$2434</v>
      </c>
      <c r="M2412" s="113">
        <f t="shared" si="222"/>
        <v>1</v>
      </c>
      <c r="N2412" s="64">
        <f t="shared" si="220"/>
        <v>1.0001005555555555</v>
      </c>
    </row>
    <row r="2413" spans="1:14">
      <c r="B2413" s="41"/>
      <c r="C2413" s="103">
        <f t="shared" si="219"/>
        <v>46211</v>
      </c>
      <c r="E2413" s="170" t="s">
        <v>19</v>
      </c>
      <c r="F2413" s="58" t="str">
        <f>VLOOKUP(MOD(C2413,7),'CALENDAR INFO'!$I$2:$J$8,2)</f>
        <v>WED</v>
      </c>
      <c r="G2413" s="214">
        <v>3.62</v>
      </c>
      <c r="H2413" s="425">
        <v>3.58</v>
      </c>
      <c r="I2413" s="457">
        <f t="shared" si="218"/>
        <v>-4.0000000000000036E-2</v>
      </c>
      <c r="J2413" s="176" t="s">
        <v>235</v>
      </c>
      <c r="K2413" s="15" t="str">
        <f>_xlfn.CONCAT(ADDRESS(K2409+1,1),":",ADDRESS(K2408,1))</f>
        <v>$A$2435:$A$2436</v>
      </c>
      <c r="L2413" s="179" t="str">
        <f>_xlfn.CONCAT(ADDRESS(L2409+1,2),":",ADDRESS(L2408,2))</f>
        <v>$B$2435:$B$2436</v>
      </c>
      <c r="M2413" s="113">
        <f t="shared" si="222"/>
        <v>1</v>
      </c>
      <c r="N2413" s="64">
        <f t="shared" si="220"/>
        <v>1.0000994444444444</v>
      </c>
    </row>
    <row r="2414" spans="1:14">
      <c r="B2414" s="41"/>
      <c r="C2414" s="103">
        <f t="shared" si="219"/>
        <v>46212</v>
      </c>
      <c r="E2414" s="167" t="s">
        <v>18</v>
      </c>
      <c r="F2414" s="58" t="str">
        <f>VLOOKUP(MOD(C2414,7),'CALENDAR INFO'!$I$2:$J$8,2)</f>
        <v>THU</v>
      </c>
      <c r="G2414" s="214">
        <v>3.62</v>
      </c>
      <c r="H2414" s="425">
        <v>3.53</v>
      </c>
      <c r="I2414" s="457">
        <f t="shared" si="218"/>
        <v>-9.0000000000000302E-2</v>
      </c>
      <c r="M2414" s="113">
        <f t="shared" si="222"/>
        <v>1</v>
      </c>
      <c r="N2414" s="64">
        <f t="shared" si="220"/>
        <v>1.0000980555555556</v>
      </c>
    </row>
    <row r="2415" spans="1:14">
      <c r="B2415" s="41"/>
      <c r="C2415" s="103">
        <f t="shared" si="219"/>
        <v>46213</v>
      </c>
      <c r="E2415" s="167"/>
      <c r="F2415" s="58" t="str">
        <f>VLOOKUP(MOD(C2415,7),'CALENDAR INFO'!$I$2:$J$8,2)</f>
        <v>FRI</v>
      </c>
      <c r="G2415" s="214">
        <v>3.62</v>
      </c>
      <c r="H2415" s="425">
        <v>3.55</v>
      </c>
      <c r="I2415" s="457">
        <f t="shared" si="218"/>
        <v>-7.0000000000000284E-2</v>
      </c>
      <c r="J2415" s="15" t="s">
        <v>241</v>
      </c>
      <c r="K2415" s="186">
        <f>A2437+G2437</f>
        <v>3.63</v>
      </c>
      <c r="L2415" s="194">
        <f>B2437+H2437</f>
        <v>3.66</v>
      </c>
      <c r="M2415" s="113">
        <f t="shared" si="222"/>
        <v>3</v>
      </c>
      <c r="N2415" s="64">
        <f t="shared" si="220"/>
        <v>1.0002958333333334</v>
      </c>
    </row>
    <row r="2416" spans="1:14">
      <c r="B2416" s="41"/>
      <c r="C2416" s="103">
        <f t="shared" si="219"/>
        <v>46214</v>
      </c>
      <c r="E2416" s="167"/>
      <c r="F2416" s="58" t="str">
        <f>VLOOKUP(MOD(C2416,7),'CALENDAR INFO'!$I$2:$J$8,2)</f>
        <v>SAT</v>
      </c>
      <c r="G2416" s="214">
        <v>3.62</v>
      </c>
      <c r="H2416" s="425">
        <v>3.55</v>
      </c>
      <c r="I2416" s="457">
        <f t="shared" si="218"/>
        <v>-7.0000000000000284E-2</v>
      </c>
      <c r="M2416" s="113">
        <f t="shared" si="222"/>
        <v>0</v>
      </c>
      <c r="N2416" s="64">
        <f t="shared" si="220"/>
        <v>1</v>
      </c>
    </row>
    <row r="2417" spans="2:15">
      <c r="B2417" s="41"/>
      <c r="C2417" s="103">
        <f t="shared" si="219"/>
        <v>46215</v>
      </c>
      <c r="E2417" s="167"/>
      <c r="F2417" s="58" t="str">
        <f>VLOOKUP(MOD(C2417,7),'CALENDAR INFO'!$I$2:$J$8,2)</f>
        <v>SUN</v>
      </c>
      <c r="G2417" s="214">
        <v>3.62</v>
      </c>
      <c r="H2417" s="425">
        <v>3.55</v>
      </c>
      <c r="I2417" s="457">
        <f t="shared" si="218"/>
        <v>-7.0000000000000284E-2</v>
      </c>
      <c r="J2417" s="15" t="s">
        <v>197</v>
      </c>
      <c r="K2417" s="180">
        <f>OUTPUT!C4</f>
        <v>0</v>
      </c>
      <c r="L2417" s="193">
        <f>OUTPUT!F4</f>
        <v>0</v>
      </c>
      <c r="M2417" s="113">
        <f t="shared" si="222"/>
        <v>0</v>
      </c>
      <c r="N2417" s="64">
        <f t="shared" si="220"/>
        <v>1</v>
      </c>
    </row>
    <row r="2418" spans="2:15">
      <c r="B2418" s="41"/>
      <c r="C2418" s="103">
        <f t="shared" si="219"/>
        <v>46216</v>
      </c>
      <c r="E2418" s="167"/>
      <c r="F2418" s="58" t="str">
        <f>VLOOKUP(MOD(C2418,7),'CALENDAR INFO'!$I$2:$J$8,2)</f>
        <v>MON</v>
      </c>
      <c r="G2418" s="214">
        <v>3.62</v>
      </c>
      <c r="H2418" s="425">
        <v>3.6</v>
      </c>
      <c r="I2418" s="457">
        <f t="shared" si="218"/>
        <v>-2.0000000000000018E-2</v>
      </c>
      <c r="J2418" s="15" t="s">
        <v>118</v>
      </c>
      <c r="K2418" s="221">
        <f>VLOOKUP(MONTH($C2412),'CALENDAR INFO'!$I$12:$J$23,2)</f>
        <v>31</v>
      </c>
      <c r="L2418" s="223">
        <f>K2418</f>
        <v>31</v>
      </c>
      <c r="M2418" s="113">
        <f t="shared" si="222"/>
        <v>1</v>
      </c>
      <c r="N2418" s="64">
        <f t="shared" si="220"/>
        <v>1.0001</v>
      </c>
    </row>
    <row r="2419" spans="2:15" ht="15.75">
      <c r="B2419" s="41"/>
      <c r="C2419" s="103">
        <f t="shared" si="219"/>
        <v>46217</v>
      </c>
      <c r="E2419" s="167"/>
      <c r="F2419" s="58" t="str">
        <f>VLOOKUP(MOD(C2419,7),'CALENDAR INFO'!$I$2:$J$8,2)</f>
        <v>TUE</v>
      </c>
      <c r="G2419" s="214">
        <v>3.63</v>
      </c>
      <c r="H2419" s="425">
        <v>3.63</v>
      </c>
      <c r="I2419" s="457">
        <f t="shared" si="218"/>
        <v>0</v>
      </c>
      <c r="J2419" s="15" t="s">
        <v>234</v>
      </c>
      <c r="K2419" s="178">
        <f>K2417*K2407</f>
        <v>0</v>
      </c>
      <c r="L2419" s="192">
        <f>L2417*L2407</f>
        <v>0</v>
      </c>
      <c r="M2419" s="113">
        <f t="shared" si="222"/>
        <v>1</v>
      </c>
      <c r="N2419" s="64">
        <f t="shared" si="220"/>
        <v>1.0001008333333334</v>
      </c>
      <c r="O2419" s="376" t="s">
        <v>208</v>
      </c>
    </row>
    <row r="2420" spans="2:15" ht="15.75">
      <c r="B2420" s="41"/>
      <c r="C2420" s="103">
        <f t="shared" si="219"/>
        <v>46218</v>
      </c>
      <c r="E2420" s="167"/>
      <c r="F2420" s="58" t="str">
        <f>VLOOKUP(MOD(C2420,7),'CALENDAR INFO'!$I$2:$J$8,2)</f>
        <v>WED</v>
      </c>
      <c r="G2420" s="214">
        <v>3.63</v>
      </c>
      <c r="H2420" s="425">
        <v>3.64</v>
      </c>
      <c r="I2420" s="457">
        <f t="shared" si="218"/>
        <v>1.0000000000000231E-2</v>
      </c>
      <c r="M2420" s="113">
        <f t="shared" si="222"/>
        <v>1</v>
      </c>
      <c r="N2420" s="64">
        <f t="shared" si="220"/>
        <v>1.0001011111111111</v>
      </c>
      <c r="O2420" s="376" t="s">
        <v>207</v>
      </c>
    </row>
    <row r="2421" spans="2:15" ht="15.75">
      <c r="B2421" s="41"/>
      <c r="C2421" s="103">
        <f t="shared" si="219"/>
        <v>46219</v>
      </c>
      <c r="E2421" s="167"/>
      <c r="F2421" s="58" t="str">
        <f>VLOOKUP(MOD(C2421,7),'CALENDAR INFO'!$I$2:$J$8,2)</f>
        <v>THU</v>
      </c>
      <c r="G2421" s="214">
        <v>3.63</v>
      </c>
      <c r="H2421" s="425">
        <v>3.62</v>
      </c>
      <c r="I2421" s="457">
        <f t="shared" si="218"/>
        <v>-9.9999999999997868E-3</v>
      </c>
      <c r="J2421" s="15" t="str">
        <f>J2419</f>
        <v>monthly target</v>
      </c>
      <c r="K2421" s="178">
        <f>K2419</f>
        <v>0</v>
      </c>
      <c r="L2421" s="192">
        <f>L2419</f>
        <v>0</v>
      </c>
      <c r="M2421" s="113">
        <f t="shared" si="222"/>
        <v>1</v>
      </c>
      <c r="N2421" s="64">
        <f t="shared" si="220"/>
        <v>1.0001005555555555</v>
      </c>
      <c r="O2421" s="377" t="s">
        <v>37</v>
      </c>
    </row>
    <row r="2422" spans="2:15" ht="15.75">
      <c r="B2422" s="41"/>
      <c r="C2422" s="103">
        <f t="shared" si="219"/>
        <v>46220</v>
      </c>
      <c r="E2422" s="167"/>
      <c r="F2422" s="58" t="str">
        <f>VLOOKUP(MOD(C2422,7),'CALENDAR INFO'!$I$2:$J$8,2)</f>
        <v>FRI</v>
      </c>
      <c r="G2422" s="214">
        <v>3.63</v>
      </c>
      <c r="H2422" s="425">
        <v>3.59</v>
      </c>
      <c r="I2422" s="457">
        <f t="shared" si="218"/>
        <v>-4.0000000000000036E-2</v>
      </c>
      <c r="J2422" s="15" t="s">
        <v>155</v>
      </c>
      <c r="K2422" s="178">
        <f ca="1">SUM(INDIRECT(K2411))</f>
        <v>112.46999999999994</v>
      </c>
      <c r="L2422" s="192">
        <f ca="1">SUM(INDIRECT(L2411))</f>
        <v>112.10000000000002</v>
      </c>
      <c r="M2422" s="113">
        <f t="shared" si="222"/>
        <v>3</v>
      </c>
      <c r="N2422" s="64">
        <f t="shared" si="220"/>
        <v>1.0002991666666667</v>
      </c>
      <c r="O2422" s="378" t="s">
        <v>36</v>
      </c>
    </row>
    <row r="2423" spans="2:15">
      <c r="B2423" s="41"/>
      <c r="C2423" s="103">
        <f t="shared" si="219"/>
        <v>46221</v>
      </c>
      <c r="E2423" s="167"/>
      <c r="F2423" s="58" t="str">
        <f>VLOOKUP(MOD(C2423,7),'CALENDAR INFO'!$I$2:$J$8,2)</f>
        <v>SAT</v>
      </c>
      <c r="G2423" s="214">
        <v>3.63</v>
      </c>
      <c r="H2423" s="425">
        <v>3.59</v>
      </c>
      <c r="I2423" s="457">
        <f t="shared" si="218"/>
        <v>-4.0000000000000036E-2</v>
      </c>
      <c r="J2423" s="15" t="s">
        <v>237</v>
      </c>
      <c r="K2423" s="400">
        <f ca="1">SUM(INDIRECT(K2413))</f>
        <v>0</v>
      </c>
      <c r="L2423" s="401">
        <f ca="1">SUM(INDIRECT(L2413))</f>
        <v>0</v>
      </c>
      <c r="M2423" s="113">
        <f t="shared" si="222"/>
        <v>0</v>
      </c>
      <c r="N2423" s="64">
        <f t="shared" si="220"/>
        <v>1</v>
      </c>
    </row>
    <row r="2424" spans="2:15">
      <c r="B2424" s="41"/>
      <c r="C2424" s="103">
        <f t="shared" si="219"/>
        <v>46222</v>
      </c>
      <c r="E2424" s="167"/>
      <c r="F2424" s="58" t="str">
        <f>VLOOKUP(MOD(C2424,7),'CALENDAR INFO'!$I$2:$J$8,2)</f>
        <v>SUN</v>
      </c>
      <c r="G2424" s="214">
        <v>3.63</v>
      </c>
      <c r="H2424" s="425">
        <v>3.59</v>
      </c>
      <c r="I2424" s="457">
        <f t="shared" si="218"/>
        <v>-4.0000000000000036E-2</v>
      </c>
      <c r="J2424" s="15" t="s">
        <v>238</v>
      </c>
      <c r="K2424" s="182">
        <f ca="1">K2419-K2422-K2423</f>
        <v>-112.46999999999994</v>
      </c>
      <c r="L2424" s="201">
        <f ca="1">L2419-L2422-L2423</f>
        <v>-112.10000000000002</v>
      </c>
      <c r="M2424" s="113">
        <f t="shared" si="222"/>
        <v>0</v>
      </c>
      <c r="N2424" s="64">
        <f t="shared" si="220"/>
        <v>1</v>
      </c>
    </row>
    <row r="2425" spans="2:15">
      <c r="B2425" s="41"/>
      <c r="C2425" s="103">
        <f t="shared" si="219"/>
        <v>46223</v>
      </c>
      <c r="E2425" s="167"/>
      <c r="F2425" s="58" t="str">
        <f>VLOOKUP(MOD(C2425,7),'CALENDAR INFO'!$I$2:$J$8,2)</f>
        <v>MON</v>
      </c>
      <c r="G2425" s="214">
        <v>3.63</v>
      </c>
      <c r="H2425" s="425">
        <v>3.57</v>
      </c>
      <c r="I2425" s="457">
        <f t="shared" si="218"/>
        <v>-6.0000000000000053E-2</v>
      </c>
      <c r="K2425" s="178"/>
      <c r="L2425" s="192"/>
      <c r="M2425" s="113">
        <f t="shared" si="222"/>
        <v>1</v>
      </c>
      <c r="N2425" s="64">
        <f t="shared" si="220"/>
        <v>1.0000991666666668</v>
      </c>
    </row>
    <row r="2426" spans="2:15">
      <c r="B2426" s="41"/>
      <c r="C2426" s="103">
        <f t="shared" si="219"/>
        <v>46224</v>
      </c>
      <c r="E2426" s="167"/>
      <c r="F2426" s="58" t="str">
        <f>VLOOKUP(MOD(C2426,7),'CALENDAR INFO'!$I$2:$J$8,2)</f>
        <v>TUE</v>
      </c>
      <c r="G2426" s="214">
        <v>3.63</v>
      </c>
      <c r="H2426" s="425">
        <v>3.61</v>
      </c>
      <c r="I2426" s="457">
        <f t="shared" si="218"/>
        <v>-2.0000000000000018E-2</v>
      </c>
      <c r="J2426" s="15" t="s">
        <v>242</v>
      </c>
      <c r="K2426" s="15">
        <f>K2418</f>
        <v>31</v>
      </c>
      <c r="L2426" s="179">
        <f>L2418</f>
        <v>31</v>
      </c>
      <c r="M2426" s="113">
        <f t="shared" si="222"/>
        <v>1</v>
      </c>
      <c r="N2426" s="64">
        <f t="shared" si="220"/>
        <v>1.0001002777777779</v>
      </c>
      <c r="O2426" s="330" t="s">
        <v>92</v>
      </c>
    </row>
    <row r="2427" spans="2:15">
      <c r="B2427" s="41"/>
      <c r="C2427" s="103">
        <f t="shared" si="219"/>
        <v>46225</v>
      </c>
      <c r="E2427" s="167" t="s">
        <v>19</v>
      </c>
      <c r="F2427" s="58" t="str">
        <f>VLOOKUP(MOD(C2427,7),'CALENDAR INFO'!$I$2:$J$8,2)</f>
        <v>WED</v>
      </c>
      <c r="G2427" s="214">
        <v>3.63</v>
      </c>
      <c r="H2427" s="425">
        <v>3.62</v>
      </c>
      <c r="I2427" s="457">
        <f t="shared" si="218"/>
        <v>-9.9999999999997868E-3</v>
      </c>
      <c r="J2427" s="15" t="s">
        <v>194</v>
      </c>
      <c r="K2427" s="15">
        <f ca="1">COUNTA(INDIRECT(K2411))</f>
        <v>31</v>
      </c>
      <c r="L2427" s="179">
        <f ca="1">COUNTA(INDIRECT(L2411))</f>
        <v>31</v>
      </c>
      <c r="M2427" s="113">
        <f t="shared" si="222"/>
        <v>1</v>
      </c>
      <c r="N2427" s="64">
        <f t="shared" si="220"/>
        <v>1.0001005555555555</v>
      </c>
      <c r="O2427" s="332" t="s">
        <v>199</v>
      </c>
    </row>
    <row r="2428" spans="2:15">
      <c r="B2428" s="41"/>
      <c r="C2428" s="103">
        <f t="shared" si="219"/>
        <v>46226</v>
      </c>
      <c r="E2428" s="170" t="s">
        <v>18</v>
      </c>
      <c r="F2428" s="58" t="str">
        <f>VLOOKUP(MOD(C2428,7),'CALENDAR INFO'!$I$2:$J$8,2)</f>
        <v>THU</v>
      </c>
      <c r="G2428" s="214">
        <v>3.63</v>
      </c>
      <c r="H2428" s="425">
        <v>3.64</v>
      </c>
      <c r="I2428" s="457">
        <f t="shared" si="218"/>
        <v>1.0000000000000231E-2</v>
      </c>
      <c r="J2428" s="15" t="s">
        <v>243</v>
      </c>
      <c r="K2428" s="402">
        <f ca="1">COUNTA(INDIRECT(K2413))</f>
        <v>0</v>
      </c>
      <c r="L2428" s="403">
        <f ca="1">COUNTA(INDIRECT(L2413))</f>
        <v>0</v>
      </c>
      <c r="M2428" s="113">
        <f t="shared" si="222"/>
        <v>1</v>
      </c>
      <c r="N2428" s="64">
        <f t="shared" si="220"/>
        <v>1.0001011111111111</v>
      </c>
    </row>
    <row r="2429" spans="2:15">
      <c r="B2429" s="41"/>
      <c r="C2429" s="103">
        <f t="shared" si="219"/>
        <v>46227</v>
      </c>
      <c r="E2429" s="170"/>
      <c r="F2429" s="58" t="str">
        <f>VLOOKUP(MOD(C2429,7),'CALENDAR INFO'!$I$2:$J$8,2)</f>
        <v>FRI</v>
      </c>
      <c r="G2429" s="214">
        <v>3.63</v>
      </c>
      <c r="H2429" s="425">
        <v>3.64</v>
      </c>
      <c r="I2429" s="457">
        <f t="shared" si="218"/>
        <v>1.0000000000000231E-2</v>
      </c>
      <c r="J2429" s="15" t="s">
        <v>239</v>
      </c>
      <c r="K2429" s="152">
        <f ca="1">K2426-K2427-K2428</f>
        <v>0</v>
      </c>
      <c r="L2429" s="202">
        <f ca="1">L2426-L2427-L2428</f>
        <v>0</v>
      </c>
      <c r="M2429" s="113">
        <f t="shared" si="222"/>
        <v>3</v>
      </c>
      <c r="N2429" s="64">
        <f t="shared" si="220"/>
        <v>1.0003033333333333</v>
      </c>
    </row>
    <row r="2430" spans="2:15">
      <c r="B2430" s="41"/>
      <c r="C2430" s="103">
        <f t="shared" si="219"/>
        <v>46228</v>
      </c>
      <c r="E2430" s="170"/>
      <c r="F2430" s="58" t="str">
        <f>VLOOKUP(MOD(C2430,7),'CALENDAR INFO'!$I$2:$J$8,2)</f>
        <v>SAT</v>
      </c>
      <c r="G2430" s="214">
        <v>3.63</v>
      </c>
      <c r="H2430" s="425">
        <v>3.64</v>
      </c>
      <c r="I2430" s="457">
        <f t="shared" si="218"/>
        <v>1.0000000000000231E-2</v>
      </c>
      <c r="K2430" s="178"/>
      <c r="L2430" s="192"/>
      <c r="M2430" s="113">
        <f t="shared" si="222"/>
        <v>0</v>
      </c>
      <c r="N2430" s="64">
        <f t="shared" si="220"/>
        <v>1</v>
      </c>
    </row>
    <row r="2431" spans="2:15">
      <c r="B2431" s="41"/>
      <c r="C2431" s="103">
        <f t="shared" si="219"/>
        <v>46229</v>
      </c>
      <c r="E2431" s="170"/>
      <c r="F2431" s="58" t="str">
        <f>VLOOKUP(MOD(C2431,7),'CALENDAR INFO'!$I$2:$J$8,2)</f>
        <v>SUN</v>
      </c>
      <c r="G2431" s="214">
        <v>3.63</v>
      </c>
      <c r="H2431" s="425">
        <v>3.64</v>
      </c>
      <c r="I2431" s="457">
        <f t="shared" si="218"/>
        <v>1.0000000000000231E-2</v>
      </c>
      <c r="J2431" s="15" t="s">
        <v>238</v>
      </c>
      <c r="K2431" s="178">
        <f ca="1">K2424</f>
        <v>-112.46999999999994</v>
      </c>
      <c r="L2431" s="192">
        <f ca="1">L2424</f>
        <v>-112.10000000000002</v>
      </c>
      <c r="M2431" s="113">
        <f t="shared" si="222"/>
        <v>0</v>
      </c>
      <c r="N2431" s="64">
        <f t="shared" si="220"/>
        <v>1</v>
      </c>
    </row>
    <row r="2432" spans="2:15">
      <c r="B2432" s="41"/>
      <c r="C2432" s="103">
        <f t="shared" si="219"/>
        <v>46230</v>
      </c>
      <c r="E2432" s="170"/>
      <c r="F2432" s="58" t="str">
        <f>VLOOKUP(MOD(C2432,7),'CALENDAR INFO'!$I$2:$J$8,2)</f>
        <v>MON</v>
      </c>
      <c r="G2432" s="214">
        <v>3.63</v>
      </c>
      <c r="H2432" s="425">
        <v>3.64</v>
      </c>
      <c r="I2432" s="457">
        <f t="shared" si="218"/>
        <v>1.0000000000000231E-2</v>
      </c>
      <c r="J2432" s="15" t="s">
        <v>239</v>
      </c>
      <c r="K2432" s="221">
        <f ca="1">K2429</f>
        <v>0</v>
      </c>
      <c r="L2432" s="223">
        <f ca="1">L2429</f>
        <v>0</v>
      </c>
      <c r="M2432" s="113">
        <f t="shared" si="222"/>
        <v>1</v>
      </c>
      <c r="N2432" s="64">
        <f t="shared" si="220"/>
        <v>1.0001011111111111</v>
      </c>
    </row>
    <row r="2433" spans="1:18">
      <c r="B2433" s="41"/>
      <c r="C2433" s="103">
        <f t="shared" si="219"/>
        <v>46231</v>
      </c>
      <c r="D2433" s="153" t="s">
        <v>20</v>
      </c>
      <c r="E2433" s="170"/>
      <c r="F2433" s="58" t="str">
        <f>VLOOKUP(MOD(C2433,7),'CALENDAR INFO'!$I$2:$J$8,2)</f>
        <v>TUE</v>
      </c>
      <c r="G2433" s="214">
        <v>3.63</v>
      </c>
      <c r="H2433" s="425">
        <v>3.65</v>
      </c>
      <c r="I2433" s="457">
        <f t="shared" si="218"/>
        <v>2.0000000000000018E-2</v>
      </c>
      <c r="J2433" s="15" t="s">
        <v>240</v>
      </c>
      <c r="K2433" s="178" t="e">
        <f ca="1">K2431/K2432</f>
        <v>#DIV/0!</v>
      </c>
      <c r="L2433" s="192" t="e">
        <f ca="1">L2431/L2432</f>
        <v>#DIV/0!</v>
      </c>
      <c r="M2433" s="113">
        <f t="shared" si="222"/>
        <v>1</v>
      </c>
      <c r="N2433" s="64">
        <f t="shared" si="220"/>
        <v>1.000101388888889</v>
      </c>
    </row>
    <row r="2434" spans="1:18">
      <c r="B2434" s="41"/>
      <c r="C2434" s="103">
        <f t="shared" si="219"/>
        <v>46232</v>
      </c>
      <c r="D2434" s="153" t="s">
        <v>20</v>
      </c>
      <c r="E2434" s="170"/>
      <c r="F2434" s="58" t="str">
        <f>VLOOKUP(MOD(C2434,7),'CALENDAR INFO'!$I$2:$J$8,2)</f>
        <v>WED</v>
      </c>
      <c r="G2434" s="214">
        <v>3.63</v>
      </c>
      <c r="H2434" s="425">
        <v>3.65</v>
      </c>
      <c r="I2434" s="457">
        <f t="shared" si="218"/>
        <v>2.0000000000000018E-2</v>
      </c>
      <c r="M2434" s="113">
        <f t="shared" si="222"/>
        <v>1</v>
      </c>
      <c r="N2434" s="64">
        <f t="shared" si="220"/>
        <v>1.000101388888889</v>
      </c>
    </row>
    <row r="2435" spans="1:18">
      <c r="A2435" s="304"/>
      <c r="B2435" s="305"/>
      <c r="C2435" s="103">
        <f t="shared" si="219"/>
        <v>46233</v>
      </c>
      <c r="E2435" s="170"/>
      <c r="F2435" s="58" t="str">
        <f>VLOOKUP(MOD(C2435,7),'CALENDAR INFO'!$I$2:$J$8,2)</f>
        <v>THU</v>
      </c>
      <c r="G2435" s="214">
        <v>3.63</v>
      </c>
      <c r="H2435" s="425">
        <v>3.65</v>
      </c>
      <c r="I2435" s="457">
        <f t="shared" ref="I2435:I2498" si="223">H2435-G2435</f>
        <v>2.0000000000000018E-2</v>
      </c>
      <c r="M2435" s="113">
        <f t="shared" si="222"/>
        <v>1</v>
      </c>
      <c r="N2435" s="64">
        <f t="shared" si="220"/>
        <v>1.000101388888889</v>
      </c>
    </row>
    <row r="2436" spans="1:18" ht="15.75" thickBot="1">
      <c r="A2436" s="405"/>
      <c r="B2436" s="406"/>
      <c r="C2436" s="104">
        <f t="shared" ref="C2436:C2499" si="224">C2435+1</f>
        <v>46234</v>
      </c>
      <c r="D2436" s="112"/>
      <c r="E2436" s="101"/>
      <c r="F2436" s="71" t="str">
        <f>VLOOKUP(MOD(C2436,7),'CALENDAR INFO'!$I$2:$J$8,2)</f>
        <v>FRI</v>
      </c>
      <c r="G2436" s="215">
        <v>3.63</v>
      </c>
      <c r="H2436" s="426">
        <v>3.66</v>
      </c>
      <c r="I2436" s="458">
        <f t="shared" si="223"/>
        <v>3.0000000000000249E-2</v>
      </c>
      <c r="J2436" s="348"/>
      <c r="K2436" s="348"/>
      <c r="L2436" s="349"/>
      <c r="M2436" s="114">
        <f t="shared" si="222"/>
        <v>3</v>
      </c>
      <c r="N2436" s="292">
        <f t="shared" si="220"/>
        <v>1.000305</v>
      </c>
    </row>
    <row r="2437" spans="1:18">
      <c r="A2437" s="304"/>
      <c r="B2437" s="305"/>
      <c r="C2437" s="103">
        <f t="shared" si="224"/>
        <v>46235</v>
      </c>
      <c r="E2437" s="170"/>
      <c r="F2437" s="58" t="str">
        <f>VLOOKUP(MOD(C2437,7),'CALENDAR INFO'!$I$2:$J$8,2)</f>
        <v>SAT</v>
      </c>
      <c r="G2437" s="214">
        <v>3.63</v>
      </c>
      <c r="H2437" s="425">
        <v>3.66</v>
      </c>
      <c r="I2437" s="457">
        <f t="shared" si="223"/>
        <v>3.0000000000000249E-2</v>
      </c>
      <c r="J2437" s="15" t="s">
        <v>151</v>
      </c>
      <c r="K2437" s="375">
        <f>ROW()</f>
        <v>2437</v>
      </c>
      <c r="L2437" s="60">
        <f>K2437</f>
        <v>2437</v>
      </c>
      <c r="M2437" s="113">
        <f t="shared" si="222"/>
        <v>0</v>
      </c>
      <c r="N2437" s="64">
        <f t="shared" si="220"/>
        <v>1</v>
      </c>
    </row>
    <row r="2438" spans="1:18">
      <c r="A2438" s="84"/>
      <c r="B2438" s="228"/>
      <c r="C2438" s="103">
        <f t="shared" si="224"/>
        <v>46236</v>
      </c>
      <c r="E2438" s="170"/>
      <c r="F2438" s="58" t="str">
        <f>VLOOKUP(MOD(C2438,7),'CALENDAR INFO'!$I$2:$J$8,2)</f>
        <v>SUN</v>
      </c>
      <c r="G2438" s="214">
        <v>3.63</v>
      </c>
      <c r="H2438" s="425">
        <v>3.66</v>
      </c>
      <c r="I2438" s="457">
        <f t="shared" si="223"/>
        <v>3.0000000000000249E-2</v>
      </c>
      <c r="J2438" s="15" t="s">
        <v>118</v>
      </c>
      <c r="K2438" s="15">
        <f>VLOOKUP(MONTH($C2437),'CALENDAR INFO'!$I$12:$J$23,2)</f>
        <v>31</v>
      </c>
      <c r="L2438" s="15">
        <f>K2438</f>
        <v>31</v>
      </c>
      <c r="M2438" s="113">
        <f t="shared" si="222"/>
        <v>0</v>
      </c>
      <c r="N2438" s="64">
        <f t="shared" si="220"/>
        <v>1</v>
      </c>
    </row>
    <row r="2439" spans="1:18">
      <c r="A2439" s="84"/>
      <c r="B2439" s="228"/>
      <c r="C2439" s="103">
        <f t="shared" si="224"/>
        <v>46237</v>
      </c>
      <c r="E2439" s="170"/>
      <c r="F2439" s="58" t="str">
        <f>VLOOKUP(MOD(C2439,7),'CALENDAR INFO'!$I$2:$J$8,2)</f>
        <v>MON</v>
      </c>
      <c r="G2439" s="214">
        <v>3.63</v>
      </c>
      <c r="H2439" s="425">
        <v>3.65</v>
      </c>
      <c r="I2439" s="457">
        <f t="shared" si="223"/>
        <v>2.0000000000000018E-2</v>
      </c>
      <c r="J2439" s="15" t="s">
        <v>152</v>
      </c>
      <c r="K2439" s="15">
        <f>K2437+K2438-1</f>
        <v>2467</v>
      </c>
      <c r="L2439" s="15">
        <f>K2439</f>
        <v>2467</v>
      </c>
      <c r="M2439" s="113">
        <f t="shared" si="222"/>
        <v>1</v>
      </c>
      <c r="N2439" s="64">
        <f t="shared" si="220"/>
        <v>1.000101388888889</v>
      </c>
    </row>
    <row r="2440" spans="1:18">
      <c r="A2440" s="84"/>
      <c r="B2440" s="228"/>
      <c r="C2440" s="103">
        <f t="shared" si="224"/>
        <v>46238</v>
      </c>
      <c r="E2440" s="170"/>
      <c r="F2440" s="58" t="str">
        <f>VLOOKUP(MOD(C2440,7),'CALENDAR INFO'!$I$2:$J$8,2)</f>
        <v>TUE</v>
      </c>
      <c r="G2440" s="214">
        <v>3.63</v>
      </c>
      <c r="H2440" s="425">
        <v>3.66</v>
      </c>
      <c r="I2440" s="457">
        <f t="shared" si="223"/>
        <v>3.0000000000000249E-2</v>
      </c>
      <c r="J2440" s="15" t="s">
        <v>244</v>
      </c>
      <c r="K2440" s="311">
        <f>ROW(D2437)</f>
        <v>2437</v>
      </c>
      <c r="L2440" s="15">
        <f>K2440</f>
        <v>2437</v>
      </c>
      <c r="M2440" s="113">
        <f t="shared" si="222"/>
        <v>1</v>
      </c>
      <c r="N2440" s="64">
        <f t="shared" si="220"/>
        <v>1.0001016666666667</v>
      </c>
    </row>
    <row r="2441" spans="1:18">
      <c r="A2441" s="84"/>
      <c r="B2441" s="228"/>
      <c r="C2441" s="103">
        <f t="shared" si="224"/>
        <v>46239</v>
      </c>
      <c r="E2441" s="170" t="s">
        <v>19</v>
      </c>
      <c r="F2441" s="58" t="str">
        <f>VLOOKUP(MOD(C2441,7),'CALENDAR INFO'!$I$2:$J$8,2)</f>
        <v>WED</v>
      </c>
      <c r="G2441" s="214">
        <v>3.63</v>
      </c>
      <c r="H2441" s="425">
        <v>3.64</v>
      </c>
      <c r="I2441" s="457">
        <f t="shared" si="223"/>
        <v>1.0000000000000231E-2</v>
      </c>
      <c r="K2441" s="311"/>
      <c r="L2441" s="15"/>
      <c r="M2441" s="113">
        <f t="shared" ref="M2441:M2470" si="225">IF(MOD(C2441,7)&lt;2,0,IF(MOD(C2441,7)=6,3,1))</f>
        <v>1</v>
      </c>
      <c r="N2441" s="64">
        <f t="shared" si="220"/>
        <v>1.0001011111111111</v>
      </c>
    </row>
    <row r="2442" spans="1:18">
      <c r="A2442" s="84"/>
      <c r="B2442" s="228"/>
      <c r="C2442" s="103">
        <f t="shared" si="224"/>
        <v>46240</v>
      </c>
      <c r="E2442" s="167" t="s">
        <v>18</v>
      </c>
      <c r="F2442" s="58" t="str">
        <f>VLOOKUP(MOD(C2442,7),'CALENDAR INFO'!$I$2:$J$8,2)</f>
        <v>THU</v>
      </c>
      <c r="G2442" s="214">
        <v>3.63</v>
      </c>
      <c r="H2442" s="425">
        <v>3.65</v>
      </c>
      <c r="I2442" s="457">
        <f t="shared" si="223"/>
        <v>2.0000000000000018E-2</v>
      </c>
      <c r="J2442" s="15" t="s">
        <v>153</v>
      </c>
      <c r="K2442" s="15" t="str">
        <f>_xlfn.CONCAT(ADDRESS(K2437,7),":",ADDRESS(K2439,7))</f>
        <v>$G$2437:$G$2467</v>
      </c>
      <c r="L2442" s="15" t="str">
        <f>_xlfn.CONCAT(ADDRESS(L2437,8),":",ADDRESS(L2439,8))</f>
        <v>$H$2437:$H$2467</v>
      </c>
      <c r="M2442" s="113">
        <f t="shared" si="225"/>
        <v>1</v>
      </c>
      <c r="N2442" s="64">
        <f t="shared" si="220"/>
        <v>1.000101388888889</v>
      </c>
    </row>
    <row r="2443" spans="1:18">
      <c r="A2443" s="84"/>
      <c r="B2443" s="228"/>
      <c r="C2443" s="103">
        <f t="shared" si="224"/>
        <v>46241</v>
      </c>
      <c r="E2443" s="167"/>
      <c r="F2443" s="58" t="str">
        <f>VLOOKUP(MOD(C2443,7),'CALENDAR INFO'!$I$2:$J$8,2)</f>
        <v>FRI</v>
      </c>
      <c r="G2443" s="214">
        <v>3.63</v>
      </c>
      <c r="H2443" s="425">
        <v>3.62</v>
      </c>
      <c r="I2443" s="457">
        <f t="shared" si="223"/>
        <v>-9.9999999999997868E-3</v>
      </c>
      <c r="J2443" s="176" t="s">
        <v>235</v>
      </c>
      <c r="K2443" s="15" t="str">
        <f>_xlfn.CONCAT(ADDRESS(K2437,1),":",ADDRESS(K2440,1))</f>
        <v>$A$2437:$A$2437</v>
      </c>
      <c r="L2443" s="15" t="str">
        <f>_xlfn.CONCAT(ADDRESS(L2437,2),":",ADDRESS(L2440,2))</f>
        <v>$B$2437:$B$2437</v>
      </c>
      <c r="M2443" s="113">
        <f t="shared" si="225"/>
        <v>3</v>
      </c>
      <c r="N2443" s="64">
        <f t="shared" si="220"/>
        <v>1.0003016666666666</v>
      </c>
    </row>
    <row r="2444" spans="1:18">
      <c r="A2444" s="84"/>
      <c r="B2444" s="228"/>
      <c r="C2444" s="103">
        <f t="shared" si="224"/>
        <v>46242</v>
      </c>
      <c r="E2444" s="167"/>
      <c r="F2444" s="58" t="str">
        <f>VLOOKUP(MOD(C2444,7),'CALENDAR INFO'!$I$2:$J$8,2)</f>
        <v>SAT</v>
      </c>
      <c r="G2444" s="214">
        <v>3.63</v>
      </c>
      <c r="H2444" s="425">
        <v>3.62</v>
      </c>
      <c r="I2444" s="457">
        <f t="shared" si="223"/>
        <v>-9.9999999999997868E-3</v>
      </c>
      <c r="J2444" s="176" t="s">
        <v>236</v>
      </c>
      <c r="K2444" s="15" t="str">
        <f>_xlfn.CONCAT(ADDRESS(K2440+1,1),":",ADDRESS(K2439,1))</f>
        <v>$A$2438:$A$2467</v>
      </c>
      <c r="L2444" s="15" t="str">
        <f>_xlfn.CONCAT(ADDRESS(L2440+1,2),":",ADDRESS(L2439,2))</f>
        <v>$B$2438:$B$2467</v>
      </c>
      <c r="M2444" s="113">
        <f t="shared" si="225"/>
        <v>0</v>
      </c>
      <c r="N2444" s="64">
        <f t="shared" si="220"/>
        <v>1</v>
      </c>
    </row>
    <row r="2445" spans="1:18">
      <c r="A2445" s="84"/>
      <c r="B2445" s="228"/>
      <c r="C2445" s="103">
        <f t="shared" si="224"/>
        <v>46243</v>
      </c>
      <c r="E2445" s="167"/>
      <c r="F2445" s="58" t="str">
        <f>VLOOKUP(MOD(C2445,7),'CALENDAR INFO'!$I$2:$J$8,2)</f>
        <v>SUN</v>
      </c>
      <c r="G2445" s="214">
        <v>3.63</v>
      </c>
      <c r="H2445" s="425">
        <v>3.62</v>
      </c>
      <c r="I2445" s="457">
        <f t="shared" si="223"/>
        <v>-9.9999999999997868E-3</v>
      </c>
      <c r="M2445" s="113">
        <f t="shared" si="225"/>
        <v>0</v>
      </c>
      <c r="N2445" s="64">
        <f t="shared" si="220"/>
        <v>1</v>
      </c>
    </row>
    <row r="2446" spans="1:18" ht="15.75" thickBot="1">
      <c r="A2446" s="84"/>
      <c r="B2446" s="228"/>
      <c r="C2446" s="103">
        <f t="shared" si="224"/>
        <v>46244</v>
      </c>
      <c r="E2446" s="167"/>
      <c r="F2446" s="58" t="str">
        <f>VLOOKUP(MOD(C2446,7),'CALENDAR INFO'!$I$2:$J$8,2)</f>
        <v>MON</v>
      </c>
      <c r="G2446" s="214">
        <v>3.63</v>
      </c>
      <c r="H2446" s="425">
        <v>3.63</v>
      </c>
      <c r="I2446" s="457">
        <f t="shared" si="223"/>
        <v>0</v>
      </c>
      <c r="J2446" s="15" t="s">
        <v>241</v>
      </c>
      <c r="K2446" s="186">
        <f>K2448</f>
        <v>3.6299999999999955</v>
      </c>
      <c r="L2446" s="194">
        <f>L2448</f>
        <v>3.6400000000000006</v>
      </c>
      <c r="M2446" s="113">
        <f t="shared" si="225"/>
        <v>1</v>
      </c>
      <c r="N2446" s="64">
        <f t="shared" si="220"/>
        <v>1.0001008333333334</v>
      </c>
    </row>
    <row r="2447" spans="1:18">
      <c r="A2447" s="84"/>
      <c r="B2447" s="228"/>
      <c r="C2447" s="103">
        <f t="shared" si="224"/>
        <v>46245</v>
      </c>
      <c r="E2447" s="167"/>
      <c r="F2447" s="58" t="str">
        <f>VLOOKUP(MOD(C2447,7),'CALENDAR INFO'!$I$2:$J$8,2)</f>
        <v>TUE</v>
      </c>
      <c r="G2447" s="214">
        <v>3.63</v>
      </c>
      <c r="H2447" s="425">
        <v>3.64</v>
      </c>
      <c r="I2447" s="457">
        <f t="shared" si="223"/>
        <v>1.0000000000000231E-2</v>
      </c>
      <c r="K2447" s="178"/>
      <c r="L2447" s="192"/>
      <c r="M2447" s="113">
        <f t="shared" si="225"/>
        <v>1</v>
      </c>
      <c r="N2447" s="64">
        <f t="shared" si="220"/>
        <v>1.0001011111111111</v>
      </c>
      <c r="P2447" s="125" t="s">
        <v>161</v>
      </c>
      <c r="Q2447" s="463">
        <v>46254</v>
      </c>
      <c r="R2447" s="464">
        <v>3.63</v>
      </c>
    </row>
    <row r="2448" spans="1:18" ht="15.75" thickBot="1">
      <c r="A2448" s="84"/>
      <c r="B2448" s="228"/>
      <c r="C2448" s="103">
        <f t="shared" si="224"/>
        <v>46246</v>
      </c>
      <c r="E2448" s="167"/>
      <c r="F2448" s="58" t="str">
        <f>VLOOKUP(MOD(C2448,7),'CALENDAR INFO'!$I$2:$J$8,2)</f>
        <v>WED</v>
      </c>
      <c r="G2448" s="214">
        <v>3.63</v>
      </c>
      <c r="H2448" s="425">
        <v>3.62</v>
      </c>
      <c r="I2448" s="457">
        <f t="shared" si="223"/>
        <v>-9.9999999999997868E-3</v>
      </c>
      <c r="J2448" s="15" t="s">
        <v>197</v>
      </c>
      <c r="K2448" s="180">
        <f>OUTPUT!C5</f>
        <v>3.6299999999999955</v>
      </c>
      <c r="L2448" s="180">
        <f>OUTPUT!F5</f>
        <v>3.6400000000000006</v>
      </c>
      <c r="M2448" s="113">
        <f t="shared" si="225"/>
        <v>1</v>
      </c>
      <c r="N2448" s="64">
        <f t="shared" si="220"/>
        <v>1.0001005555555555</v>
      </c>
      <c r="P2448" s="130" t="s">
        <v>162</v>
      </c>
      <c r="Q2448" s="465">
        <v>46254</v>
      </c>
      <c r="R2448" s="466">
        <v>3.63</v>
      </c>
    </row>
    <row r="2449" spans="1:14">
      <c r="A2449" s="84"/>
      <c r="B2449" s="228"/>
      <c r="C2449" s="103">
        <f t="shared" si="224"/>
        <v>46247</v>
      </c>
      <c r="E2449" s="167"/>
      <c r="F2449" s="58" t="str">
        <f>VLOOKUP(MOD(C2449,7),'CALENDAR INFO'!$I$2:$J$8,2)</f>
        <v>THU</v>
      </c>
      <c r="G2449" s="214">
        <v>3.63</v>
      </c>
      <c r="H2449" s="425">
        <v>3.62</v>
      </c>
      <c r="I2449" s="457">
        <f t="shared" si="223"/>
        <v>-9.9999999999997868E-3</v>
      </c>
      <c r="J2449" s="15" t="s">
        <v>118</v>
      </c>
      <c r="K2449" s="221">
        <f>VLOOKUP(MONTH($C2443),'CALENDAR INFO'!$I$12:$J$23,2)</f>
        <v>31</v>
      </c>
      <c r="L2449" s="221">
        <f>K2449</f>
        <v>31</v>
      </c>
      <c r="M2449" s="113">
        <f t="shared" si="225"/>
        <v>1</v>
      </c>
      <c r="N2449" s="64">
        <f t="shared" si="220"/>
        <v>1.0001005555555555</v>
      </c>
    </row>
    <row r="2450" spans="1:14">
      <c r="A2450" s="84"/>
      <c r="B2450" s="228"/>
      <c r="C2450" s="103">
        <f t="shared" si="224"/>
        <v>46248</v>
      </c>
      <c r="E2450" s="167"/>
      <c r="F2450" s="58" t="str">
        <f>VLOOKUP(MOD(C2450,7),'CALENDAR INFO'!$I$2:$J$8,2)</f>
        <v>FRI</v>
      </c>
      <c r="G2450" s="214">
        <v>3.63</v>
      </c>
      <c r="H2450" s="425">
        <v>3.62</v>
      </c>
      <c r="I2450" s="457">
        <f t="shared" si="223"/>
        <v>-9.9999999999997868E-3</v>
      </c>
      <c r="J2450" s="15" t="s">
        <v>234</v>
      </c>
      <c r="K2450" s="178">
        <f>K2448*K2438</f>
        <v>112.52999999999986</v>
      </c>
      <c r="L2450" s="178">
        <f>L2448*L2438</f>
        <v>112.84000000000002</v>
      </c>
      <c r="M2450" s="113">
        <f t="shared" si="225"/>
        <v>3</v>
      </c>
      <c r="N2450" s="64">
        <f t="shared" si="220"/>
        <v>1.0003016666666666</v>
      </c>
    </row>
    <row r="2451" spans="1:14">
      <c r="A2451" s="84"/>
      <c r="B2451" s="228"/>
      <c r="C2451" s="103">
        <f t="shared" si="224"/>
        <v>46249</v>
      </c>
      <c r="E2451" s="167"/>
      <c r="F2451" s="58" t="str">
        <f>VLOOKUP(MOD(C2451,7),'CALENDAR INFO'!$I$2:$J$8,2)</f>
        <v>SAT</v>
      </c>
      <c r="G2451" s="214">
        <v>3.63</v>
      </c>
      <c r="H2451" s="425">
        <v>3.62</v>
      </c>
      <c r="I2451" s="457">
        <f t="shared" si="223"/>
        <v>-9.9999999999997868E-3</v>
      </c>
      <c r="K2451" s="178"/>
      <c r="L2451" s="192"/>
      <c r="M2451" s="113">
        <f t="shared" si="225"/>
        <v>0</v>
      </c>
      <c r="N2451" s="64">
        <f t="shared" ref="N2451:N2514" si="226">1+(M2451/360)*(MAX(H2451,B2451)/100)</f>
        <v>1</v>
      </c>
    </row>
    <row r="2452" spans="1:14">
      <c r="A2452" s="84"/>
      <c r="B2452" s="228"/>
      <c r="C2452" s="103">
        <f t="shared" si="224"/>
        <v>46250</v>
      </c>
      <c r="E2452" s="167"/>
      <c r="F2452" s="58" t="str">
        <f>VLOOKUP(MOD(C2452,7),'CALENDAR INFO'!$I$2:$J$8,2)</f>
        <v>SUN</v>
      </c>
      <c r="G2452" s="214">
        <v>3.63</v>
      </c>
      <c r="H2452" s="425">
        <v>3.62</v>
      </c>
      <c r="I2452" s="457">
        <f t="shared" si="223"/>
        <v>-9.9999999999997868E-3</v>
      </c>
      <c r="J2452" s="15" t="str">
        <f>J2450</f>
        <v>monthly target</v>
      </c>
      <c r="K2452" s="178">
        <f>K2450</f>
        <v>112.52999999999986</v>
      </c>
      <c r="L2452" s="192">
        <f>L2450</f>
        <v>112.84000000000002</v>
      </c>
      <c r="M2452" s="113">
        <f t="shared" si="225"/>
        <v>0</v>
      </c>
      <c r="N2452" s="64">
        <f t="shared" si="226"/>
        <v>1</v>
      </c>
    </row>
    <row r="2453" spans="1:14">
      <c r="A2453" s="84"/>
      <c r="B2453" s="228"/>
      <c r="C2453" s="103">
        <f t="shared" si="224"/>
        <v>46251</v>
      </c>
      <c r="E2453" s="167"/>
      <c r="F2453" s="58" t="str">
        <f>VLOOKUP(MOD(C2453,7),'CALENDAR INFO'!$I$2:$J$8,2)</f>
        <v>MON</v>
      </c>
      <c r="G2453" s="214">
        <v>3.63</v>
      </c>
      <c r="H2453" s="425">
        <v>3.66</v>
      </c>
      <c r="I2453" s="457">
        <f t="shared" si="223"/>
        <v>3.0000000000000249E-2</v>
      </c>
      <c r="J2453" s="15" t="s">
        <v>155</v>
      </c>
      <c r="K2453" s="178">
        <f ca="1">SUM(INDIRECT(K2442))</f>
        <v>72.600000000000009</v>
      </c>
      <c r="L2453" s="192">
        <f ca="1">SUM(INDIRECT(L2442))</f>
        <v>72.709999999999994</v>
      </c>
      <c r="M2453" s="113">
        <f t="shared" si="225"/>
        <v>1</v>
      </c>
      <c r="N2453" s="64">
        <f t="shared" si="226"/>
        <v>1.0001016666666667</v>
      </c>
    </row>
    <row r="2454" spans="1:14">
      <c r="A2454" s="84"/>
      <c r="B2454" s="228"/>
      <c r="C2454" s="103">
        <f t="shared" si="224"/>
        <v>46252</v>
      </c>
      <c r="E2454" s="167"/>
      <c r="F2454" s="58" t="str">
        <f>VLOOKUP(MOD(C2454,7),'CALENDAR INFO'!$I$2:$J$8,2)</f>
        <v>TUE</v>
      </c>
      <c r="G2454" s="214">
        <v>3.63</v>
      </c>
      <c r="H2454" s="425">
        <v>3.65</v>
      </c>
      <c r="I2454" s="457">
        <f t="shared" si="223"/>
        <v>2.0000000000000018E-2</v>
      </c>
      <c r="J2454" s="15" t="s">
        <v>237</v>
      </c>
      <c r="K2454" s="400">
        <f ca="1">SUM(INDIRECT(K2443))</f>
        <v>0</v>
      </c>
      <c r="L2454" s="401">
        <f ca="1">SUM(INDIRECT(L2443))</f>
        <v>0</v>
      </c>
      <c r="M2454" s="113">
        <f t="shared" si="225"/>
        <v>1</v>
      </c>
      <c r="N2454" s="64">
        <f t="shared" si="226"/>
        <v>1.000101388888889</v>
      </c>
    </row>
    <row r="2455" spans="1:14">
      <c r="A2455" s="84"/>
      <c r="B2455" s="228"/>
      <c r="C2455" s="103">
        <f t="shared" si="224"/>
        <v>46253</v>
      </c>
      <c r="E2455" s="167" t="s">
        <v>19</v>
      </c>
      <c r="F2455" s="58" t="str">
        <f>VLOOKUP(MOD(C2455,7),'CALENDAR INFO'!$I$2:$J$8,2)</f>
        <v>WED</v>
      </c>
      <c r="G2455" s="214">
        <v>3.63</v>
      </c>
      <c r="H2455" s="425">
        <v>3.62</v>
      </c>
      <c r="I2455" s="457">
        <f t="shared" si="223"/>
        <v>-9.9999999999997868E-3</v>
      </c>
      <c r="J2455" s="15" t="s">
        <v>238</v>
      </c>
      <c r="K2455" s="182">
        <f ca="1">K2450-K2453-K2454</f>
        <v>39.929999999999851</v>
      </c>
      <c r="L2455" s="201">
        <f ca="1">L2450-L2453-L2454</f>
        <v>40.130000000000024</v>
      </c>
      <c r="M2455" s="113">
        <f t="shared" si="225"/>
        <v>1</v>
      </c>
      <c r="N2455" s="64">
        <f t="shared" si="226"/>
        <v>1.0001005555555555</v>
      </c>
    </row>
    <row r="2456" spans="1:14">
      <c r="A2456" s="84"/>
      <c r="B2456" s="228"/>
      <c r="C2456" s="103">
        <f t="shared" si="224"/>
        <v>46254</v>
      </c>
      <c r="E2456" s="170" t="s">
        <v>18</v>
      </c>
      <c r="F2456" s="58" t="str">
        <f>VLOOKUP(MOD(C2456,7),'CALENDAR INFO'!$I$2:$J$8,2)</f>
        <v>THU</v>
      </c>
      <c r="G2456" s="214">
        <v>3.63</v>
      </c>
      <c r="H2456" s="425">
        <v>3.63</v>
      </c>
      <c r="I2456" s="457">
        <f t="shared" si="223"/>
        <v>0</v>
      </c>
      <c r="M2456" s="113">
        <f t="shared" si="225"/>
        <v>1</v>
      </c>
      <c r="N2456" s="64">
        <f t="shared" si="226"/>
        <v>1.0001008333333334</v>
      </c>
    </row>
    <row r="2457" spans="1:14">
      <c r="A2457" s="84">
        <f t="shared" ref="A2456:A2467" ca="1" si="227">K$2464</f>
        <v>3.6299999999999866</v>
      </c>
      <c r="B2457" s="228">
        <f t="shared" ref="B2456:B2467" ca="1" si="228">L$2464</f>
        <v>3.6481818181818202</v>
      </c>
      <c r="C2457" s="103">
        <f t="shared" si="224"/>
        <v>46255</v>
      </c>
      <c r="E2457" s="170"/>
      <c r="F2457" s="58" t="str">
        <f>VLOOKUP(MOD(C2457,7),'CALENDAR INFO'!$I$2:$J$8,2)</f>
        <v>FRI</v>
      </c>
      <c r="I2457" s="457">
        <f t="shared" si="223"/>
        <v>0</v>
      </c>
      <c r="J2457" s="15" t="s">
        <v>242</v>
      </c>
      <c r="K2457" s="15">
        <f>K2449</f>
        <v>31</v>
      </c>
      <c r="L2457" s="179">
        <f>L2449</f>
        <v>31</v>
      </c>
      <c r="M2457" s="113">
        <f t="shared" si="225"/>
        <v>3</v>
      </c>
      <c r="N2457" s="64">
        <f t="shared" ca="1" si="226"/>
        <v>1.0003040151515152</v>
      </c>
    </row>
    <row r="2458" spans="1:14">
      <c r="A2458" s="84">
        <f t="shared" ca="1" si="227"/>
        <v>3.6299999999999866</v>
      </c>
      <c r="B2458" s="228">
        <f t="shared" ca="1" si="228"/>
        <v>3.6481818181818202</v>
      </c>
      <c r="C2458" s="103">
        <f t="shared" si="224"/>
        <v>46256</v>
      </c>
      <c r="E2458" s="170"/>
      <c r="F2458" s="58" t="str">
        <f>VLOOKUP(MOD(C2458,7),'CALENDAR INFO'!$I$2:$J$8,2)</f>
        <v>SAT</v>
      </c>
      <c r="I2458" s="457">
        <f t="shared" si="223"/>
        <v>0</v>
      </c>
      <c r="J2458" s="15" t="s">
        <v>194</v>
      </c>
      <c r="K2458" s="15">
        <f ca="1">COUNTA(INDIRECT(K2442))</f>
        <v>20</v>
      </c>
      <c r="L2458" s="179">
        <f ca="1">COUNTA(INDIRECT(L2442))</f>
        <v>20</v>
      </c>
      <c r="M2458" s="113">
        <f t="shared" si="225"/>
        <v>0</v>
      </c>
      <c r="N2458" s="64">
        <f t="shared" ca="1" si="226"/>
        <v>1</v>
      </c>
    </row>
    <row r="2459" spans="1:14">
      <c r="A2459" s="84">
        <f t="shared" ca="1" si="227"/>
        <v>3.6299999999999866</v>
      </c>
      <c r="B2459" s="228">
        <f t="shared" ca="1" si="228"/>
        <v>3.6481818181818202</v>
      </c>
      <c r="C2459" s="103">
        <f t="shared" si="224"/>
        <v>46257</v>
      </c>
      <c r="E2459" s="170"/>
      <c r="F2459" s="58" t="str">
        <f>VLOOKUP(MOD(C2459,7),'CALENDAR INFO'!$I$2:$J$8,2)</f>
        <v>SUN</v>
      </c>
      <c r="I2459" s="457">
        <f t="shared" si="223"/>
        <v>0</v>
      </c>
      <c r="J2459" s="15" t="s">
        <v>243</v>
      </c>
      <c r="K2459" s="402">
        <f ca="1">COUNTA(INDIRECT(K2443))</f>
        <v>0</v>
      </c>
      <c r="L2459" s="403">
        <f ca="1">COUNTA(INDIRECT(L2443))</f>
        <v>0</v>
      </c>
      <c r="M2459" s="113">
        <f t="shared" si="225"/>
        <v>0</v>
      </c>
      <c r="N2459" s="64">
        <f t="shared" ca="1" si="226"/>
        <v>1</v>
      </c>
    </row>
    <row r="2460" spans="1:14">
      <c r="A2460" s="84">
        <f t="shared" ca="1" si="227"/>
        <v>3.6299999999999866</v>
      </c>
      <c r="B2460" s="228">
        <f t="shared" ca="1" si="228"/>
        <v>3.6481818181818202</v>
      </c>
      <c r="C2460" s="103">
        <f t="shared" si="224"/>
        <v>46258</v>
      </c>
      <c r="E2460" s="170"/>
      <c r="F2460" s="58" t="str">
        <f>VLOOKUP(MOD(C2460,7),'CALENDAR INFO'!$I$2:$J$8,2)</f>
        <v>MON</v>
      </c>
      <c r="I2460" s="457">
        <f t="shared" si="223"/>
        <v>0</v>
      </c>
      <c r="J2460" s="15" t="s">
        <v>239</v>
      </c>
      <c r="K2460" s="152">
        <f ca="1">K2457-K2458-K2459</f>
        <v>11</v>
      </c>
      <c r="L2460" s="202">
        <f ca="1">L2457-L2458-L2459</f>
        <v>11</v>
      </c>
      <c r="M2460" s="113">
        <f t="shared" si="225"/>
        <v>1</v>
      </c>
      <c r="N2460" s="64">
        <f t="shared" ca="1" si="226"/>
        <v>1.0001013383838384</v>
      </c>
    </row>
    <row r="2461" spans="1:14">
      <c r="A2461" s="84">
        <f t="shared" ca="1" si="227"/>
        <v>3.6299999999999866</v>
      </c>
      <c r="B2461" s="228">
        <f t="shared" ca="1" si="228"/>
        <v>3.6481818181818202</v>
      </c>
      <c r="C2461" s="103">
        <f t="shared" si="224"/>
        <v>46259</v>
      </c>
      <c r="E2461" s="170"/>
      <c r="F2461" s="58" t="str">
        <f>VLOOKUP(MOD(C2461,7),'CALENDAR INFO'!$I$2:$J$8,2)</f>
        <v>TUE</v>
      </c>
      <c r="I2461" s="457">
        <f t="shared" si="223"/>
        <v>0</v>
      </c>
      <c r="K2461" s="178"/>
      <c r="L2461" s="192"/>
      <c r="M2461" s="113">
        <f t="shared" si="225"/>
        <v>1</v>
      </c>
      <c r="N2461" s="64">
        <f t="shared" ca="1" si="226"/>
        <v>1.0001013383838384</v>
      </c>
    </row>
    <row r="2462" spans="1:14">
      <c r="A2462" s="84">
        <f t="shared" ca="1" si="227"/>
        <v>3.6299999999999866</v>
      </c>
      <c r="B2462" s="228">
        <f t="shared" ca="1" si="228"/>
        <v>3.6481818181818202</v>
      </c>
      <c r="C2462" s="103">
        <f t="shared" si="224"/>
        <v>46260</v>
      </c>
      <c r="E2462" s="170"/>
      <c r="F2462" s="58" t="str">
        <f>VLOOKUP(MOD(C2462,7),'CALENDAR INFO'!$I$2:$J$8,2)</f>
        <v>WED</v>
      </c>
      <c r="I2462" s="457">
        <f t="shared" si="223"/>
        <v>0</v>
      </c>
      <c r="J2462" s="15" t="s">
        <v>238</v>
      </c>
      <c r="K2462" s="178">
        <f ca="1">K2455</f>
        <v>39.929999999999851</v>
      </c>
      <c r="L2462" s="192">
        <f ca="1">L2455</f>
        <v>40.130000000000024</v>
      </c>
      <c r="M2462" s="113">
        <f t="shared" si="225"/>
        <v>1</v>
      </c>
      <c r="N2462" s="64">
        <f t="shared" ca="1" si="226"/>
        <v>1.0001013383838384</v>
      </c>
    </row>
    <row r="2463" spans="1:14">
      <c r="A2463" s="84">
        <f t="shared" ca="1" si="227"/>
        <v>3.6299999999999866</v>
      </c>
      <c r="B2463" s="228">
        <f t="shared" ca="1" si="228"/>
        <v>3.6481818181818202</v>
      </c>
      <c r="C2463" s="103">
        <f t="shared" si="224"/>
        <v>46261</v>
      </c>
      <c r="E2463" s="170"/>
      <c r="F2463" s="58" t="str">
        <f>VLOOKUP(MOD(C2463,7),'CALENDAR INFO'!$I$2:$J$8,2)</f>
        <v>THU</v>
      </c>
      <c r="I2463" s="457">
        <f t="shared" si="223"/>
        <v>0</v>
      </c>
      <c r="J2463" s="15" t="s">
        <v>239</v>
      </c>
      <c r="K2463" s="221">
        <f ca="1">K2460</f>
        <v>11</v>
      </c>
      <c r="L2463" s="223">
        <f ca="1">L2460</f>
        <v>11</v>
      </c>
      <c r="M2463" s="113">
        <f t="shared" si="225"/>
        <v>1</v>
      </c>
      <c r="N2463" s="64">
        <f t="shared" ca="1" si="226"/>
        <v>1.0001013383838384</v>
      </c>
    </row>
    <row r="2464" spans="1:14">
      <c r="A2464" s="84">
        <f t="shared" ca="1" si="227"/>
        <v>3.6299999999999866</v>
      </c>
      <c r="B2464" s="228">
        <f t="shared" ca="1" si="228"/>
        <v>3.6481818181818202</v>
      </c>
      <c r="C2464" s="103">
        <f t="shared" si="224"/>
        <v>46262</v>
      </c>
      <c r="E2464" s="170"/>
      <c r="F2464" s="58" t="str">
        <f>VLOOKUP(MOD(C2464,7),'CALENDAR INFO'!$I$2:$J$8,2)</f>
        <v>FRI</v>
      </c>
      <c r="I2464" s="457">
        <f t="shared" si="223"/>
        <v>0</v>
      </c>
      <c r="J2464" s="15" t="s">
        <v>240</v>
      </c>
      <c r="K2464" s="178">
        <f ca="1">K2462/K2463</f>
        <v>3.6299999999999866</v>
      </c>
      <c r="L2464" s="192">
        <f ca="1">L2462/L2463</f>
        <v>3.6481818181818202</v>
      </c>
      <c r="M2464" s="113">
        <f t="shared" si="225"/>
        <v>3</v>
      </c>
      <c r="N2464" s="64">
        <f t="shared" ca="1" si="226"/>
        <v>1.0003040151515152</v>
      </c>
    </row>
    <row r="2465" spans="1:14">
      <c r="A2465" s="84">
        <f t="shared" ca="1" si="227"/>
        <v>3.6299999999999866</v>
      </c>
      <c r="B2465" s="228">
        <f t="shared" ca="1" si="228"/>
        <v>3.6481818181818202</v>
      </c>
      <c r="C2465" s="103">
        <f t="shared" si="224"/>
        <v>46263</v>
      </c>
      <c r="E2465" s="170"/>
      <c r="F2465" s="58" t="str">
        <f>VLOOKUP(MOD(C2465,7),'CALENDAR INFO'!$I$2:$J$8,2)</f>
        <v>SAT</v>
      </c>
      <c r="I2465" s="457">
        <f t="shared" si="223"/>
        <v>0</v>
      </c>
      <c r="M2465" s="113">
        <f t="shared" si="225"/>
        <v>0</v>
      </c>
      <c r="N2465" s="64">
        <f t="shared" ca="1" si="226"/>
        <v>1</v>
      </c>
    </row>
    <row r="2466" spans="1:14">
      <c r="A2466" s="84">
        <f t="shared" ca="1" si="227"/>
        <v>3.6299999999999866</v>
      </c>
      <c r="B2466" s="228">
        <f t="shared" ca="1" si="228"/>
        <v>3.6481818181818202</v>
      </c>
      <c r="C2466" s="103">
        <f t="shared" si="224"/>
        <v>46264</v>
      </c>
      <c r="E2466" s="170"/>
      <c r="F2466" s="58" t="str">
        <f>VLOOKUP(MOD(C2466,7),'CALENDAR INFO'!$I$2:$J$8,2)</f>
        <v>SUN</v>
      </c>
      <c r="I2466" s="457">
        <f t="shared" si="223"/>
        <v>0</v>
      </c>
      <c r="M2466" s="113">
        <f t="shared" si="225"/>
        <v>0</v>
      </c>
      <c r="N2466" s="64">
        <f t="shared" ca="1" si="226"/>
        <v>1</v>
      </c>
    </row>
    <row r="2467" spans="1:14" ht="15.75" thickBot="1">
      <c r="A2467" s="407">
        <f t="shared" ca="1" si="227"/>
        <v>3.6299999999999866</v>
      </c>
      <c r="B2467" s="408">
        <f t="shared" ca="1" si="228"/>
        <v>3.6481818181818202</v>
      </c>
      <c r="C2467" s="104">
        <f t="shared" si="224"/>
        <v>46265</v>
      </c>
      <c r="D2467" s="112"/>
      <c r="E2467" s="101"/>
      <c r="F2467" s="71" t="str">
        <f>VLOOKUP(MOD(C2467,7),'CALENDAR INFO'!$I$2:$J$8,2)</f>
        <v>MON</v>
      </c>
      <c r="G2467" s="215"/>
      <c r="H2467" s="426"/>
      <c r="I2467" s="458">
        <f t="shared" si="223"/>
        <v>0</v>
      </c>
      <c r="J2467" s="348"/>
      <c r="K2467" s="348"/>
      <c r="L2467" s="349"/>
      <c r="M2467" s="114">
        <f t="shared" si="225"/>
        <v>1</v>
      </c>
      <c r="N2467" s="292">
        <f t="shared" ca="1" si="226"/>
        <v>1.0001013383838384</v>
      </c>
    </row>
    <row r="2468" spans="1:14">
      <c r="A2468" s="39">
        <f ca="1">K$2495</f>
        <v>3.636562500000013</v>
      </c>
      <c r="B2468" s="41">
        <f t="shared" ref="B2468:B2483" ca="1" si="229">L$2495</f>
        <v>3.6382812500000012</v>
      </c>
      <c r="C2468" s="103">
        <f t="shared" si="224"/>
        <v>46266</v>
      </c>
      <c r="E2468" s="170"/>
      <c r="F2468" s="58" t="str">
        <f>VLOOKUP(MOD(C2468,7),'CALENDAR INFO'!$I$2:$J$8,2)</f>
        <v>TUE</v>
      </c>
      <c r="I2468" s="457">
        <f t="shared" si="223"/>
        <v>0</v>
      </c>
      <c r="J2468" s="15" t="s">
        <v>151</v>
      </c>
      <c r="K2468" s="360">
        <f>ROW()</f>
        <v>2468</v>
      </c>
      <c r="L2468" s="233">
        <f>K2468</f>
        <v>2468</v>
      </c>
      <c r="M2468" s="113">
        <f t="shared" si="225"/>
        <v>1</v>
      </c>
      <c r="N2468" s="64">
        <f t="shared" ca="1" si="226"/>
        <v>1.0001010633680556</v>
      </c>
    </row>
    <row r="2469" spans="1:14">
      <c r="A2469" s="39">
        <f t="shared" ref="A2469:A2483" ca="1" si="230">K$2495</f>
        <v>3.636562500000013</v>
      </c>
      <c r="B2469" s="41">
        <f t="shared" ca="1" si="229"/>
        <v>3.6382812500000012</v>
      </c>
      <c r="C2469" s="103">
        <f t="shared" si="224"/>
        <v>46267</v>
      </c>
      <c r="E2469" s="170" t="s">
        <v>19</v>
      </c>
      <c r="F2469" s="58" t="str">
        <f>VLOOKUP(MOD(C2469,7),'CALENDAR INFO'!$I$2:$J$8,2)</f>
        <v>WED</v>
      </c>
      <c r="I2469" s="457">
        <f t="shared" si="223"/>
        <v>0</v>
      </c>
      <c r="J2469" s="15" t="s">
        <v>118</v>
      </c>
      <c r="K2469" s="15">
        <f>VLOOKUP(MONTH($C2468),'CALENDAR INFO'!$I$12:$J$23,2)</f>
        <v>30</v>
      </c>
      <c r="L2469" s="179">
        <f>K2469</f>
        <v>30</v>
      </c>
      <c r="M2469" s="113">
        <f t="shared" si="225"/>
        <v>1</v>
      </c>
      <c r="N2469" s="64">
        <f t="shared" ca="1" si="226"/>
        <v>1.0001010633680556</v>
      </c>
    </row>
    <row r="2470" spans="1:14">
      <c r="A2470" s="39">
        <f t="shared" ca="1" si="230"/>
        <v>3.636562500000013</v>
      </c>
      <c r="B2470" s="41">
        <f t="shared" ca="1" si="229"/>
        <v>3.6382812500000012</v>
      </c>
      <c r="C2470" s="103">
        <f t="shared" si="224"/>
        <v>46268</v>
      </c>
      <c r="E2470" s="167" t="s">
        <v>18</v>
      </c>
      <c r="F2470" s="58" t="str">
        <f>VLOOKUP(MOD(C2470,7),'CALENDAR INFO'!$I$2:$J$8,2)</f>
        <v>THU</v>
      </c>
      <c r="I2470" s="457">
        <f t="shared" si="223"/>
        <v>0</v>
      </c>
      <c r="J2470" s="15" t="s">
        <v>152</v>
      </c>
      <c r="K2470" s="15">
        <f>K2468+K2469-1</f>
        <v>2497</v>
      </c>
      <c r="L2470" s="179">
        <f>K2470</f>
        <v>2497</v>
      </c>
      <c r="M2470" s="113">
        <f t="shared" si="225"/>
        <v>1</v>
      </c>
      <c r="N2470" s="64">
        <f t="shared" ca="1" si="226"/>
        <v>1.0001010633680556</v>
      </c>
    </row>
    <row r="2471" spans="1:14">
      <c r="A2471" s="39">
        <f t="shared" ca="1" si="230"/>
        <v>3.636562500000013</v>
      </c>
      <c r="B2471" s="41">
        <f t="shared" ca="1" si="229"/>
        <v>3.6382812500000012</v>
      </c>
      <c r="C2471" s="103">
        <f t="shared" si="224"/>
        <v>46269</v>
      </c>
      <c r="E2471" s="167"/>
      <c r="F2471" s="58" t="str">
        <f>VLOOKUP(MOD(C2471,7),'CALENDAR INFO'!$I$2:$J$8,2)</f>
        <v>FRI</v>
      </c>
      <c r="I2471" s="457">
        <f t="shared" si="223"/>
        <v>0</v>
      </c>
      <c r="J2471" s="15" t="s">
        <v>244</v>
      </c>
      <c r="K2471" s="176">
        <f>ROW(D2483)</f>
        <v>2483</v>
      </c>
      <c r="L2471" s="179">
        <f>K2471</f>
        <v>2483</v>
      </c>
      <c r="M2471" s="117">
        <v>4</v>
      </c>
      <c r="N2471" s="64">
        <f t="shared" ca="1" si="226"/>
        <v>1.0004042534722222</v>
      </c>
    </row>
    <row r="2472" spans="1:14">
      <c r="A2472" s="39">
        <f t="shared" ca="1" si="230"/>
        <v>3.636562500000013</v>
      </c>
      <c r="B2472" s="41">
        <f t="shared" ca="1" si="229"/>
        <v>3.6382812500000012</v>
      </c>
      <c r="C2472" s="103">
        <f t="shared" si="224"/>
        <v>46270</v>
      </c>
      <c r="E2472" s="167"/>
      <c r="F2472" s="58" t="str">
        <f>VLOOKUP(MOD(C2472,7),'CALENDAR INFO'!$I$2:$J$8,2)</f>
        <v>SAT</v>
      </c>
      <c r="I2472" s="457">
        <f t="shared" si="223"/>
        <v>0</v>
      </c>
      <c r="K2472" s="176"/>
      <c r="M2472" s="113">
        <f>IF(MOD(C2472,7)&lt;2,0,IF(MOD(C2472,7)=6,3,1))</f>
        <v>0</v>
      </c>
      <c r="N2472" s="64">
        <f t="shared" ca="1" si="226"/>
        <v>1</v>
      </c>
    </row>
    <row r="2473" spans="1:14">
      <c r="A2473" s="39">
        <f t="shared" ca="1" si="230"/>
        <v>3.636562500000013</v>
      </c>
      <c r="B2473" s="41">
        <f t="shared" ca="1" si="229"/>
        <v>3.6382812500000012</v>
      </c>
      <c r="C2473" s="103">
        <f t="shared" si="224"/>
        <v>46271</v>
      </c>
      <c r="E2473" s="167"/>
      <c r="F2473" s="58" t="str">
        <f>VLOOKUP(MOD(C2473,7),'CALENDAR INFO'!$I$2:$J$8,2)</f>
        <v>SUN</v>
      </c>
      <c r="I2473" s="457">
        <f t="shared" si="223"/>
        <v>0</v>
      </c>
      <c r="J2473" s="15" t="s">
        <v>153</v>
      </c>
      <c r="K2473" s="15" t="str">
        <f>_xlfn.CONCAT(ADDRESS(K2468,7),":",ADDRESS(K2470,7))</f>
        <v>$G$2468:$G$2497</v>
      </c>
      <c r="L2473" s="179" t="str">
        <f>_xlfn.CONCAT(ADDRESS(L2468,8),":",ADDRESS(L2470,8))</f>
        <v>$H$2468:$H$2497</v>
      </c>
      <c r="M2473" s="113">
        <f>IF(MOD(C2473,7)&lt;2,0,IF(MOD(C2473,7)=6,3,1))</f>
        <v>0</v>
      </c>
      <c r="N2473" s="64">
        <f t="shared" ca="1" si="226"/>
        <v>1</v>
      </c>
    </row>
    <row r="2474" spans="1:14">
      <c r="A2474" s="39">
        <f t="shared" ca="1" si="230"/>
        <v>3.636562500000013</v>
      </c>
      <c r="B2474" s="41">
        <f t="shared" ca="1" si="229"/>
        <v>3.6382812500000012</v>
      </c>
      <c r="C2474" s="103">
        <f t="shared" si="224"/>
        <v>46272</v>
      </c>
      <c r="D2474" s="173" t="s">
        <v>112</v>
      </c>
      <c r="E2474" s="167"/>
      <c r="F2474" s="58" t="str">
        <f>VLOOKUP(MOD(C2474,7),'CALENDAR INFO'!$I$2:$J$8,2)</f>
        <v>MON</v>
      </c>
      <c r="I2474" s="457">
        <f t="shared" si="223"/>
        <v>0</v>
      </c>
      <c r="J2474" s="176" t="s">
        <v>236</v>
      </c>
      <c r="K2474" s="15" t="str">
        <f>_xlfn.CONCAT(ADDRESS(K2468,1),":",ADDRESS(K2471,1))</f>
        <v>$A$2468:$A$2483</v>
      </c>
      <c r="L2474" s="179" t="str">
        <f>_xlfn.CONCAT(ADDRESS(L2468,2),":",ADDRESS(L2471,2))</f>
        <v>$B$2468:$B$2483</v>
      </c>
      <c r="M2474" s="117">
        <v>0</v>
      </c>
      <c r="N2474" s="64">
        <f t="shared" ca="1" si="226"/>
        <v>1</v>
      </c>
    </row>
    <row r="2475" spans="1:14">
      <c r="A2475" s="39">
        <f t="shared" ca="1" si="230"/>
        <v>3.636562500000013</v>
      </c>
      <c r="B2475" s="41">
        <f t="shared" ca="1" si="229"/>
        <v>3.6382812500000012</v>
      </c>
      <c r="C2475" s="103">
        <f t="shared" si="224"/>
        <v>46273</v>
      </c>
      <c r="E2475" s="167"/>
      <c r="F2475" s="58" t="str">
        <f>VLOOKUP(MOD(C2475,7),'CALENDAR INFO'!$I$2:$J$8,2)</f>
        <v>TUE</v>
      </c>
      <c r="I2475" s="457">
        <f t="shared" si="223"/>
        <v>0</v>
      </c>
      <c r="J2475" s="176" t="s">
        <v>235</v>
      </c>
      <c r="K2475" s="15" t="str">
        <f>_xlfn.CONCAT(ADDRESS(K2471+1,1),":",ADDRESS(K2470,1))</f>
        <v>$A$2484:$A$2497</v>
      </c>
      <c r="L2475" s="179" t="str">
        <f>_xlfn.CONCAT(ADDRESS(L2471+1,2),":",ADDRESS(L2470,2))</f>
        <v>$B$2484:$B$2497</v>
      </c>
      <c r="M2475" s="113">
        <f t="shared" ref="M2475:M2505" si="231">IF(MOD(C2475,7)&lt;2,0,IF(MOD(C2475,7)=6,3,1))</f>
        <v>1</v>
      </c>
      <c r="N2475" s="64">
        <f t="shared" ca="1" si="226"/>
        <v>1.0001010633680556</v>
      </c>
    </row>
    <row r="2476" spans="1:14">
      <c r="A2476" s="39">
        <f t="shared" ca="1" si="230"/>
        <v>3.636562500000013</v>
      </c>
      <c r="B2476" s="41">
        <f t="shared" ca="1" si="229"/>
        <v>3.6382812500000012</v>
      </c>
      <c r="C2476" s="103">
        <f t="shared" si="224"/>
        <v>46274</v>
      </c>
      <c r="E2476" s="167"/>
      <c r="F2476" s="58" t="str">
        <f>VLOOKUP(MOD(C2476,7),'CALENDAR INFO'!$I$2:$J$8,2)</f>
        <v>WED</v>
      </c>
      <c r="I2476" s="457">
        <f t="shared" si="223"/>
        <v>0</v>
      </c>
      <c r="M2476" s="113">
        <f t="shared" si="231"/>
        <v>1</v>
      </c>
      <c r="N2476" s="64">
        <f t="shared" ca="1" si="226"/>
        <v>1.0001010633680556</v>
      </c>
    </row>
    <row r="2477" spans="1:14">
      <c r="A2477" s="39">
        <f t="shared" ca="1" si="230"/>
        <v>3.636562500000013</v>
      </c>
      <c r="B2477" s="41">
        <f t="shared" ca="1" si="229"/>
        <v>3.6382812500000012</v>
      </c>
      <c r="C2477" s="103">
        <f t="shared" si="224"/>
        <v>46275</v>
      </c>
      <c r="E2477" s="167"/>
      <c r="F2477" s="58" t="str">
        <f>VLOOKUP(MOD(C2477,7),'CALENDAR INFO'!$I$2:$J$8,2)</f>
        <v>THU</v>
      </c>
      <c r="I2477" s="457">
        <f t="shared" si="223"/>
        <v>0</v>
      </c>
      <c r="J2477" s="15" t="s">
        <v>241</v>
      </c>
      <c r="K2477" s="186">
        <f ca="1">A2499+G2499</f>
        <v>3.7296428571428568</v>
      </c>
      <c r="L2477" s="194">
        <f ca="1">B2499+H2499</f>
        <v>3.7491071428571376</v>
      </c>
      <c r="M2477" s="113">
        <f t="shared" si="231"/>
        <v>1</v>
      </c>
      <c r="N2477" s="64">
        <f t="shared" ca="1" si="226"/>
        <v>1.0001010633680556</v>
      </c>
    </row>
    <row r="2478" spans="1:14">
      <c r="A2478" s="39">
        <f t="shared" ca="1" si="230"/>
        <v>3.636562500000013</v>
      </c>
      <c r="B2478" s="41">
        <f t="shared" ca="1" si="229"/>
        <v>3.6382812500000012</v>
      </c>
      <c r="C2478" s="103">
        <f t="shared" si="224"/>
        <v>46276</v>
      </c>
      <c r="E2478" s="167"/>
      <c r="F2478" s="58" t="str">
        <f>VLOOKUP(MOD(C2478,7),'CALENDAR INFO'!$I$2:$J$8,2)</f>
        <v>FRI</v>
      </c>
      <c r="I2478" s="457">
        <f t="shared" si="223"/>
        <v>0</v>
      </c>
      <c r="M2478" s="113">
        <f t="shared" si="231"/>
        <v>3</v>
      </c>
      <c r="N2478" s="64">
        <f t="shared" ca="1" si="226"/>
        <v>1.0003031901041666</v>
      </c>
    </row>
    <row r="2479" spans="1:14">
      <c r="A2479" s="39">
        <f t="shared" ca="1" si="230"/>
        <v>3.636562500000013</v>
      </c>
      <c r="B2479" s="41">
        <f t="shared" ca="1" si="229"/>
        <v>3.6382812500000012</v>
      </c>
      <c r="C2479" s="103">
        <f t="shared" si="224"/>
        <v>46277</v>
      </c>
      <c r="E2479" s="167"/>
      <c r="F2479" s="58" t="str">
        <f>VLOOKUP(MOD(C2479,7),'CALENDAR INFO'!$I$2:$J$8,2)</f>
        <v>SAT</v>
      </c>
      <c r="I2479" s="457">
        <f t="shared" si="223"/>
        <v>0</v>
      </c>
      <c r="J2479" s="15" t="s">
        <v>197</v>
      </c>
      <c r="K2479" s="180">
        <f>OUTPUT!C6</f>
        <v>3.6800000000000068</v>
      </c>
      <c r="L2479" s="193">
        <f>OUTPUT!F6</f>
        <v>3.6899999999999977</v>
      </c>
      <c r="M2479" s="113">
        <f t="shared" si="231"/>
        <v>0</v>
      </c>
      <c r="N2479" s="64">
        <f t="shared" ca="1" si="226"/>
        <v>1</v>
      </c>
    </row>
    <row r="2480" spans="1:14">
      <c r="A2480" s="39">
        <f t="shared" ca="1" si="230"/>
        <v>3.636562500000013</v>
      </c>
      <c r="B2480" s="41">
        <f t="shared" ca="1" si="229"/>
        <v>3.6382812500000012</v>
      </c>
      <c r="C2480" s="103">
        <f t="shared" si="224"/>
        <v>46278</v>
      </c>
      <c r="E2480" s="167"/>
      <c r="F2480" s="58" t="str">
        <f>VLOOKUP(MOD(C2480,7),'CALENDAR INFO'!$I$2:$J$8,2)</f>
        <v>SUN</v>
      </c>
      <c r="I2480" s="457">
        <f t="shared" si="223"/>
        <v>0</v>
      </c>
      <c r="J2480" s="15" t="s">
        <v>118</v>
      </c>
      <c r="K2480" s="221">
        <f>VLOOKUP(MONTH($C2474),'CALENDAR INFO'!$I$12:$J$23,2)</f>
        <v>30</v>
      </c>
      <c r="L2480" s="223">
        <f>K2480</f>
        <v>30</v>
      </c>
      <c r="M2480" s="113">
        <f t="shared" si="231"/>
        <v>0</v>
      </c>
      <c r="N2480" s="64">
        <f t="shared" ca="1" si="226"/>
        <v>1</v>
      </c>
    </row>
    <row r="2481" spans="1:14">
      <c r="A2481" s="39">
        <f t="shared" ca="1" si="230"/>
        <v>3.636562500000013</v>
      </c>
      <c r="B2481" s="41">
        <f t="shared" ca="1" si="229"/>
        <v>3.6382812500000012</v>
      </c>
      <c r="C2481" s="103">
        <f t="shared" si="224"/>
        <v>46279</v>
      </c>
      <c r="E2481" s="167"/>
      <c r="F2481" s="58" t="str">
        <f>VLOOKUP(MOD(C2481,7),'CALENDAR INFO'!$I$2:$J$8,2)</f>
        <v>MON</v>
      </c>
      <c r="I2481" s="457">
        <f t="shared" si="223"/>
        <v>0</v>
      </c>
      <c r="J2481" s="15" t="s">
        <v>234</v>
      </c>
      <c r="K2481" s="178">
        <f>K2479*K2469</f>
        <v>110.4000000000002</v>
      </c>
      <c r="L2481" s="192">
        <f>L2479*L2469</f>
        <v>110.69999999999993</v>
      </c>
      <c r="M2481" s="113">
        <f t="shared" si="231"/>
        <v>1</v>
      </c>
      <c r="N2481" s="64">
        <f t="shared" ca="1" si="226"/>
        <v>1.0001010633680556</v>
      </c>
    </row>
    <row r="2482" spans="1:14">
      <c r="A2482" s="39">
        <f t="shared" ca="1" si="230"/>
        <v>3.636562500000013</v>
      </c>
      <c r="B2482" s="41">
        <f t="shared" ca="1" si="229"/>
        <v>3.6382812500000012</v>
      </c>
      <c r="C2482" s="103">
        <f t="shared" si="224"/>
        <v>46280</v>
      </c>
      <c r="D2482" s="153" t="s">
        <v>20</v>
      </c>
      <c r="E2482" s="167"/>
      <c r="F2482" s="58" t="str">
        <f>VLOOKUP(MOD(C2482,7),'CALENDAR INFO'!$I$2:$J$8,2)</f>
        <v>TUE</v>
      </c>
      <c r="I2482" s="457">
        <f t="shared" si="223"/>
        <v>0</v>
      </c>
      <c r="M2482" s="113">
        <f t="shared" si="231"/>
        <v>1</v>
      </c>
      <c r="N2482" s="64">
        <f t="shared" ca="1" si="226"/>
        <v>1.0001010633680556</v>
      </c>
    </row>
    <row r="2483" spans="1:14">
      <c r="A2483" s="39">
        <f t="shared" ca="1" si="230"/>
        <v>3.636562500000013</v>
      </c>
      <c r="B2483" s="41">
        <f t="shared" ca="1" si="229"/>
        <v>3.6382812500000012</v>
      </c>
      <c r="C2483" s="103">
        <f t="shared" si="224"/>
        <v>46281</v>
      </c>
      <c r="D2483" s="153" t="s">
        <v>20</v>
      </c>
      <c r="E2483" s="167" t="s">
        <v>19</v>
      </c>
      <c r="F2483" s="58" t="str">
        <f>VLOOKUP(MOD(C2483,7),'CALENDAR INFO'!$I$2:$J$8,2)</f>
        <v>WED</v>
      </c>
      <c r="I2483" s="457">
        <f t="shared" si="223"/>
        <v>0</v>
      </c>
      <c r="J2483" s="15" t="str">
        <f>J2481</f>
        <v>monthly target</v>
      </c>
      <c r="K2483" s="178">
        <f>K2481</f>
        <v>110.4000000000002</v>
      </c>
      <c r="L2483" s="192">
        <f>L2481</f>
        <v>110.69999999999993</v>
      </c>
      <c r="M2483" s="113">
        <f t="shared" si="231"/>
        <v>1</v>
      </c>
      <c r="N2483" s="64">
        <f t="shared" ca="1" si="226"/>
        <v>1.0001010633680556</v>
      </c>
    </row>
    <row r="2484" spans="1:14">
      <c r="A2484" s="304">
        <f ca="1">K$2477</f>
        <v>3.7296428571428568</v>
      </c>
      <c r="B2484" s="305">
        <f t="shared" ref="B2484:B2497" ca="1" si="232">L$2477</f>
        <v>3.7491071428571376</v>
      </c>
      <c r="C2484" s="103">
        <f t="shared" si="224"/>
        <v>46282</v>
      </c>
      <c r="E2484" s="170" t="s">
        <v>18</v>
      </c>
      <c r="F2484" s="58" t="str">
        <f>VLOOKUP(MOD(C2484,7),'CALENDAR INFO'!$I$2:$J$8,2)</f>
        <v>THU</v>
      </c>
      <c r="I2484" s="457">
        <f t="shared" si="223"/>
        <v>0</v>
      </c>
      <c r="J2484" s="15" t="s">
        <v>155</v>
      </c>
      <c r="K2484" s="178">
        <f ca="1">SUM(INDIRECT(K2473))</f>
        <v>0</v>
      </c>
      <c r="L2484" s="192">
        <f ca="1">SUM(INDIRECT(L2473))</f>
        <v>0</v>
      </c>
      <c r="M2484" s="113">
        <f t="shared" si="231"/>
        <v>1</v>
      </c>
      <c r="N2484" s="64">
        <f t="shared" ca="1" si="226"/>
        <v>1.0001041418650793</v>
      </c>
    </row>
    <row r="2485" spans="1:14">
      <c r="A2485" s="304">
        <f t="shared" ref="A2485:A2497" ca="1" si="233">K$2477</f>
        <v>3.7296428571428568</v>
      </c>
      <c r="B2485" s="305">
        <f t="shared" ca="1" si="232"/>
        <v>3.7491071428571376</v>
      </c>
      <c r="C2485" s="103">
        <f t="shared" si="224"/>
        <v>46283</v>
      </c>
      <c r="E2485" s="170"/>
      <c r="F2485" s="58" t="str">
        <f>VLOOKUP(MOD(C2485,7),'CALENDAR INFO'!$I$2:$J$8,2)</f>
        <v>FRI</v>
      </c>
      <c r="I2485" s="457">
        <f t="shared" si="223"/>
        <v>0</v>
      </c>
      <c r="J2485" s="15" t="s">
        <v>237</v>
      </c>
      <c r="K2485" s="400">
        <f ca="1">SUM(INDIRECT(K2475))</f>
        <v>52.214999999999996</v>
      </c>
      <c r="L2485" s="401">
        <f ca="1">SUM(INDIRECT(L2475))</f>
        <v>52.487499999999912</v>
      </c>
      <c r="M2485" s="113">
        <f t="shared" si="231"/>
        <v>3</v>
      </c>
      <c r="N2485" s="64">
        <f t="shared" ca="1" si="226"/>
        <v>1.000312425595238</v>
      </c>
    </row>
    <row r="2486" spans="1:14">
      <c r="A2486" s="304">
        <f t="shared" ca="1" si="233"/>
        <v>3.7296428571428568</v>
      </c>
      <c r="B2486" s="305">
        <f t="shared" ca="1" si="232"/>
        <v>3.7491071428571376</v>
      </c>
      <c r="C2486" s="103">
        <f t="shared" si="224"/>
        <v>46284</v>
      </c>
      <c r="E2486" s="170"/>
      <c r="F2486" s="58" t="str">
        <f>VLOOKUP(MOD(C2486,7),'CALENDAR INFO'!$I$2:$J$8,2)</f>
        <v>SAT</v>
      </c>
      <c r="I2486" s="457">
        <f t="shared" si="223"/>
        <v>0</v>
      </c>
      <c r="J2486" s="15" t="s">
        <v>238</v>
      </c>
      <c r="K2486" s="182">
        <f ca="1">K2481-K2484-K2485</f>
        <v>58.185000000000208</v>
      </c>
      <c r="L2486" s="201">
        <f ca="1">L2481-L2484-L2485</f>
        <v>58.21250000000002</v>
      </c>
      <c r="M2486" s="113">
        <f t="shared" si="231"/>
        <v>0</v>
      </c>
      <c r="N2486" s="64">
        <f t="shared" ca="1" si="226"/>
        <v>1</v>
      </c>
    </row>
    <row r="2487" spans="1:14">
      <c r="A2487" s="304">
        <f t="shared" ca="1" si="233"/>
        <v>3.7296428571428568</v>
      </c>
      <c r="B2487" s="305">
        <f t="shared" ca="1" si="232"/>
        <v>3.7491071428571376</v>
      </c>
      <c r="C2487" s="103">
        <f t="shared" si="224"/>
        <v>46285</v>
      </c>
      <c r="E2487" s="170"/>
      <c r="F2487" s="58" t="str">
        <f>VLOOKUP(MOD(C2487,7),'CALENDAR INFO'!$I$2:$J$8,2)</f>
        <v>SUN</v>
      </c>
      <c r="I2487" s="457">
        <f t="shared" si="223"/>
        <v>0</v>
      </c>
      <c r="K2487" s="178"/>
      <c r="L2487" s="192"/>
      <c r="M2487" s="113">
        <f t="shared" si="231"/>
        <v>0</v>
      </c>
      <c r="N2487" s="64">
        <f t="shared" ca="1" si="226"/>
        <v>1</v>
      </c>
    </row>
    <row r="2488" spans="1:14">
      <c r="A2488" s="304">
        <f t="shared" ca="1" si="233"/>
        <v>3.7296428571428568</v>
      </c>
      <c r="B2488" s="305">
        <f t="shared" ca="1" si="232"/>
        <v>3.7491071428571376</v>
      </c>
      <c r="C2488" s="103">
        <f t="shared" si="224"/>
        <v>46286</v>
      </c>
      <c r="E2488" s="170"/>
      <c r="F2488" s="58" t="str">
        <f>VLOOKUP(MOD(C2488,7),'CALENDAR INFO'!$I$2:$J$8,2)</f>
        <v>MON</v>
      </c>
      <c r="I2488" s="457">
        <f t="shared" si="223"/>
        <v>0</v>
      </c>
      <c r="J2488" s="15" t="s">
        <v>242</v>
      </c>
      <c r="K2488" s="15">
        <f>K2480</f>
        <v>30</v>
      </c>
      <c r="L2488" s="179">
        <f>L2480</f>
        <v>30</v>
      </c>
      <c r="M2488" s="113">
        <f t="shared" si="231"/>
        <v>1</v>
      </c>
      <c r="N2488" s="64">
        <f t="shared" ca="1" si="226"/>
        <v>1.0001041418650793</v>
      </c>
    </row>
    <row r="2489" spans="1:14">
      <c r="A2489" s="304">
        <f t="shared" ca="1" si="233"/>
        <v>3.7296428571428568</v>
      </c>
      <c r="B2489" s="305">
        <f t="shared" ca="1" si="232"/>
        <v>3.7491071428571376</v>
      </c>
      <c r="C2489" s="103">
        <f t="shared" si="224"/>
        <v>46287</v>
      </c>
      <c r="E2489" s="170"/>
      <c r="F2489" s="58" t="str">
        <f>VLOOKUP(MOD(C2489,7),'CALENDAR INFO'!$I$2:$J$8,2)</f>
        <v>TUE</v>
      </c>
      <c r="I2489" s="457">
        <f t="shared" si="223"/>
        <v>0</v>
      </c>
      <c r="J2489" s="15" t="s">
        <v>194</v>
      </c>
      <c r="K2489" s="15">
        <f ca="1">COUNTA(INDIRECT(K2473))</f>
        <v>0</v>
      </c>
      <c r="L2489" s="179">
        <f ca="1">COUNTA(INDIRECT(L2473))</f>
        <v>0</v>
      </c>
      <c r="M2489" s="113">
        <f t="shared" si="231"/>
        <v>1</v>
      </c>
      <c r="N2489" s="64">
        <f t="shared" ca="1" si="226"/>
        <v>1.0001041418650793</v>
      </c>
    </row>
    <row r="2490" spans="1:14">
      <c r="A2490" s="304">
        <f t="shared" ca="1" si="233"/>
        <v>3.7296428571428568</v>
      </c>
      <c r="B2490" s="305">
        <f t="shared" ca="1" si="232"/>
        <v>3.7491071428571376</v>
      </c>
      <c r="C2490" s="103">
        <f t="shared" si="224"/>
        <v>46288</v>
      </c>
      <c r="E2490" s="170"/>
      <c r="F2490" s="58" t="str">
        <f>VLOOKUP(MOD(C2490,7),'CALENDAR INFO'!$I$2:$J$8,2)</f>
        <v>WED</v>
      </c>
      <c r="I2490" s="457">
        <f t="shared" si="223"/>
        <v>0</v>
      </c>
      <c r="J2490" s="15" t="s">
        <v>243</v>
      </c>
      <c r="K2490" s="402">
        <f ca="1">COUNTA(INDIRECT(K2475))</f>
        <v>14</v>
      </c>
      <c r="L2490" s="403">
        <f ca="1">COUNTA(INDIRECT(L2475))</f>
        <v>14</v>
      </c>
      <c r="M2490" s="113">
        <f t="shared" si="231"/>
        <v>1</v>
      </c>
      <c r="N2490" s="64">
        <f t="shared" ca="1" si="226"/>
        <v>1.0001041418650793</v>
      </c>
    </row>
    <row r="2491" spans="1:14">
      <c r="A2491" s="304">
        <f t="shared" ca="1" si="233"/>
        <v>3.7296428571428568</v>
      </c>
      <c r="B2491" s="305">
        <f t="shared" ca="1" si="232"/>
        <v>3.7491071428571376</v>
      </c>
      <c r="C2491" s="103">
        <f t="shared" si="224"/>
        <v>46289</v>
      </c>
      <c r="E2491" s="170"/>
      <c r="F2491" s="58" t="str">
        <f>VLOOKUP(MOD(C2491,7),'CALENDAR INFO'!$I$2:$J$8,2)</f>
        <v>THU</v>
      </c>
      <c r="I2491" s="457">
        <f t="shared" si="223"/>
        <v>0</v>
      </c>
      <c r="J2491" s="15" t="s">
        <v>239</v>
      </c>
      <c r="K2491" s="152">
        <f ca="1">K2488-K2489-K2490</f>
        <v>16</v>
      </c>
      <c r="L2491" s="202">
        <f ca="1">L2488-L2489-L2490</f>
        <v>16</v>
      </c>
      <c r="M2491" s="113">
        <f t="shared" si="231"/>
        <v>1</v>
      </c>
      <c r="N2491" s="64">
        <f t="shared" ca="1" si="226"/>
        <v>1.0001041418650793</v>
      </c>
    </row>
    <row r="2492" spans="1:14">
      <c r="A2492" s="304">
        <f t="shared" ca="1" si="233"/>
        <v>3.7296428571428568</v>
      </c>
      <c r="B2492" s="305">
        <f t="shared" ca="1" si="232"/>
        <v>3.7491071428571376</v>
      </c>
      <c r="C2492" s="103">
        <f t="shared" si="224"/>
        <v>46290</v>
      </c>
      <c r="E2492" s="170"/>
      <c r="F2492" s="58" t="str">
        <f>VLOOKUP(MOD(C2492,7),'CALENDAR INFO'!$I$2:$J$8,2)</f>
        <v>FRI</v>
      </c>
      <c r="I2492" s="457">
        <f t="shared" si="223"/>
        <v>0</v>
      </c>
      <c r="K2492" s="178"/>
      <c r="L2492" s="192"/>
      <c r="M2492" s="113">
        <f t="shared" si="231"/>
        <v>3</v>
      </c>
      <c r="N2492" s="64">
        <f t="shared" ca="1" si="226"/>
        <v>1.000312425595238</v>
      </c>
    </row>
    <row r="2493" spans="1:14">
      <c r="A2493" s="304">
        <f t="shared" ca="1" si="233"/>
        <v>3.7296428571428568</v>
      </c>
      <c r="B2493" s="305">
        <f t="shared" ca="1" si="232"/>
        <v>3.7491071428571376</v>
      </c>
      <c r="C2493" s="103">
        <f t="shared" si="224"/>
        <v>46291</v>
      </c>
      <c r="E2493" s="170"/>
      <c r="F2493" s="58" t="str">
        <f>VLOOKUP(MOD(C2493,7),'CALENDAR INFO'!$I$2:$J$8,2)</f>
        <v>SAT</v>
      </c>
      <c r="I2493" s="457">
        <f t="shared" si="223"/>
        <v>0</v>
      </c>
      <c r="J2493" s="15" t="s">
        <v>238</v>
      </c>
      <c r="K2493" s="178">
        <f ca="1">K2486</f>
        <v>58.185000000000208</v>
      </c>
      <c r="L2493" s="192">
        <f ca="1">L2486</f>
        <v>58.21250000000002</v>
      </c>
      <c r="M2493" s="113">
        <f t="shared" si="231"/>
        <v>0</v>
      </c>
      <c r="N2493" s="64">
        <f t="shared" ca="1" si="226"/>
        <v>1</v>
      </c>
    </row>
    <row r="2494" spans="1:14">
      <c r="A2494" s="304">
        <f t="shared" ca="1" si="233"/>
        <v>3.7296428571428568</v>
      </c>
      <c r="B2494" s="305">
        <f t="shared" ca="1" si="232"/>
        <v>3.7491071428571376</v>
      </c>
      <c r="C2494" s="103">
        <f t="shared" si="224"/>
        <v>46292</v>
      </c>
      <c r="E2494" s="170"/>
      <c r="F2494" s="58" t="str">
        <f>VLOOKUP(MOD(C2494,7),'CALENDAR INFO'!$I$2:$J$8,2)</f>
        <v>SUN</v>
      </c>
      <c r="I2494" s="457">
        <f t="shared" si="223"/>
        <v>0</v>
      </c>
      <c r="J2494" s="15" t="s">
        <v>239</v>
      </c>
      <c r="K2494" s="221">
        <f ca="1">K2491</f>
        <v>16</v>
      </c>
      <c r="L2494" s="223">
        <f ca="1">L2491</f>
        <v>16</v>
      </c>
      <c r="M2494" s="113">
        <f t="shared" si="231"/>
        <v>0</v>
      </c>
      <c r="N2494" s="64">
        <f t="shared" ca="1" si="226"/>
        <v>1</v>
      </c>
    </row>
    <row r="2495" spans="1:14">
      <c r="A2495" s="304">
        <f t="shared" ca="1" si="233"/>
        <v>3.7296428571428568</v>
      </c>
      <c r="B2495" s="305">
        <f t="shared" ca="1" si="232"/>
        <v>3.7491071428571376</v>
      </c>
      <c r="C2495" s="103">
        <f t="shared" si="224"/>
        <v>46293</v>
      </c>
      <c r="E2495" s="170"/>
      <c r="F2495" s="58" t="str">
        <f>VLOOKUP(MOD(C2495,7),'CALENDAR INFO'!$I$2:$J$8,2)</f>
        <v>MON</v>
      </c>
      <c r="I2495" s="457">
        <f t="shared" si="223"/>
        <v>0</v>
      </c>
      <c r="J2495" s="15" t="s">
        <v>240</v>
      </c>
      <c r="K2495" s="178">
        <f ca="1">K2493/K2494</f>
        <v>3.636562500000013</v>
      </c>
      <c r="L2495" s="192">
        <f ca="1">L2493/L2494</f>
        <v>3.6382812500000012</v>
      </c>
      <c r="M2495" s="113">
        <f t="shared" si="231"/>
        <v>1</v>
      </c>
      <c r="N2495" s="64">
        <f t="shared" ca="1" si="226"/>
        <v>1.0001041418650793</v>
      </c>
    </row>
    <row r="2496" spans="1:14">
      <c r="A2496" s="304">
        <f t="shared" ca="1" si="233"/>
        <v>3.7296428571428568</v>
      </c>
      <c r="B2496" s="305">
        <f t="shared" ca="1" si="232"/>
        <v>3.7491071428571376</v>
      </c>
      <c r="C2496" s="103">
        <f t="shared" si="224"/>
        <v>46294</v>
      </c>
      <c r="E2496" s="170"/>
      <c r="F2496" s="58" t="str">
        <f>VLOOKUP(MOD(C2496,7),'CALENDAR INFO'!$I$2:$J$8,2)</f>
        <v>TUE</v>
      </c>
      <c r="I2496" s="457">
        <f t="shared" si="223"/>
        <v>0</v>
      </c>
      <c r="M2496" s="113">
        <f t="shared" si="231"/>
        <v>1</v>
      </c>
      <c r="N2496" s="64">
        <f t="shared" ca="1" si="226"/>
        <v>1.0001041418650793</v>
      </c>
    </row>
    <row r="2497" spans="1:14" ht="15.75" thickBot="1">
      <c r="A2497" s="405">
        <f t="shared" ca="1" si="233"/>
        <v>3.7296428571428568</v>
      </c>
      <c r="B2497" s="406">
        <f t="shared" ca="1" si="232"/>
        <v>3.7491071428571376</v>
      </c>
      <c r="C2497" s="104">
        <f t="shared" si="224"/>
        <v>46295</v>
      </c>
      <c r="D2497" s="112"/>
      <c r="E2497" s="101" t="s">
        <v>19</v>
      </c>
      <c r="F2497" s="71" t="str">
        <f>VLOOKUP(MOD(C2497,7),'CALENDAR INFO'!$I$2:$J$8,2)</f>
        <v>WED</v>
      </c>
      <c r="G2497" s="215"/>
      <c r="H2497" s="426"/>
      <c r="I2497" s="458">
        <f t="shared" si="223"/>
        <v>0</v>
      </c>
      <c r="J2497" s="348"/>
      <c r="K2497" s="348"/>
      <c r="L2497" s="349"/>
      <c r="M2497" s="114">
        <f t="shared" si="231"/>
        <v>1</v>
      </c>
      <c r="N2497" s="292">
        <f t="shared" ca="1" si="226"/>
        <v>1.0001041418650793</v>
      </c>
    </row>
    <row r="2498" spans="1:14">
      <c r="A2498" s="39">
        <f t="shared" ref="A2498:A2524" ca="1" si="234">K$2525</f>
        <v>3.7296428571428568</v>
      </c>
      <c r="B2498" s="41">
        <f t="shared" ref="B2498:B2525" ca="1" si="235">L$2525</f>
        <v>3.7491071428571376</v>
      </c>
      <c r="C2498" s="103">
        <f t="shared" si="224"/>
        <v>46296</v>
      </c>
      <c r="E2498" s="167" t="s">
        <v>18</v>
      </c>
      <c r="F2498" s="58" t="str">
        <f>VLOOKUP(MOD(C2498,7),'CALENDAR INFO'!$I$2:$J$8,2)</f>
        <v>THU</v>
      </c>
      <c r="I2498" s="457">
        <f t="shared" si="223"/>
        <v>0</v>
      </c>
      <c r="J2498" s="15" t="s">
        <v>151</v>
      </c>
      <c r="K2498" s="375">
        <f>ROW()</f>
        <v>2498</v>
      </c>
      <c r="L2498" s="60">
        <f>K2498</f>
        <v>2498</v>
      </c>
      <c r="M2498" s="113">
        <f t="shared" si="231"/>
        <v>1</v>
      </c>
      <c r="N2498" s="64">
        <f t="shared" ca="1" si="226"/>
        <v>1.0001041418650793</v>
      </c>
    </row>
    <row r="2499" spans="1:14">
      <c r="A2499" s="39">
        <f t="shared" ca="1" si="234"/>
        <v>3.7296428571428568</v>
      </c>
      <c r="B2499" s="41">
        <f t="shared" ca="1" si="235"/>
        <v>3.7491071428571376</v>
      </c>
      <c r="C2499" s="103">
        <f t="shared" si="224"/>
        <v>46297</v>
      </c>
      <c r="E2499" s="167"/>
      <c r="F2499" s="58" t="str">
        <f>VLOOKUP(MOD(C2499,7),'CALENDAR INFO'!$I$2:$J$8,2)</f>
        <v>FRI</v>
      </c>
      <c r="I2499" s="457">
        <f t="shared" ref="I2499:I2562" si="236">H2499-G2499</f>
        <v>0</v>
      </c>
      <c r="J2499" s="15" t="s">
        <v>118</v>
      </c>
      <c r="K2499" s="15">
        <f>VLOOKUP(MONTH($C2498),'CALENDAR INFO'!$I$12:$J$23,2)</f>
        <v>31</v>
      </c>
      <c r="L2499" s="15">
        <f>K2499</f>
        <v>31</v>
      </c>
      <c r="M2499" s="113">
        <f t="shared" si="231"/>
        <v>3</v>
      </c>
      <c r="N2499" s="64">
        <f t="shared" ca="1" si="226"/>
        <v>1.000312425595238</v>
      </c>
    </row>
    <row r="2500" spans="1:14">
      <c r="A2500" s="39">
        <f t="shared" ca="1" si="234"/>
        <v>3.7296428571428568</v>
      </c>
      <c r="B2500" s="41">
        <f t="shared" ca="1" si="235"/>
        <v>3.7491071428571376</v>
      </c>
      <c r="C2500" s="103">
        <f t="shared" ref="C2500:C2563" si="237">C2499+1</f>
        <v>46298</v>
      </c>
      <c r="E2500" s="167"/>
      <c r="F2500" s="58" t="str">
        <f>VLOOKUP(MOD(C2500,7),'CALENDAR INFO'!$I$2:$J$8,2)</f>
        <v>SAT</v>
      </c>
      <c r="I2500" s="457">
        <f t="shared" si="236"/>
        <v>0</v>
      </c>
      <c r="J2500" s="15" t="s">
        <v>152</v>
      </c>
      <c r="K2500" s="15">
        <f>K2498+K2499-1</f>
        <v>2528</v>
      </c>
      <c r="L2500" s="15">
        <f>K2500</f>
        <v>2528</v>
      </c>
      <c r="M2500" s="113">
        <f t="shared" si="231"/>
        <v>0</v>
      </c>
      <c r="N2500" s="64">
        <f t="shared" ca="1" si="226"/>
        <v>1</v>
      </c>
    </row>
    <row r="2501" spans="1:14">
      <c r="A2501" s="39">
        <f t="shared" ca="1" si="234"/>
        <v>3.7296428571428568</v>
      </c>
      <c r="B2501" s="41">
        <f t="shared" ca="1" si="235"/>
        <v>3.7491071428571376</v>
      </c>
      <c r="C2501" s="103">
        <f t="shared" si="237"/>
        <v>46299</v>
      </c>
      <c r="E2501" s="167"/>
      <c r="F2501" s="58" t="str">
        <f>VLOOKUP(MOD(C2501,7),'CALENDAR INFO'!$I$2:$J$8,2)</f>
        <v>SUN</v>
      </c>
      <c r="I2501" s="457">
        <f t="shared" si="236"/>
        <v>0</v>
      </c>
      <c r="J2501" s="15" t="s">
        <v>244</v>
      </c>
      <c r="K2501" s="311">
        <f>ROW(D2525)</f>
        <v>2525</v>
      </c>
      <c r="L2501" s="15">
        <f>K2501</f>
        <v>2525</v>
      </c>
      <c r="M2501" s="113">
        <f t="shared" si="231"/>
        <v>0</v>
      </c>
      <c r="N2501" s="64">
        <f t="shared" ca="1" si="226"/>
        <v>1</v>
      </c>
    </row>
    <row r="2502" spans="1:14">
      <c r="A2502" s="39">
        <f t="shared" ca="1" si="234"/>
        <v>3.7296428571428568</v>
      </c>
      <c r="B2502" s="41">
        <f t="shared" ca="1" si="235"/>
        <v>3.7491071428571376</v>
      </c>
      <c r="C2502" s="103">
        <f t="shared" si="237"/>
        <v>46300</v>
      </c>
      <c r="E2502" s="167"/>
      <c r="F2502" s="58" t="str">
        <f>VLOOKUP(MOD(C2502,7),'CALENDAR INFO'!$I$2:$J$8,2)</f>
        <v>MON</v>
      </c>
      <c r="I2502" s="457">
        <f t="shared" si="236"/>
        <v>0</v>
      </c>
      <c r="K2502" s="311"/>
      <c r="L2502" s="15"/>
      <c r="M2502" s="113">
        <f t="shared" si="231"/>
        <v>1</v>
      </c>
      <c r="N2502" s="64">
        <f t="shared" ca="1" si="226"/>
        <v>1.0001041418650793</v>
      </c>
    </row>
    <row r="2503" spans="1:14">
      <c r="A2503" s="39">
        <f t="shared" ca="1" si="234"/>
        <v>3.7296428571428568</v>
      </c>
      <c r="B2503" s="41">
        <f t="shared" ca="1" si="235"/>
        <v>3.7491071428571376</v>
      </c>
      <c r="C2503" s="103">
        <f t="shared" si="237"/>
        <v>46301</v>
      </c>
      <c r="E2503" s="167"/>
      <c r="F2503" s="58" t="str">
        <f>VLOOKUP(MOD(C2503,7),'CALENDAR INFO'!$I$2:$J$8,2)</f>
        <v>TUE</v>
      </c>
      <c r="I2503" s="457">
        <f t="shared" si="236"/>
        <v>0</v>
      </c>
      <c r="J2503" s="15" t="s">
        <v>153</v>
      </c>
      <c r="K2503" s="15" t="str">
        <f>_xlfn.CONCAT(ADDRESS(K2498,7),":",ADDRESS(K2500,7))</f>
        <v>$G$2498:$G$2528</v>
      </c>
      <c r="L2503" s="15" t="str">
        <f>_xlfn.CONCAT(ADDRESS(L2498,8),":",ADDRESS(L2500,8))</f>
        <v>$H$2498:$H$2528</v>
      </c>
      <c r="M2503" s="113">
        <f t="shared" si="231"/>
        <v>1</v>
      </c>
      <c r="N2503" s="64">
        <f t="shared" ca="1" si="226"/>
        <v>1.0001041418650793</v>
      </c>
    </row>
    <row r="2504" spans="1:14">
      <c r="A2504" s="39">
        <f t="shared" ca="1" si="234"/>
        <v>3.7296428571428568</v>
      </c>
      <c r="B2504" s="41">
        <f t="shared" ca="1" si="235"/>
        <v>3.7491071428571376</v>
      </c>
      <c r="C2504" s="103">
        <f t="shared" si="237"/>
        <v>46302</v>
      </c>
      <c r="E2504" s="167"/>
      <c r="F2504" s="58" t="str">
        <f>VLOOKUP(MOD(C2504,7),'CALENDAR INFO'!$I$2:$J$8,2)</f>
        <v>WED</v>
      </c>
      <c r="I2504" s="457">
        <f t="shared" si="236"/>
        <v>0</v>
      </c>
      <c r="J2504" s="176" t="s">
        <v>236</v>
      </c>
      <c r="K2504" s="15" t="str">
        <f>_xlfn.CONCAT(ADDRESS(K2498,1),":",ADDRESS(K2501,1))</f>
        <v>$A$2498:$A$2525</v>
      </c>
      <c r="L2504" s="15" t="str">
        <f>_xlfn.CONCAT(ADDRESS(L2498,2),":",ADDRESS(L2501,2))</f>
        <v>$B$2498:$B$2525</v>
      </c>
      <c r="M2504" s="113">
        <f t="shared" si="231"/>
        <v>1</v>
      </c>
      <c r="N2504" s="64">
        <f t="shared" ca="1" si="226"/>
        <v>1.0001041418650793</v>
      </c>
    </row>
    <row r="2505" spans="1:14">
      <c r="A2505" s="39">
        <f t="shared" ca="1" si="234"/>
        <v>3.7296428571428568</v>
      </c>
      <c r="B2505" s="41">
        <f t="shared" ca="1" si="235"/>
        <v>3.7491071428571376</v>
      </c>
      <c r="C2505" s="103">
        <f t="shared" si="237"/>
        <v>46303</v>
      </c>
      <c r="E2505" s="167"/>
      <c r="F2505" s="58" t="str">
        <f>VLOOKUP(MOD(C2505,7),'CALENDAR INFO'!$I$2:$J$8,2)</f>
        <v>THU</v>
      </c>
      <c r="I2505" s="457">
        <f t="shared" si="236"/>
        <v>0</v>
      </c>
      <c r="J2505" s="176" t="s">
        <v>235</v>
      </c>
      <c r="K2505" s="15" t="str">
        <f>_xlfn.CONCAT(ADDRESS(K2501+1,1),":",ADDRESS(K2500,1))</f>
        <v>$A$2526:$A$2528</v>
      </c>
      <c r="L2505" s="15" t="str">
        <f>_xlfn.CONCAT(ADDRESS(L2501+1,2),":",ADDRESS(L2500,2))</f>
        <v>$B$2526:$B$2528</v>
      </c>
      <c r="M2505" s="113">
        <f t="shared" si="231"/>
        <v>1</v>
      </c>
      <c r="N2505" s="64">
        <f t="shared" ca="1" si="226"/>
        <v>1.0001041418650793</v>
      </c>
    </row>
    <row r="2506" spans="1:14">
      <c r="A2506" s="39">
        <f t="shared" ca="1" si="234"/>
        <v>3.7296428571428568</v>
      </c>
      <c r="B2506" s="41">
        <f t="shared" ca="1" si="235"/>
        <v>3.7491071428571376</v>
      </c>
      <c r="C2506" s="103">
        <f t="shared" si="237"/>
        <v>46304</v>
      </c>
      <c r="E2506" s="167"/>
      <c r="F2506" s="58" t="str">
        <f>VLOOKUP(MOD(C2506,7),'CALENDAR INFO'!$I$2:$J$8,2)</f>
        <v>FRI</v>
      </c>
      <c r="I2506" s="457">
        <f t="shared" si="236"/>
        <v>0</v>
      </c>
      <c r="M2506" s="117">
        <v>4</v>
      </c>
      <c r="N2506" s="64">
        <f t="shared" ca="1" si="226"/>
        <v>1.0004165674603174</v>
      </c>
    </row>
    <row r="2507" spans="1:14">
      <c r="A2507" s="39">
        <f t="shared" ca="1" si="234"/>
        <v>3.7296428571428568</v>
      </c>
      <c r="B2507" s="41">
        <f t="shared" ca="1" si="235"/>
        <v>3.7491071428571376</v>
      </c>
      <c r="C2507" s="103">
        <f t="shared" si="237"/>
        <v>46305</v>
      </c>
      <c r="E2507" s="167"/>
      <c r="F2507" s="58" t="str">
        <f>VLOOKUP(MOD(C2507,7),'CALENDAR INFO'!$I$2:$J$8,2)</f>
        <v>SAT</v>
      </c>
      <c r="I2507" s="457">
        <f t="shared" si="236"/>
        <v>0</v>
      </c>
      <c r="J2507" s="15" t="s">
        <v>241</v>
      </c>
      <c r="K2507" s="186">
        <f>A2529+G2529</f>
        <v>3.7849999999999966</v>
      </c>
      <c r="L2507" s="194">
        <f>B2529+H2529</f>
        <v>3.8100000000000023</v>
      </c>
      <c r="M2507" s="113">
        <f>IF(MOD(C2507,7)&lt;2,0,IF(MOD(C2507,7)=6,3,1))</f>
        <v>0</v>
      </c>
      <c r="N2507" s="64">
        <f t="shared" ca="1" si="226"/>
        <v>1</v>
      </c>
    </row>
    <row r="2508" spans="1:14">
      <c r="A2508" s="39">
        <f t="shared" ca="1" si="234"/>
        <v>3.7296428571428568</v>
      </c>
      <c r="B2508" s="41">
        <f t="shared" ca="1" si="235"/>
        <v>3.7491071428571376</v>
      </c>
      <c r="C2508" s="103">
        <f t="shared" si="237"/>
        <v>46306</v>
      </c>
      <c r="E2508" s="167"/>
      <c r="F2508" s="58" t="str">
        <f>VLOOKUP(MOD(C2508,7),'CALENDAR INFO'!$I$2:$J$8,2)</f>
        <v>SUN</v>
      </c>
      <c r="I2508" s="457">
        <f t="shared" si="236"/>
        <v>0</v>
      </c>
      <c r="K2508" s="178"/>
      <c r="L2508" s="192"/>
      <c r="M2508" s="113">
        <f>IF(MOD(C2508,7)&lt;2,0,IF(MOD(C2508,7)=6,3,1))</f>
        <v>0</v>
      </c>
      <c r="N2508" s="64">
        <f t="shared" ca="1" si="226"/>
        <v>1</v>
      </c>
    </row>
    <row r="2509" spans="1:14">
      <c r="A2509" s="39">
        <f t="shared" ca="1" si="234"/>
        <v>3.7296428571428568</v>
      </c>
      <c r="B2509" s="41">
        <f t="shared" ca="1" si="235"/>
        <v>3.7491071428571376</v>
      </c>
      <c r="C2509" s="103">
        <f t="shared" si="237"/>
        <v>46307</v>
      </c>
      <c r="D2509" s="173" t="s">
        <v>108</v>
      </c>
      <c r="E2509" s="167"/>
      <c r="F2509" s="58" t="str">
        <f>VLOOKUP(MOD(C2509,7),'CALENDAR INFO'!$I$2:$J$8,2)</f>
        <v>MON</v>
      </c>
      <c r="I2509" s="457">
        <f t="shared" si="236"/>
        <v>0</v>
      </c>
      <c r="J2509" s="15" t="s">
        <v>197</v>
      </c>
      <c r="K2509" s="180">
        <f>OUTPUT!C7</f>
        <v>3.7349999999999994</v>
      </c>
      <c r="L2509" s="180">
        <f>OUTPUT!F7</f>
        <v>3.7549999999999955</v>
      </c>
      <c r="M2509" s="117">
        <v>0</v>
      </c>
      <c r="N2509" s="64">
        <f t="shared" ca="1" si="226"/>
        <v>1</v>
      </c>
    </row>
    <row r="2510" spans="1:14">
      <c r="A2510" s="39">
        <f t="shared" ca="1" si="234"/>
        <v>3.7296428571428568</v>
      </c>
      <c r="B2510" s="41">
        <f t="shared" ca="1" si="235"/>
        <v>3.7491071428571376</v>
      </c>
      <c r="C2510" s="103">
        <f t="shared" si="237"/>
        <v>46308</v>
      </c>
      <c r="E2510" s="167"/>
      <c r="F2510" s="58" t="str">
        <f>VLOOKUP(MOD(C2510,7),'CALENDAR INFO'!$I$2:$J$8,2)</f>
        <v>TUE</v>
      </c>
      <c r="I2510" s="457">
        <f t="shared" si="236"/>
        <v>0</v>
      </c>
      <c r="J2510" s="15" t="s">
        <v>118</v>
      </c>
      <c r="K2510" s="221">
        <f>VLOOKUP(MONTH($C2504),'CALENDAR INFO'!$I$12:$J$23,2)</f>
        <v>31</v>
      </c>
      <c r="L2510" s="221">
        <f>K2510</f>
        <v>31</v>
      </c>
      <c r="M2510" s="113">
        <f t="shared" ref="M2510:M2537" si="238">IF(MOD(C2510,7)&lt;2,0,IF(MOD(C2510,7)=6,3,1))</f>
        <v>1</v>
      </c>
      <c r="N2510" s="64">
        <f t="shared" ca="1" si="226"/>
        <v>1.0001041418650793</v>
      </c>
    </row>
    <row r="2511" spans="1:14">
      <c r="A2511" s="39">
        <f t="shared" ca="1" si="234"/>
        <v>3.7296428571428568</v>
      </c>
      <c r="B2511" s="41">
        <f t="shared" ca="1" si="235"/>
        <v>3.7491071428571376</v>
      </c>
      <c r="C2511" s="103">
        <f t="shared" si="237"/>
        <v>46309</v>
      </c>
      <c r="E2511" s="167" t="s">
        <v>19</v>
      </c>
      <c r="F2511" s="58" t="str">
        <f>VLOOKUP(MOD(C2511,7),'CALENDAR INFO'!$I$2:$J$8,2)</f>
        <v>WED</v>
      </c>
      <c r="I2511" s="457">
        <f t="shared" si="236"/>
        <v>0</v>
      </c>
      <c r="J2511" s="15" t="s">
        <v>234</v>
      </c>
      <c r="K2511" s="178">
        <f>K2509*K2499</f>
        <v>115.78499999999998</v>
      </c>
      <c r="L2511" s="178">
        <f>L2509*L2499</f>
        <v>116.40499999999986</v>
      </c>
      <c r="M2511" s="113">
        <f t="shared" si="238"/>
        <v>1</v>
      </c>
      <c r="N2511" s="64">
        <f t="shared" ca="1" si="226"/>
        <v>1.0001041418650793</v>
      </c>
    </row>
    <row r="2512" spans="1:14">
      <c r="A2512" s="39">
        <f t="shared" ca="1" si="234"/>
        <v>3.7296428571428568</v>
      </c>
      <c r="B2512" s="41">
        <f t="shared" ca="1" si="235"/>
        <v>3.7491071428571376</v>
      </c>
      <c r="C2512" s="103">
        <f t="shared" si="237"/>
        <v>46310</v>
      </c>
      <c r="E2512" s="170" t="s">
        <v>18</v>
      </c>
      <c r="F2512" s="58" t="str">
        <f>VLOOKUP(MOD(C2512,7),'CALENDAR INFO'!$I$2:$J$8,2)</f>
        <v>THU</v>
      </c>
      <c r="I2512" s="457">
        <f t="shared" si="236"/>
        <v>0</v>
      </c>
      <c r="K2512" s="178"/>
      <c r="L2512" s="192"/>
      <c r="M2512" s="113">
        <f t="shared" si="238"/>
        <v>1</v>
      </c>
      <c r="N2512" s="64">
        <f t="shared" ca="1" si="226"/>
        <v>1.0001041418650793</v>
      </c>
    </row>
    <row r="2513" spans="1:14">
      <c r="A2513" s="39">
        <f t="shared" ca="1" si="234"/>
        <v>3.7296428571428568</v>
      </c>
      <c r="B2513" s="41">
        <f t="shared" ca="1" si="235"/>
        <v>3.7491071428571376</v>
      </c>
      <c r="C2513" s="103">
        <f t="shared" si="237"/>
        <v>46311</v>
      </c>
      <c r="E2513" s="170"/>
      <c r="F2513" s="58" t="str">
        <f>VLOOKUP(MOD(C2513,7),'CALENDAR INFO'!$I$2:$J$8,2)</f>
        <v>FRI</v>
      </c>
      <c r="I2513" s="457">
        <f t="shared" si="236"/>
        <v>0</v>
      </c>
      <c r="J2513" s="15" t="str">
        <f>J2511</f>
        <v>monthly target</v>
      </c>
      <c r="K2513" s="178">
        <f>K2511</f>
        <v>115.78499999999998</v>
      </c>
      <c r="L2513" s="192">
        <f>L2511</f>
        <v>116.40499999999986</v>
      </c>
      <c r="M2513" s="113">
        <f t="shared" si="238"/>
        <v>3</v>
      </c>
      <c r="N2513" s="64">
        <f t="shared" ca="1" si="226"/>
        <v>1.000312425595238</v>
      </c>
    </row>
    <row r="2514" spans="1:14">
      <c r="A2514" s="39">
        <f t="shared" ca="1" si="234"/>
        <v>3.7296428571428568</v>
      </c>
      <c r="B2514" s="41">
        <f t="shared" ca="1" si="235"/>
        <v>3.7491071428571376</v>
      </c>
      <c r="C2514" s="103">
        <f t="shared" si="237"/>
        <v>46312</v>
      </c>
      <c r="E2514" s="170"/>
      <c r="F2514" s="58" t="str">
        <f>VLOOKUP(MOD(C2514,7),'CALENDAR INFO'!$I$2:$J$8,2)</f>
        <v>SAT</v>
      </c>
      <c r="I2514" s="457">
        <f t="shared" si="236"/>
        <v>0</v>
      </c>
      <c r="J2514" s="15" t="s">
        <v>155</v>
      </c>
      <c r="K2514" s="178">
        <f ca="1">SUM(INDIRECT(K2503))</f>
        <v>0</v>
      </c>
      <c r="L2514" s="192">
        <f ca="1">SUM(INDIRECT(L2503))</f>
        <v>0</v>
      </c>
      <c r="M2514" s="113">
        <f t="shared" si="238"/>
        <v>0</v>
      </c>
      <c r="N2514" s="64">
        <f t="shared" ca="1" si="226"/>
        <v>1</v>
      </c>
    </row>
    <row r="2515" spans="1:14">
      <c r="A2515" s="39">
        <f t="shared" ca="1" si="234"/>
        <v>3.7296428571428568</v>
      </c>
      <c r="B2515" s="41">
        <f t="shared" ca="1" si="235"/>
        <v>3.7491071428571376</v>
      </c>
      <c r="C2515" s="103">
        <f t="shared" si="237"/>
        <v>46313</v>
      </c>
      <c r="E2515" s="170"/>
      <c r="F2515" s="58" t="str">
        <f>VLOOKUP(MOD(C2515,7),'CALENDAR INFO'!$I$2:$J$8,2)</f>
        <v>SUN</v>
      </c>
      <c r="I2515" s="457">
        <f t="shared" si="236"/>
        <v>0</v>
      </c>
      <c r="J2515" s="15" t="s">
        <v>237</v>
      </c>
      <c r="K2515" s="400">
        <f ca="1">SUM(INDIRECT(K2505))</f>
        <v>11.35499999999999</v>
      </c>
      <c r="L2515" s="401">
        <f ca="1">SUM(INDIRECT(L2505))</f>
        <v>11.430000000000007</v>
      </c>
      <c r="M2515" s="113">
        <f t="shared" si="238"/>
        <v>0</v>
      </c>
      <c r="N2515" s="64">
        <f t="shared" ref="N2515:N2578" ca="1" si="239">1+(M2515/360)*(MAX(H2515,B2515)/100)</f>
        <v>1</v>
      </c>
    </row>
    <row r="2516" spans="1:14">
      <c r="A2516" s="39">
        <f t="shared" ca="1" si="234"/>
        <v>3.7296428571428568</v>
      </c>
      <c r="B2516" s="41">
        <f t="shared" ca="1" si="235"/>
        <v>3.7491071428571376</v>
      </c>
      <c r="C2516" s="103">
        <f t="shared" si="237"/>
        <v>46314</v>
      </c>
      <c r="E2516" s="170"/>
      <c r="F2516" s="58" t="str">
        <f>VLOOKUP(MOD(C2516,7),'CALENDAR INFO'!$I$2:$J$8,2)</f>
        <v>MON</v>
      </c>
      <c r="I2516" s="457">
        <f t="shared" si="236"/>
        <v>0</v>
      </c>
      <c r="J2516" s="15" t="s">
        <v>238</v>
      </c>
      <c r="K2516" s="182">
        <f ca="1">K2511-K2514-K2515</f>
        <v>104.42999999999999</v>
      </c>
      <c r="L2516" s="201">
        <f ca="1">L2511-L2514-L2515</f>
        <v>104.97499999999985</v>
      </c>
      <c r="M2516" s="113">
        <f t="shared" si="238"/>
        <v>1</v>
      </c>
      <c r="N2516" s="64">
        <f t="shared" ca="1" si="239"/>
        <v>1.0001041418650793</v>
      </c>
    </row>
    <row r="2517" spans="1:14">
      <c r="A2517" s="39">
        <f t="shared" ca="1" si="234"/>
        <v>3.7296428571428568</v>
      </c>
      <c r="B2517" s="41">
        <f t="shared" ca="1" si="235"/>
        <v>3.7491071428571376</v>
      </c>
      <c r="C2517" s="103">
        <f t="shared" si="237"/>
        <v>46315</v>
      </c>
      <c r="E2517" s="170"/>
      <c r="F2517" s="58" t="str">
        <f>VLOOKUP(MOD(C2517,7),'CALENDAR INFO'!$I$2:$J$8,2)</f>
        <v>TUE</v>
      </c>
      <c r="I2517" s="457">
        <f t="shared" si="236"/>
        <v>0</v>
      </c>
      <c r="M2517" s="113">
        <f t="shared" si="238"/>
        <v>1</v>
      </c>
      <c r="N2517" s="64">
        <f t="shared" ca="1" si="239"/>
        <v>1.0001041418650793</v>
      </c>
    </row>
    <row r="2518" spans="1:14">
      <c r="A2518" s="39">
        <f t="shared" ca="1" si="234"/>
        <v>3.7296428571428568</v>
      </c>
      <c r="B2518" s="41">
        <f t="shared" ca="1" si="235"/>
        <v>3.7491071428571376</v>
      </c>
      <c r="C2518" s="103">
        <f t="shared" si="237"/>
        <v>46316</v>
      </c>
      <c r="E2518" s="170"/>
      <c r="F2518" s="58" t="str">
        <f>VLOOKUP(MOD(C2518,7),'CALENDAR INFO'!$I$2:$J$8,2)</f>
        <v>WED</v>
      </c>
      <c r="I2518" s="457">
        <f t="shared" si="236"/>
        <v>0</v>
      </c>
      <c r="J2518" s="15" t="s">
        <v>242</v>
      </c>
      <c r="K2518" s="15">
        <f>K2510</f>
        <v>31</v>
      </c>
      <c r="L2518" s="179">
        <f>L2510</f>
        <v>31</v>
      </c>
      <c r="M2518" s="113">
        <f t="shared" si="238"/>
        <v>1</v>
      </c>
      <c r="N2518" s="64">
        <f t="shared" ca="1" si="239"/>
        <v>1.0001041418650793</v>
      </c>
    </row>
    <row r="2519" spans="1:14">
      <c r="A2519" s="39">
        <f t="shared" ca="1" si="234"/>
        <v>3.7296428571428568</v>
      </c>
      <c r="B2519" s="41">
        <f t="shared" ca="1" si="235"/>
        <v>3.7491071428571376</v>
      </c>
      <c r="C2519" s="103">
        <f t="shared" si="237"/>
        <v>46317</v>
      </c>
      <c r="E2519" s="170"/>
      <c r="F2519" s="58" t="str">
        <f>VLOOKUP(MOD(C2519,7),'CALENDAR INFO'!$I$2:$J$8,2)</f>
        <v>THU</v>
      </c>
      <c r="I2519" s="457">
        <f t="shared" si="236"/>
        <v>0</v>
      </c>
      <c r="J2519" s="15" t="s">
        <v>194</v>
      </c>
      <c r="K2519" s="15">
        <f ca="1">COUNTA(INDIRECT(K2503))</f>
        <v>0</v>
      </c>
      <c r="L2519" s="179">
        <f ca="1">COUNTA(INDIRECT(L2503))</f>
        <v>0</v>
      </c>
      <c r="M2519" s="113">
        <f t="shared" si="238"/>
        <v>1</v>
      </c>
      <c r="N2519" s="64">
        <f t="shared" ca="1" si="239"/>
        <v>1.0001041418650793</v>
      </c>
    </row>
    <row r="2520" spans="1:14">
      <c r="A2520" s="39">
        <f t="shared" ca="1" si="234"/>
        <v>3.7296428571428568</v>
      </c>
      <c r="B2520" s="41">
        <f t="shared" ca="1" si="235"/>
        <v>3.7491071428571376</v>
      </c>
      <c r="C2520" s="103">
        <f t="shared" si="237"/>
        <v>46318</v>
      </c>
      <c r="E2520" s="170"/>
      <c r="F2520" s="58" t="str">
        <f>VLOOKUP(MOD(C2520,7),'CALENDAR INFO'!$I$2:$J$8,2)</f>
        <v>FRI</v>
      </c>
      <c r="I2520" s="457">
        <f t="shared" si="236"/>
        <v>0</v>
      </c>
      <c r="J2520" s="15" t="s">
        <v>243</v>
      </c>
      <c r="K2520" s="402">
        <f ca="1">COUNTA(INDIRECT(K2505))</f>
        <v>3</v>
      </c>
      <c r="L2520" s="403">
        <f ca="1">COUNTA(INDIRECT(L2505))</f>
        <v>3</v>
      </c>
      <c r="M2520" s="113">
        <f t="shared" si="238"/>
        <v>3</v>
      </c>
      <c r="N2520" s="64">
        <f t="shared" ca="1" si="239"/>
        <v>1.000312425595238</v>
      </c>
    </row>
    <row r="2521" spans="1:14">
      <c r="A2521" s="39">
        <f t="shared" ca="1" si="234"/>
        <v>3.7296428571428568</v>
      </c>
      <c r="B2521" s="41">
        <f t="shared" ca="1" si="235"/>
        <v>3.7491071428571376</v>
      </c>
      <c r="C2521" s="103">
        <f t="shared" si="237"/>
        <v>46319</v>
      </c>
      <c r="E2521" s="170"/>
      <c r="F2521" s="58" t="str">
        <f>VLOOKUP(MOD(C2521,7),'CALENDAR INFO'!$I$2:$J$8,2)</f>
        <v>SAT</v>
      </c>
      <c r="I2521" s="457">
        <f t="shared" si="236"/>
        <v>0</v>
      </c>
      <c r="J2521" s="15" t="s">
        <v>239</v>
      </c>
      <c r="K2521" s="152">
        <f ca="1">K2518-K2519-K2520</f>
        <v>28</v>
      </c>
      <c r="L2521" s="202">
        <f ca="1">L2518-L2519-L2520</f>
        <v>28</v>
      </c>
      <c r="M2521" s="113">
        <f t="shared" si="238"/>
        <v>0</v>
      </c>
      <c r="N2521" s="64">
        <f t="shared" ca="1" si="239"/>
        <v>1</v>
      </c>
    </row>
    <row r="2522" spans="1:14">
      <c r="A2522" s="39">
        <f t="shared" ca="1" si="234"/>
        <v>3.7296428571428568</v>
      </c>
      <c r="B2522" s="41">
        <f t="shared" ca="1" si="235"/>
        <v>3.7491071428571376</v>
      </c>
      <c r="C2522" s="103">
        <f t="shared" si="237"/>
        <v>46320</v>
      </c>
      <c r="E2522" s="170"/>
      <c r="F2522" s="58" t="str">
        <f>VLOOKUP(MOD(C2522,7),'CALENDAR INFO'!$I$2:$J$8,2)</f>
        <v>SUN</v>
      </c>
      <c r="I2522" s="457">
        <f t="shared" si="236"/>
        <v>0</v>
      </c>
      <c r="K2522" s="178"/>
      <c r="L2522" s="192"/>
      <c r="M2522" s="113">
        <f t="shared" si="238"/>
        <v>0</v>
      </c>
      <c r="N2522" s="64">
        <f t="shared" ca="1" si="239"/>
        <v>1</v>
      </c>
    </row>
    <row r="2523" spans="1:14">
      <c r="A2523" s="39">
        <f t="shared" ca="1" si="234"/>
        <v>3.7296428571428568</v>
      </c>
      <c r="B2523" s="41">
        <f t="shared" ca="1" si="235"/>
        <v>3.7491071428571376</v>
      </c>
      <c r="C2523" s="103">
        <f t="shared" si="237"/>
        <v>46321</v>
      </c>
      <c r="E2523" s="170"/>
      <c r="F2523" s="58" t="str">
        <f>VLOOKUP(MOD(C2523,7),'CALENDAR INFO'!$I$2:$J$8,2)</f>
        <v>MON</v>
      </c>
      <c r="I2523" s="457">
        <f t="shared" si="236"/>
        <v>0</v>
      </c>
      <c r="J2523" s="15" t="s">
        <v>238</v>
      </c>
      <c r="K2523" s="178">
        <f ca="1">K2516</f>
        <v>104.42999999999999</v>
      </c>
      <c r="L2523" s="192">
        <f ca="1">L2516</f>
        <v>104.97499999999985</v>
      </c>
      <c r="M2523" s="113">
        <f t="shared" si="238"/>
        <v>1</v>
      </c>
      <c r="N2523" s="64">
        <f t="shared" ca="1" si="239"/>
        <v>1.0001041418650793</v>
      </c>
    </row>
    <row r="2524" spans="1:14">
      <c r="A2524" s="39">
        <f t="shared" ca="1" si="234"/>
        <v>3.7296428571428568</v>
      </c>
      <c r="B2524" s="41">
        <f t="shared" ca="1" si="235"/>
        <v>3.7491071428571376</v>
      </c>
      <c r="C2524" s="103">
        <f t="shared" si="237"/>
        <v>46322</v>
      </c>
      <c r="D2524" s="153" t="s">
        <v>20</v>
      </c>
      <c r="E2524" s="170"/>
      <c r="F2524" s="58" t="str">
        <f>VLOOKUP(MOD(C2524,7),'CALENDAR INFO'!$I$2:$J$8,2)</f>
        <v>TUE</v>
      </c>
      <c r="I2524" s="457">
        <f t="shared" si="236"/>
        <v>0</v>
      </c>
      <c r="J2524" s="15" t="s">
        <v>239</v>
      </c>
      <c r="K2524" s="221">
        <f ca="1">K2521</f>
        <v>28</v>
      </c>
      <c r="L2524" s="223">
        <f ca="1">L2521</f>
        <v>28</v>
      </c>
      <c r="M2524" s="113">
        <f t="shared" si="238"/>
        <v>1</v>
      </c>
      <c r="N2524" s="64">
        <f t="shared" ca="1" si="239"/>
        <v>1.0001041418650793</v>
      </c>
    </row>
    <row r="2525" spans="1:14">
      <c r="A2525" s="39">
        <f ca="1">K$2525</f>
        <v>3.7296428571428568</v>
      </c>
      <c r="B2525" s="41">
        <f t="shared" ca="1" si="235"/>
        <v>3.7491071428571376</v>
      </c>
      <c r="C2525" s="103">
        <f t="shared" si="237"/>
        <v>46323</v>
      </c>
      <c r="D2525" s="153" t="s">
        <v>20</v>
      </c>
      <c r="E2525" s="170" t="s">
        <v>19</v>
      </c>
      <c r="F2525" s="58" t="str">
        <f>VLOOKUP(MOD(C2525,7),'CALENDAR INFO'!$I$2:$J$8,2)</f>
        <v>WED</v>
      </c>
      <c r="I2525" s="457">
        <f t="shared" si="236"/>
        <v>0</v>
      </c>
      <c r="J2525" s="15" t="s">
        <v>240</v>
      </c>
      <c r="K2525" s="178">
        <f ca="1">K2523/K2524</f>
        <v>3.7296428571428568</v>
      </c>
      <c r="L2525" s="192">
        <f ca="1">L2523/L2524</f>
        <v>3.7491071428571376</v>
      </c>
      <c r="M2525" s="113">
        <f t="shared" si="238"/>
        <v>1</v>
      </c>
      <c r="N2525" s="64">
        <f t="shared" ca="1" si="239"/>
        <v>1.0001041418650793</v>
      </c>
    </row>
    <row r="2526" spans="1:14">
      <c r="A2526" s="304">
        <f t="shared" ref="A2526:B2528" si="240">K$2507</f>
        <v>3.7849999999999966</v>
      </c>
      <c r="B2526" s="305">
        <f t="shared" si="240"/>
        <v>3.8100000000000023</v>
      </c>
      <c r="C2526" s="103">
        <f t="shared" si="237"/>
        <v>46324</v>
      </c>
      <c r="E2526" s="167" t="s">
        <v>18</v>
      </c>
      <c r="F2526" s="58" t="str">
        <f>VLOOKUP(MOD(C2526,7),'CALENDAR INFO'!$I$2:$J$8,2)</f>
        <v>THU</v>
      </c>
      <c r="I2526" s="457">
        <f t="shared" si="236"/>
        <v>0</v>
      </c>
      <c r="M2526" s="113">
        <f t="shared" si="238"/>
        <v>1</v>
      </c>
      <c r="N2526" s="64">
        <f t="shared" si="239"/>
        <v>1.0001058333333332</v>
      </c>
    </row>
    <row r="2527" spans="1:14">
      <c r="A2527" s="304">
        <f t="shared" si="240"/>
        <v>3.7849999999999966</v>
      </c>
      <c r="B2527" s="305">
        <f t="shared" si="240"/>
        <v>3.8100000000000023</v>
      </c>
      <c r="C2527" s="103">
        <f t="shared" si="237"/>
        <v>46325</v>
      </c>
      <c r="E2527" s="167"/>
      <c r="F2527" s="58" t="str">
        <f>VLOOKUP(MOD(C2527,7),'CALENDAR INFO'!$I$2:$J$8,2)</f>
        <v>FRI</v>
      </c>
      <c r="I2527" s="457">
        <f t="shared" si="236"/>
        <v>0</v>
      </c>
      <c r="M2527" s="113">
        <f t="shared" si="238"/>
        <v>3</v>
      </c>
      <c r="N2527" s="64">
        <f t="shared" si="239"/>
        <v>1.0003175</v>
      </c>
    </row>
    <row r="2528" spans="1:14" ht="15.75" thickBot="1">
      <c r="A2528" s="405">
        <f t="shared" si="240"/>
        <v>3.7849999999999966</v>
      </c>
      <c r="B2528" s="406">
        <f t="shared" si="240"/>
        <v>3.8100000000000023</v>
      </c>
      <c r="C2528" s="104">
        <f t="shared" si="237"/>
        <v>46326</v>
      </c>
      <c r="D2528" s="112"/>
      <c r="E2528" s="92"/>
      <c r="F2528" s="71" t="str">
        <f>VLOOKUP(MOD(C2528,7),'CALENDAR INFO'!$I$2:$J$8,2)</f>
        <v>SAT</v>
      </c>
      <c r="G2528" s="215"/>
      <c r="H2528" s="426"/>
      <c r="I2528" s="458">
        <f t="shared" si="236"/>
        <v>0</v>
      </c>
      <c r="J2528" s="348"/>
      <c r="K2528" s="348"/>
      <c r="L2528" s="349"/>
      <c r="M2528" s="114">
        <f t="shared" si="238"/>
        <v>0</v>
      </c>
      <c r="N2528" s="292">
        <f t="shared" si="239"/>
        <v>1</v>
      </c>
    </row>
    <row r="2529" spans="1:14">
      <c r="A2529" s="304">
        <f>K2538</f>
        <v>3.7849999999999966</v>
      </c>
      <c r="B2529" s="305">
        <f>L2538</f>
        <v>3.8100000000000023</v>
      </c>
      <c r="C2529" s="103">
        <f t="shared" si="237"/>
        <v>46327</v>
      </c>
      <c r="E2529" s="167"/>
      <c r="F2529" s="58" t="str">
        <f>VLOOKUP(MOD(C2529,7),'CALENDAR INFO'!$I$2:$J$8,2)</f>
        <v>SUN</v>
      </c>
      <c r="I2529" s="457">
        <f t="shared" si="236"/>
        <v>0</v>
      </c>
      <c r="J2529" s="15" t="s">
        <v>151</v>
      </c>
      <c r="K2529" s="360">
        <f>ROW()</f>
        <v>2529</v>
      </c>
      <c r="L2529" s="233">
        <f>K2529</f>
        <v>2529</v>
      </c>
      <c r="M2529" s="113">
        <f t="shared" si="238"/>
        <v>0</v>
      </c>
      <c r="N2529" s="64">
        <f t="shared" si="239"/>
        <v>1</v>
      </c>
    </row>
    <row r="2530" spans="1:14">
      <c r="A2530" s="39">
        <f ca="1">K$2556</f>
        <v>3.7849999999999966</v>
      </c>
      <c r="B2530" s="41">
        <f t="shared" ref="B2530:B2558" ca="1" si="241">L$2556</f>
        <v>3.8100000000000023</v>
      </c>
      <c r="C2530" s="103">
        <f t="shared" si="237"/>
        <v>46328</v>
      </c>
      <c r="E2530" s="167"/>
      <c r="F2530" s="58" t="str">
        <f>VLOOKUP(MOD(C2530,7),'CALENDAR INFO'!$I$2:$J$8,2)</f>
        <v>MON</v>
      </c>
      <c r="I2530" s="457">
        <f t="shared" si="236"/>
        <v>0</v>
      </c>
      <c r="J2530" s="15" t="s">
        <v>118</v>
      </c>
      <c r="K2530" s="15">
        <f>VLOOKUP(MONTH($C2529),'CALENDAR INFO'!$I$12:$J$23,2)</f>
        <v>30</v>
      </c>
      <c r="L2530" s="179">
        <f>K2530</f>
        <v>30</v>
      </c>
      <c r="M2530" s="113">
        <f t="shared" si="238"/>
        <v>1</v>
      </c>
      <c r="N2530" s="64">
        <f t="shared" ca="1" si="239"/>
        <v>1.0001058333333332</v>
      </c>
    </row>
    <row r="2531" spans="1:14">
      <c r="A2531" s="39">
        <f t="shared" ref="A2531:A2558" ca="1" si="242">K$2556</f>
        <v>3.7849999999999966</v>
      </c>
      <c r="B2531" s="41">
        <f t="shared" ca="1" si="241"/>
        <v>3.8100000000000023</v>
      </c>
      <c r="C2531" s="103">
        <f t="shared" si="237"/>
        <v>46329</v>
      </c>
      <c r="E2531" s="167"/>
      <c r="F2531" s="58" t="str">
        <f>VLOOKUP(MOD(C2531,7),'CALENDAR INFO'!$I$2:$J$8,2)</f>
        <v>TUE</v>
      </c>
      <c r="I2531" s="457">
        <f t="shared" si="236"/>
        <v>0</v>
      </c>
      <c r="J2531" s="15" t="s">
        <v>152</v>
      </c>
      <c r="K2531" s="15">
        <f>K2529+K2530-1</f>
        <v>2558</v>
      </c>
      <c r="L2531" s="179">
        <f>K2531</f>
        <v>2558</v>
      </c>
      <c r="M2531" s="113">
        <f t="shared" si="238"/>
        <v>1</v>
      </c>
      <c r="N2531" s="64">
        <f t="shared" ca="1" si="239"/>
        <v>1.0001058333333332</v>
      </c>
    </row>
    <row r="2532" spans="1:14">
      <c r="A2532" s="39">
        <f t="shared" ca="1" si="242"/>
        <v>3.7849999999999966</v>
      </c>
      <c r="B2532" s="41">
        <f t="shared" ca="1" si="241"/>
        <v>3.8100000000000023</v>
      </c>
      <c r="C2532" s="103">
        <f t="shared" si="237"/>
        <v>46330</v>
      </c>
      <c r="E2532" s="167"/>
      <c r="F2532" s="58" t="str">
        <f>VLOOKUP(MOD(C2532,7),'CALENDAR INFO'!$I$2:$J$8,2)</f>
        <v>WED</v>
      </c>
      <c r="I2532" s="457">
        <f t="shared" si="236"/>
        <v>0</v>
      </c>
      <c r="J2532" s="15" t="s">
        <v>244</v>
      </c>
      <c r="K2532" s="176">
        <f>ROW(D2529)</f>
        <v>2529</v>
      </c>
      <c r="L2532" s="179">
        <f>K2532</f>
        <v>2529</v>
      </c>
      <c r="M2532" s="113">
        <f t="shared" si="238"/>
        <v>1</v>
      </c>
      <c r="N2532" s="64">
        <f t="shared" ca="1" si="239"/>
        <v>1.0001058333333332</v>
      </c>
    </row>
    <row r="2533" spans="1:14">
      <c r="A2533" s="39">
        <f t="shared" ca="1" si="242"/>
        <v>3.7849999999999966</v>
      </c>
      <c r="B2533" s="41">
        <f t="shared" ca="1" si="241"/>
        <v>3.8100000000000023</v>
      </c>
      <c r="C2533" s="103">
        <f t="shared" si="237"/>
        <v>46331</v>
      </c>
      <c r="E2533" s="167"/>
      <c r="F2533" s="58" t="str">
        <f>VLOOKUP(MOD(C2533,7),'CALENDAR INFO'!$I$2:$J$8,2)</f>
        <v>THU</v>
      </c>
      <c r="I2533" s="457">
        <f t="shared" si="236"/>
        <v>0</v>
      </c>
      <c r="K2533" s="176"/>
      <c r="M2533" s="113">
        <f t="shared" si="238"/>
        <v>1</v>
      </c>
      <c r="N2533" s="64">
        <f t="shared" ca="1" si="239"/>
        <v>1.0001058333333332</v>
      </c>
    </row>
    <row r="2534" spans="1:14">
      <c r="A2534" s="39">
        <f t="shared" ca="1" si="242"/>
        <v>3.7849999999999966</v>
      </c>
      <c r="B2534" s="41">
        <f t="shared" ca="1" si="241"/>
        <v>3.8100000000000023</v>
      </c>
      <c r="C2534" s="103">
        <f t="shared" si="237"/>
        <v>46332</v>
      </c>
      <c r="E2534" s="167"/>
      <c r="F2534" s="58" t="str">
        <f>VLOOKUP(MOD(C2534,7),'CALENDAR INFO'!$I$2:$J$8,2)</f>
        <v>FRI</v>
      </c>
      <c r="I2534" s="457">
        <f t="shared" si="236"/>
        <v>0</v>
      </c>
      <c r="J2534" s="15" t="s">
        <v>153</v>
      </c>
      <c r="K2534" s="15" t="str">
        <f>_xlfn.CONCAT(ADDRESS(K2529,7),":",ADDRESS(K2531,7))</f>
        <v>$G$2529:$G$2558</v>
      </c>
      <c r="L2534" s="179" t="str">
        <f>_xlfn.CONCAT(ADDRESS(L2529,8),":",ADDRESS(L2531,8))</f>
        <v>$H$2529:$H$2558</v>
      </c>
      <c r="M2534" s="113">
        <f t="shared" si="238"/>
        <v>3</v>
      </c>
      <c r="N2534" s="64">
        <f t="shared" ca="1" si="239"/>
        <v>1.0003175</v>
      </c>
    </row>
    <row r="2535" spans="1:14">
      <c r="A2535" s="39">
        <f t="shared" ca="1" si="242"/>
        <v>3.7849999999999966</v>
      </c>
      <c r="B2535" s="41">
        <f t="shared" ca="1" si="241"/>
        <v>3.8100000000000023</v>
      </c>
      <c r="C2535" s="103">
        <f t="shared" si="237"/>
        <v>46333</v>
      </c>
      <c r="E2535" s="167"/>
      <c r="F2535" s="58" t="str">
        <f>VLOOKUP(MOD(C2535,7),'CALENDAR INFO'!$I$2:$J$8,2)</f>
        <v>SAT</v>
      </c>
      <c r="I2535" s="457">
        <f t="shared" si="236"/>
        <v>0</v>
      </c>
      <c r="J2535" s="176" t="s">
        <v>235</v>
      </c>
      <c r="K2535" s="15" t="str">
        <f>_xlfn.CONCAT(ADDRESS(K2529,1),":",ADDRESS(K2532,1))</f>
        <v>$A$2529:$A$2529</v>
      </c>
      <c r="L2535" s="179" t="str">
        <f>_xlfn.CONCAT(ADDRESS(L2529,2),":",ADDRESS(L2532,2))</f>
        <v>$B$2529:$B$2529</v>
      </c>
      <c r="M2535" s="113">
        <f t="shared" si="238"/>
        <v>0</v>
      </c>
      <c r="N2535" s="64">
        <f t="shared" ca="1" si="239"/>
        <v>1</v>
      </c>
    </row>
    <row r="2536" spans="1:14">
      <c r="A2536" s="39">
        <f t="shared" ca="1" si="242"/>
        <v>3.7849999999999966</v>
      </c>
      <c r="B2536" s="41">
        <f t="shared" ca="1" si="241"/>
        <v>3.8100000000000023</v>
      </c>
      <c r="C2536" s="103">
        <f t="shared" si="237"/>
        <v>46334</v>
      </c>
      <c r="E2536" s="167"/>
      <c r="F2536" s="58" t="str">
        <f>VLOOKUP(MOD(C2536,7),'CALENDAR INFO'!$I$2:$J$8,2)</f>
        <v>SUN</v>
      </c>
      <c r="I2536" s="457">
        <f t="shared" si="236"/>
        <v>0</v>
      </c>
      <c r="J2536" s="176" t="s">
        <v>236</v>
      </c>
      <c r="K2536" s="15" t="str">
        <f>_xlfn.CONCAT(ADDRESS(K2532+1,1),":",ADDRESS(K2531,1))</f>
        <v>$A$2530:$A$2558</v>
      </c>
      <c r="L2536" s="179" t="str">
        <f>_xlfn.CONCAT(ADDRESS(L2532+1,2),":",ADDRESS(L2531,2))</f>
        <v>$B$2530:$B$2558</v>
      </c>
      <c r="M2536" s="113">
        <f t="shared" si="238"/>
        <v>0</v>
      </c>
      <c r="N2536" s="64">
        <f t="shared" ca="1" si="239"/>
        <v>1</v>
      </c>
    </row>
    <row r="2537" spans="1:14">
      <c r="A2537" s="39">
        <f t="shared" ca="1" si="242"/>
        <v>3.7849999999999966</v>
      </c>
      <c r="B2537" s="41">
        <f t="shared" ca="1" si="241"/>
        <v>3.8100000000000023</v>
      </c>
      <c r="C2537" s="103">
        <f t="shared" si="237"/>
        <v>46335</v>
      </c>
      <c r="E2537" s="167"/>
      <c r="F2537" s="58" t="str">
        <f>VLOOKUP(MOD(C2537,7),'CALENDAR INFO'!$I$2:$J$8,2)</f>
        <v>MON</v>
      </c>
      <c r="I2537" s="457">
        <f t="shared" si="236"/>
        <v>0</v>
      </c>
      <c r="M2537" s="113">
        <f t="shared" si="238"/>
        <v>1</v>
      </c>
      <c r="N2537" s="64">
        <f t="shared" ca="1" si="239"/>
        <v>1.0001058333333332</v>
      </c>
    </row>
    <row r="2538" spans="1:14">
      <c r="A2538" s="39">
        <f t="shared" ca="1" si="242"/>
        <v>3.7849999999999966</v>
      </c>
      <c r="B2538" s="41">
        <f t="shared" ca="1" si="241"/>
        <v>3.8100000000000023</v>
      </c>
      <c r="C2538" s="103">
        <f t="shared" si="237"/>
        <v>46336</v>
      </c>
      <c r="E2538" s="167"/>
      <c r="F2538" s="58" t="str">
        <f>VLOOKUP(MOD(C2538,7),'CALENDAR INFO'!$I$2:$J$8,2)</f>
        <v>TUE</v>
      </c>
      <c r="I2538" s="457">
        <f t="shared" si="236"/>
        <v>0</v>
      </c>
      <c r="J2538" s="15" t="s">
        <v>241</v>
      </c>
      <c r="K2538" s="186">
        <f>K2540</f>
        <v>3.7849999999999966</v>
      </c>
      <c r="L2538" s="194">
        <f>L2540</f>
        <v>3.8100000000000023</v>
      </c>
      <c r="M2538" s="117">
        <v>2</v>
      </c>
      <c r="N2538" s="64">
        <f t="shared" ca="1" si="239"/>
        <v>1.0002116666666667</v>
      </c>
    </row>
    <row r="2539" spans="1:14">
      <c r="A2539" s="39">
        <f t="shared" ca="1" si="242"/>
        <v>3.7849999999999966</v>
      </c>
      <c r="B2539" s="41">
        <f t="shared" ca="1" si="241"/>
        <v>3.8100000000000023</v>
      </c>
      <c r="C2539" s="103">
        <f t="shared" si="237"/>
        <v>46337</v>
      </c>
      <c r="D2539" s="173" t="s">
        <v>109</v>
      </c>
      <c r="E2539" s="167" t="s">
        <v>19</v>
      </c>
      <c r="F2539" s="58" t="str">
        <f>VLOOKUP(MOD(C2539,7),'CALENDAR INFO'!$I$2:$J$8,2)</f>
        <v>WED</v>
      </c>
      <c r="I2539" s="457">
        <f t="shared" si="236"/>
        <v>0</v>
      </c>
      <c r="M2539" s="117">
        <v>0</v>
      </c>
      <c r="N2539" s="64">
        <f t="shared" ca="1" si="239"/>
        <v>1</v>
      </c>
    </row>
    <row r="2540" spans="1:14">
      <c r="A2540" s="39">
        <f t="shared" ca="1" si="242"/>
        <v>3.7849999999999966</v>
      </c>
      <c r="B2540" s="41">
        <f t="shared" ca="1" si="241"/>
        <v>3.8100000000000023</v>
      </c>
      <c r="C2540" s="103">
        <f t="shared" si="237"/>
        <v>46338</v>
      </c>
      <c r="E2540" s="170" t="s">
        <v>18</v>
      </c>
      <c r="F2540" s="58" t="str">
        <f>VLOOKUP(MOD(C2540,7),'CALENDAR INFO'!$I$2:$J$8,2)</f>
        <v>THU</v>
      </c>
      <c r="I2540" s="457">
        <f t="shared" si="236"/>
        <v>0</v>
      </c>
      <c r="J2540" s="15" t="s">
        <v>197</v>
      </c>
      <c r="K2540" s="180">
        <f>OUTPUT!C8</f>
        <v>3.7849999999999966</v>
      </c>
      <c r="L2540" s="193">
        <f>OUTPUT!F8</f>
        <v>3.8100000000000023</v>
      </c>
      <c r="M2540" s="113">
        <f t="shared" ref="M2540:M2552" si="243">IF(MOD(C2540,7)&lt;2,0,IF(MOD(C2540,7)=6,3,1))</f>
        <v>1</v>
      </c>
      <c r="N2540" s="64">
        <f t="shared" ca="1" si="239"/>
        <v>1.0001058333333332</v>
      </c>
    </row>
    <row r="2541" spans="1:14">
      <c r="A2541" s="39">
        <f t="shared" ca="1" si="242"/>
        <v>3.7849999999999966</v>
      </c>
      <c r="B2541" s="41">
        <f t="shared" ca="1" si="241"/>
        <v>3.8100000000000023</v>
      </c>
      <c r="C2541" s="103">
        <f t="shared" si="237"/>
        <v>46339</v>
      </c>
      <c r="E2541" s="170"/>
      <c r="F2541" s="58" t="str">
        <f>VLOOKUP(MOD(C2541,7),'CALENDAR INFO'!$I$2:$J$8,2)</f>
        <v>FRI</v>
      </c>
      <c r="I2541" s="457">
        <f t="shared" si="236"/>
        <v>0</v>
      </c>
      <c r="J2541" s="15" t="s">
        <v>118</v>
      </c>
      <c r="K2541" s="221">
        <f>VLOOKUP(MONTH($C2535),'CALENDAR INFO'!$I$12:$J$23,2)</f>
        <v>30</v>
      </c>
      <c r="L2541" s="223">
        <f>K2541</f>
        <v>30</v>
      </c>
      <c r="M2541" s="113">
        <f t="shared" si="243"/>
        <v>3</v>
      </c>
      <c r="N2541" s="64">
        <f t="shared" ca="1" si="239"/>
        <v>1.0003175</v>
      </c>
    </row>
    <row r="2542" spans="1:14">
      <c r="A2542" s="39">
        <f t="shared" ca="1" si="242"/>
        <v>3.7849999999999966</v>
      </c>
      <c r="B2542" s="41">
        <f t="shared" ca="1" si="241"/>
        <v>3.8100000000000023</v>
      </c>
      <c r="C2542" s="103">
        <f t="shared" si="237"/>
        <v>46340</v>
      </c>
      <c r="E2542" s="170"/>
      <c r="F2542" s="58" t="str">
        <f>VLOOKUP(MOD(C2542,7),'CALENDAR INFO'!$I$2:$J$8,2)</f>
        <v>SAT</v>
      </c>
      <c r="I2542" s="457">
        <f t="shared" si="236"/>
        <v>0</v>
      </c>
      <c r="J2542" s="15" t="s">
        <v>234</v>
      </c>
      <c r="K2542" s="178">
        <f>K2540*K2530</f>
        <v>113.5499999999999</v>
      </c>
      <c r="L2542" s="192">
        <f>L2540*L2530</f>
        <v>114.30000000000007</v>
      </c>
      <c r="M2542" s="113">
        <f t="shared" si="243"/>
        <v>0</v>
      </c>
      <c r="N2542" s="64">
        <f t="shared" ca="1" si="239"/>
        <v>1</v>
      </c>
    </row>
    <row r="2543" spans="1:14">
      <c r="A2543" s="39">
        <f t="shared" ca="1" si="242"/>
        <v>3.7849999999999966</v>
      </c>
      <c r="B2543" s="41">
        <f t="shared" ca="1" si="241"/>
        <v>3.8100000000000023</v>
      </c>
      <c r="C2543" s="103">
        <f t="shared" si="237"/>
        <v>46341</v>
      </c>
      <c r="E2543" s="170"/>
      <c r="F2543" s="58" t="str">
        <f>VLOOKUP(MOD(C2543,7),'CALENDAR INFO'!$I$2:$J$8,2)</f>
        <v>SUN</v>
      </c>
      <c r="I2543" s="457">
        <f t="shared" si="236"/>
        <v>0</v>
      </c>
      <c r="M2543" s="113">
        <f t="shared" si="243"/>
        <v>0</v>
      </c>
      <c r="N2543" s="64">
        <f t="shared" ca="1" si="239"/>
        <v>1</v>
      </c>
    </row>
    <row r="2544" spans="1:14">
      <c r="A2544" s="39">
        <f t="shared" ca="1" si="242"/>
        <v>3.7849999999999966</v>
      </c>
      <c r="B2544" s="41">
        <f t="shared" ca="1" si="241"/>
        <v>3.8100000000000023</v>
      </c>
      <c r="C2544" s="103">
        <f t="shared" si="237"/>
        <v>46342</v>
      </c>
      <c r="E2544" s="170"/>
      <c r="F2544" s="58" t="str">
        <f>VLOOKUP(MOD(C2544,7),'CALENDAR INFO'!$I$2:$J$8,2)</f>
        <v>MON</v>
      </c>
      <c r="I2544" s="457">
        <f t="shared" si="236"/>
        <v>0</v>
      </c>
      <c r="J2544" s="15" t="str">
        <f>J2542</f>
        <v>monthly target</v>
      </c>
      <c r="K2544" s="178">
        <f>K2542</f>
        <v>113.5499999999999</v>
      </c>
      <c r="L2544" s="192">
        <f>L2542</f>
        <v>114.30000000000007</v>
      </c>
      <c r="M2544" s="113">
        <f t="shared" si="243"/>
        <v>1</v>
      </c>
      <c r="N2544" s="64">
        <f t="shared" ca="1" si="239"/>
        <v>1.0001058333333332</v>
      </c>
    </row>
    <row r="2545" spans="1:14">
      <c r="A2545" s="39">
        <f t="shared" ca="1" si="242"/>
        <v>3.7849999999999966</v>
      </c>
      <c r="B2545" s="41">
        <f t="shared" ca="1" si="241"/>
        <v>3.8100000000000023</v>
      </c>
      <c r="C2545" s="103">
        <f t="shared" si="237"/>
        <v>46343</v>
      </c>
      <c r="E2545" s="170"/>
      <c r="F2545" s="58" t="str">
        <f>VLOOKUP(MOD(C2545,7),'CALENDAR INFO'!$I$2:$J$8,2)</f>
        <v>TUE</v>
      </c>
      <c r="I2545" s="457">
        <f t="shared" si="236"/>
        <v>0</v>
      </c>
      <c r="J2545" s="15" t="s">
        <v>155</v>
      </c>
      <c r="K2545" s="178">
        <f ca="1">SUM(INDIRECT(K2534))</f>
        <v>0</v>
      </c>
      <c r="L2545" s="192">
        <f ca="1">SUM(INDIRECT(L2534))</f>
        <v>0</v>
      </c>
      <c r="M2545" s="113">
        <f t="shared" si="243"/>
        <v>1</v>
      </c>
      <c r="N2545" s="64">
        <f t="shared" ca="1" si="239"/>
        <v>1.0001058333333332</v>
      </c>
    </row>
    <row r="2546" spans="1:14">
      <c r="A2546" s="39">
        <f t="shared" ca="1" si="242"/>
        <v>3.7849999999999966</v>
      </c>
      <c r="B2546" s="41">
        <f t="shared" ca="1" si="241"/>
        <v>3.8100000000000023</v>
      </c>
      <c r="C2546" s="103">
        <f t="shared" si="237"/>
        <v>46344</v>
      </c>
      <c r="E2546" s="170"/>
      <c r="F2546" s="58" t="str">
        <f>VLOOKUP(MOD(C2546,7),'CALENDAR INFO'!$I$2:$J$8,2)</f>
        <v>WED</v>
      </c>
      <c r="I2546" s="457">
        <f t="shared" si="236"/>
        <v>0</v>
      </c>
      <c r="J2546" s="15" t="s">
        <v>237</v>
      </c>
      <c r="K2546" s="400">
        <f ca="1">SUM(INDIRECT(K2535))</f>
        <v>3.7849999999999966</v>
      </c>
      <c r="L2546" s="401">
        <f ca="1">SUM(INDIRECT(L2535))</f>
        <v>3.8100000000000023</v>
      </c>
      <c r="M2546" s="113">
        <f t="shared" si="243"/>
        <v>1</v>
      </c>
      <c r="N2546" s="64">
        <f t="shared" ca="1" si="239"/>
        <v>1.0001058333333332</v>
      </c>
    </row>
    <row r="2547" spans="1:14">
      <c r="A2547" s="39">
        <f t="shared" ca="1" si="242"/>
        <v>3.7849999999999966</v>
      </c>
      <c r="B2547" s="41">
        <f t="shared" ca="1" si="241"/>
        <v>3.8100000000000023</v>
      </c>
      <c r="C2547" s="103">
        <f t="shared" si="237"/>
        <v>46345</v>
      </c>
      <c r="E2547" s="170"/>
      <c r="F2547" s="58" t="str">
        <f>VLOOKUP(MOD(C2547,7),'CALENDAR INFO'!$I$2:$J$8,2)</f>
        <v>THU</v>
      </c>
      <c r="I2547" s="457">
        <f t="shared" si="236"/>
        <v>0</v>
      </c>
      <c r="J2547" s="15" t="s">
        <v>238</v>
      </c>
      <c r="K2547" s="182">
        <f ca="1">K2542-K2545-K2546</f>
        <v>109.7649999999999</v>
      </c>
      <c r="L2547" s="201">
        <f ca="1">L2542-L2545-L2546</f>
        <v>110.49000000000007</v>
      </c>
      <c r="M2547" s="113">
        <f t="shared" si="243"/>
        <v>1</v>
      </c>
      <c r="N2547" s="64">
        <f t="shared" ca="1" si="239"/>
        <v>1.0001058333333332</v>
      </c>
    </row>
    <row r="2548" spans="1:14">
      <c r="A2548" s="39">
        <f t="shared" ca="1" si="242"/>
        <v>3.7849999999999966</v>
      </c>
      <c r="B2548" s="41">
        <f t="shared" ca="1" si="241"/>
        <v>3.8100000000000023</v>
      </c>
      <c r="C2548" s="103">
        <f t="shared" si="237"/>
        <v>46346</v>
      </c>
      <c r="E2548" s="170"/>
      <c r="F2548" s="58" t="str">
        <f>VLOOKUP(MOD(C2548,7),'CALENDAR INFO'!$I$2:$J$8,2)</f>
        <v>FRI</v>
      </c>
      <c r="I2548" s="457">
        <f t="shared" si="236"/>
        <v>0</v>
      </c>
      <c r="K2548" s="178"/>
      <c r="L2548" s="192"/>
      <c r="M2548" s="113">
        <f t="shared" si="243"/>
        <v>3</v>
      </c>
      <c r="N2548" s="64">
        <f t="shared" ca="1" si="239"/>
        <v>1.0003175</v>
      </c>
    </row>
    <row r="2549" spans="1:14">
      <c r="A2549" s="39">
        <f t="shared" ca="1" si="242"/>
        <v>3.7849999999999966</v>
      </c>
      <c r="B2549" s="41">
        <f t="shared" ca="1" si="241"/>
        <v>3.8100000000000023</v>
      </c>
      <c r="C2549" s="103">
        <f t="shared" si="237"/>
        <v>46347</v>
      </c>
      <c r="E2549" s="170"/>
      <c r="F2549" s="58" t="str">
        <f>VLOOKUP(MOD(C2549,7),'CALENDAR INFO'!$I$2:$J$8,2)</f>
        <v>SAT</v>
      </c>
      <c r="I2549" s="457">
        <f t="shared" si="236"/>
        <v>0</v>
      </c>
      <c r="J2549" s="15" t="s">
        <v>242</v>
      </c>
      <c r="K2549" s="15">
        <f>K2541</f>
        <v>30</v>
      </c>
      <c r="L2549" s="179">
        <f>L2541</f>
        <v>30</v>
      </c>
      <c r="M2549" s="113">
        <f t="shared" si="243"/>
        <v>0</v>
      </c>
      <c r="N2549" s="64">
        <f t="shared" ca="1" si="239"/>
        <v>1</v>
      </c>
    </row>
    <row r="2550" spans="1:14">
      <c r="A2550" s="39">
        <f t="shared" ca="1" si="242"/>
        <v>3.7849999999999966</v>
      </c>
      <c r="B2550" s="41">
        <f t="shared" ca="1" si="241"/>
        <v>3.8100000000000023</v>
      </c>
      <c r="C2550" s="103">
        <f t="shared" si="237"/>
        <v>46348</v>
      </c>
      <c r="E2550" s="170"/>
      <c r="F2550" s="58" t="str">
        <f>VLOOKUP(MOD(C2550,7),'CALENDAR INFO'!$I$2:$J$8,2)</f>
        <v>SUN</v>
      </c>
      <c r="I2550" s="457">
        <f t="shared" si="236"/>
        <v>0</v>
      </c>
      <c r="J2550" s="15" t="s">
        <v>194</v>
      </c>
      <c r="K2550" s="15">
        <f ca="1">COUNTA(INDIRECT(K2534))</f>
        <v>0</v>
      </c>
      <c r="L2550" s="179">
        <f ca="1">COUNTA(INDIRECT(L2534))</f>
        <v>0</v>
      </c>
      <c r="M2550" s="113">
        <f t="shared" si="243"/>
        <v>0</v>
      </c>
      <c r="N2550" s="64">
        <f t="shared" ca="1" si="239"/>
        <v>1</v>
      </c>
    </row>
    <row r="2551" spans="1:14">
      <c r="A2551" s="39">
        <f t="shared" ca="1" si="242"/>
        <v>3.7849999999999966</v>
      </c>
      <c r="B2551" s="41">
        <f t="shared" ca="1" si="241"/>
        <v>3.8100000000000023</v>
      </c>
      <c r="C2551" s="103">
        <f t="shared" si="237"/>
        <v>46349</v>
      </c>
      <c r="E2551" s="170"/>
      <c r="F2551" s="58" t="str">
        <f>VLOOKUP(MOD(C2551,7),'CALENDAR INFO'!$I$2:$J$8,2)</f>
        <v>MON</v>
      </c>
      <c r="I2551" s="457">
        <f t="shared" si="236"/>
        <v>0</v>
      </c>
      <c r="J2551" s="15" t="s">
        <v>243</v>
      </c>
      <c r="K2551" s="402">
        <f ca="1">COUNTA(INDIRECT(K2535))</f>
        <v>1</v>
      </c>
      <c r="L2551" s="403">
        <f ca="1">COUNTA(INDIRECT(L2535))</f>
        <v>1</v>
      </c>
      <c r="M2551" s="113">
        <f t="shared" si="243"/>
        <v>1</v>
      </c>
      <c r="N2551" s="64">
        <f t="shared" ca="1" si="239"/>
        <v>1.0001058333333332</v>
      </c>
    </row>
    <row r="2552" spans="1:14">
      <c r="A2552" s="39">
        <f t="shared" ca="1" si="242"/>
        <v>3.7849999999999966</v>
      </c>
      <c r="B2552" s="41">
        <f t="shared" ca="1" si="241"/>
        <v>3.8100000000000023</v>
      </c>
      <c r="C2552" s="103">
        <f t="shared" si="237"/>
        <v>46350</v>
      </c>
      <c r="E2552" s="170"/>
      <c r="F2552" s="58" t="str">
        <f>VLOOKUP(MOD(C2552,7),'CALENDAR INFO'!$I$2:$J$8,2)</f>
        <v>TUE</v>
      </c>
      <c r="I2552" s="457">
        <f t="shared" si="236"/>
        <v>0</v>
      </c>
      <c r="J2552" s="15" t="s">
        <v>239</v>
      </c>
      <c r="K2552" s="152">
        <f ca="1">K2549-K2550-K2551</f>
        <v>29</v>
      </c>
      <c r="L2552" s="202">
        <f ca="1">L2549-L2550-L2551</f>
        <v>29</v>
      </c>
      <c r="M2552" s="113">
        <f t="shared" si="243"/>
        <v>1</v>
      </c>
      <c r="N2552" s="64">
        <f t="shared" ca="1" si="239"/>
        <v>1.0001058333333332</v>
      </c>
    </row>
    <row r="2553" spans="1:14">
      <c r="A2553" s="39">
        <f t="shared" ca="1" si="242"/>
        <v>3.7849999999999966</v>
      </c>
      <c r="B2553" s="41">
        <f t="shared" ca="1" si="241"/>
        <v>3.8100000000000023</v>
      </c>
      <c r="C2553" s="103">
        <f t="shared" si="237"/>
        <v>46351</v>
      </c>
      <c r="E2553" s="170" t="s">
        <v>19</v>
      </c>
      <c r="F2553" s="58" t="str">
        <f>VLOOKUP(MOD(C2553,7),'CALENDAR INFO'!$I$2:$J$8,2)</f>
        <v>WED</v>
      </c>
      <c r="I2553" s="457">
        <f t="shared" si="236"/>
        <v>0</v>
      </c>
      <c r="K2553" s="178"/>
      <c r="L2553" s="192"/>
      <c r="M2553" s="117">
        <v>2</v>
      </c>
      <c r="N2553" s="64">
        <f t="shared" ca="1" si="239"/>
        <v>1.0002116666666667</v>
      </c>
    </row>
    <row r="2554" spans="1:14">
      <c r="A2554" s="39">
        <f t="shared" ca="1" si="242"/>
        <v>3.7849999999999966</v>
      </c>
      <c r="B2554" s="41">
        <f t="shared" ca="1" si="241"/>
        <v>3.8100000000000023</v>
      </c>
      <c r="C2554" s="103">
        <f t="shared" si="237"/>
        <v>46352</v>
      </c>
      <c r="D2554" s="173" t="s">
        <v>110</v>
      </c>
      <c r="E2554" s="167" t="s">
        <v>18</v>
      </c>
      <c r="F2554" s="58" t="str">
        <f>VLOOKUP(MOD(C2554,7),'CALENDAR INFO'!$I$2:$J$8,2)</f>
        <v>THU</v>
      </c>
      <c r="I2554" s="457">
        <f t="shared" si="236"/>
        <v>0</v>
      </c>
      <c r="J2554" s="15" t="s">
        <v>238</v>
      </c>
      <c r="K2554" s="178">
        <f ca="1">K2547</f>
        <v>109.7649999999999</v>
      </c>
      <c r="L2554" s="192">
        <f ca="1">L2547</f>
        <v>110.49000000000007</v>
      </c>
      <c r="M2554" s="117">
        <v>0</v>
      </c>
      <c r="N2554" s="64">
        <f t="shared" ca="1" si="239"/>
        <v>1</v>
      </c>
    </row>
    <row r="2555" spans="1:14">
      <c r="A2555" s="39">
        <f t="shared" ca="1" si="242"/>
        <v>3.7849999999999966</v>
      </c>
      <c r="B2555" s="41">
        <f t="shared" ca="1" si="241"/>
        <v>3.8100000000000023</v>
      </c>
      <c r="C2555" s="103">
        <f t="shared" si="237"/>
        <v>46353</v>
      </c>
      <c r="E2555" s="167"/>
      <c r="F2555" s="58" t="str">
        <f>VLOOKUP(MOD(C2555,7),'CALENDAR INFO'!$I$2:$J$8,2)</f>
        <v>FRI</v>
      </c>
      <c r="I2555" s="457">
        <f t="shared" si="236"/>
        <v>0</v>
      </c>
      <c r="J2555" s="15" t="s">
        <v>239</v>
      </c>
      <c r="K2555" s="221">
        <f ca="1">K2552</f>
        <v>29</v>
      </c>
      <c r="L2555" s="223">
        <f ca="1">L2552</f>
        <v>29</v>
      </c>
      <c r="M2555" s="113">
        <f t="shared" ref="M2555:M2581" si="244">IF(MOD(C2555,7)&lt;2,0,IF(MOD(C2555,7)=6,3,1))</f>
        <v>3</v>
      </c>
      <c r="N2555" s="64">
        <f t="shared" ca="1" si="239"/>
        <v>1.0003175</v>
      </c>
    </row>
    <row r="2556" spans="1:14">
      <c r="A2556" s="39">
        <f t="shared" ca="1" si="242"/>
        <v>3.7849999999999966</v>
      </c>
      <c r="B2556" s="41">
        <f t="shared" ca="1" si="241"/>
        <v>3.8100000000000023</v>
      </c>
      <c r="C2556" s="103">
        <f t="shared" si="237"/>
        <v>46354</v>
      </c>
      <c r="E2556" s="167"/>
      <c r="F2556" s="58" t="str">
        <f>VLOOKUP(MOD(C2556,7),'CALENDAR INFO'!$I$2:$J$8,2)</f>
        <v>SAT</v>
      </c>
      <c r="I2556" s="457">
        <f t="shared" si="236"/>
        <v>0</v>
      </c>
      <c r="J2556" s="15" t="s">
        <v>240</v>
      </c>
      <c r="K2556" s="178">
        <f ca="1">K2554/K2555</f>
        <v>3.7849999999999966</v>
      </c>
      <c r="L2556" s="192">
        <f ca="1">L2554/L2555</f>
        <v>3.8100000000000023</v>
      </c>
      <c r="M2556" s="113">
        <f t="shared" si="244"/>
        <v>0</v>
      </c>
      <c r="N2556" s="64">
        <f t="shared" ca="1" si="239"/>
        <v>1</v>
      </c>
    </row>
    <row r="2557" spans="1:14">
      <c r="A2557" s="39">
        <f t="shared" ca="1" si="242"/>
        <v>3.7849999999999966</v>
      </c>
      <c r="B2557" s="41">
        <f t="shared" ca="1" si="241"/>
        <v>3.8100000000000023</v>
      </c>
      <c r="C2557" s="103">
        <f t="shared" si="237"/>
        <v>46355</v>
      </c>
      <c r="E2557" s="167"/>
      <c r="F2557" s="58" t="str">
        <f>VLOOKUP(MOD(C2557,7),'CALENDAR INFO'!$I$2:$J$8,2)</f>
        <v>SUN</v>
      </c>
      <c r="I2557" s="457">
        <f t="shared" si="236"/>
        <v>0</v>
      </c>
      <c r="M2557" s="113">
        <f t="shared" si="244"/>
        <v>0</v>
      </c>
      <c r="N2557" s="64">
        <f t="shared" ca="1" si="239"/>
        <v>1</v>
      </c>
    </row>
    <row r="2558" spans="1:14" ht="15.75" thickBot="1">
      <c r="A2558" s="98">
        <f t="shared" ca="1" si="242"/>
        <v>3.7849999999999966</v>
      </c>
      <c r="B2558" s="230">
        <f t="shared" ca="1" si="241"/>
        <v>3.8100000000000023</v>
      </c>
      <c r="C2558" s="104">
        <f t="shared" si="237"/>
        <v>46356</v>
      </c>
      <c r="D2558" s="112"/>
      <c r="E2558" s="92"/>
      <c r="F2558" s="71" t="str">
        <f>VLOOKUP(MOD(C2558,7),'CALENDAR INFO'!$I$2:$J$8,2)</f>
        <v>MON</v>
      </c>
      <c r="G2558" s="215"/>
      <c r="H2558" s="426"/>
      <c r="I2558" s="458">
        <f t="shared" si="236"/>
        <v>0</v>
      </c>
      <c r="J2558" s="348"/>
      <c r="K2558" s="348"/>
      <c r="L2558" s="349"/>
      <c r="M2558" s="114">
        <f t="shared" si="244"/>
        <v>1</v>
      </c>
      <c r="N2558" s="292">
        <f t="shared" ca="1" si="239"/>
        <v>1.0001058333333332</v>
      </c>
    </row>
    <row r="2559" spans="1:14">
      <c r="A2559" s="304">
        <f ca="1">K$2568</f>
        <v>3.7849999999999966</v>
      </c>
      <c r="B2559" s="305">
        <f t="shared" ref="B2559:B2567" ca="1" si="245">L$2568</f>
        <v>3.8100000000000023</v>
      </c>
      <c r="C2559" s="103">
        <f t="shared" si="237"/>
        <v>46357</v>
      </c>
      <c r="E2559" s="167"/>
      <c r="F2559" s="58" t="str">
        <f>VLOOKUP(MOD(C2559,7),'CALENDAR INFO'!$I$2:$J$8,2)</f>
        <v>TUE</v>
      </c>
      <c r="I2559" s="457">
        <f t="shared" si="236"/>
        <v>0</v>
      </c>
      <c r="J2559" s="15" t="s">
        <v>151</v>
      </c>
      <c r="K2559" s="375">
        <f>ROW()</f>
        <v>2559</v>
      </c>
      <c r="L2559" s="60">
        <f>K2559</f>
        <v>2559</v>
      </c>
      <c r="M2559" s="113">
        <f t="shared" si="244"/>
        <v>1</v>
      </c>
      <c r="N2559" s="64">
        <f t="shared" ca="1" si="239"/>
        <v>1.0001058333333332</v>
      </c>
    </row>
    <row r="2560" spans="1:14">
      <c r="A2560" s="304">
        <f t="shared" ref="A2560:A2567" ca="1" si="246">K$2568</f>
        <v>3.7849999999999966</v>
      </c>
      <c r="B2560" s="305">
        <f t="shared" ca="1" si="245"/>
        <v>3.8100000000000023</v>
      </c>
      <c r="C2560" s="103">
        <f t="shared" si="237"/>
        <v>46358</v>
      </c>
      <c r="E2560" s="167"/>
      <c r="F2560" s="58" t="str">
        <f>VLOOKUP(MOD(C2560,7),'CALENDAR INFO'!$I$2:$J$8,2)</f>
        <v>WED</v>
      </c>
      <c r="I2560" s="457">
        <f t="shared" si="236"/>
        <v>0</v>
      </c>
      <c r="J2560" s="15" t="s">
        <v>118</v>
      </c>
      <c r="K2560" s="15">
        <f>VLOOKUP(MONTH($C2559),'CALENDAR INFO'!$I$12:$J$23,2)</f>
        <v>31</v>
      </c>
      <c r="L2560" s="15">
        <f>K2560</f>
        <v>31</v>
      </c>
      <c r="M2560" s="113">
        <f t="shared" si="244"/>
        <v>1</v>
      </c>
      <c r="N2560" s="64">
        <f t="shared" ca="1" si="239"/>
        <v>1.0001058333333332</v>
      </c>
    </row>
    <row r="2561" spans="1:14">
      <c r="A2561" s="304">
        <f t="shared" ca="1" si="246"/>
        <v>3.7849999999999966</v>
      </c>
      <c r="B2561" s="305">
        <f t="shared" ca="1" si="245"/>
        <v>3.8100000000000023</v>
      </c>
      <c r="C2561" s="103">
        <f t="shared" si="237"/>
        <v>46359</v>
      </c>
      <c r="E2561" s="167"/>
      <c r="F2561" s="58" t="str">
        <f>VLOOKUP(MOD(C2561,7),'CALENDAR INFO'!$I$2:$J$8,2)</f>
        <v>THU</v>
      </c>
      <c r="I2561" s="457">
        <f t="shared" si="236"/>
        <v>0</v>
      </c>
      <c r="J2561" s="15" t="s">
        <v>152</v>
      </c>
      <c r="K2561" s="15">
        <f>K2559+K2560-1</f>
        <v>2589</v>
      </c>
      <c r="L2561" s="15">
        <f>K2561</f>
        <v>2589</v>
      </c>
      <c r="M2561" s="113">
        <f t="shared" si="244"/>
        <v>1</v>
      </c>
      <c r="N2561" s="64">
        <f t="shared" ca="1" si="239"/>
        <v>1.0001058333333332</v>
      </c>
    </row>
    <row r="2562" spans="1:14">
      <c r="A2562" s="304">
        <f t="shared" ca="1" si="246"/>
        <v>3.7849999999999966</v>
      </c>
      <c r="B2562" s="305">
        <f t="shared" ca="1" si="245"/>
        <v>3.8100000000000023</v>
      </c>
      <c r="C2562" s="103">
        <f t="shared" si="237"/>
        <v>46360</v>
      </c>
      <c r="E2562" s="167"/>
      <c r="F2562" s="58" t="str">
        <f>VLOOKUP(MOD(C2562,7),'CALENDAR INFO'!$I$2:$J$8,2)</f>
        <v>FRI</v>
      </c>
      <c r="I2562" s="457">
        <f t="shared" si="236"/>
        <v>0</v>
      </c>
      <c r="J2562" s="15" t="s">
        <v>244</v>
      </c>
      <c r="K2562" s="311">
        <f>ROW(D2567)</f>
        <v>2567</v>
      </c>
      <c r="L2562" s="15">
        <f>K2562</f>
        <v>2567</v>
      </c>
      <c r="M2562" s="113">
        <f t="shared" si="244"/>
        <v>3</v>
      </c>
      <c r="N2562" s="64">
        <f t="shared" ca="1" si="239"/>
        <v>1.0003175</v>
      </c>
    </row>
    <row r="2563" spans="1:14">
      <c r="A2563" s="304">
        <f t="shared" ca="1" si="246"/>
        <v>3.7849999999999966</v>
      </c>
      <c r="B2563" s="305">
        <f t="shared" ca="1" si="245"/>
        <v>3.8100000000000023</v>
      </c>
      <c r="C2563" s="103">
        <f t="shared" si="237"/>
        <v>46361</v>
      </c>
      <c r="E2563" s="167"/>
      <c r="F2563" s="58" t="str">
        <f>VLOOKUP(MOD(C2563,7),'CALENDAR INFO'!$I$2:$J$8,2)</f>
        <v>SAT</v>
      </c>
      <c r="I2563" s="457">
        <f t="shared" ref="I2563:I2592" si="247">H2563-G2563</f>
        <v>0</v>
      </c>
      <c r="K2563" s="311"/>
      <c r="L2563" s="15"/>
      <c r="M2563" s="113">
        <f t="shared" si="244"/>
        <v>0</v>
      </c>
      <c r="N2563" s="64">
        <f t="shared" ca="1" si="239"/>
        <v>1</v>
      </c>
    </row>
    <row r="2564" spans="1:14">
      <c r="A2564" s="304">
        <f t="shared" ca="1" si="246"/>
        <v>3.7849999999999966</v>
      </c>
      <c r="B2564" s="305">
        <f t="shared" ca="1" si="245"/>
        <v>3.8100000000000023</v>
      </c>
      <c r="C2564" s="103">
        <f t="shared" ref="C2564:C2592" si="248">C2563+1</f>
        <v>46362</v>
      </c>
      <c r="E2564" s="167"/>
      <c r="F2564" s="58" t="str">
        <f>VLOOKUP(MOD(C2564,7),'CALENDAR INFO'!$I$2:$J$8,2)</f>
        <v>SUN</v>
      </c>
      <c r="I2564" s="457">
        <f t="shared" si="247"/>
        <v>0</v>
      </c>
      <c r="J2564" s="15" t="s">
        <v>153</v>
      </c>
      <c r="K2564" s="15" t="str">
        <f>_xlfn.CONCAT(ADDRESS(K2559,7),":",ADDRESS(K2561,7))</f>
        <v>$G$2559:$G$2589</v>
      </c>
      <c r="L2564" s="15" t="str">
        <f>_xlfn.CONCAT(ADDRESS(L2559,8),":",ADDRESS(L2561,8))</f>
        <v>$H$2559:$H$2589</v>
      </c>
      <c r="M2564" s="113">
        <f t="shared" si="244"/>
        <v>0</v>
      </c>
      <c r="N2564" s="64">
        <f t="shared" ca="1" si="239"/>
        <v>1</v>
      </c>
    </row>
    <row r="2565" spans="1:14">
      <c r="A2565" s="304">
        <f t="shared" ca="1" si="246"/>
        <v>3.7849999999999966</v>
      </c>
      <c r="B2565" s="305">
        <f t="shared" ca="1" si="245"/>
        <v>3.8100000000000023</v>
      </c>
      <c r="C2565" s="103">
        <f t="shared" si="248"/>
        <v>46363</v>
      </c>
      <c r="E2565" s="167"/>
      <c r="F2565" s="58" t="str">
        <f>VLOOKUP(MOD(C2565,7),'CALENDAR INFO'!$I$2:$J$8,2)</f>
        <v>MON</v>
      </c>
      <c r="I2565" s="457">
        <f t="shared" si="247"/>
        <v>0</v>
      </c>
      <c r="J2565" s="176" t="s">
        <v>235</v>
      </c>
      <c r="K2565" s="15" t="str">
        <f>_xlfn.CONCAT(ADDRESS(K2559,1),":",ADDRESS(K2562,1))</f>
        <v>$A$2559:$A$2567</v>
      </c>
      <c r="L2565" s="15" t="str">
        <f>_xlfn.CONCAT(ADDRESS(L2559,2),":",ADDRESS(L2562,2))</f>
        <v>$B$2559:$B$2567</v>
      </c>
      <c r="M2565" s="113">
        <f t="shared" si="244"/>
        <v>1</v>
      </c>
      <c r="N2565" s="64">
        <f t="shared" ca="1" si="239"/>
        <v>1.0001058333333332</v>
      </c>
    </row>
    <row r="2566" spans="1:14">
      <c r="A2566" s="304">
        <f t="shared" ca="1" si="246"/>
        <v>3.7849999999999966</v>
      </c>
      <c r="B2566" s="305">
        <f t="shared" ca="1" si="245"/>
        <v>3.8100000000000023</v>
      </c>
      <c r="C2566" s="103">
        <f t="shared" si="248"/>
        <v>46364</v>
      </c>
      <c r="D2566" s="153" t="s">
        <v>20</v>
      </c>
      <c r="E2566" s="167"/>
      <c r="F2566" s="58" t="str">
        <f>VLOOKUP(MOD(C2566,7),'CALENDAR INFO'!$I$2:$J$8,2)</f>
        <v>TUE</v>
      </c>
      <c r="I2566" s="457">
        <f t="shared" si="247"/>
        <v>0</v>
      </c>
      <c r="J2566" s="176" t="s">
        <v>236</v>
      </c>
      <c r="K2566" s="15" t="str">
        <f>_xlfn.CONCAT(ADDRESS(K2562+1,1),":",ADDRESS(K2561,1))</f>
        <v>$A$2568:$A$2589</v>
      </c>
      <c r="L2566" s="15" t="str">
        <f>_xlfn.CONCAT(ADDRESS(L2562+1,2),":",ADDRESS(L2561,2))</f>
        <v>$B$2568:$B$2589</v>
      </c>
      <c r="M2566" s="113">
        <f t="shared" si="244"/>
        <v>1</v>
      </c>
      <c r="N2566" s="64">
        <f t="shared" ca="1" si="239"/>
        <v>1.0001058333333332</v>
      </c>
    </row>
    <row r="2567" spans="1:14">
      <c r="A2567" s="304">
        <f t="shared" ca="1" si="246"/>
        <v>3.7849999999999966</v>
      </c>
      <c r="B2567" s="305">
        <f t="shared" ca="1" si="245"/>
        <v>3.8100000000000023</v>
      </c>
      <c r="C2567" s="103">
        <f t="shared" si="248"/>
        <v>46365</v>
      </c>
      <c r="D2567" s="153" t="s">
        <v>20</v>
      </c>
      <c r="E2567" s="167" t="s">
        <v>19</v>
      </c>
      <c r="F2567" s="58" t="str">
        <f>VLOOKUP(MOD(C2567,7),'CALENDAR INFO'!$I$2:$J$8,2)</f>
        <v>WED</v>
      </c>
      <c r="I2567" s="457">
        <f t="shared" si="247"/>
        <v>0</v>
      </c>
      <c r="M2567" s="113">
        <f t="shared" si="244"/>
        <v>1</v>
      </c>
      <c r="N2567" s="64">
        <f t="shared" ca="1" si="239"/>
        <v>1.0001058333333332</v>
      </c>
    </row>
    <row r="2568" spans="1:14">
      <c r="A2568" s="39">
        <f ca="1">K$2586</f>
        <v>3.8906818181818186</v>
      </c>
      <c r="B2568" s="41">
        <f t="shared" ref="B2568:B2589" ca="1" si="249">L$2586</f>
        <v>3.9297727272727205</v>
      </c>
      <c r="C2568" s="103">
        <f t="shared" si="248"/>
        <v>46366</v>
      </c>
      <c r="E2568" s="170" t="s">
        <v>18</v>
      </c>
      <c r="F2568" s="58" t="str">
        <f>VLOOKUP(MOD(C2568,7),'CALENDAR INFO'!$I$2:$J$8,2)</f>
        <v>THU</v>
      </c>
      <c r="I2568" s="457">
        <f t="shared" si="247"/>
        <v>0</v>
      </c>
      <c r="J2568" s="15" t="s">
        <v>241</v>
      </c>
      <c r="K2568" s="186">
        <f ca="1">A2558+G2558</f>
        <v>3.7849999999999966</v>
      </c>
      <c r="L2568" s="194">
        <f ca="1">B2558+H2558</f>
        <v>3.8100000000000023</v>
      </c>
      <c r="M2568" s="113">
        <f t="shared" si="244"/>
        <v>1</v>
      </c>
      <c r="N2568" s="64">
        <f t="shared" ca="1" si="239"/>
        <v>1.0001091603535353</v>
      </c>
    </row>
    <row r="2569" spans="1:14">
      <c r="A2569" s="39">
        <f t="shared" ref="A2569:A2589" ca="1" si="250">K$2586</f>
        <v>3.8906818181818186</v>
      </c>
      <c r="B2569" s="41">
        <f t="shared" ca="1" si="249"/>
        <v>3.9297727272727205</v>
      </c>
      <c r="C2569" s="103">
        <f t="shared" si="248"/>
        <v>46367</v>
      </c>
      <c r="E2569" s="170"/>
      <c r="F2569" s="58" t="str">
        <f>VLOOKUP(MOD(C2569,7),'CALENDAR INFO'!$I$2:$J$8,2)</f>
        <v>FRI</v>
      </c>
      <c r="I2569" s="457">
        <f t="shared" si="247"/>
        <v>0</v>
      </c>
      <c r="K2569" s="178"/>
      <c r="L2569" s="192"/>
      <c r="M2569" s="113">
        <f t="shared" si="244"/>
        <v>3</v>
      </c>
      <c r="N2569" s="64">
        <f t="shared" ca="1" si="239"/>
        <v>1.000327481060606</v>
      </c>
    </row>
    <row r="2570" spans="1:14">
      <c r="A2570" s="39">
        <f t="shared" ca="1" si="250"/>
        <v>3.8906818181818186</v>
      </c>
      <c r="B2570" s="41">
        <f t="shared" ca="1" si="249"/>
        <v>3.9297727272727205</v>
      </c>
      <c r="C2570" s="103">
        <f t="shared" si="248"/>
        <v>46368</v>
      </c>
      <c r="E2570" s="170"/>
      <c r="F2570" s="58" t="str">
        <f>VLOOKUP(MOD(C2570,7),'CALENDAR INFO'!$I$2:$J$8,2)</f>
        <v>SAT</v>
      </c>
      <c r="I2570" s="457">
        <f t="shared" si="247"/>
        <v>0</v>
      </c>
      <c r="J2570" s="15" t="s">
        <v>197</v>
      </c>
      <c r="K2570" s="180">
        <f>OUTPUT!C9</f>
        <v>3.8599999999999994</v>
      </c>
      <c r="L2570" s="180">
        <f>OUTPUT!F9</f>
        <v>3.894999999999996</v>
      </c>
      <c r="M2570" s="113">
        <f t="shared" si="244"/>
        <v>0</v>
      </c>
      <c r="N2570" s="64">
        <f t="shared" ca="1" si="239"/>
        <v>1</v>
      </c>
    </row>
    <row r="2571" spans="1:14">
      <c r="A2571" s="39">
        <f t="shared" ca="1" si="250"/>
        <v>3.8906818181818186</v>
      </c>
      <c r="B2571" s="41">
        <f t="shared" ca="1" si="249"/>
        <v>3.9297727272727205</v>
      </c>
      <c r="C2571" s="103">
        <f t="shared" si="248"/>
        <v>46369</v>
      </c>
      <c r="E2571" s="170"/>
      <c r="F2571" s="58" t="str">
        <f>VLOOKUP(MOD(C2571,7),'CALENDAR INFO'!$I$2:$J$8,2)</f>
        <v>SUN</v>
      </c>
      <c r="I2571" s="457">
        <f t="shared" si="247"/>
        <v>0</v>
      </c>
      <c r="J2571" s="15" t="s">
        <v>118</v>
      </c>
      <c r="K2571" s="221">
        <f>VLOOKUP(MONTH($C2565),'CALENDAR INFO'!$I$12:$J$23,2)</f>
        <v>31</v>
      </c>
      <c r="L2571" s="221">
        <f>K2571</f>
        <v>31</v>
      </c>
      <c r="M2571" s="113">
        <f t="shared" si="244"/>
        <v>0</v>
      </c>
      <c r="N2571" s="64">
        <f t="shared" ca="1" si="239"/>
        <v>1</v>
      </c>
    </row>
    <row r="2572" spans="1:14">
      <c r="A2572" s="39">
        <f t="shared" ca="1" si="250"/>
        <v>3.8906818181818186</v>
      </c>
      <c r="B2572" s="41">
        <f t="shared" ca="1" si="249"/>
        <v>3.9297727272727205</v>
      </c>
      <c r="C2572" s="103">
        <f t="shared" si="248"/>
        <v>46370</v>
      </c>
      <c r="E2572" s="170"/>
      <c r="F2572" s="58" t="str">
        <f>VLOOKUP(MOD(C2572,7),'CALENDAR INFO'!$I$2:$J$8,2)</f>
        <v>MON</v>
      </c>
      <c r="I2572" s="457">
        <f t="shared" si="247"/>
        <v>0</v>
      </c>
      <c r="J2572" s="15" t="s">
        <v>234</v>
      </c>
      <c r="K2572" s="178">
        <f>K2570*K2560</f>
        <v>119.65999999999998</v>
      </c>
      <c r="L2572" s="178">
        <f>L2570*L2560</f>
        <v>120.74499999999988</v>
      </c>
      <c r="M2572" s="113">
        <f t="shared" si="244"/>
        <v>1</v>
      </c>
      <c r="N2572" s="64">
        <f t="shared" ca="1" si="239"/>
        <v>1.0001091603535353</v>
      </c>
    </row>
    <row r="2573" spans="1:14">
      <c r="A2573" s="39">
        <f t="shared" ca="1" si="250"/>
        <v>3.8906818181818186</v>
      </c>
      <c r="B2573" s="41">
        <f t="shared" ca="1" si="249"/>
        <v>3.9297727272727205</v>
      </c>
      <c r="C2573" s="103">
        <f t="shared" si="248"/>
        <v>46371</v>
      </c>
      <c r="E2573" s="170"/>
      <c r="F2573" s="58" t="str">
        <f>VLOOKUP(MOD(C2573,7),'CALENDAR INFO'!$I$2:$J$8,2)</f>
        <v>TUE</v>
      </c>
      <c r="I2573" s="457">
        <f t="shared" si="247"/>
        <v>0</v>
      </c>
      <c r="K2573" s="178"/>
      <c r="L2573" s="192"/>
      <c r="M2573" s="113">
        <f t="shared" si="244"/>
        <v>1</v>
      </c>
      <c r="N2573" s="64">
        <f t="shared" ca="1" si="239"/>
        <v>1.0001091603535353</v>
      </c>
    </row>
    <row r="2574" spans="1:14">
      <c r="A2574" s="39">
        <f t="shared" ca="1" si="250"/>
        <v>3.8906818181818186</v>
      </c>
      <c r="B2574" s="41">
        <f t="shared" ca="1" si="249"/>
        <v>3.9297727272727205</v>
      </c>
      <c r="C2574" s="103">
        <f t="shared" si="248"/>
        <v>46372</v>
      </c>
      <c r="E2574" s="170"/>
      <c r="F2574" s="58" t="str">
        <f>VLOOKUP(MOD(C2574,7),'CALENDAR INFO'!$I$2:$J$8,2)</f>
        <v>WED</v>
      </c>
      <c r="I2574" s="457">
        <f t="shared" si="247"/>
        <v>0</v>
      </c>
      <c r="J2574" s="15" t="str">
        <f>J2572</f>
        <v>monthly target</v>
      </c>
      <c r="K2574" s="178">
        <f>K2572</f>
        <v>119.65999999999998</v>
      </c>
      <c r="L2574" s="192">
        <f>L2572</f>
        <v>120.74499999999988</v>
      </c>
      <c r="M2574" s="113">
        <f t="shared" si="244"/>
        <v>1</v>
      </c>
      <c r="N2574" s="64">
        <f t="shared" ca="1" si="239"/>
        <v>1.0001091603535353</v>
      </c>
    </row>
    <row r="2575" spans="1:14">
      <c r="A2575" s="39">
        <f t="shared" ca="1" si="250"/>
        <v>3.8906818181818186</v>
      </c>
      <c r="B2575" s="41">
        <f t="shared" ca="1" si="249"/>
        <v>3.9297727272727205</v>
      </c>
      <c r="C2575" s="103">
        <f t="shared" si="248"/>
        <v>46373</v>
      </c>
      <c r="E2575" s="170"/>
      <c r="F2575" s="58" t="str">
        <f>VLOOKUP(MOD(C2575,7),'CALENDAR INFO'!$I$2:$J$8,2)</f>
        <v>THU</v>
      </c>
      <c r="I2575" s="457">
        <f t="shared" si="247"/>
        <v>0</v>
      </c>
      <c r="J2575" s="15" t="s">
        <v>155</v>
      </c>
      <c r="K2575" s="178">
        <f ca="1">SUM(INDIRECT(K2564))</f>
        <v>0</v>
      </c>
      <c r="L2575" s="192">
        <f ca="1">SUM(INDIRECT(L2564))</f>
        <v>0</v>
      </c>
      <c r="M2575" s="113">
        <f t="shared" si="244"/>
        <v>1</v>
      </c>
      <c r="N2575" s="64">
        <f t="shared" ca="1" si="239"/>
        <v>1.0001091603535353</v>
      </c>
    </row>
    <row r="2576" spans="1:14">
      <c r="A2576" s="39">
        <f t="shared" ca="1" si="250"/>
        <v>3.8906818181818186</v>
      </c>
      <c r="B2576" s="41">
        <f t="shared" ca="1" si="249"/>
        <v>3.9297727272727205</v>
      </c>
      <c r="C2576" s="103">
        <f t="shared" si="248"/>
        <v>46374</v>
      </c>
      <c r="E2576" s="170"/>
      <c r="F2576" s="58" t="str">
        <f>VLOOKUP(MOD(C2576,7),'CALENDAR INFO'!$I$2:$J$8,2)</f>
        <v>FRI</v>
      </c>
      <c r="I2576" s="457">
        <f t="shared" si="247"/>
        <v>0</v>
      </c>
      <c r="J2576" s="15" t="s">
        <v>237</v>
      </c>
      <c r="K2576" s="400">
        <f ca="1">SUM(INDIRECT(K2565))</f>
        <v>34.064999999999969</v>
      </c>
      <c r="L2576" s="401">
        <f ca="1">SUM(INDIRECT(L2565))</f>
        <v>34.29000000000002</v>
      </c>
      <c r="M2576" s="113">
        <f t="shared" si="244"/>
        <v>3</v>
      </c>
      <c r="N2576" s="64">
        <f t="shared" ca="1" si="239"/>
        <v>1.000327481060606</v>
      </c>
    </row>
    <row r="2577" spans="1:14">
      <c r="A2577" s="39">
        <f t="shared" ca="1" si="250"/>
        <v>3.8906818181818186</v>
      </c>
      <c r="B2577" s="41">
        <f t="shared" ca="1" si="249"/>
        <v>3.9297727272727205</v>
      </c>
      <c r="C2577" s="103">
        <f t="shared" si="248"/>
        <v>46375</v>
      </c>
      <c r="E2577" s="170"/>
      <c r="F2577" s="58" t="str">
        <f>VLOOKUP(MOD(C2577,7),'CALENDAR INFO'!$I$2:$J$8,2)</f>
        <v>SAT</v>
      </c>
      <c r="I2577" s="457">
        <f t="shared" si="247"/>
        <v>0</v>
      </c>
      <c r="J2577" s="15" t="s">
        <v>238</v>
      </c>
      <c r="K2577" s="182">
        <f ca="1">K2572-K2575-K2576</f>
        <v>85.595000000000013</v>
      </c>
      <c r="L2577" s="201">
        <f ca="1">L2572-L2575-L2576</f>
        <v>86.454999999999856</v>
      </c>
      <c r="M2577" s="113">
        <f t="shared" si="244"/>
        <v>0</v>
      </c>
      <c r="N2577" s="64">
        <f t="shared" ca="1" si="239"/>
        <v>1</v>
      </c>
    </row>
    <row r="2578" spans="1:14">
      <c r="A2578" s="39">
        <f t="shared" ca="1" si="250"/>
        <v>3.8906818181818186</v>
      </c>
      <c r="B2578" s="41">
        <f t="shared" ca="1" si="249"/>
        <v>3.9297727272727205</v>
      </c>
      <c r="C2578" s="103">
        <f t="shared" si="248"/>
        <v>46376</v>
      </c>
      <c r="E2578" s="170"/>
      <c r="F2578" s="58" t="str">
        <f>VLOOKUP(MOD(C2578,7),'CALENDAR INFO'!$I$2:$J$8,2)</f>
        <v>SUN</v>
      </c>
      <c r="I2578" s="457">
        <f t="shared" si="247"/>
        <v>0</v>
      </c>
      <c r="M2578" s="113">
        <f t="shared" si="244"/>
        <v>0</v>
      </c>
      <c r="N2578" s="64">
        <f t="shared" ca="1" si="239"/>
        <v>1</v>
      </c>
    </row>
    <row r="2579" spans="1:14">
      <c r="A2579" s="39">
        <f t="shared" ca="1" si="250"/>
        <v>3.8906818181818186</v>
      </c>
      <c r="B2579" s="41">
        <f t="shared" ca="1" si="249"/>
        <v>3.9297727272727205</v>
      </c>
      <c r="C2579" s="103">
        <f t="shared" si="248"/>
        <v>46377</v>
      </c>
      <c r="E2579" s="170"/>
      <c r="F2579" s="58" t="str">
        <f>VLOOKUP(MOD(C2579,7),'CALENDAR INFO'!$I$2:$J$8,2)</f>
        <v>MON</v>
      </c>
      <c r="I2579" s="457">
        <f t="shared" si="247"/>
        <v>0</v>
      </c>
      <c r="J2579" s="15" t="s">
        <v>242</v>
      </c>
      <c r="K2579" s="15">
        <f>K2571</f>
        <v>31</v>
      </c>
      <c r="L2579" s="179">
        <f>L2571</f>
        <v>31</v>
      </c>
      <c r="M2579" s="113">
        <f t="shared" si="244"/>
        <v>1</v>
      </c>
      <c r="N2579" s="64">
        <f t="shared" ref="N2579:N2592" ca="1" si="251">1+(M2579/360)*(MAX(H2579,B2579)/100)</f>
        <v>1.0001091603535353</v>
      </c>
    </row>
    <row r="2580" spans="1:14">
      <c r="A2580" s="39">
        <f t="shared" ca="1" si="250"/>
        <v>3.8906818181818186</v>
      </c>
      <c r="B2580" s="41">
        <f t="shared" ca="1" si="249"/>
        <v>3.9297727272727205</v>
      </c>
      <c r="C2580" s="103">
        <f t="shared" si="248"/>
        <v>46378</v>
      </c>
      <c r="E2580" s="170"/>
      <c r="F2580" s="58" t="str">
        <f>VLOOKUP(MOD(C2580,7),'CALENDAR INFO'!$I$2:$J$8,2)</f>
        <v>TUE</v>
      </c>
      <c r="I2580" s="457">
        <f t="shared" si="247"/>
        <v>0</v>
      </c>
      <c r="J2580" s="15" t="s">
        <v>194</v>
      </c>
      <c r="K2580" s="15">
        <f ca="1">COUNTA(INDIRECT(K2564))</f>
        <v>0</v>
      </c>
      <c r="L2580" s="179">
        <f ca="1">COUNTA(INDIRECT(L2564))</f>
        <v>0</v>
      </c>
      <c r="M2580" s="113">
        <f t="shared" si="244"/>
        <v>1</v>
      </c>
      <c r="N2580" s="64">
        <f t="shared" ca="1" si="251"/>
        <v>1.0001091603535353</v>
      </c>
    </row>
    <row r="2581" spans="1:14">
      <c r="A2581" s="39">
        <f t="shared" ca="1" si="250"/>
        <v>3.8906818181818186</v>
      </c>
      <c r="B2581" s="41">
        <f t="shared" ca="1" si="249"/>
        <v>3.9297727272727205</v>
      </c>
      <c r="C2581" s="103">
        <f t="shared" si="248"/>
        <v>46379</v>
      </c>
      <c r="E2581" s="170" t="s">
        <v>19</v>
      </c>
      <c r="F2581" s="58" t="str">
        <f>VLOOKUP(MOD(C2581,7),'CALENDAR INFO'!$I$2:$J$8,2)</f>
        <v>WED</v>
      </c>
      <c r="I2581" s="457">
        <f t="shared" si="247"/>
        <v>0</v>
      </c>
      <c r="J2581" s="15" t="s">
        <v>243</v>
      </c>
      <c r="K2581" s="402">
        <f ca="1">COUNTA(INDIRECT(K2565))</f>
        <v>9</v>
      </c>
      <c r="L2581" s="403">
        <f ca="1">COUNTA(INDIRECT(L2565))</f>
        <v>9</v>
      </c>
      <c r="M2581" s="113">
        <f t="shared" si="244"/>
        <v>1</v>
      </c>
      <c r="N2581" s="64">
        <f t="shared" ca="1" si="251"/>
        <v>1.0001091603535353</v>
      </c>
    </row>
    <row r="2582" spans="1:14">
      <c r="A2582" s="39">
        <f t="shared" ca="1" si="250"/>
        <v>3.8906818181818186</v>
      </c>
      <c r="B2582" s="41">
        <f t="shared" ca="1" si="249"/>
        <v>3.9297727272727205</v>
      </c>
      <c r="C2582" s="103">
        <f t="shared" si="248"/>
        <v>46380</v>
      </c>
      <c r="E2582" s="167" t="s">
        <v>18</v>
      </c>
      <c r="F2582" s="58" t="str">
        <f>VLOOKUP(MOD(C2582,7),'CALENDAR INFO'!$I$2:$J$8,2)</f>
        <v>THU</v>
      </c>
      <c r="I2582" s="457">
        <f t="shared" si="247"/>
        <v>0</v>
      </c>
      <c r="J2582" s="15" t="s">
        <v>239</v>
      </c>
      <c r="K2582" s="152">
        <f ca="1">K2579-K2580-K2581</f>
        <v>22</v>
      </c>
      <c r="L2582" s="202">
        <f ca="1">L2579-L2580-L2581</f>
        <v>22</v>
      </c>
      <c r="M2582" s="117">
        <v>4</v>
      </c>
      <c r="N2582" s="64">
        <f t="shared" ca="1" si="251"/>
        <v>1.0004366414141415</v>
      </c>
    </row>
    <row r="2583" spans="1:14">
      <c r="A2583" s="39">
        <f t="shared" ca="1" si="250"/>
        <v>3.8906818181818186</v>
      </c>
      <c r="B2583" s="41">
        <f t="shared" ca="1" si="249"/>
        <v>3.9297727272727205</v>
      </c>
      <c r="C2583" s="103">
        <f t="shared" si="248"/>
        <v>46381</v>
      </c>
      <c r="D2583" s="173" t="s">
        <v>52</v>
      </c>
      <c r="E2583" s="167"/>
      <c r="F2583" s="58" t="str">
        <f>VLOOKUP(MOD(C2583,7),'CALENDAR INFO'!$I$2:$J$8,2)</f>
        <v>FRI</v>
      </c>
      <c r="I2583" s="457">
        <f t="shared" si="247"/>
        <v>0</v>
      </c>
      <c r="K2583" s="178"/>
      <c r="L2583" s="192"/>
      <c r="M2583" s="117">
        <v>0</v>
      </c>
      <c r="N2583" s="64">
        <f t="shared" ca="1" si="251"/>
        <v>1</v>
      </c>
    </row>
    <row r="2584" spans="1:14">
      <c r="A2584" s="39">
        <f t="shared" ca="1" si="250"/>
        <v>3.8906818181818186</v>
      </c>
      <c r="B2584" s="41">
        <f t="shared" ca="1" si="249"/>
        <v>3.9297727272727205</v>
      </c>
      <c r="C2584" s="103">
        <f t="shared" si="248"/>
        <v>46382</v>
      </c>
      <c r="E2584" s="167"/>
      <c r="F2584" s="58" t="str">
        <f>VLOOKUP(MOD(C2584,7),'CALENDAR INFO'!$I$2:$J$8,2)</f>
        <v>SAT</v>
      </c>
      <c r="I2584" s="457">
        <f t="shared" si="247"/>
        <v>0</v>
      </c>
      <c r="J2584" s="15" t="s">
        <v>238</v>
      </c>
      <c r="K2584" s="178">
        <f ca="1">K2577</f>
        <v>85.595000000000013</v>
      </c>
      <c r="L2584" s="192">
        <f ca="1">L2577</f>
        <v>86.454999999999856</v>
      </c>
      <c r="M2584" s="113">
        <f>IF(MOD(C2584,7)&lt;2,0,IF(MOD(C2584,7)=6,3,1))</f>
        <v>0</v>
      </c>
      <c r="N2584" s="64">
        <f t="shared" ca="1" si="251"/>
        <v>1</v>
      </c>
    </row>
    <row r="2585" spans="1:14">
      <c r="A2585" s="39">
        <f t="shared" ca="1" si="250"/>
        <v>3.8906818181818186</v>
      </c>
      <c r="B2585" s="41">
        <f t="shared" ca="1" si="249"/>
        <v>3.9297727272727205</v>
      </c>
      <c r="C2585" s="103">
        <f t="shared" si="248"/>
        <v>46383</v>
      </c>
      <c r="E2585" s="167"/>
      <c r="F2585" s="58" t="str">
        <f>VLOOKUP(MOD(C2585,7),'CALENDAR INFO'!$I$2:$J$8,2)</f>
        <v>SUN</v>
      </c>
      <c r="I2585" s="457">
        <f t="shared" si="247"/>
        <v>0</v>
      </c>
      <c r="J2585" s="15" t="s">
        <v>239</v>
      </c>
      <c r="K2585" s="221">
        <f ca="1">K2582</f>
        <v>22</v>
      </c>
      <c r="L2585" s="223">
        <f ca="1">L2582</f>
        <v>22</v>
      </c>
      <c r="M2585" s="113">
        <f>IF(MOD(C2585,7)&lt;2,0,IF(MOD(C2585,7)=6,3,1))</f>
        <v>0</v>
      </c>
      <c r="N2585" s="64">
        <f t="shared" ca="1" si="251"/>
        <v>1</v>
      </c>
    </row>
    <row r="2586" spans="1:14">
      <c r="A2586" s="39">
        <f t="shared" ca="1" si="250"/>
        <v>3.8906818181818186</v>
      </c>
      <c r="B2586" s="41">
        <f t="shared" ca="1" si="249"/>
        <v>3.9297727272727205</v>
      </c>
      <c r="C2586" s="103">
        <f t="shared" si="248"/>
        <v>46384</v>
      </c>
      <c r="E2586" s="167"/>
      <c r="F2586" s="58" t="str">
        <f>VLOOKUP(MOD(C2586,7),'CALENDAR INFO'!$I$2:$J$8,2)</f>
        <v>MON</v>
      </c>
      <c r="I2586" s="457">
        <f t="shared" si="247"/>
        <v>0</v>
      </c>
      <c r="J2586" s="15" t="s">
        <v>240</v>
      </c>
      <c r="K2586" s="178">
        <f ca="1">K2584/K2585</f>
        <v>3.8906818181818186</v>
      </c>
      <c r="L2586" s="192">
        <f ca="1">L2584/L2585</f>
        <v>3.9297727272727205</v>
      </c>
      <c r="M2586" s="113">
        <f>IF(MOD(C2586,7)&lt;2,0,IF(MOD(C2586,7)=6,3,1))</f>
        <v>1</v>
      </c>
      <c r="N2586" s="64">
        <f t="shared" ca="1" si="251"/>
        <v>1.0001091603535353</v>
      </c>
    </row>
    <row r="2587" spans="1:14">
      <c r="A2587" s="39">
        <f t="shared" ca="1" si="250"/>
        <v>3.8906818181818186</v>
      </c>
      <c r="B2587" s="41">
        <f t="shared" ca="1" si="249"/>
        <v>3.9297727272727205</v>
      </c>
      <c r="C2587" s="103">
        <f t="shared" si="248"/>
        <v>46385</v>
      </c>
      <c r="E2587" s="167"/>
      <c r="F2587" s="58" t="str">
        <f>VLOOKUP(MOD(C2587,7),'CALENDAR INFO'!$I$2:$J$8,2)</f>
        <v>TUE</v>
      </c>
      <c r="I2587" s="457">
        <f t="shared" si="247"/>
        <v>0</v>
      </c>
      <c r="M2587" s="113">
        <f>IF(MOD(C2587,7)&lt;2,0,IF(MOD(C2587,7)=6,3,1))</f>
        <v>1</v>
      </c>
      <c r="N2587" s="64">
        <f t="shared" ca="1" si="251"/>
        <v>1.0001091603535353</v>
      </c>
    </row>
    <row r="2588" spans="1:14">
      <c r="A2588" s="39">
        <f t="shared" ca="1" si="250"/>
        <v>3.8906818181818186</v>
      </c>
      <c r="B2588" s="41">
        <f t="shared" ca="1" si="249"/>
        <v>3.9297727272727205</v>
      </c>
      <c r="C2588" s="103">
        <f t="shared" si="248"/>
        <v>46386</v>
      </c>
      <c r="E2588" s="167"/>
      <c r="F2588" s="58" t="str">
        <f>VLOOKUP(MOD(C2588,7),'CALENDAR INFO'!$I$2:$J$8,2)</f>
        <v>WED</v>
      </c>
      <c r="I2588" s="457">
        <f t="shared" si="247"/>
        <v>0</v>
      </c>
      <c r="M2588" s="113">
        <f>IF(MOD(C2588,7)&lt;2,0,IF(MOD(C2588,7)=6,3,1))</f>
        <v>1</v>
      </c>
      <c r="N2588" s="64">
        <f t="shared" ca="1" si="251"/>
        <v>1.0001091603535353</v>
      </c>
    </row>
    <row r="2589" spans="1:14" ht="15.75" thickBot="1">
      <c r="A2589" s="98">
        <f t="shared" ca="1" si="250"/>
        <v>3.8906818181818186</v>
      </c>
      <c r="B2589" s="230">
        <f t="shared" ca="1" si="249"/>
        <v>3.9297727272727205</v>
      </c>
      <c r="C2589" s="104">
        <f t="shared" si="248"/>
        <v>46387</v>
      </c>
      <c r="D2589" s="112"/>
      <c r="E2589" s="92"/>
      <c r="F2589" s="71" t="str">
        <f>VLOOKUP(MOD(C2589,7),'CALENDAR INFO'!$I$2:$J$8,2)</f>
        <v>THU</v>
      </c>
      <c r="G2589" s="215"/>
      <c r="H2589" s="426"/>
      <c r="I2589" s="458">
        <f t="shared" si="247"/>
        <v>0</v>
      </c>
      <c r="J2589" s="348"/>
      <c r="K2589" s="348"/>
      <c r="L2589" s="349"/>
      <c r="M2589" s="281">
        <v>4</v>
      </c>
      <c r="N2589" s="292">
        <f t="shared" ca="1" si="251"/>
        <v>1.0004366414141415</v>
      </c>
    </row>
    <row r="2590" spans="1:14">
      <c r="C2590" s="103">
        <f t="shared" si="248"/>
        <v>46388</v>
      </c>
      <c r="D2590" s="173" t="s">
        <v>115</v>
      </c>
      <c r="E2590" s="167"/>
      <c r="F2590" s="58" t="str">
        <f>VLOOKUP(MOD(C2590,7),'CALENDAR INFO'!$I$2:$J$8,2)</f>
        <v>FRI</v>
      </c>
      <c r="I2590" s="457">
        <f t="shared" si="247"/>
        <v>0</v>
      </c>
      <c r="K2590" s="15">
        <f>ROW(K2590)</f>
        <v>2590</v>
      </c>
      <c r="L2590" s="179">
        <f>K2590</f>
        <v>2590</v>
      </c>
      <c r="M2590" s="117">
        <v>0</v>
      </c>
      <c r="N2590" s="64">
        <f t="shared" si="251"/>
        <v>1</v>
      </c>
    </row>
    <row r="2591" spans="1:14">
      <c r="C2591" s="103">
        <f t="shared" si="248"/>
        <v>46389</v>
      </c>
      <c r="E2591" s="167"/>
      <c r="F2591" s="58" t="str">
        <f>VLOOKUP(MOD(C2591,7),'CALENDAR INFO'!$I$2:$J$8,2)</f>
        <v>SAT</v>
      </c>
      <c r="I2591" s="457">
        <f t="shared" si="247"/>
        <v>0</v>
      </c>
      <c r="K2591" s="15">
        <f>VLOOKUP(MONTH($C2590),'CALENDAR INFO'!$I$12:$J$23,2)</f>
        <v>31</v>
      </c>
      <c r="L2591" s="179">
        <f>K2591</f>
        <v>31</v>
      </c>
      <c r="M2591" s="113">
        <f>IF(MOD(C2591,7)&lt;2,0,IF(MOD(C2591,7)=6,3,1))</f>
        <v>0</v>
      </c>
      <c r="N2591" s="64">
        <f t="shared" si="251"/>
        <v>1</v>
      </c>
    </row>
    <row r="2592" spans="1:14">
      <c r="C2592" s="103">
        <f t="shared" si="248"/>
        <v>46390</v>
      </c>
      <c r="E2592" s="167"/>
      <c r="F2592" s="58" t="str">
        <f>VLOOKUP(MOD(C2592,7),'CALENDAR INFO'!$I$2:$J$8,2)</f>
        <v>SUN</v>
      </c>
      <c r="I2592" s="457">
        <f t="shared" si="247"/>
        <v>0</v>
      </c>
      <c r="K2592" s="15">
        <f>K2591+K2590-1</f>
        <v>2620</v>
      </c>
      <c r="L2592" s="179">
        <f>K2592</f>
        <v>2620</v>
      </c>
      <c r="M2592" s="113">
        <f>IF(MOD(C2592,7)&lt;2,0,IF(MOD(C2592,7)=6,3,1))</f>
        <v>0</v>
      </c>
      <c r="N2592" s="64">
        <f t="shared" si="251"/>
        <v>1</v>
      </c>
    </row>
    <row r="2593" spans="3:6">
      <c r="C2593" s="103"/>
      <c r="E2593" s="167"/>
      <c r="F2593" s="58"/>
    </row>
    <row r="2594" spans="3:6">
      <c r="C2594" s="103"/>
      <c r="E2594" s="167"/>
      <c r="F2594" s="58"/>
    </row>
    <row r="2595" spans="3:6">
      <c r="C2595" s="103"/>
      <c r="E2595" s="167" t="s">
        <v>19</v>
      </c>
      <c r="F2595" s="58"/>
    </row>
  </sheetData>
  <sortState xmlns:xlrd2="http://schemas.microsoft.com/office/spreadsheetml/2017/richdata2" ref="P2136:Q2154">
    <sortCondition ref="P2136:P2154"/>
  </sortState>
  <mergeCells count="1">
    <mergeCell ref="M1:N1"/>
  </mergeCells>
  <conditionalFormatting sqref="D1:D1508 F1:F1048576 D1510:D1543 D1545:D1641 D1643:D1662 D1664:D1677 D1679:D1739 D1741:D1774 D1776:D1819 D1821:D1851 D1853:D2243 D2245:D2271 D2273:D2331 D2333:D2369 D2371:D2408 D2410:D2467 D2469:D2509 D2511:D2554 D2556:D1048576">
    <cfRule type="cellIs" dxfId="677" priority="1511" operator="equal">
      <formula>"SUN"</formula>
    </cfRule>
    <cfRule type="cellIs" dxfId="676" priority="1512" operator="equal">
      <formula>"SAT"</formula>
    </cfRule>
  </conditionalFormatting>
  <conditionalFormatting sqref="D60:D61 D109:D110 D151:D152 D193:D194 D242:D243 D291:D292 D341:D342 D382:D383 D424:D425 D473:D474 D515:D516 D564:D565 D606:D607 D662:D663 D704:D705 D746:D747 D788:D789 D837:D838 D886:D887 D928:D929 D970:D971 D1026:D1027 D1068:D1069 D1110:D1111 D1159:D1160 D1208:D1209 D1250:D1251 D1292:D1293 D1334:D1335 D1390:D1391 D1432:D1433 D1474:D1475 D1523:D1524 D1572:D1573 D1614:D1615 D1656:D1657 D1705:D1706 D1754:D1755 D1804:D1805 D1845:D1846 D1887:D1888 D1936:D1937 D1985:D1986 D2027:D2028 D2069:D2070 D2118:D2119 D2160:D2161 D2202:D2203 D2251:D2252 D2300:D2301 D2342:D2343 D2391:D2392 D2433:D2434 D2482:D2483 D2524:D2525 D2566:D2567">
    <cfRule type="cellIs" dxfId="675" priority="1502" operator="equal">
      <formula>"Meeting"</formula>
    </cfRule>
  </conditionalFormatting>
  <conditionalFormatting sqref="K1:K1408 A1:A1048576 K1413 K1429:K1433 K1461:K1469 K1474 K1491 K1493:K1494 K1520:K1531 K1536 K1551:K1554 K1580:K1591 K1596 K1611:K1615 K1641:K1652 K1657 K1672:K1676 K1702:K1713 K1718 K1733 K1735:K1738 K1766 K1768:K1774 K1799 K1829:K1835 K1860 K1891 K1895 K1919 K1950 K1954 K1980 K2011 K2015 K2041 K2103 K2164 K2225 K2284 K2343:K2345 K2404:K2406 K2465:K2468 K2526:K2529 K2587:K1048576 G1:G1048576">
    <cfRule type="expression" dxfId="674" priority="2211">
      <formula>ISODD(MONTH($C1))</formula>
    </cfRule>
    <cfRule type="expression" dxfId="673" priority="2212">
      <formula>ISEVEN(MONTH($C1))</formula>
    </cfRule>
  </conditionalFormatting>
  <conditionalFormatting sqref="K1409 K1470 K1532 K1592 K1653 K1714 K1778:K1780 K1839:K1841">
    <cfRule type="expression" dxfId="672" priority="2237">
      <formula>ISODD(MONTH($C1415))</formula>
    </cfRule>
    <cfRule type="expression" dxfId="671" priority="2238">
      <formula>ISEVEN(MONTH($C1415))</formula>
    </cfRule>
  </conditionalFormatting>
  <conditionalFormatting sqref="K1410:K1412 K1471:K1473 K1533:K1535 K1593:K1595 K1654:K1656 K1715:K1717">
    <cfRule type="expression" dxfId="670" priority="2241">
      <formula>ISODD(MONTH($C1418))</formula>
    </cfRule>
    <cfRule type="expression" dxfId="669" priority="2242">
      <formula>ISEVEN(MONTH($C1418))</formula>
    </cfRule>
  </conditionalFormatting>
  <conditionalFormatting sqref="K1414:K1416 K1475:K1477 K1537:K1539 K1597:K1599 K1658:K1660 K1719:K1721">
    <cfRule type="expression" dxfId="668" priority="2245">
      <formula>ISODD(MONTH($C1409))</formula>
    </cfRule>
    <cfRule type="expression" dxfId="667" priority="2246">
      <formula>ISEVEN(MONTH($C1409))</formula>
    </cfRule>
  </conditionalFormatting>
  <conditionalFormatting sqref="K1417:K1428 K1448:K1450 K1478:K1489 K1492 K1509:K1511 K1540:K1550 K1569:K1571 K1600:K1610 K1630:K1632 K1661:K1671 K1691:K1693 K1722:K1732 K1782:K1784 K1843:K1845">
    <cfRule type="expression" dxfId="666" priority="2247">
      <formula>ISODD(MONTH($C1410))</formula>
    </cfRule>
    <cfRule type="expression" dxfId="665" priority="2248">
      <formula>ISEVEN(MONTH($C1410))</formula>
    </cfRule>
  </conditionalFormatting>
  <conditionalFormatting sqref="K1434:K1438 K1495:K1499 K1555:K1559 K1616:K1620 K1677:K1681 K1739:K1743 K1800:K1804">
    <cfRule type="expression" dxfId="664" priority="2253">
      <formula>ISODD(MONTH($C1433))</formula>
    </cfRule>
    <cfRule type="expression" dxfId="663" priority="2254">
      <formula>ISEVEN(MONTH($C1433))</formula>
    </cfRule>
    <cfRule type="expression" dxfId="662" priority="2255">
      <formula>ISODD(MONTH($C1460))</formula>
    </cfRule>
    <cfRule type="expression" dxfId="661" priority="2256">
      <formula>ISEVEN(MONTH($C1460))</formula>
    </cfRule>
  </conditionalFormatting>
  <conditionalFormatting sqref="K1439 K1443:K1447 K1456:K1460 K1490 K1500 K1504:K1508 K1517:K1519 K1560 K1564:K1568 K1577:K1579 K1621 K1625:K1629 K1638:K1640 K1682 K1686:K1690 K1699:K1701 K1744 K1747:K1749 K1805 K1808:K1810">
    <cfRule type="expression" dxfId="660" priority="2257">
      <formula>ISODD(MONTH($C1433))</formula>
    </cfRule>
    <cfRule type="expression" dxfId="659" priority="2258">
      <formula>ISEVEN(MONTH($C1433))</formula>
    </cfRule>
  </conditionalFormatting>
  <conditionalFormatting sqref="K1440:K1442 K1501:K1503 K1561:K1563 K1622:K1624 K1683:K1685 K2091:K2096">
    <cfRule type="expression" dxfId="658" priority="2279">
      <formula>ISODD(MONTH($C1436))</formula>
    </cfRule>
    <cfRule type="expression" dxfId="657" priority="2280">
      <formula>ISEVEN(MONTH($C1436))</formula>
    </cfRule>
  </conditionalFormatting>
  <conditionalFormatting sqref="K1451:K1455 K1512:K1516 K1572:K1576 K1633:K1637 K1694:K1698 K1750:K1754 K1763:K1765 K1811:K1815 K1824:K1826">
    <cfRule type="expression" dxfId="656" priority="2283">
      <formula>ISODD(MONTH($C1443))</formula>
    </cfRule>
    <cfRule type="expression" dxfId="655" priority="2284">
      <formula>ISEVEN(MONTH($C1443))</formula>
    </cfRule>
  </conditionalFormatting>
  <conditionalFormatting sqref="K1453:K1455 K1514:K1516 K1574:K1576 K1635:K1637 K1696:K1698 K1755:K1757 K1785:K1795 K1816:K1818 K1846:K1856">
    <cfRule type="expression" dxfId="654" priority="2293">
      <formula>ISODD(MONTH($C1444))</formula>
    </cfRule>
    <cfRule type="expression" dxfId="653" priority="2294">
      <formula>ISEVEN(MONTH($C1444))</formula>
    </cfRule>
  </conditionalFormatting>
  <conditionalFormatting sqref="K1734 K1767 K1796:K1798 K1827:K1828 K1857:K1859 K1861:K1866 K1889:K1890 K1892:K1894 K1896:K1897 K1920:K1925 K1948:K1949 K1951:K1953 K1955:K1956 K1978:K1979 K1981:K1986 K2009:K2010 K2012:K2014 K2016:K2017 K2039:K2040 K2042:K2047 K2070:K2071 K2073 K2077:K2079 K2101:K2102 K2104:K2109 K2131:K2132 K2134 K2138:K2140 K2162:K2163 K2165:K2170 K2192:K2193 K2195 K2199:K2201 K2223:K2224 K2226:K2231">
    <cfRule type="expression" dxfId="652" priority="2409">
      <formula>ISODD(MONTH($C1733))</formula>
    </cfRule>
    <cfRule type="expression" dxfId="651" priority="2410">
      <formula>ISEVEN(MONTH($C1733))</formula>
    </cfRule>
  </conditionalFormatting>
  <conditionalFormatting sqref="K1745:K1746 K1775:K1776 K1806:K1807 K1836:K1837 K1867:K1887 K1898:K1918 K1926:K1947 K1957:K1977 K1987:K2007 K2018:K2038 K2048:K2068 K2099 K2110:K2130 K2160:K2161 K2171:K2191 K2221:K2222">
    <cfRule type="expression" dxfId="650" priority="2490">
      <formula>ISEVEN(MONTH($C1742))</formula>
    </cfRule>
  </conditionalFormatting>
  <conditionalFormatting sqref="K1758:K1762 K1819:K1823 K2087:K2090">
    <cfRule type="expression" dxfId="649" priority="2495">
      <formula>ISODD(MONTH($C1748))</formula>
    </cfRule>
    <cfRule type="expression" dxfId="648" priority="2496">
      <formula>ISEVEN(MONTH($C1748))</formula>
    </cfRule>
  </conditionalFormatting>
  <conditionalFormatting sqref="K1760:K1762 K1821:K1823">
    <cfRule type="expression" dxfId="647" priority="2497">
      <formula>ISODD(MONTH($C1749))</formula>
    </cfRule>
    <cfRule type="expression" dxfId="646" priority="2498">
      <formula>ISEVEN(MONTH($C1749))</formula>
    </cfRule>
  </conditionalFormatting>
  <conditionalFormatting sqref="K1777 K1838">
    <cfRule type="expression" dxfId="645" priority="2503">
      <formula>ISODD(MONTH($C1781))</formula>
    </cfRule>
    <cfRule type="expression" dxfId="644" priority="2504">
      <formula>ISEVEN(MONTH($C1781))</formula>
    </cfRule>
  </conditionalFormatting>
  <conditionalFormatting sqref="K1781 K1842 K1888 K2008 K2069 K2100">
    <cfRule type="expression" dxfId="643" priority="2507">
      <formula>ISODD(MONTH($C1779))</formula>
    </cfRule>
    <cfRule type="expression" dxfId="642" priority="2508">
      <formula>ISEVEN(MONTH($C1779))</formula>
    </cfRule>
  </conditionalFormatting>
  <conditionalFormatting sqref="K2072">
    <cfRule type="expression" dxfId="641" priority="599">
      <formula>ISODD(MONTH($C2072))</formula>
    </cfRule>
    <cfRule type="expression" dxfId="640" priority="600">
      <formula>ISEVEN(MONTH($C2072))</formula>
    </cfRule>
  </conditionalFormatting>
  <conditionalFormatting sqref="K2074:K2076">
    <cfRule type="expression" dxfId="639" priority="639">
      <formula>ISODD(MONTH($C2072))</formula>
    </cfRule>
    <cfRule type="expression" dxfId="638" priority="640">
      <formula>ISEVEN(MONTH($C2072))</formula>
    </cfRule>
  </conditionalFormatting>
  <conditionalFormatting sqref="K2075:K2076">
    <cfRule type="expression" dxfId="637" priority="3073">
      <formula>ISODD(MONTH($C2076))</formula>
    </cfRule>
    <cfRule type="expression" dxfId="636" priority="3074">
      <formula>ISEVEN(MONTH($C2076))</formula>
    </cfRule>
  </conditionalFormatting>
  <conditionalFormatting sqref="K2080">
    <cfRule type="expression" dxfId="635" priority="627">
      <formula>ISODD(MONTH($C2074))</formula>
    </cfRule>
    <cfRule type="expression" dxfId="634" priority="628">
      <formula>ISEVEN(MONTH($C2074))</formula>
    </cfRule>
  </conditionalFormatting>
  <conditionalFormatting sqref="K2081:K2082">
    <cfRule type="expression" dxfId="633" priority="615">
      <formula>ISODD(MONTH($C2073))</formula>
    </cfRule>
    <cfRule type="expression" dxfId="632" priority="616">
      <formula>ISEVEN(MONTH($C2073))</formula>
    </cfRule>
  </conditionalFormatting>
  <conditionalFormatting sqref="K2083">
    <cfRule type="expression" dxfId="631" priority="3055">
      <formula>ISODD(MONTH($C2086))</formula>
    </cfRule>
    <cfRule type="expression" dxfId="630" priority="3056">
      <formula>ISEVEN(MONTH($C2086))</formula>
    </cfRule>
  </conditionalFormatting>
  <conditionalFormatting sqref="K2084">
    <cfRule type="expression" dxfId="629" priority="623">
      <formula>ISODD(MONTH($C2078))</formula>
    </cfRule>
    <cfRule type="expression" dxfId="628" priority="624">
      <formula>ISEVEN(MONTH($C2078))</formula>
    </cfRule>
  </conditionalFormatting>
  <conditionalFormatting sqref="K2085">
    <cfRule type="expression" dxfId="627" priority="619">
      <formula>ISODD(MONTH($C2088))</formula>
    </cfRule>
    <cfRule type="expression" dxfId="626" priority="620">
      <formula>ISEVEN(MONTH($C2088))</formula>
    </cfRule>
  </conditionalFormatting>
  <conditionalFormatting sqref="K2086">
    <cfRule type="expression" dxfId="625" priority="603">
      <formula>ISODD(MONTH($C2078))</formula>
    </cfRule>
    <cfRule type="expression" dxfId="624" priority="604">
      <formula>ISEVEN(MONTH($C2078))</formula>
    </cfRule>
  </conditionalFormatting>
  <conditionalFormatting sqref="K2089:K2090">
    <cfRule type="expression" dxfId="623" priority="3117">
      <formula>ISODD(MONTH($C2093))</formula>
    </cfRule>
    <cfRule type="expression" dxfId="622" priority="3118">
      <formula>ISEVEN(MONTH($C2093))</formula>
    </cfRule>
  </conditionalFormatting>
  <conditionalFormatting sqref="K2097">
    <cfRule type="expression" dxfId="621" priority="613">
      <formula>ISODD(MONTH($C2087))</formula>
    </cfRule>
    <cfRule type="expression" dxfId="620" priority="614">
      <formula>ISEVEN(MONTH($C2087))</formula>
    </cfRule>
  </conditionalFormatting>
  <conditionalFormatting sqref="K2098">
    <cfRule type="expression" dxfId="619" priority="611">
      <formula>ISODD(MONTH($C2094))</formula>
    </cfRule>
    <cfRule type="expression" dxfId="618" priority="612">
      <formula>ISEVEN(MONTH($C2094))</formula>
    </cfRule>
  </conditionalFormatting>
  <conditionalFormatting sqref="K2099">
    <cfRule type="expression" dxfId="617" priority="3143">
      <formula>ISODD(MONTH($C2084))</formula>
    </cfRule>
    <cfRule type="expression" dxfId="616" priority="3144">
      <formula>ISEVEN(MONTH($C2084))</formula>
    </cfRule>
  </conditionalFormatting>
  <conditionalFormatting sqref="K2133">
    <cfRule type="expression" dxfId="615" priority="529">
      <formula>ISODD(MONTH($C2133))</formula>
    </cfRule>
    <cfRule type="expression" dxfId="614" priority="530">
      <formula>ISEVEN(MONTH($C2133))</formula>
    </cfRule>
  </conditionalFormatting>
  <conditionalFormatting sqref="K2135:K2137">
    <cfRule type="expression" dxfId="613" priority="559">
      <formula>ISODD(MONTH($C2133))</formula>
    </cfRule>
    <cfRule type="expression" dxfId="612" priority="560">
      <formula>ISEVEN(MONTH($C2133))</formula>
    </cfRule>
  </conditionalFormatting>
  <conditionalFormatting sqref="K2136:K2137">
    <cfRule type="expression" dxfId="611" priority="573">
      <formula>ISODD(MONTH($C2137))</formula>
    </cfRule>
    <cfRule type="expression" dxfId="610" priority="574">
      <formula>ISEVEN(MONTH($C2137))</formula>
    </cfRule>
  </conditionalFormatting>
  <conditionalFormatting sqref="K2141">
    <cfRule type="expression" dxfId="609" priority="555">
      <formula>ISODD(MONTH($C2135))</formula>
    </cfRule>
    <cfRule type="expression" dxfId="608" priority="556">
      <formula>ISEVEN(MONTH($C2135))</formula>
    </cfRule>
  </conditionalFormatting>
  <conditionalFormatting sqref="K2142:K2143">
    <cfRule type="expression" dxfId="607" priority="543">
      <formula>ISODD(MONTH($C2134))</formula>
    </cfRule>
    <cfRule type="expression" dxfId="606" priority="544">
      <formula>ISEVEN(MONTH($C2134))</formula>
    </cfRule>
  </conditionalFormatting>
  <conditionalFormatting sqref="K2144">
    <cfRule type="expression" dxfId="605" priority="569">
      <formula>ISODD(MONTH($C2147))</formula>
    </cfRule>
    <cfRule type="expression" dxfId="604" priority="570">
      <formula>ISEVEN(MONTH($C2147))</formula>
    </cfRule>
  </conditionalFormatting>
  <conditionalFormatting sqref="K2145">
    <cfRule type="expression" dxfId="603" priority="551">
      <formula>ISODD(MONTH($C2139))</formula>
    </cfRule>
    <cfRule type="expression" dxfId="602" priority="552">
      <formula>ISEVEN(MONTH($C2139))</formula>
    </cfRule>
  </conditionalFormatting>
  <conditionalFormatting sqref="K2146">
    <cfRule type="expression" dxfId="601" priority="547">
      <formula>ISODD(MONTH($C2149))</formula>
    </cfRule>
    <cfRule type="expression" dxfId="600" priority="548">
      <formula>ISEVEN(MONTH($C2149))</formula>
    </cfRule>
  </conditionalFormatting>
  <conditionalFormatting sqref="K2147">
    <cfRule type="expression" dxfId="599" priority="533">
      <formula>ISODD(MONTH($C2139))</formula>
    </cfRule>
    <cfRule type="expression" dxfId="598" priority="534">
      <formula>ISEVEN(MONTH($C2139))</formula>
    </cfRule>
  </conditionalFormatting>
  <conditionalFormatting sqref="K2148:K2151">
    <cfRule type="expression" dxfId="597" priority="563">
      <formula>ISODD(MONTH($C2138))</formula>
    </cfRule>
    <cfRule type="expression" dxfId="596" priority="564">
      <formula>ISEVEN(MONTH($C2138))</formula>
    </cfRule>
  </conditionalFormatting>
  <conditionalFormatting sqref="K2150:K2151">
    <cfRule type="expression" dxfId="595" priority="577">
      <formula>ISODD(MONTH($C2154))</formula>
    </cfRule>
    <cfRule type="expression" dxfId="594" priority="578">
      <formula>ISEVEN(MONTH($C2154))</formula>
    </cfRule>
  </conditionalFormatting>
  <conditionalFormatting sqref="K2152:K2157">
    <cfRule type="expression" dxfId="593" priority="561">
      <formula>ISODD(MONTH($C2148))</formula>
    </cfRule>
    <cfRule type="expression" dxfId="592" priority="562">
      <formula>ISEVEN(MONTH($C2148))</formula>
    </cfRule>
  </conditionalFormatting>
  <conditionalFormatting sqref="K2158">
    <cfRule type="expression" dxfId="591" priority="541">
      <formula>ISODD(MONTH($C2148))</formula>
    </cfRule>
    <cfRule type="expression" dxfId="590" priority="542">
      <formula>ISEVEN(MONTH($C2148))</formula>
    </cfRule>
  </conditionalFormatting>
  <conditionalFormatting sqref="K2159">
    <cfRule type="expression" dxfId="589" priority="539">
      <formula>ISODD(MONTH($C2155))</formula>
    </cfRule>
    <cfRule type="expression" dxfId="588" priority="540">
      <formula>ISEVEN(MONTH($C2155))</formula>
    </cfRule>
  </conditionalFormatting>
  <conditionalFormatting sqref="K2160">
    <cfRule type="expression" dxfId="587" priority="581">
      <formula>ISODD(MONTH($C2145))</formula>
    </cfRule>
    <cfRule type="expression" dxfId="586" priority="582">
      <formula>ISEVEN(MONTH($C2145))</formula>
    </cfRule>
  </conditionalFormatting>
  <conditionalFormatting sqref="K2160:K2161 K2221:K2222 K1745:K1746 K1775:K1776 K1806:K1807 K1836:K1837 K1867:K1887 K1898:K1918 K1926:K1947 K1957:K1977 K1987:K2007 K2018:K2038 K2048:K2068 K2099 K2110:K2130 K2171:K2191">
    <cfRule type="expression" dxfId="585" priority="2489">
      <formula>ISODD(MONTH($C1742))</formula>
    </cfRule>
  </conditionalFormatting>
  <conditionalFormatting sqref="K2194">
    <cfRule type="expression" dxfId="584" priority="471">
      <formula>ISODD(MONTH($C2194))</formula>
    </cfRule>
    <cfRule type="expression" dxfId="583" priority="472">
      <formula>ISEVEN(MONTH($C2194))</formula>
    </cfRule>
  </conditionalFormatting>
  <conditionalFormatting sqref="K2196:K2198">
    <cfRule type="expression" dxfId="582" priority="501">
      <formula>ISODD(MONTH($C2194))</formula>
    </cfRule>
    <cfRule type="expression" dxfId="581" priority="502">
      <formula>ISEVEN(MONTH($C2194))</formula>
    </cfRule>
  </conditionalFormatting>
  <conditionalFormatting sqref="K2197:K2198">
    <cfRule type="expression" dxfId="580" priority="515">
      <formula>ISODD(MONTH($C2198))</formula>
    </cfRule>
    <cfRule type="expression" dxfId="579" priority="516">
      <formula>ISEVEN(MONTH($C2198))</formula>
    </cfRule>
  </conditionalFormatting>
  <conditionalFormatting sqref="K2202">
    <cfRule type="expression" dxfId="578" priority="497">
      <formula>ISODD(MONTH($C2196))</formula>
    </cfRule>
    <cfRule type="expression" dxfId="577" priority="498">
      <formula>ISEVEN(MONTH($C2196))</formula>
    </cfRule>
  </conditionalFormatting>
  <conditionalFormatting sqref="K2203:K2204">
    <cfRule type="expression" dxfId="576" priority="485">
      <formula>ISODD(MONTH($C2195))</formula>
    </cfRule>
    <cfRule type="expression" dxfId="575" priority="486">
      <formula>ISEVEN(MONTH($C2195))</formula>
    </cfRule>
  </conditionalFormatting>
  <conditionalFormatting sqref="K2205">
    <cfRule type="expression" dxfId="574" priority="511">
      <formula>ISODD(MONTH($C2208))</formula>
    </cfRule>
    <cfRule type="expression" dxfId="573" priority="512">
      <formula>ISEVEN(MONTH($C2208))</formula>
    </cfRule>
  </conditionalFormatting>
  <conditionalFormatting sqref="K2206">
    <cfRule type="expression" dxfId="572" priority="493">
      <formula>ISODD(MONTH($C2200))</formula>
    </cfRule>
    <cfRule type="expression" dxfId="571" priority="494">
      <formula>ISEVEN(MONTH($C2200))</formula>
    </cfRule>
  </conditionalFormatting>
  <conditionalFormatting sqref="K2207">
    <cfRule type="expression" dxfId="570" priority="489">
      <formula>ISODD(MONTH($C2210))</formula>
    </cfRule>
    <cfRule type="expression" dxfId="569" priority="490">
      <formula>ISEVEN(MONTH($C2210))</formula>
    </cfRule>
  </conditionalFormatting>
  <conditionalFormatting sqref="K2208">
    <cfRule type="expression" dxfId="568" priority="475">
      <formula>ISODD(MONTH($C2200))</formula>
    </cfRule>
    <cfRule type="expression" dxfId="567" priority="476">
      <formula>ISEVEN(MONTH($C2200))</formula>
    </cfRule>
  </conditionalFormatting>
  <conditionalFormatting sqref="K2209:K2212">
    <cfRule type="expression" dxfId="566" priority="505">
      <formula>ISODD(MONTH($C2199))</formula>
    </cfRule>
    <cfRule type="expression" dxfId="565" priority="506">
      <formula>ISEVEN(MONTH($C2199))</formula>
    </cfRule>
  </conditionalFormatting>
  <conditionalFormatting sqref="K2211:K2212">
    <cfRule type="expression" dxfId="564" priority="519">
      <formula>ISODD(MONTH($C2215))</formula>
    </cfRule>
    <cfRule type="expression" dxfId="563" priority="520">
      <formula>ISEVEN(MONTH($C2215))</formula>
    </cfRule>
  </conditionalFormatting>
  <conditionalFormatting sqref="K2213:K2218">
    <cfRule type="expression" dxfId="562" priority="503">
      <formula>ISODD(MONTH($C2209))</formula>
    </cfRule>
    <cfRule type="expression" dxfId="561" priority="504">
      <formula>ISEVEN(MONTH($C2209))</formula>
    </cfRule>
  </conditionalFormatting>
  <conditionalFormatting sqref="K2219">
    <cfRule type="expression" dxfId="560" priority="483">
      <formula>ISODD(MONTH($C2209))</formula>
    </cfRule>
    <cfRule type="expression" dxfId="559" priority="484">
      <formula>ISEVEN(MONTH($C2209))</formula>
    </cfRule>
  </conditionalFormatting>
  <conditionalFormatting sqref="K2220">
    <cfRule type="expression" dxfId="558" priority="481">
      <formula>ISODD(MONTH($C2216))</formula>
    </cfRule>
    <cfRule type="expression" dxfId="557" priority="482">
      <formula>ISEVEN(MONTH($C2216))</formula>
    </cfRule>
  </conditionalFormatting>
  <conditionalFormatting sqref="K2221">
    <cfRule type="expression" dxfId="556" priority="523">
      <formula>ISODD(MONTH($C2206))</formula>
    </cfRule>
    <cfRule type="expression" dxfId="555" priority="524">
      <formula>ISEVEN(MONTH($C2206))</formula>
    </cfRule>
  </conditionalFormatting>
  <conditionalFormatting sqref="K2232:K2252">
    <cfRule type="expression" dxfId="554" priority="467">
      <formula>ISODD(MONTH($C2229))</formula>
    </cfRule>
    <cfRule type="expression" dxfId="553" priority="468">
      <formula>ISEVEN(MONTH($C2229))</formula>
    </cfRule>
  </conditionalFormatting>
  <conditionalFormatting sqref="K2253:K2256">
    <cfRule type="expression" dxfId="552" priority="403">
      <formula>ISODD(MONTH($C2253))</formula>
    </cfRule>
    <cfRule type="expression" dxfId="551" priority="404">
      <formula>ISEVEN(MONTH($C2253))</formula>
    </cfRule>
  </conditionalFormatting>
  <conditionalFormatting sqref="K2257 K2261:K2263">
    <cfRule type="expression" dxfId="550" priority="461">
      <formula>ISODD(MONTH($C2256))</formula>
    </cfRule>
    <cfRule type="expression" dxfId="549" priority="462">
      <formula>ISEVEN(MONTH($C2256))</formula>
    </cfRule>
  </conditionalFormatting>
  <conditionalFormatting sqref="K2258:K2260">
    <cfRule type="expression" dxfId="548" priority="433">
      <formula>ISODD(MONTH($C2256))</formula>
    </cfRule>
    <cfRule type="expression" dxfId="547" priority="434">
      <formula>ISEVEN(MONTH($C2256))</formula>
    </cfRule>
  </conditionalFormatting>
  <conditionalFormatting sqref="K2259:K2260">
    <cfRule type="expression" dxfId="546" priority="447">
      <formula>ISODD(MONTH($C2260))</formula>
    </cfRule>
    <cfRule type="expression" dxfId="545" priority="448">
      <formula>ISEVEN(MONTH($C2260))</formula>
    </cfRule>
  </conditionalFormatting>
  <conditionalFormatting sqref="K2264">
    <cfRule type="expression" dxfId="544" priority="429">
      <formula>ISODD(MONTH($C2258))</formula>
    </cfRule>
    <cfRule type="expression" dxfId="543" priority="430">
      <formula>ISEVEN(MONTH($C2258))</formula>
    </cfRule>
  </conditionalFormatting>
  <conditionalFormatting sqref="K2265:K2266">
    <cfRule type="expression" dxfId="542" priority="417">
      <formula>ISODD(MONTH($C2257))</formula>
    </cfRule>
    <cfRule type="expression" dxfId="541" priority="418">
      <formula>ISEVEN(MONTH($C2257))</formula>
    </cfRule>
  </conditionalFormatting>
  <conditionalFormatting sqref="K2267">
    <cfRule type="expression" dxfId="540" priority="443">
      <formula>ISODD(MONTH($C2270))</formula>
    </cfRule>
    <cfRule type="expression" dxfId="539" priority="444">
      <formula>ISEVEN(MONTH($C2270))</formula>
    </cfRule>
  </conditionalFormatting>
  <conditionalFormatting sqref="K2268">
    <cfRule type="expression" dxfId="538" priority="425">
      <formula>ISODD(MONTH($C2262))</formula>
    </cfRule>
    <cfRule type="expression" dxfId="537" priority="426">
      <formula>ISEVEN(MONTH($C2262))</formula>
    </cfRule>
  </conditionalFormatting>
  <conditionalFormatting sqref="K2269">
    <cfRule type="expression" dxfId="536" priority="421">
      <formula>ISODD(MONTH($C2272))</formula>
    </cfRule>
    <cfRule type="expression" dxfId="535" priority="422">
      <formula>ISEVEN(MONTH($C2272))</formula>
    </cfRule>
  </conditionalFormatting>
  <conditionalFormatting sqref="K2270">
    <cfRule type="expression" dxfId="534" priority="407">
      <formula>ISODD(MONTH($C2262))</formula>
    </cfRule>
    <cfRule type="expression" dxfId="533" priority="408">
      <formula>ISEVEN(MONTH($C2262))</formula>
    </cfRule>
  </conditionalFormatting>
  <conditionalFormatting sqref="K2271:K2274">
    <cfRule type="expression" dxfId="532" priority="437">
      <formula>ISODD(MONTH($C2261))</formula>
    </cfRule>
    <cfRule type="expression" dxfId="531" priority="438">
      <formula>ISEVEN(MONTH($C2261))</formula>
    </cfRule>
  </conditionalFormatting>
  <conditionalFormatting sqref="K2273:K2274">
    <cfRule type="expression" dxfId="530" priority="451">
      <formula>ISODD(MONTH($C2277))</formula>
    </cfRule>
    <cfRule type="expression" dxfId="529" priority="452">
      <formula>ISEVEN(MONTH($C2277))</formula>
    </cfRule>
  </conditionalFormatting>
  <conditionalFormatting sqref="K2275:K2280">
    <cfRule type="expression" dxfId="528" priority="435">
      <formula>ISODD(MONTH($C2271))</formula>
    </cfRule>
    <cfRule type="expression" dxfId="527" priority="436">
      <formula>ISEVEN(MONTH($C2271))</formula>
    </cfRule>
  </conditionalFormatting>
  <conditionalFormatting sqref="K2281">
    <cfRule type="expression" dxfId="526" priority="415">
      <formula>ISODD(MONTH($C2271))</formula>
    </cfRule>
    <cfRule type="expression" dxfId="525" priority="416">
      <formula>ISEVEN(MONTH($C2271))</formula>
    </cfRule>
  </conditionalFormatting>
  <conditionalFormatting sqref="K2282">
    <cfRule type="expression" dxfId="524" priority="413">
      <formula>ISODD(MONTH($C2278))</formula>
    </cfRule>
    <cfRule type="expression" dxfId="523" priority="414">
      <formula>ISEVEN(MONTH($C2278))</formula>
    </cfRule>
  </conditionalFormatting>
  <conditionalFormatting sqref="K2283">
    <cfRule type="expression" dxfId="522" priority="455">
      <formula>ISODD(MONTH($C2268))</formula>
    </cfRule>
    <cfRule type="expression" dxfId="521" priority="456">
      <formula>ISEVEN(MONTH($C2268))</formula>
    </cfRule>
    <cfRule type="expression" dxfId="520" priority="463">
      <formula>ISODD(MONTH($C2280))</formula>
    </cfRule>
    <cfRule type="expression" dxfId="519" priority="464">
      <formula>ISEVEN(MONTH($C2280))</formula>
    </cfRule>
  </conditionalFormatting>
  <conditionalFormatting sqref="K2285:K2290">
    <cfRule type="expression" dxfId="518" priority="39">
      <formula>ISODD(MONTH($C2284))</formula>
    </cfRule>
    <cfRule type="expression" dxfId="517" priority="40">
      <formula>ISEVEN(MONTH($C2284))</formula>
    </cfRule>
  </conditionalFormatting>
  <conditionalFormatting sqref="K2291:K2311">
    <cfRule type="expression" dxfId="516" priority="35">
      <formula>ISODD(MONTH($C2288))</formula>
    </cfRule>
    <cfRule type="expression" dxfId="515" priority="36">
      <formula>ISEVEN(MONTH($C2288))</formula>
    </cfRule>
  </conditionalFormatting>
  <conditionalFormatting sqref="K2312:K2315">
    <cfRule type="expression" dxfId="514" priority="299">
      <formula>ISODD(MONTH($C2312))</formula>
    </cfRule>
    <cfRule type="expression" dxfId="513" priority="300">
      <formula>ISEVEN(MONTH($C2312))</formula>
    </cfRule>
  </conditionalFormatting>
  <conditionalFormatting sqref="K2316 K2320:K2322">
    <cfRule type="expression" dxfId="512" priority="357">
      <formula>ISODD(MONTH($C2315))</formula>
    </cfRule>
    <cfRule type="expression" dxfId="511" priority="358">
      <formula>ISEVEN(MONTH($C2315))</formula>
    </cfRule>
  </conditionalFormatting>
  <conditionalFormatting sqref="K2317:K2319">
    <cfRule type="expression" dxfId="510" priority="329">
      <formula>ISODD(MONTH($C2315))</formula>
    </cfRule>
    <cfRule type="expression" dxfId="509" priority="330">
      <formula>ISEVEN(MONTH($C2315))</formula>
    </cfRule>
  </conditionalFormatting>
  <conditionalFormatting sqref="K2318:K2319">
    <cfRule type="expression" dxfId="508" priority="343">
      <formula>ISODD(MONTH($C2319))</formula>
    </cfRule>
    <cfRule type="expression" dxfId="507" priority="344">
      <formula>ISEVEN(MONTH($C2319))</formula>
    </cfRule>
  </conditionalFormatting>
  <conditionalFormatting sqref="K2323">
    <cfRule type="expression" dxfId="506" priority="325">
      <formula>ISODD(MONTH($C2317))</formula>
    </cfRule>
    <cfRule type="expression" dxfId="505" priority="326">
      <formula>ISEVEN(MONTH($C2317))</formula>
    </cfRule>
  </conditionalFormatting>
  <conditionalFormatting sqref="K2324:K2325">
    <cfRule type="expression" dxfId="504" priority="313">
      <formula>ISODD(MONTH($C2316))</formula>
    </cfRule>
    <cfRule type="expression" dxfId="503" priority="314">
      <formula>ISEVEN(MONTH($C2316))</formula>
    </cfRule>
  </conditionalFormatting>
  <conditionalFormatting sqref="K2326">
    <cfRule type="expression" dxfId="502" priority="339">
      <formula>ISODD(MONTH($C2329))</formula>
    </cfRule>
    <cfRule type="expression" dxfId="501" priority="340">
      <formula>ISEVEN(MONTH($C2329))</formula>
    </cfRule>
  </conditionalFormatting>
  <conditionalFormatting sqref="K2327">
    <cfRule type="expression" dxfId="500" priority="321">
      <formula>ISODD(MONTH($C2321))</formula>
    </cfRule>
    <cfRule type="expression" dxfId="499" priority="322">
      <formula>ISEVEN(MONTH($C2321))</formula>
    </cfRule>
  </conditionalFormatting>
  <conditionalFormatting sqref="K2328">
    <cfRule type="expression" dxfId="498" priority="317">
      <formula>ISODD(MONTH($C2331))</formula>
    </cfRule>
    <cfRule type="expression" dxfId="497" priority="318">
      <formula>ISEVEN(MONTH($C2331))</formula>
    </cfRule>
  </conditionalFormatting>
  <conditionalFormatting sqref="K2329">
    <cfRule type="expression" dxfId="496" priority="303">
      <formula>ISODD(MONTH($C2321))</formula>
    </cfRule>
    <cfRule type="expression" dxfId="495" priority="304">
      <formula>ISEVEN(MONTH($C2321))</formula>
    </cfRule>
  </conditionalFormatting>
  <conditionalFormatting sqref="K2330:K2333">
    <cfRule type="expression" dxfId="494" priority="333">
      <formula>ISODD(MONTH($C2320))</formula>
    </cfRule>
    <cfRule type="expression" dxfId="493" priority="334">
      <formula>ISEVEN(MONTH($C2320))</formula>
    </cfRule>
  </conditionalFormatting>
  <conditionalFormatting sqref="K2332:K2333">
    <cfRule type="expression" dxfId="492" priority="347">
      <formula>ISODD(MONTH($C2336))</formula>
    </cfRule>
    <cfRule type="expression" dxfId="491" priority="348">
      <formula>ISEVEN(MONTH($C2336))</formula>
    </cfRule>
  </conditionalFormatting>
  <conditionalFormatting sqref="K2334:K2339">
    <cfRule type="expression" dxfId="490" priority="331">
      <formula>ISODD(MONTH($C2330))</formula>
    </cfRule>
    <cfRule type="expression" dxfId="489" priority="332">
      <formula>ISEVEN(MONTH($C2330))</formula>
    </cfRule>
  </conditionalFormatting>
  <conditionalFormatting sqref="K2340">
    <cfRule type="expression" dxfId="488" priority="311">
      <formula>ISODD(MONTH($C2330))</formula>
    </cfRule>
    <cfRule type="expression" dxfId="487" priority="312">
      <formula>ISEVEN(MONTH($C2330))</formula>
    </cfRule>
  </conditionalFormatting>
  <conditionalFormatting sqref="K2341">
    <cfRule type="expression" dxfId="486" priority="309">
      <formula>ISODD(MONTH($C2337))</formula>
    </cfRule>
    <cfRule type="expression" dxfId="485" priority="310">
      <formula>ISEVEN(MONTH($C2337))</formula>
    </cfRule>
  </conditionalFormatting>
  <conditionalFormatting sqref="K2342">
    <cfRule type="expression" dxfId="484" priority="351">
      <formula>ISODD(MONTH($C2327))</formula>
    </cfRule>
    <cfRule type="expression" dxfId="483" priority="352">
      <formula>ISEVEN(MONTH($C2327))</formula>
    </cfRule>
    <cfRule type="expression" dxfId="482" priority="359">
      <formula>ISODD(MONTH($C2339))</formula>
    </cfRule>
    <cfRule type="expression" dxfId="481" priority="360">
      <formula>ISEVEN(MONTH($C2339))</formula>
    </cfRule>
  </conditionalFormatting>
  <conditionalFormatting sqref="K2346:K2351">
    <cfRule type="expression" dxfId="480" priority="31">
      <formula>ISODD(MONTH($C2345))</formula>
    </cfRule>
    <cfRule type="expression" dxfId="479" priority="32">
      <formula>ISEVEN(MONTH($C2345))</formula>
    </cfRule>
  </conditionalFormatting>
  <conditionalFormatting sqref="K2352:K2372">
    <cfRule type="expression" dxfId="478" priority="27">
      <formula>ISODD(MONTH($C2349))</formula>
    </cfRule>
    <cfRule type="expression" dxfId="477" priority="28">
      <formula>ISEVEN(MONTH($C2349))</formula>
    </cfRule>
  </conditionalFormatting>
  <conditionalFormatting sqref="K2373:K2376">
    <cfRule type="expression" dxfId="476" priority="235">
      <formula>ISODD(MONTH($C2373))</formula>
    </cfRule>
    <cfRule type="expression" dxfId="475" priority="236">
      <formula>ISEVEN(MONTH($C2373))</formula>
    </cfRule>
  </conditionalFormatting>
  <conditionalFormatting sqref="K2377 K2381:K2383">
    <cfRule type="expression" dxfId="474" priority="293">
      <formula>ISODD(MONTH($C2376))</formula>
    </cfRule>
    <cfRule type="expression" dxfId="473" priority="294">
      <formula>ISEVEN(MONTH($C2376))</formula>
    </cfRule>
  </conditionalFormatting>
  <conditionalFormatting sqref="K2378:K2380">
    <cfRule type="expression" dxfId="472" priority="265">
      <formula>ISODD(MONTH($C2376))</formula>
    </cfRule>
    <cfRule type="expression" dxfId="471" priority="266">
      <formula>ISEVEN(MONTH($C2376))</formula>
    </cfRule>
  </conditionalFormatting>
  <conditionalFormatting sqref="K2379:K2380">
    <cfRule type="expression" dxfId="470" priority="279">
      <formula>ISODD(MONTH($C2380))</formula>
    </cfRule>
    <cfRule type="expression" dxfId="469" priority="280">
      <formula>ISEVEN(MONTH($C2380))</formula>
    </cfRule>
  </conditionalFormatting>
  <conditionalFormatting sqref="K2384">
    <cfRule type="expression" dxfId="468" priority="261">
      <formula>ISODD(MONTH($C2378))</formula>
    </cfRule>
    <cfRule type="expression" dxfId="467" priority="262">
      <formula>ISEVEN(MONTH($C2378))</formula>
    </cfRule>
  </conditionalFormatting>
  <conditionalFormatting sqref="K2385:K2386">
    <cfRule type="expression" dxfId="466" priority="249">
      <formula>ISODD(MONTH($C2377))</formula>
    </cfRule>
    <cfRule type="expression" dxfId="465" priority="250">
      <formula>ISEVEN(MONTH($C2377))</formula>
    </cfRule>
  </conditionalFormatting>
  <conditionalFormatting sqref="K2387">
    <cfRule type="expression" dxfId="464" priority="275">
      <formula>ISODD(MONTH($C2390))</formula>
    </cfRule>
    <cfRule type="expression" dxfId="463" priority="276">
      <formula>ISEVEN(MONTH($C2390))</formula>
    </cfRule>
  </conditionalFormatting>
  <conditionalFormatting sqref="K2388">
    <cfRule type="expression" dxfId="462" priority="257">
      <formula>ISODD(MONTH($C2382))</formula>
    </cfRule>
    <cfRule type="expression" dxfId="461" priority="258">
      <formula>ISEVEN(MONTH($C2382))</formula>
    </cfRule>
  </conditionalFormatting>
  <conditionalFormatting sqref="K2389">
    <cfRule type="expression" dxfId="460" priority="253">
      <formula>ISODD(MONTH($C2392))</formula>
    </cfRule>
    <cfRule type="expression" dxfId="459" priority="254">
      <formula>ISEVEN(MONTH($C2392))</formula>
    </cfRule>
  </conditionalFormatting>
  <conditionalFormatting sqref="K2390">
    <cfRule type="expression" dxfId="458" priority="239">
      <formula>ISODD(MONTH($C2382))</formula>
    </cfRule>
    <cfRule type="expression" dxfId="457" priority="240">
      <formula>ISEVEN(MONTH($C2382))</formula>
    </cfRule>
  </conditionalFormatting>
  <conditionalFormatting sqref="K2391:K2394">
    <cfRule type="expression" dxfId="456" priority="269">
      <formula>ISODD(MONTH($C2381))</formula>
    </cfRule>
    <cfRule type="expression" dxfId="455" priority="270">
      <formula>ISEVEN(MONTH($C2381))</formula>
    </cfRule>
  </conditionalFormatting>
  <conditionalFormatting sqref="K2393:K2394">
    <cfRule type="expression" dxfId="454" priority="283">
      <formula>ISODD(MONTH($C2397))</formula>
    </cfRule>
    <cfRule type="expression" dxfId="453" priority="284">
      <formula>ISEVEN(MONTH($C2397))</formula>
    </cfRule>
  </conditionalFormatting>
  <conditionalFormatting sqref="K2395:K2400">
    <cfRule type="expression" dxfId="452" priority="267">
      <formula>ISODD(MONTH($C2391))</formula>
    </cfRule>
    <cfRule type="expression" dxfId="451" priority="268">
      <formula>ISEVEN(MONTH($C2391))</formula>
    </cfRule>
  </conditionalFormatting>
  <conditionalFormatting sqref="K2401">
    <cfRule type="expression" dxfId="450" priority="247">
      <formula>ISODD(MONTH($C2391))</formula>
    </cfRule>
    <cfRule type="expression" dxfId="449" priority="248">
      <formula>ISEVEN(MONTH($C2391))</formula>
    </cfRule>
  </conditionalFormatting>
  <conditionalFormatting sqref="K2402">
    <cfRule type="expression" dxfId="448" priority="245">
      <formula>ISODD(MONTH($C2398))</formula>
    </cfRule>
    <cfRule type="expression" dxfId="447" priority="246">
      <formula>ISEVEN(MONTH($C2398))</formula>
    </cfRule>
  </conditionalFormatting>
  <conditionalFormatting sqref="K2403">
    <cfRule type="expression" dxfId="446" priority="287">
      <formula>ISODD(MONTH($C2388))</formula>
    </cfRule>
    <cfRule type="expression" dxfId="445" priority="288">
      <formula>ISEVEN(MONTH($C2388))</formula>
    </cfRule>
    <cfRule type="expression" dxfId="444" priority="295">
      <formula>ISODD(MONTH($C2400))</formula>
    </cfRule>
    <cfRule type="expression" dxfId="443" priority="296">
      <formula>ISEVEN(MONTH($C2400))</formula>
    </cfRule>
  </conditionalFormatting>
  <conditionalFormatting sqref="K2407:K2412">
    <cfRule type="expression" dxfId="442" priority="23">
      <formula>ISODD(MONTH($C2406))</formula>
    </cfRule>
    <cfRule type="expression" dxfId="441" priority="24">
      <formula>ISEVEN(MONTH($C2406))</formula>
    </cfRule>
  </conditionalFormatting>
  <conditionalFormatting sqref="K2413:K2433">
    <cfRule type="expression" dxfId="440" priority="19">
      <formula>ISODD(MONTH($C2410))</formula>
    </cfRule>
    <cfRule type="expression" dxfId="439" priority="20">
      <formula>ISEVEN(MONTH($C2410))</formula>
    </cfRule>
  </conditionalFormatting>
  <conditionalFormatting sqref="K2434:K2437">
    <cfRule type="expression" dxfId="438" priority="171">
      <formula>ISODD(MONTH($C2434))</formula>
    </cfRule>
    <cfRule type="expression" dxfId="437" priority="172">
      <formula>ISEVEN(MONTH($C2434))</formula>
    </cfRule>
  </conditionalFormatting>
  <conditionalFormatting sqref="K2438 K2442:K2444">
    <cfRule type="expression" dxfId="436" priority="229">
      <formula>ISODD(MONTH($C2437))</formula>
    </cfRule>
    <cfRule type="expression" dxfId="435" priority="230">
      <formula>ISEVEN(MONTH($C2437))</formula>
    </cfRule>
  </conditionalFormatting>
  <conditionalFormatting sqref="K2439:K2441">
    <cfRule type="expression" dxfId="434" priority="201">
      <formula>ISODD(MONTH($C2437))</formula>
    </cfRule>
    <cfRule type="expression" dxfId="433" priority="202">
      <formula>ISEVEN(MONTH($C2437))</formula>
    </cfRule>
  </conditionalFormatting>
  <conditionalFormatting sqref="K2440:K2441">
    <cfRule type="expression" dxfId="432" priority="215">
      <formula>ISODD(MONTH($C2441))</formula>
    </cfRule>
    <cfRule type="expression" dxfId="431" priority="216">
      <formula>ISEVEN(MONTH($C2441))</formula>
    </cfRule>
  </conditionalFormatting>
  <conditionalFormatting sqref="K2445">
    <cfRule type="expression" dxfId="430" priority="197">
      <formula>ISODD(MONTH($C2439))</formula>
    </cfRule>
    <cfRule type="expression" dxfId="429" priority="198">
      <formula>ISEVEN(MONTH($C2439))</formula>
    </cfRule>
  </conditionalFormatting>
  <conditionalFormatting sqref="K2446:K2447">
    <cfRule type="expression" dxfId="428" priority="185">
      <formula>ISODD(MONTH($C2438))</formula>
    </cfRule>
    <cfRule type="expression" dxfId="427" priority="186">
      <formula>ISEVEN(MONTH($C2438))</formula>
    </cfRule>
  </conditionalFormatting>
  <conditionalFormatting sqref="K2448">
    <cfRule type="expression" dxfId="426" priority="211">
      <formula>ISODD(MONTH($C2451))</formula>
    </cfRule>
    <cfRule type="expression" dxfId="425" priority="212">
      <formula>ISEVEN(MONTH($C2451))</formula>
    </cfRule>
  </conditionalFormatting>
  <conditionalFormatting sqref="K2449">
    <cfRule type="expression" dxfId="424" priority="193">
      <formula>ISODD(MONTH($C2443))</formula>
    </cfRule>
    <cfRule type="expression" dxfId="423" priority="194">
      <formula>ISEVEN(MONTH($C2443))</formula>
    </cfRule>
  </conditionalFormatting>
  <conditionalFormatting sqref="K2450">
    <cfRule type="expression" dxfId="422" priority="189">
      <formula>ISODD(MONTH($C2453))</formula>
    </cfRule>
    <cfRule type="expression" dxfId="421" priority="190">
      <formula>ISEVEN(MONTH($C2453))</formula>
    </cfRule>
  </conditionalFormatting>
  <conditionalFormatting sqref="K2451">
    <cfRule type="expression" dxfId="420" priority="175">
      <formula>ISODD(MONTH($C2443))</formula>
    </cfRule>
    <cfRule type="expression" dxfId="419" priority="176">
      <formula>ISEVEN(MONTH($C2443))</formula>
    </cfRule>
  </conditionalFormatting>
  <conditionalFormatting sqref="K2452:K2455">
    <cfRule type="expression" dxfId="418" priority="205">
      <formula>ISODD(MONTH($C2442))</formula>
    </cfRule>
    <cfRule type="expression" dxfId="417" priority="206">
      <formula>ISEVEN(MONTH($C2442))</formula>
    </cfRule>
  </conditionalFormatting>
  <conditionalFormatting sqref="K2454:K2455">
    <cfRule type="expression" dxfId="416" priority="219">
      <formula>ISODD(MONTH($C2458))</formula>
    </cfRule>
    <cfRule type="expression" dxfId="415" priority="220">
      <formula>ISEVEN(MONTH($C2458))</formula>
    </cfRule>
  </conditionalFormatting>
  <conditionalFormatting sqref="K2456:K2461">
    <cfRule type="expression" dxfId="414" priority="203">
      <formula>ISODD(MONTH($C2452))</formula>
    </cfRule>
    <cfRule type="expression" dxfId="413" priority="204">
      <formula>ISEVEN(MONTH($C2452))</formula>
    </cfRule>
  </conditionalFormatting>
  <conditionalFormatting sqref="K2462">
    <cfRule type="expression" dxfId="412" priority="183">
      <formula>ISODD(MONTH($C2452))</formula>
    </cfRule>
    <cfRule type="expression" dxfId="411" priority="184">
      <formula>ISEVEN(MONTH($C2452))</formula>
    </cfRule>
  </conditionalFormatting>
  <conditionalFormatting sqref="K2463">
    <cfRule type="expression" dxfId="410" priority="181">
      <formula>ISODD(MONTH($C2459))</formula>
    </cfRule>
    <cfRule type="expression" dxfId="409" priority="182">
      <formula>ISEVEN(MONTH($C2459))</formula>
    </cfRule>
  </conditionalFormatting>
  <conditionalFormatting sqref="K2464">
    <cfRule type="expression" dxfId="408" priority="223">
      <formula>ISODD(MONTH($C2449))</formula>
    </cfRule>
    <cfRule type="expression" dxfId="407" priority="224">
      <formula>ISEVEN(MONTH($C2449))</formula>
    </cfRule>
    <cfRule type="expression" dxfId="406" priority="231">
      <formula>ISODD(MONTH($C2461))</formula>
    </cfRule>
    <cfRule type="expression" dxfId="405" priority="232">
      <formula>ISEVEN(MONTH($C2461))</formula>
    </cfRule>
  </conditionalFormatting>
  <conditionalFormatting sqref="K2469:K2474">
    <cfRule type="expression" dxfId="404" priority="15">
      <formula>ISODD(MONTH($C2468))</formula>
    </cfRule>
    <cfRule type="expression" dxfId="403" priority="16">
      <formula>ISEVEN(MONTH($C2468))</formula>
    </cfRule>
  </conditionalFormatting>
  <conditionalFormatting sqref="K2475:K2495">
    <cfRule type="expression" dxfId="402" priority="11">
      <formula>ISODD(MONTH($C2472))</formula>
    </cfRule>
    <cfRule type="expression" dxfId="401" priority="12">
      <formula>ISEVEN(MONTH($C2472))</formula>
    </cfRule>
  </conditionalFormatting>
  <conditionalFormatting sqref="K2496:K2498">
    <cfRule type="expression" dxfId="400" priority="107">
      <formula>ISODD(MONTH($C2496))</formula>
    </cfRule>
    <cfRule type="expression" dxfId="399" priority="108">
      <formula>ISEVEN(MONTH($C2496))</formula>
    </cfRule>
  </conditionalFormatting>
  <conditionalFormatting sqref="K2499 K2503:K2505">
    <cfRule type="expression" dxfId="398" priority="165">
      <formula>ISODD(MONTH($C2498))</formula>
    </cfRule>
    <cfRule type="expression" dxfId="397" priority="166">
      <formula>ISEVEN(MONTH($C2498))</formula>
    </cfRule>
  </conditionalFormatting>
  <conditionalFormatting sqref="K2500:K2502">
    <cfRule type="expression" dxfId="396" priority="137">
      <formula>ISODD(MONTH($C2498))</formula>
    </cfRule>
    <cfRule type="expression" dxfId="395" priority="138">
      <formula>ISEVEN(MONTH($C2498))</formula>
    </cfRule>
  </conditionalFormatting>
  <conditionalFormatting sqref="K2501:K2502">
    <cfRule type="expression" dxfId="394" priority="151">
      <formula>ISODD(MONTH($C2502))</formula>
    </cfRule>
    <cfRule type="expression" dxfId="393" priority="152">
      <formula>ISEVEN(MONTH($C2502))</formula>
    </cfRule>
  </conditionalFormatting>
  <conditionalFormatting sqref="K2506">
    <cfRule type="expression" dxfId="392" priority="133">
      <formula>ISODD(MONTH($C2500))</formula>
    </cfRule>
    <cfRule type="expression" dxfId="391" priority="134">
      <formula>ISEVEN(MONTH($C2500))</formula>
    </cfRule>
  </conditionalFormatting>
  <conditionalFormatting sqref="K2507:K2508">
    <cfRule type="expression" dxfId="390" priority="121">
      <formula>ISODD(MONTH($C2499))</formula>
    </cfRule>
    <cfRule type="expression" dxfId="389" priority="122">
      <formula>ISEVEN(MONTH($C2499))</formula>
    </cfRule>
  </conditionalFormatting>
  <conditionalFormatting sqref="K2509">
    <cfRule type="expression" dxfId="388" priority="147">
      <formula>ISODD(MONTH($C2512))</formula>
    </cfRule>
    <cfRule type="expression" dxfId="387" priority="148">
      <formula>ISEVEN(MONTH($C2512))</formula>
    </cfRule>
  </conditionalFormatting>
  <conditionalFormatting sqref="K2510">
    <cfRule type="expression" dxfId="386" priority="129">
      <formula>ISODD(MONTH($C2504))</formula>
    </cfRule>
    <cfRule type="expression" dxfId="385" priority="130">
      <formula>ISEVEN(MONTH($C2504))</formula>
    </cfRule>
  </conditionalFormatting>
  <conditionalFormatting sqref="K2511">
    <cfRule type="expression" dxfId="384" priority="125">
      <formula>ISODD(MONTH($C2514))</formula>
    </cfRule>
    <cfRule type="expression" dxfId="383" priority="126">
      <formula>ISEVEN(MONTH($C2514))</formula>
    </cfRule>
  </conditionalFormatting>
  <conditionalFormatting sqref="K2512">
    <cfRule type="expression" dxfId="382" priority="111">
      <formula>ISODD(MONTH($C2504))</formula>
    </cfRule>
    <cfRule type="expression" dxfId="381" priority="112">
      <formula>ISEVEN(MONTH($C2504))</formula>
    </cfRule>
  </conditionalFormatting>
  <conditionalFormatting sqref="K2513:K2516">
    <cfRule type="expression" dxfId="380" priority="141">
      <formula>ISODD(MONTH($C2503))</formula>
    </cfRule>
    <cfRule type="expression" dxfId="379" priority="142">
      <formula>ISEVEN(MONTH($C2503))</formula>
    </cfRule>
  </conditionalFormatting>
  <conditionalFormatting sqref="K2515:K2516">
    <cfRule type="expression" dxfId="378" priority="155">
      <formula>ISODD(MONTH($C2519))</formula>
    </cfRule>
    <cfRule type="expression" dxfId="377" priority="156">
      <formula>ISEVEN(MONTH($C2519))</formula>
    </cfRule>
  </conditionalFormatting>
  <conditionalFormatting sqref="K2517:K2522">
    <cfRule type="expression" dxfId="376" priority="139">
      <formula>ISODD(MONTH($C2513))</formula>
    </cfRule>
    <cfRule type="expression" dxfId="375" priority="140">
      <formula>ISEVEN(MONTH($C2513))</formula>
    </cfRule>
  </conditionalFormatting>
  <conditionalFormatting sqref="K2523">
    <cfRule type="expression" dxfId="374" priority="119">
      <formula>ISODD(MONTH($C2513))</formula>
    </cfRule>
    <cfRule type="expression" dxfId="373" priority="120">
      <formula>ISEVEN(MONTH($C2513))</formula>
    </cfRule>
  </conditionalFormatting>
  <conditionalFormatting sqref="K2524">
    <cfRule type="expression" dxfId="372" priority="117">
      <formula>ISODD(MONTH($C2520))</formula>
    </cfRule>
    <cfRule type="expression" dxfId="371" priority="118">
      <formula>ISEVEN(MONTH($C2520))</formula>
    </cfRule>
  </conditionalFormatting>
  <conditionalFormatting sqref="K2525">
    <cfRule type="expression" dxfId="370" priority="159">
      <formula>ISODD(MONTH($C2510))</formula>
    </cfRule>
    <cfRule type="expression" dxfId="369" priority="160">
      <formula>ISEVEN(MONTH($C2510))</formula>
    </cfRule>
    <cfRule type="expression" dxfId="368" priority="167">
      <formula>ISODD(MONTH($C2522))</formula>
    </cfRule>
    <cfRule type="expression" dxfId="367" priority="168">
      <formula>ISEVEN(MONTH($C2522))</formula>
    </cfRule>
  </conditionalFormatting>
  <conditionalFormatting sqref="K2530:K2535">
    <cfRule type="expression" dxfId="366" priority="7">
      <formula>ISODD(MONTH($C2529))</formula>
    </cfRule>
    <cfRule type="expression" dxfId="365" priority="8">
      <formula>ISEVEN(MONTH($C2529))</formula>
    </cfRule>
  </conditionalFormatting>
  <conditionalFormatting sqref="K2536:K2556">
    <cfRule type="expression" dxfId="364" priority="3">
      <formula>ISODD(MONTH($C2533))</formula>
    </cfRule>
    <cfRule type="expression" dxfId="363" priority="4">
      <formula>ISEVEN(MONTH($C2533))</formula>
    </cfRule>
  </conditionalFormatting>
  <conditionalFormatting sqref="K2557:K2559">
    <cfRule type="expression" dxfId="362" priority="43">
      <formula>ISODD(MONTH($C2557))</formula>
    </cfRule>
    <cfRule type="expression" dxfId="361" priority="44">
      <formula>ISEVEN(MONTH($C2557))</formula>
    </cfRule>
  </conditionalFormatting>
  <conditionalFormatting sqref="K2560 K2564:K2566">
    <cfRule type="expression" dxfId="360" priority="101">
      <formula>ISODD(MONTH($C2559))</formula>
    </cfRule>
    <cfRule type="expression" dxfId="359" priority="102">
      <formula>ISEVEN(MONTH($C2559))</formula>
    </cfRule>
  </conditionalFormatting>
  <conditionalFormatting sqref="K2561:K2563">
    <cfRule type="expression" dxfId="358" priority="73">
      <formula>ISODD(MONTH($C2559))</formula>
    </cfRule>
    <cfRule type="expression" dxfId="357" priority="74">
      <formula>ISEVEN(MONTH($C2559))</formula>
    </cfRule>
  </conditionalFormatting>
  <conditionalFormatting sqref="K2562:K2563">
    <cfRule type="expression" dxfId="356" priority="87">
      <formula>ISODD(MONTH($C2563))</formula>
    </cfRule>
    <cfRule type="expression" dxfId="355" priority="88">
      <formula>ISEVEN(MONTH($C2563))</formula>
    </cfRule>
  </conditionalFormatting>
  <conditionalFormatting sqref="K2567">
    <cfRule type="expression" dxfId="354" priority="69">
      <formula>ISODD(MONTH($C2561))</formula>
    </cfRule>
    <cfRule type="expression" dxfId="353" priority="70">
      <formula>ISEVEN(MONTH($C2561))</formula>
    </cfRule>
  </conditionalFormatting>
  <conditionalFormatting sqref="K2568:K2569">
    <cfRule type="expression" dxfId="352" priority="57">
      <formula>ISODD(MONTH($C2560))</formula>
    </cfRule>
    <cfRule type="expression" dxfId="351" priority="58">
      <formula>ISEVEN(MONTH($C2560))</formula>
    </cfRule>
  </conditionalFormatting>
  <conditionalFormatting sqref="K2570">
    <cfRule type="expression" dxfId="350" priority="83">
      <formula>ISODD(MONTH($C2573))</formula>
    </cfRule>
    <cfRule type="expression" dxfId="349" priority="84">
      <formula>ISEVEN(MONTH($C2573))</formula>
    </cfRule>
  </conditionalFormatting>
  <conditionalFormatting sqref="K2571">
    <cfRule type="expression" dxfId="348" priority="65">
      <formula>ISODD(MONTH($C2565))</formula>
    </cfRule>
    <cfRule type="expression" dxfId="347" priority="66">
      <formula>ISEVEN(MONTH($C2565))</formula>
    </cfRule>
  </conditionalFormatting>
  <conditionalFormatting sqref="K2572">
    <cfRule type="expression" dxfId="346" priority="61">
      <formula>ISODD(MONTH($C2575))</formula>
    </cfRule>
    <cfRule type="expression" dxfId="345" priority="62">
      <formula>ISEVEN(MONTH($C2575))</formula>
    </cfRule>
  </conditionalFormatting>
  <conditionalFormatting sqref="K2573">
    <cfRule type="expression" dxfId="344" priority="47">
      <formula>ISODD(MONTH($C2565))</formula>
    </cfRule>
    <cfRule type="expression" dxfId="343" priority="48">
      <formula>ISEVEN(MONTH($C2565))</formula>
    </cfRule>
  </conditionalFormatting>
  <conditionalFormatting sqref="K2574:K2577">
    <cfRule type="expression" dxfId="342" priority="77">
      <formula>ISODD(MONTH($C2564))</formula>
    </cfRule>
    <cfRule type="expression" dxfId="341" priority="78">
      <formula>ISEVEN(MONTH($C2564))</formula>
    </cfRule>
  </conditionalFormatting>
  <conditionalFormatting sqref="K2576:K2577">
    <cfRule type="expression" dxfId="340" priority="91">
      <formula>ISODD(MONTH($C2580))</formula>
    </cfRule>
    <cfRule type="expression" dxfId="339" priority="92">
      <formula>ISEVEN(MONTH($C2580))</formula>
    </cfRule>
  </conditionalFormatting>
  <conditionalFormatting sqref="K2578:K2583">
    <cfRule type="expression" dxfId="338" priority="75">
      <formula>ISODD(MONTH($C2574))</formula>
    </cfRule>
    <cfRule type="expression" dxfId="337" priority="76">
      <formula>ISEVEN(MONTH($C2574))</formula>
    </cfRule>
  </conditionalFormatting>
  <conditionalFormatting sqref="K2584">
    <cfRule type="expression" dxfId="336" priority="55">
      <formula>ISODD(MONTH($C2574))</formula>
    </cfRule>
    <cfRule type="expression" dxfId="335" priority="56">
      <formula>ISEVEN(MONTH($C2574))</formula>
    </cfRule>
  </conditionalFormatting>
  <conditionalFormatting sqref="K2585">
    <cfRule type="expression" dxfId="334" priority="53">
      <formula>ISODD(MONTH($C2581))</formula>
    </cfRule>
    <cfRule type="expression" dxfId="333" priority="54">
      <formula>ISEVEN(MONTH($C2581))</formula>
    </cfRule>
  </conditionalFormatting>
  <conditionalFormatting sqref="K2586">
    <cfRule type="expression" dxfId="332" priority="95">
      <formula>ISODD(MONTH($C2571))</formula>
    </cfRule>
    <cfRule type="expression" dxfId="331" priority="96">
      <formula>ISEVEN(MONTH($C2571))</formula>
    </cfRule>
    <cfRule type="expression" dxfId="330" priority="103">
      <formula>ISODD(MONTH($C2583))</formula>
    </cfRule>
    <cfRule type="expression" dxfId="329" priority="104">
      <formula>ISEVEN(MONTH($C2583))</formula>
    </cfRule>
  </conditionalFormatting>
  <conditionalFormatting sqref="L1:L1408 B1:B1048576 L1413 L1429:L1433 L1446 L1461:L1469 L1474 L1491 L1493:L1494 L1507 L1520:L1531 L1536 L1551:L1554 L1567 L1580:L1591 L1596 L1611:L1615 L1628 L1641:L1652 L1657 L1672:L1676 L1689 L1702:L1713 L1718 L1733 L1735:L1738 L1766 L1768:L1774 L1799 L1829:L1835 L1860 L1891 L1919 L1950 L1980 L2011 L2041 L2103 L2164 L2225 L2284 L2343:L2345 L2404:L2406 L2465:L2468 L2526:L2529 L2587:L1048576 H1:I1048576">
    <cfRule type="expression" dxfId="328" priority="2613">
      <formula>ISODD(MONTH($C1))</formula>
    </cfRule>
    <cfRule type="expression" dxfId="327" priority="2614">
      <formula>ISEVEN(MONTH($C1))</formula>
    </cfRule>
  </conditionalFormatting>
  <conditionalFormatting sqref="L1409 L1470 L1532 L1592 L1653 L1714">
    <cfRule type="expression" dxfId="326" priority="2639">
      <formula>ISODD(MONTH($C1415))</formula>
    </cfRule>
    <cfRule type="expression" dxfId="325" priority="2640">
      <formula>ISEVEN(MONTH($C1415))</formula>
    </cfRule>
  </conditionalFormatting>
  <conditionalFormatting sqref="L1410:L1412 L1473 L1535 L1595 L1656 L1717">
    <cfRule type="expression" dxfId="324" priority="2641">
      <formula>ISODD(MONTH($C1418))</formula>
    </cfRule>
    <cfRule type="expression" dxfId="323" priority="2642">
      <formula>ISEVEN(MONTH($C1418))</formula>
    </cfRule>
  </conditionalFormatting>
  <conditionalFormatting sqref="L1414:L1416 L1475:L1477 L1537:L1539 L1597:L1599 L1658:L1660 L1719:L1721 L1748:L1749 L1778:L1780 L1809:L1810 L1839:L1841">
    <cfRule type="expression" dxfId="322" priority="2645">
      <formula>ISODD(MONTH($C1409))</formula>
    </cfRule>
    <cfRule type="expression" dxfId="321" priority="2646">
      <formula>ISEVEN(MONTH($C1409))</formula>
    </cfRule>
  </conditionalFormatting>
  <conditionalFormatting sqref="L1417:L1428 L1448:L1450 L1478:L1489 L1492 L1509:L1511 L1540:L1550 L1569:L1571 L1600:L1610 L1630:L1632 L1661:L1671 L1691:L1693 L1722:L1732 L1782:L1784 L1843:L1845">
    <cfRule type="expression" dxfId="320" priority="2647">
      <formula>ISODD(MONTH($C1410))</formula>
    </cfRule>
    <cfRule type="expression" dxfId="319" priority="2648">
      <formula>ISEVEN(MONTH($C1410))</formula>
    </cfRule>
  </conditionalFormatting>
  <conditionalFormatting sqref="L1434:L1438 L1495:L1499 L1555:L1559 L1616:L1620 L1677:L1681 L1739:L1743 L1800:L1804">
    <cfRule type="expression" dxfId="318" priority="2653">
      <formula>ISODD(MONTH($C1433))</formula>
    </cfRule>
    <cfRule type="expression" dxfId="317" priority="2654">
      <formula>ISEVEN(MONTH($C1433))</formula>
    </cfRule>
    <cfRule type="expression" dxfId="316" priority="2655">
      <formula>ISODD(MONTH($C1460))</formula>
    </cfRule>
    <cfRule type="expression" dxfId="315" priority="2656">
      <formula>ISEVEN(MONTH($C1460))</formula>
    </cfRule>
  </conditionalFormatting>
  <conditionalFormatting sqref="L1439 L1443:L1445 L1447 L1456:L1460 L1490 L1500 L1504:L1506 L1508 L1517:L1519 L1560 L1564:L1566 L1568 L1577:L1579 L1621 L1625:L1627 L1629 L1638:L1640 L1682 L1686:L1688 L1690 L1699:L1701 L1744 L1747 L1805 L1808">
    <cfRule type="expression" dxfId="314" priority="2657">
      <formula>ISODD(MONTH($C1433))</formula>
    </cfRule>
    <cfRule type="expression" dxfId="313" priority="2658">
      <formula>ISEVEN(MONTH($C1433))</formula>
    </cfRule>
  </conditionalFormatting>
  <conditionalFormatting sqref="L1440 L1501 L1561 L1622 L1683 L2077:L2079 L2091:L2096 L2098:L2099">
    <cfRule type="expression" dxfId="312" priority="2659">
      <formula>ISODD(MONTH($C1436))</formula>
    </cfRule>
    <cfRule type="expression" dxfId="311" priority="2660">
      <formula>ISEVEN(MONTH($C1436))</formula>
    </cfRule>
  </conditionalFormatting>
  <conditionalFormatting sqref="L1441:L1442 L1471:L1472 L1502:L1503 L1533:L1534 L1562:L1563 L1593:L1594 L1623:L1624 L1654:L1655 L1684:L1685 L1715:L1716 L1745:L1746 L1775:L1776 L1806:L1807 L1836:L1837 L1867:L1887 L1898:L1918 L1926:L1947 L1957:L1977 L1987:L2007 L2018:L2038 L2048:L2068 L2110:L2130 L2161 L2171:L2191 L2222">
    <cfRule type="expression" dxfId="310" priority="2661">
      <formula>ISODD(MONTH($C1438))</formula>
    </cfRule>
    <cfRule type="expression" dxfId="309" priority="2662">
      <formula>ISEVEN(MONTH($C1438))</formula>
    </cfRule>
  </conditionalFormatting>
  <conditionalFormatting sqref="L1451:L1455 L1512:L1516 L1572:L1576 L1633:L1637 L1694:L1698 L1750:L1752 L1754 L1763:L1765 L1811:L1813 L1815 L1824:L1826">
    <cfRule type="expression" dxfId="308" priority="2671">
      <formula>ISODD(MONTH($C1443))</formula>
    </cfRule>
    <cfRule type="expression" dxfId="307" priority="2672">
      <formula>ISEVEN(MONTH($C1443))</formula>
    </cfRule>
  </conditionalFormatting>
  <conditionalFormatting sqref="L1453 L1514 L1574 L1635 L1696 L1755:L1757 L1785:L1795 L1816:L1818 L1846:L1856">
    <cfRule type="expression" dxfId="306" priority="2673">
      <formula>ISODD(MONTH($C1444))</formula>
    </cfRule>
    <cfRule type="expression" dxfId="305" priority="2674">
      <formula>ISEVEN(MONTH($C1444))</formula>
    </cfRule>
  </conditionalFormatting>
  <conditionalFormatting sqref="L1734 L1767 L1796:L1798 L1827:L1828 L1857:L1859 L1861:L1866 L1889:L1890 L1892:L1897 L1920:L1925 L1948:L1949 L1951:L1956 L1978:L1979 L1981:L1986 L2009:L2010 L2012:L2017 L2039:L2040 L2042:L2047 L2070:L2071 L2073 L2101:L2102 L2104:L2109 L2131:L2132 L2134 L2162:L2163 L2165:L2170 L2192:L2193 L2195 L2223:L2224 L2226:L2231">
    <cfRule type="expression" dxfId="304" priority="2841">
      <formula>ISODD(MONTH($C1733))</formula>
    </cfRule>
    <cfRule type="expression" dxfId="303" priority="2842">
      <formula>ISEVEN(MONTH($C1733))</formula>
    </cfRule>
  </conditionalFormatting>
  <conditionalFormatting sqref="L1753 L1781 L1814 L1842 L1888 L2008 L2069 L2100">
    <cfRule type="expression" dxfId="302" priority="2917">
      <formula>ISODD(MONTH($C1751))</formula>
    </cfRule>
    <cfRule type="expression" dxfId="301" priority="2918">
      <formula>ISEVEN(MONTH($C1751))</formula>
    </cfRule>
  </conditionalFormatting>
  <conditionalFormatting sqref="L1758:L1762 L1819:L1823 L2087:L2090">
    <cfRule type="expression" dxfId="300" priority="2929">
      <formula>ISODD(MONTH($C1748))</formula>
    </cfRule>
    <cfRule type="expression" dxfId="299" priority="2930">
      <formula>ISEVEN(MONTH($C1748))</formula>
    </cfRule>
  </conditionalFormatting>
  <conditionalFormatting sqref="L1760 L1821">
    <cfRule type="expression" dxfId="298" priority="2931">
      <formula>ISODD(MONTH($C1749))</formula>
    </cfRule>
    <cfRule type="expression" dxfId="297" priority="2932">
      <formula>ISEVEN(MONTH($C1749))</formula>
    </cfRule>
  </conditionalFormatting>
  <conditionalFormatting sqref="L1777 L1838">
    <cfRule type="expression" dxfId="296" priority="2939">
      <formula>ISODD(MONTH($C1781))</formula>
    </cfRule>
    <cfRule type="expression" dxfId="295" priority="2940">
      <formula>ISEVEN(MONTH($C1781))</formula>
    </cfRule>
  </conditionalFormatting>
  <conditionalFormatting sqref="L2072">
    <cfRule type="expression" dxfId="294" priority="601">
      <formula>ISODD(MONTH($C2072))</formula>
    </cfRule>
    <cfRule type="expression" dxfId="293" priority="602">
      <formula>ISEVEN(MONTH($C2072))</formula>
    </cfRule>
  </conditionalFormatting>
  <conditionalFormatting sqref="L2074">
    <cfRule type="expression" dxfId="292" priority="3083">
      <formula>ISODD(MONTH($C2076))</formula>
    </cfRule>
    <cfRule type="expression" dxfId="291" priority="3084">
      <formula>ISEVEN(MONTH($C2076))</formula>
    </cfRule>
  </conditionalFormatting>
  <conditionalFormatting sqref="L2075:L2076">
    <cfRule type="expression" dxfId="290" priority="3159">
      <formula>ISODD(MONTH($C2075))</formula>
    </cfRule>
    <cfRule type="expression" dxfId="289" priority="3160">
      <formula>ISEVEN(MONTH($C2075))</formula>
    </cfRule>
  </conditionalFormatting>
  <conditionalFormatting sqref="L2080">
    <cfRule type="expression" dxfId="288" priority="629">
      <formula>ISODD(MONTH($C2074))</formula>
    </cfRule>
    <cfRule type="expression" dxfId="287" priority="630">
      <formula>ISEVEN(MONTH($C2074))</formula>
    </cfRule>
  </conditionalFormatting>
  <conditionalFormatting sqref="L2081:L2082">
    <cfRule type="expression" dxfId="286" priority="617">
      <formula>ISODD(MONTH($C2073))</formula>
    </cfRule>
    <cfRule type="expression" dxfId="285" priority="618">
      <formula>ISEVEN(MONTH($C2073))</formula>
    </cfRule>
  </conditionalFormatting>
  <conditionalFormatting sqref="L2083">
    <cfRule type="expression" dxfId="284" priority="3065">
      <formula>ISODD(MONTH($C2086))</formula>
    </cfRule>
    <cfRule type="expression" dxfId="283" priority="3066">
      <formula>ISEVEN(MONTH($C2086))</formula>
    </cfRule>
  </conditionalFormatting>
  <conditionalFormatting sqref="L2084">
    <cfRule type="expression" dxfId="282" priority="625">
      <formula>ISODD(MONTH($C2078))</formula>
    </cfRule>
    <cfRule type="expression" dxfId="281" priority="626">
      <formula>ISEVEN(MONTH($C2078))</formula>
    </cfRule>
  </conditionalFormatting>
  <conditionalFormatting sqref="L2085">
    <cfRule type="expression" dxfId="280" priority="621">
      <formula>ISODD(MONTH($C2088))</formula>
    </cfRule>
    <cfRule type="expression" dxfId="279" priority="622">
      <formula>ISEVEN(MONTH($C2088))</formula>
    </cfRule>
  </conditionalFormatting>
  <conditionalFormatting sqref="L2086">
    <cfRule type="expression" dxfId="278" priority="605">
      <formula>ISODD(MONTH($C2078))</formula>
    </cfRule>
    <cfRule type="expression" dxfId="277" priority="606">
      <formula>ISEVEN(MONTH($C2078))</formula>
    </cfRule>
  </conditionalFormatting>
  <conditionalFormatting sqref="L2089:L2090">
    <cfRule type="expression" dxfId="276" priority="3127">
      <formula>ISODD(MONTH($C2093))</formula>
    </cfRule>
    <cfRule type="expression" dxfId="275" priority="3128">
      <formula>ISEVEN(MONTH($C2093))</formula>
    </cfRule>
  </conditionalFormatting>
  <conditionalFormatting sqref="L2097">
    <cfRule type="expression" dxfId="274" priority="609">
      <formula>ISODD(MONTH($C2087))</formula>
    </cfRule>
    <cfRule type="expression" dxfId="273" priority="610">
      <formula>ISEVEN(MONTH($C2087))</formula>
    </cfRule>
  </conditionalFormatting>
  <conditionalFormatting sqref="L2099">
    <cfRule type="expression" dxfId="272" priority="3191">
      <formula>ISODD(MONTH($C2083))</formula>
    </cfRule>
    <cfRule type="expression" dxfId="271" priority="3192">
      <formula>ISEVEN(MONTH($C2083))</formula>
    </cfRule>
  </conditionalFormatting>
  <conditionalFormatting sqref="L2133">
    <cfRule type="expression" dxfId="270" priority="531">
      <formula>ISODD(MONTH($C2133))</formula>
    </cfRule>
    <cfRule type="expression" dxfId="269" priority="532">
      <formula>ISEVEN(MONTH($C2133))</formula>
    </cfRule>
  </conditionalFormatting>
  <conditionalFormatting sqref="L2135">
    <cfRule type="expression" dxfId="268" priority="575">
      <formula>ISODD(MONTH($C2137))</formula>
    </cfRule>
    <cfRule type="expression" dxfId="267" priority="576">
      <formula>ISEVEN(MONTH($C2137))</formula>
    </cfRule>
  </conditionalFormatting>
  <conditionalFormatting sqref="L2136:L2137">
    <cfRule type="expression" dxfId="266" priority="583">
      <formula>ISODD(MONTH($C2136))</formula>
    </cfRule>
    <cfRule type="expression" dxfId="265" priority="584">
      <formula>ISEVEN(MONTH($C2136))</formula>
    </cfRule>
  </conditionalFormatting>
  <conditionalFormatting sqref="L2138:L2140 L2152:L2157 L2159:L2160">
    <cfRule type="expression" dxfId="264" priority="565">
      <formula>ISODD(MONTH($C2134))</formula>
    </cfRule>
    <cfRule type="expression" dxfId="263" priority="566">
      <formula>ISEVEN(MONTH($C2134))</formula>
    </cfRule>
  </conditionalFormatting>
  <conditionalFormatting sqref="L2141">
    <cfRule type="expression" dxfId="262" priority="557">
      <formula>ISODD(MONTH($C2135))</formula>
    </cfRule>
    <cfRule type="expression" dxfId="261" priority="558">
      <formula>ISEVEN(MONTH($C2135))</formula>
    </cfRule>
  </conditionalFormatting>
  <conditionalFormatting sqref="L2142:L2143">
    <cfRule type="expression" dxfId="260" priority="545">
      <formula>ISODD(MONTH($C2134))</formula>
    </cfRule>
    <cfRule type="expression" dxfId="259" priority="546">
      <formula>ISEVEN(MONTH($C2134))</formula>
    </cfRule>
  </conditionalFormatting>
  <conditionalFormatting sqref="L2144">
    <cfRule type="expression" dxfId="258" priority="571">
      <formula>ISODD(MONTH($C2147))</formula>
    </cfRule>
    <cfRule type="expression" dxfId="257" priority="572">
      <formula>ISEVEN(MONTH($C2147))</formula>
    </cfRule>
  </conditionalFormatting>
  <conditionalFormatting sqref="L2145">
    <cfRule type="expression" dxfId="256" priority="553">
      <formula>ISODD(MONTH($C2139))</formula>
    </cfRule>
    <cfRule type="expression" dxfId="255" priority="554">
      <formula>ISEVEN(MONTH($C2139))</formula>
    </cfRule>
  </conditionalFormatting>
  <conditionalFormatting sqref="L2146">
    <cfRule type="expression" dxfId="254" priority="549">
      <formula>ISODD(MONTH($C2149))</formula>
    </cfRule>
    <cfRule type="expression" dxfId="253" priority="550">
      <formula>ISEVEN(MONTH($C2149))</formula>
    </cfRule>
  </conditionalFormatting>
  <conditionalFormatting sqref="L2147">
    <cfRule type="expression" dxfId="252" priority="535">
      <formula>ISODD(MONTH($C2139))</formula>
    </cfRule>
    <cfRule type="expression" dxfId="251" priority="536">
      <formula>ISEVEN(MONTH($C2139))</formula>
    </cfRule>
  </conditionalFormatting>
  <conditionalFormatting sqref="L2148:L2151">
    <cfRule type="expression" dxfId="250" priority="567">
      <formula>ISODD(MONTH($C2138))</formula>
    </cfRule>
    <cfRule type="expression" dxfId="249" priority="568">
      <formula>ISEVEN(MONTH($C2138))</formula>
    </cfRule>
  </conditionalFormatting>
  <conditionalFormatting sqref="L2150:L2151">
    <cfRule type="expression" dxfId="248" priority="579">
      <formula>ISODD(MONTH($C2154))</formula>
    </cfRule>
    <cfRule type="expression" dxfId="247" priority="580">
      <formula>ISEVEN(MONTH($C2154))</formula>
    </cfRule>
  </conditionalFormatting>
  <conditionalFormatting sqref="L2158">
    <cfRule type="expression" dxfId="246" priority="537">
      <formula>ISODD(MONTH($C2148))</formula>
    </cfRule>
    <cfRule type="expression" dxfId="245" priority="538">
      <formula>ISEVEN(MONTH($C2148))</formula>
    </cfRule>
  </conditionalFormatting>
  <conditionalFormatting sqref="L2160">
    <cfRule type="expression" dxfId="244" priority="585">
      <formula>ISODD(MONTH($C2144))</formula>
    </cfRule>
    <cfRule type="expression" dxfId="243" priority="586">
      <formula>ISEVEN(MONTH($C2144))</formula>
    </cfRule>
  </conditionalFormatting>
  <conditionalFormatting sqref="L2194">
    <cfRule type="expression" dxfId="242" priority="473">
      <formula>ISODD(MONTH($C2194))</formula>
    </cfRule>
    <cfRule type="expression" dxfId="241" priority="474">
      <formula>ISEVEN(MONTH($C2194))</formula>
    </cfRule>
  </conditionalFormatting>
  <conditionalFormatting sqref="L2196">
    <cfRule type="expression" dxfId="240" priority="517">
      <formula>ISODD(MONTH($C2198))</formula>
    </cfRule>
    <cfRule type="expression" dxfId="239" priority="518">
      <formula>ISEVEN(MONTH($C2198))</formula>
    </cfRule>
  </conditionalFormatting>
  <conditionalFormatting sqref="L2197:L2198">
    <cfRule type="expression" dxfId="238" priority="525">
      <formula>ISODD(MONTH($C2197))</formula>
    </cfRule>
    <cfRule type="expression" dxfId="237" priority="526">
      <formula>ISEVEN(MONTH($C2197))</formula>
    </cfRule>
  </conditionalFormatting>
  <conditionalFormatting sqref="L2199:L2201 L2213:L2218 L2220:L2221">
    <cfRule type="expression" dxfId="236" priority="507">
      <formula>ISODD(MONTH($C2195))</formula>
    </cfRule>
    <cfRule type="expression" dxfId="235" priority="508">
      <formula>ISEVEN(MONTH($C2195))</formula>
    </cfRule>
  </conditionalFormatting>
  <conditionalFormatting sqref="L2202">
    <cfRule type="expression" dxfId="234" priority="499">
      <formula>ISODD(MONTH($C2196))</formula>
    </cfRule>
    <cfRule type="expression" dxfId="233" priority="500">
      <formula>ISEVEN(MONTH($C2196))</formula>
    </cfRule>
  </conditionalFormatting>
  <conditionalFormatting sqref="L2203:L2204">
    <cfRule type="expression" dxfId="232" priority="487">
      <formula>ISODD(MONTH($C2195))</formula>
    </cfRule>
    <cfRule type="expression" dxfId="231" priority="488">
      <formula>ISEVEN(MONTH($C2195))</formula>
    </cfRule>
  </conditionalFormatting>
  <conditionalFormatting sqref="L2205">
    <cfRule type="expression" dxfId="230" priority="513">
      <formula>ISODD(MONTH($C2208))</formula>
    </cfRule>
    <cfRule type="expression" dxfId="229" priority="514">
      <formula>ISEVEN(MONTH($C2208))</formula>
    </cfRule>
  </conditionalFormatting>
  <conditionalFormatting sqref="L2206">
    <cfRule type="expression" dxfId="228" priority="495">
      <formula>ISODD(MONTH($C2200))</formula>
    </cfRule>
    <cfRule type="expression" dxfId="227" priority="496">
      <formula>ISEVEN(MONTH($C2200))</formula>
    </cfRule>
  </conditionalFormatting>
  <conditionalFormatting sqref="L2207">
    <cfRule type="expression" dxfId="226" priority="491">
      <formula>ISODD(MONTH($C2210))</formula>
    </cfRule>
    <cfRule type="expression" dxfId="225" priority="492">
      <formula>ISEVEN(MONTH($C2210))</formula>
    </cfRule>
  </conditionalFormatting>
  <conditionalFormatting sqref="L2208">
    <cfRule type="expression" dxfId="224" priority="477">
      <formula>ISODD(MONTH($C2200))</formula>
    </cfRule>
    <cfRule type="expression" dxfId="223" priority="478">
      <formula>ISEVEN(MONTH($C2200))</formula>
    </cfRule>
  </conditionalFormatting>
  <conditionalFormatting sqref="L2209:L2212">
    <cfRule type="expression" dxfId="222" priority="509">
      <formula>ISODD(MONTH($C2199))</formula>
    </cfRule>
    <cfRule type="expression" dxfId="221" priority="510">
      <formula>ISEVEN(MONTH($C2199))</formula>
    </cfRule>
  </conditionalFormatting>
  <conditionalFormatting sqref="L2211:L2212">
    <cfRule type="expression" dxfId="220" priority="521">
      <formula>ISODD(MONTH($C2215))</formula>
    </cfRule>
    <cfRule type="expression" dxfId="219" priority="522">
      <formula>ISEVEN(MONTH($C2215))</formula>
    </cfRule>
  </conditionalFormatting>
  <conditionalFormatting sqref="L2219">
    <cfRule type="expression" dxfId="218" priority="479">
      <formula>ISODD(MONTH($C2209))</formula>
    </cfRule>
    <cfRule type="expression" dxfId="217" priority="480">
      <formula>ISEVEN(MONTH($C2209))</formula>
    </cfRule>
  </conditionalFormatting>
  <conditionalFormatting sqref="L2221">
    <cfRule type="expression" dxfId="216" priority="527">
      <formula>ISODD(MONTH($C2205))</formula>
    </cfRule>
    <cfRule type="expression" dxfId="215" priority="528">
      <formula>ISEVEN(MONTH($C2205))</formula>
    </cfRule>
  </conditionalFormatting>
  <conditionalFormatting sqref="L2232:L2252">
    <cfRule type="expression" dxfId="214" priority="469">
      <formula>ISODD(MONTH($C2229))</formula>
    </cfRule>
    <cfRule type="expression" dxfId="213" priority="470">
      <formula>ISEVEN(MONTH($C2229))</formula>
    </cfRule>
  </conditionalFormatting>
  <conditionalFormatting sqref="L2253:L2256">
    <cfRule type="expression" dxfId="212" priority="405">
      <formula>ISODD(MONTH($C2253))</formula>
    </cfRule>
    <cfRule type="expression" dxfId="211" priority="406">
      <formula>ISEVEN(MONTH($C2253))</formula>
    </cfRule>
  </conditionalFormatting>
  <conditionalFormatting sqref="L2257">
    <cfRule type="expression" dxfId="210" priority="465">
      <formula>ISODD(MONTH($C2256))</formula>
    </cfRule>
    <cfRule type="expression" dxfId="209" priority="466">
      <formula>ISEVEN(MONTH($C2256))</formula>
    </cfRule>
  </conditionalFormatting>
  <conditionalFormatting sqref="L2258">
    <cfRule type="expression" dxfId="208" priority="449">
      <formula>ISODD(MONTH($C2260))</formula>
    </cfRule>
    <cfRule type="expression" dxfId="207" priority="450">
      <formula>ISEVEN(MONTH($C2260))</formula>
    </cfRule>
  </conditionalFormatting>
  <conditionalFormatting sqref="L2259:L2260">
    <cfRule type="expression" dxfId="206" priority="457">
      <formula>ISODD(MONTH($C2259))</formula>
    </cfRule>
    <cfRule type="expression" dxfId="205" priority="458">
      <formula>ISEVEN(MONTH($C2259))</formula>
    </cfRule>
  </conditionalFormatting>
  <conditionalFormatting sqref="L2261:L2263 L2275:L2280 L2282:L2283">
    <cfRule type="expression" dxfId="204" priority="439">
      <formula>ISODD(MONTH($C2257))</formula>
    </cfRule>
    <cfRule type="expression" dxfId="203" priority="440">
      <formula>ISEVEN(MONTH($C2257))</formula>
    </cfRule>
  </conditionalFormatting>
  <conditionalFormatting sqref="L2264">
    <cfRule type="expression" dxfId="202" priority="431">
      <formula>ISODD(MONTH($C2258))</formula>
    </cfRule>
    <cfRule type="expression" dxfId="201" priority="432">
      <formula>ISEVEN(MONTH($C2258))</formula>
    </cfRule>
  </conditionalFormatting>
  <conditionalFormatting sqref="L2265:L2266">
    <cfRule type="expression" dxfId="200" priority="419">
      <formula>ISODD(MONTH($C2257))</formula>
    </cfRule>
    <cfRule type="expression" dxfId="199" priority="420">
      <formula>ISEVEN(MONTH($C2257))</formula>
    </cfRule>
  </conditionalFormatting>
  <conditionalFormatting sqref="L2267">
    <cfRule type="expression" dxfId="198" priority="445">
      <formula>ISODD(MONTH($C2270))</formula>
    </cfRule>
    <cfRule type="expression" dxfId="197" priority="446">
      <formula>ISEVEN(MONTH($C2270))</formula>
    </cfRule>
  </conditionalFormatting>
  <conditionalFormatting sqref="L2268">
    <cfRule type="expression" dxfId="196" priority="427">
      <formula>ISODD(MONTH($C2262))</formula>
    </cfRule>
    <cfRule type="expression" dxfId="195" priority="428">
      <formula>ISEVEN(MONTH($C2262))</formula>
    </cfRule>
  </conditionalFormatting>
  <conditionalFormatting sqref="L2269">
    <cfRule type="expression" dxfId="194" priority="423">
      <formula>ISODD(MONTH($C2272))</formula>
    </cfRule>
    <cfRule type="expression" dxfId="193" priority="424">
      <formula>ISEVEN(MONTH($C2272))</formula>
    </cfRule>
  </conditionalFormatting>
  <conditionalFormatting sqref="L2270">
    <cfRule type="expression" dxfId="192" priority="409">
      <formula>ISODD(MONTH($C2262))</formula>
    </cfRule>
    <cfRule type="expression" dxfId="191" priority="410">
      <formula>ISEVEN(MONTH($C2262))</formula>
    </cfRule>
  </conditionalFormatting>
  <conditionalFormatting sqref="L2271:L2274">
    <cfRule type="expression" dxfId="190" priority="441">
      <formula>ISODD(MONTH($C2261))</formula>
    </cfRule>
    <cfRule type="expression" dxfId="189" priority="442">
      <formula>ISEVEN(MONTH($C2261))</formula>
    </cfRule>
  </conditionalFormatting>
  <conditionalFormatting sqref="L2273:L2274">
    <cfRule type="expression" dxfId="188" priority="453">
      <formula>ISODD(MONTH($C2277))</formula>
    </cfRule>
    <cfRule type="expression" dxfId="187" priority="454">
      <formula>ISEVEN(MONTH($C2277))</formula>
    </cfRule>
  </conditionalFormatting>
  <conditionalFormatting sqref="L2281">
    <cfRule type="expression" dxfId="186" priority="411">
      <formula>ISODD(MONTH($C2271))</formula>
    </cfRule>
    <cfRule type="expression" dxfId="185" priority="412">
      <formula>ISEVEN(MONTH($C2271))</formula>
    </cfRule>
  </conditionalFormatting>
  <conditionalFormatting sqref="L2283">
    <cfRule type="expression" dxfId="184" priority="459">
      <formula>ISODD(MONTH($C2267))</formula>
    </cfRule>
    <cfRule type="expression" dxfId="183" priority="460">
      <formula>ISEVEN(MONTH($C2267))</formula>
    </cfRule>
  </conditionalFormatting>
  <conditionalFormatting sqref="L2285:L2290">
    <cfRule type="expression" dxfId="182" priority="41">
      <formula>ISODD(MONTH($C2284))</formula>
    </cfRule>
    <cfRule type="expression" dxfId="181" priority="42">
      <formula>ISEVEN(MONTH($C2284))</formula>
    </cfRule>
  </conditionalFormatting>
  <conditionalFormatting sqref="L2291:L2312">
    <cfRule type="expression" dxfId="180" priority="37">
      <formula>ISODD(MONTH($C2288))</formula>
    </cfRule>
    <cfRule type="expression" dxfId="179" priority="38">
      <formula>ISEVEN(MONTH($C2288))</formula>
    </cfRule>
  </conditionalFormatting>
  <conditionalFormatting sqref="L2313:L2315">
    <cfRule type="expression" dxfId="178" priority="301">
      <formula>ISODD(MONTH($C2313))</formula>
    </cfRule>
    <cfRule type="expression" dxfId="177" priority="302">
      <formula>ISEVEN(MONTH($C2313))</formula>
    </cfRule>
  </conditionalFormatting>
  <conditionalFormatting sqref="L2316">
    <cfRule type="expression" dxfId="176" priority="361">
      <formula>ISODD(MONTH($C2315))</formula>
    </cfRule>
    <cfRule type="expression" dxfId="175" priority="362">
      <formula>ISEVEN(MONTH($C2315))</formula>
    </cfRule>
  </conditionalFormatting>
  <conditionalFormatting sqref="L2317">
    <cfRule type="expression" dxfId="174" priority="345">
      <formula>ISODD(MONTH($C2319))</formula>
    </cfRule>
    <cfRule type="expression" dxfId="173" priority="346">
      <formula>ISEVEN(MONTH($C2319))</formula>
    </cfRule>
  </conditionalFormatting>
  <conditionalFormatting sqref="L2318:L2319">
    <cfRule type="expression" dxfId="172" priority="353">
      <formula>ISODD(MONTH($C2318))</formula>
    </cfRule>
    <cfRule type="expression" dxfId="171" priority="354">
      <formula>ISEVEN(MONTH($C2318))</formula>
    </cfRule>
  </conditionalFormatting>
  <conditionalFormatting sqref="L2320:L2322 L2334:L2339 L2341:L2342">
    <cfRule type="expression" dxfId="170" priority="335">
      <formula>ISODD(MONTH($C2316))</formula>
    </cfRule>
    <cfRule type="expression" dxfId="169" priority="336">
      <formula>ISEVEN(MONTH($C2316))</formula>
    </cfRule>
  </conditionalFormatting>
  <conditionalFormatting sqref="L2323">
    <cfRule type="expression" dxfId="168" priority="327">
      <formula>ISODD(MONTH($C2317))</formula>
    </cfRule>
    <cfRule type="expression" dxfId="167" priority="328">
      <formula>ISEVEN(MONTH($C2317))</formula>
    </cfRule>
  </conditionalFormatting>
  <conditionalFormatting sqref="L2324:L2325">
    <cfRule type="expression" dxfId="166" priority="315">
      <formula>ISODD(MONTH($C2316))</formula>
    </cfRule>
    <cfRule type="expression" dxfId="165" priority="316">
      <formula>ISEVEN(MONTH($C2316))</formula>
    </cfRule>
  </conditionalFormatting>
  <conditionalFormatting sqref="L2326">
    <cfRule type="expression" dxfId="164" priority="341">
      <formula>ISODD(MONTH($C2329))</formula>
    </cfRule>
    <cfRule type="expression" dxfId="163" priority="342">
      <formula>ISEVEN(MONTH($C2329))</formula>
    </cfRule>
  </conditionalFormatting>
  <conditionalFormatting sqref="L2327">
    <cfRule type="expression" dxfId="162" priority="323">
      <formula>ISODD(MONTH($C2321))</formula>
    </cfRule>
    <cfRule type="expression" dxfId="161" priority="324">
      <formula>ISEVEN(MONTH($C2321))</formula>
    </cfRule>
  </conditionalFormatting>
  <conditionalFormatting sqref="L2328">
    <cfRule type="expression" dxfId="160" priority="319">
      <formula>ISODD(MONTH($C2331))</formula>
    </cfRule>
    <cfRule type="expression" dxfId="159" priority="320">
      <formula>ISEVEN(MONTH($C2331))</formula>
    </cfRule>
  </conditionalFormatting>
  <conditionalFormatting sqref="L2329">
    <cfRule type="expression" dxfId="158" priority="305">
      <formula>ISODD(MONTH($C2321))</formula>
    </cfRule>
    <cfRule type="expression" dxfId="157" priority="306">
      <formula>ISEVEN(MONTH($C2321))</formula>
    </cfRule>
  </conditionalFormatting>
  <conditionalFormatting sqref="L2330:L2333">
    <cfRule type="expression" dxfId="156" priority="337">
      <formula>ISODD(MONTH($C2320))</formula>
    </cfRule>
    <cfRule type="expression" dxfId="155" priority="338">
      <formula>ISEVEN(MONTH($C2320))</formula>
    </cfRule>
  </conditionalFormatting>
  <conditionalFormatting sqref="L2332:L2333">
    <cfRule type="expression" dxfId="154" priority="349">
      <formula>ISODD(MONTH($C2336))</formula>
    </cfRule>
    <cfRule type="expression" dxfId="153" priority="350">
      <formula>ISEVEN(MONTH($C2336))</formula>
    </cfRule>
  </conditionalFormatting>
  <conditionalFormatting sqref="L2340">
    <cfRule type="expression" dxfId="152" priority="307">
      <formula>ISODD(MONTH($C2330))</formula>
    </cfRule>
    <cfRule type="expression" dxfId="151" priority="308">
      <formula>ISEVEN(MONTH($C2330))</formula>
    </cfRule>
  </conditionalFormatting>
  <conditionalFormatting sqref="L2342">
    <cfRule type="expression" dxfId="150" priority="355">
      <formula>ISODD(MONTH($C2326))</formula>
    </cfRule>
    <cfRule type="expression" dxfId="149" priority="356">
      <formula>ISEVEN(MONTH($C2326))</formula>
    </cfRule>
  </conditionalFormatting>
  <conditionalFormatting sqref="L2346:L2351">
    <cfRule type="expression" dxfId="148" priority="33">
      <formula>ISODD(MONTH($C2345))</formula>
    </cfRule>
    <cfRule type="expression" dxfId="147" priority="34">
      <formula>ISEVEN(MONTH($C2345))</formula>
    </cfRule>
  </conditionalFormatting>
  <conditionalFormatting sqref="L2352:L2372">
    <cfRule type="expression" dxfId="146" priority="29">
      <formula>ISODD(MONTH($C2349))</formula>
    </cfRule>
    <cfRule type="expression" dxfId="145" priority="30">
      <formula>ISEVEN(MONTH($C2349))</formula>
    </cfRule>
  </conditionalFormatting>
  <conditionalFormatting sqref="L2373:L2376">
    <cfRule type="expression" dxfId="144" priority="237">
      <formula>ISODD(MONTH($C2373))</formula>
    </cfRule>
    <cfRule type="expression" dxfId="143" priority="238">
      <formula>ISEVEN(MONTH($C2373))</formula>
    </cfRule>
  </conditionalFormatting>
  <conditionalFormatting sqref="L2377">
    <cfRule type="expression" dxfId="142" priority="297">
      <formula>ISODD(MONTH($C2376))</formula>
    </cfRule>
    <cfRule type="expression" dxfId="141" priority="298">
      <formula>ISEVEN(MONTH($C2376))</formula>
    </cfRule>
  </conditionalFormatting>
  <conditionalFormatting sqref="L2378">
    <cfRule type="expression" dxfId="140" priority="281">
      <formula>ISODD(MONTH($C2380))</formula>
    </cfRule>
    <cfRule type="expression" dxfId="139" priority="282">
      <formula>ISEVEN(MONTH($C2380))</formula>
    </cfRule>
  </conditionalFormatting>
  <conditionalFormatting sqref="L2379:L2380">
    <cfRule type="expression" dxfId="138" priority="289">
      <formula>ISODD(MONTH($C2379))</formula>
    </cfRule>
    <cfRule type="expression" dxfId="137" priority="290">
      <formula>ISEVEN(MONTH($C2379))</formula>
    </cfRule>
  </conditionalFormatting>
  <conditionalFormatting sqref="L2381:L2383 L2395:L2400 L2402:L2403">
    <cfRule type="expression" dxfId="136" priority="271">
      <formula>ISODD(MONTH($C2377))</formula>
    </cfRule>
    <cfRule type="expression" dxfId="135" priority="272">
      <formula>ISEVEN(MONTH($C2377))</formula>
    </cfRule>
  </conditionalFormatting>
  <conditionalFormatting sqref="L2384">
    <cfRule type="expression" dxfId="134" priority="263">
      <formula>ISODD(MONTH($C2378))</formula>
    </cfRule>
    <cfRule type="expression" dxfId="133" priority="264">
      <formula>ISEVEN(MONTH($C2378))</formula>
    </cfRule>
  </conditionalFormatting>
  <conditionalFormatting sqref="L2385:L2386">
    <cfRule type="expression" dxfId="132" priority="251">
      <formula>ISODD(MONTH($C2377))</formula>
    </cfRule>
    <cfRule type="expression" dxfId="131" priority="252">
      <formula>ISEVEN(MONTH($C2377))</formula>
    </cfRule>
  </conditionalFormatting>
  <conditionalFormatting sqref="L2387">
    <cfRule type="expression" dxfId="130" priority="277">
      <formula>ISODD(MONTH($C2390))</formula>
    </cfRule>
    <cfRule type="expression" dxfId="129" priority="278">
      <formula>ISEVEN(MONTH($C2390))</formula>
    </cfRule>
  </conditionalFormatting>
  <conditionalFormatting sqref="L2388">
    <cfRule type="expression" dxfId="128" priority="259">
      <formula>ISODD(MONTH($C2382))</formula>
    </cfRule>
    <cfRule type="expression" dxfId="127" priority="260">
      <formula>ISEVEN(MONTH($C2382))</formula>
    </cfRule>
  </conditionalFormatting>
  <conditionalFormatting sqref="L2389">
    <cfRule type="expression" dxfId="126" priority="255">
      <formula>ISODD(MONTH($C2392))</formula>
    </cfRule>
    <cfRule type="expression" dxfId="125" priority="256">
      <formula>ISEVEN(MONTH($C2392))</formula>
    </cfRule>
  </conditionalFormatting>
  <conditionalFormatting sqref="L2390">
    <cfRule type="expression" dxfId="124" priority="241">
      <formula>ISODD(MONTH($C2382))</formula>
    </cfRule>
    <cfRule type="expression" dxfId="123" priority="242">
      <formula>ISEVEN(MONTH($C2382))</formula>
    </cfRule>
  </conditionalFormatting>
  <conditionalFormatting sqref="L2391:L2394">
    <cfRule type="expression" dxfId="122" priority="273">
      <formula>ISODD(MONTH($C2381))</formula>
    </cfRule>
    <cfRule type="expression" dxfId="121" priority="274">
      <formula>ISEVEN(MONTH($C2381))</formula>
    </cfRule>
  </conditionalFormatting>
  <conditionalFormatting sqref="L2393:L2394">
    <cfRule type="expression" dxfId="120" priority="285">
      <formula>ISODD(MONTH($C2397))</formula>
    </cfRule>
    <cfRule type="expression" dxfId="119" priority="286">
      <formula>ISEVEN(MONTH($C2397))</formula>
    </cfRule>
  </conditionalFormatting>
  <conditionalFormatting sqref="L2401">
    <cfRule type="expression" dxfId="118" priority="243">
      <formula>ISODD(MONTH($C2391))</formula>
    </cfRule>
    <cfRule type="expression" dxfId="117" priority="244">
      <formula>ISEVEN(MONTH($C2391))</formula>
    </cfRule>
  </conditionalFormatting>
  <conditionalFormatting sqref="L2403">
    <cfRule type="expression" dxfId="116" priority="291">
      <formula>ISODD(MONTH($C2387))</formula>
    </cfRule>
    <cfRule type="expression" dxfId="115" priority="292">
      <formula>ISEVEN(MONTH($C2387))</formula>
    </cfRule>
  </conditionalFormatting>
  <conditionalFormatting sqref="L2407:L2412">
    <cfRule type="expression" dxfId="114" priority="25">
      <formula>ISODD(MONTH($C2406))</formula>
    </cfRule>
    <cfRule type="expression" dxfId="113" priority="26">
      <formula>ISEVEN(MONTH($C2406))</formula>
    </cfRule>
  </conditionalFormatting>
  <conditionalFormatting sqref="L2413:L2433">
    <cfRule type="expression" dxfId="112" priority="21">
      <formula>ISODD(MONTH($C2410))</formula>
    </cfRule>
    <cfRule type="expression" dxfId="111" priority="22">
      <formula>ISEVEN(MONTH($C2410))</formula>
    </cfRule>
  </conditionalFormatting>
  <conditionalFormatting sqref="L2434:L2437">
    <cfRule type="expression" dxfId="110" priority="173">
      <formula>ISODD(MONTH($C2434))</formula>
    </cfRule>
    <cfRule type="expression" dxfId="109" priority="174">
      <formula>ISEVEN(MONTH($C2434))</formula>
    </cfRule>
  </conditionalFormatting>
  <conditionalFormatting sqref="L2438">
    <cfRule type="expression" dxfId="108" priority="233">
      <formula>ISODD(MONTH($C2437))</formula>
    </cfRule>
    <cfRule type="expression" dxfId="107" priority="234">
      <formula>ISEVEN(MONTH($C2437))</formula>
    </cfRule>
  </conditionalFormatting>
  <conditionalFormatting sqref="L2439">
    <cfRule type="expression" dxfId="106" priority="217">
      <formula>ISODD(MONTH($C2441))</formula>
    </cfRule>
    <cfRule type="expression" dxfId="105" priority="218">
      <formula>ISEVEN(MONTH($C2441))</formula>
    </cfRule>
  </conditionalFormatting>
  <conditionalFormatting sqref="L2440:L2441">
    <cfRule type="expression" dxfId="104" priority="225">
      <formula>ISODD(MONTH($C2440))</formula>
    </cfRule>
    <cfRule type="expression" dxfId="103" priority="226">
      <formula>ISEVEN(MONTH($C2440))</formula>
    </cfRule>
  </conditionalFormatting>
  <conditionalFormatting sqref="L2442:L2444 L2456:L2461 L2463:L2464">
    <cfRule type="expression" dxfId="102" priority="207">
      <formula>ISODD(MONTH($C2438))</formula>
    </cfRule>
    <cfRule type="expression" dxfId="101" priority="208">
      <formula>ISEVEN(MONTH($C2438))</formula>
    </cfRule>
  </conditionalFormatting>
  <conditionalFormatting sqref="L2445">
    <cfRule type="expression" dxfId="100" priority="199">
      <formula>ISODD(MONTH($C2439))</formula>
    </cfRule>
    <cfRule type="expression" dxfId="99" priority="200">
      <formula>ISEVEN(MONTH($C2439))</formula>
    </cfRule>
  </conditionalFormatting>
  <conditionalFormatting sqref="L2446:L2447">
    <cfRule type="expression" dxfId="98" priority="187">
      <formula>ISODD(MONTH($C2438))</formula>
    </cfRule>
    <cfRule type="expression" dxfId="97" priority="188">
      <formula>ISEVEN(MONTH($C2438))</formula>
    </cfRule>
  </conditionalFormatting>
  <conditionalFormatting sqref="L2448">
    <cfRule type="expression" dxfId="96" priority="213">
      <formula>ISODD(MONTH($C2451))</formula>
    </cfRule>
    <cfRule type="expression" dxfId="95" priority="214">
      <formula>ISEVEN(MONTH($C2451))</formula>
    </cfRule>
  </conditionalFormatting>
  <conditionalFormatting sqref="L2449">
    <cfRule type="expression" dxfId="94" priority="195">
      <formula>ISODD(MONTH($C2443))</formula>
    </cfRule>
    <cfRule type="expression" dxfId="93" priority="196">
      <formula>ISEVEN(MONTH($C2443))</formula>
    </cfRule>
  </conditionalFormatting>
  <conditionalFormatting sqref="L2450">
    <cfRule type="expression" dxfId="92" priority="191">
      <formula>ISODD(MONTH($C2453))</formula>
    </cfRule>
    <cfRule type="expression" dxfId="91" priority="192">
      <formula>ISEVEN(MONTH($C2453))</formula>
    </cfRule>
  </conditionalFormatting>
  <conditionalFormatting sqref="L2451">
    <cfRule type="expression" dxfId="90" priority="177">
      <formula>ISODD(MONTH($C2443))</formula>
    </cfRule>
    <cfRule type="expression" dxfId="89" priority="178">
      <formula>ISEVEN(MONTH($C2443))</formula>
    </cfRule>
  </conditionalFormatting>
  <conditionalFormatting sqref="L2452:L2455">
    <cfRule type="expression" dxfId="88" priority="209">
      <formula>ISODD(MONTH($C2442))</formula>
    </cfRule>
    <cfRule type="expression" dxfId="87" priority="210">
      <formula>ISEVEN(MONTH($C2442))</formula>
    </cfRule>
  </conditionalFormatting>
  <conditionalFormatting sqref="L2454:L2455">
    <cfRule type="expression" dxfId="86" priority="221">
      <formula>ISODD(MONTH($C2458))</formula>
    </cfRule>
    <cfRule type="expression" dxfId="85" priority="222">
      <formula>ISEVEN(MONTH($C2458))</formula>
    </cfRule>
  </conditionalFormatting>
  <conditionalFormatting sqref="L2462">
    <cfRule type="expression" dxfId="84" priority="179">
      <formula>ISODD(MONTH($C2452))</formula>
    </cfRule>
    <cfRule type="expression" dxfId="83" priority="180">
      <formula>ISEVEN(MONTH($C2452))</formula>
    </cfRule>
  </conditionalFormatting>
  <conditionalFormatting sqref="L2464">
    <cfRule type="expression" dxfId="82" priority="227">
      <formula>ISODD(MONTH($C2448))</formula>
    </cfRule>
    <cfRule type="expression" dxfId="81" priority="228">
      <formula>ISEVEN(MONTH($C2448))</formula>
    </cfRule>
  </conditionalFormatting>
  <conditionalFormatting sqref="L2469:L2474">
    <cfRule type="expression" dxfId="80" priority="17">
      <formula>ISODD(MONTH($C2468))</formula>
    </cfRule>
    <cfRule type="expression" dxfId="79" priority="18">
      <formula>ISEVEN(MONTH($C2468))</formula>
    </cfRule>
  </conditionalFormatting>
  <conditionalFormatting sqref="L2475:L2495">
    <cfRule type="expression" dxfId="78" priority="13">
      <formula>ISODD(MONTH($C2472))</formula>
    </cfRule>
    <cfRule type="expression" dxfId="77" priority="14">
      <formula>ISEVEN(MONTH($C2472))</formula>
    </cfRule>
  </conditionalFormatting>
  <conditionalFormatting sqref="L2496:L2498">
    <cfRule type="expression" dxfId="76" priority="109">
      <formula>ISODD(MONTH($C2496))</formula>
    </cfRule>
    <cfRule type="expression" dxfId="75" priority="110">
      <formula>ISEVEN(MONTH($C2496))</formula>
    </cfRule>
  </conditionalFormatting>
  <conditionalFormatting sqref="L2499">
    <cfRule type="expression" dxfId="74" priority="169">
      <formula>ISODD(MONTH($C2498))</formula>
    </cfRule>
    <cfRule type="expression" dxfId="73" priority="170">
      <formula>ISEVEN(MONTH($C2498))</formula>
    </cfRule>
  </conditionalFormatting>
  <conditionalFormatting sqref="L2500">
    <cfRule type="expression" dxfId="72" priority="153">
      <formula>ISODD(MONTH($C2502))</formula>
    </cfRule>
    <cfRule type="expression" dxfId="71" priority="154">
      <formula>ISEVEN(MONTH($C2502))</formula>
    </cfRule>
  </conditionalFormatting>
  <conditionalFormatting sqref="L2501:L2502">
    <cfRule type="expression" dxfId="70" priority="161">
      <formula>ISODD(MONTH($C2501))</formula>
    </cfRule>
    <cfRule type="expression" dxfId="69" priority="162">
      <formula>ISEVEN(MONTH($C2501))</formula>
    </cfRule>
  </conditionalFormatting>
  <conditionalFormatting sqref="L2503:L2505 L2517:L2522 L2524:L2525">
    <cfRule type="expression" dxfId="68" priority="143">
      <formula>ISODD(MONTH($C2499))</formula>
    </cfRule>
    <cfRule type="expression" dxfId="67" priority="144">
      <formula>ISEVEN(MONTH($C2499))</formula>
    </cfRule>
  </conditionalFormatting>
  <conditionalFormatting sqref="L2506">
    <cfRule type="expression" dxfId="66" priority="135">
      <formula>ISODD(MONTH($C2500))</formula>
    </cfRule>
    <cfRule type="expression" dxfId="65" priority="136">
      <formula>ISEVEN(MONTH($C2500))</formula>
    </cfRule>
  </conditionalFormatting>
  <conditionalFormatting sqref="L2507:L2508">
    <cfRule type="expression" dxfId="64" priority="123">
      <formula>ISODD(MONTH($C2499))</formula>
    </cfRule>
    <cfRule type="expression" dxfId="63" priority="124">
      <formula>ISEVEN(MONTH($C2499))</formula>
    </cfRule>
  </conditionalFormatting>
  <conditionalFormatting sqref="L2509">
    <cfRule type="expression" dxfId="62" priority="149">
      <formula>ISODD(MONTH($C2512))</formula>
    </cfRule>
    <cfRule type="expression" dxfId="61" priority="150">
      <formula>ISEVEN(MONTH($C2512))</formula>
    </cfRule>
  </conditionalFormatting>
  <conditionalFormatting sqref="L2510">
    <cfRule type="expression" dxfId="60" priority="131">
      <formula>ISODD(MONTH($C2504))</formula>
    </cfRule>
    <cfRule type="expression" dxfId="59" priority="132">
      <formula>ISEVEN(MONTH($C2504))</formula>
    </cfRule>
  </conditionalFormatting>
  <conditionalFormatting sqref="L2511">
    <cfRule type="expression" dxfId="58" priority="127">
      <formula>ISODD(MONTH($C2514))</formula>
    </cfRule>
    <cfRule type="expression" dxfId="57" priority="128">
      <formula>ISEVEN(MONTH($C2514))</formula>
    </cfRule>
  </conditionalFormatting>
  <conditionalFormatting sqref="L2512">
    <cfRule type="expression" dxfId="56" priority="113">
      <formula>ISODD(MONTH($C2504))</formula>
    </cfRule>
    <cfRule type="expression" dxfId="55" priority="114">
      <formula>ISEVEN(MONTH($C2504))</formula>
    </cfRule>
  </conditionalFormatting>
  <conditionalFormatting sqref="L2513:L2516">
    <cfRule type="expression" dxfId="54" priority="145">
      <formula>ISODD(MONTH($C2503))</formula>
    </cfRule>
    <cfRule type="expression" dxfId="53" priority="146">
      <formula>ISEVEN(MONTH($C2503))</formula>
    </cfRule>
  </conditionalFormatting>
  <conditionalFormatting sqref="L2515:L2516">
    <cfRule type="expression" dxfId="52" priority="157">
      <formula>ISODD(MONTH($C2519))</formula>
    </cfRule>
    <cfRule type="expression" dxfId="51" priority="158">
      <formula>ISEVEN(MONTH($C2519))</formula>
    </cfRule>
  </conditionalFormatting>
  <conditionalFormatting sqref="L2523">
    <cfRule type="expression" dxfId="50" priority="115">
      <formula>ISODD(MONTH($C2513))</formula>
    </cfRule>
    <cfRule type="expression" dxfId="49" priority="116">
      <formula>ISEVEN(MONTH($C2513))</formula>
    </cfRule>
  </conditionalFormatting>
  <conditionalFormatting sqref="L2525">
    <cfRule type="expression" dxfId="48" priority="163">
      <formula>ISODD(MONTH($C2509))</formula>
    </cfRule>
    <cfRule type="expression" dxfId="47" priority="164">
      <formula>ISEVEN(MONTH($C2509))</formula>
    </cfRule>
  </conditionalFormatting>
  <conditionalFormatting sqref="L2530:L2535">
    <cfRule type="expression" dxfId="46" priority="9">
      <formula>ISODD(MONTH($C2529))</formula>
    </cfRule>
    <cfRule type="expression" dxfId="45" priority="10">
      <formula>ISEVEN(MONTH($C2529))</formula>
    </cfRule>
  </conditionalFormatting>
  <conditionalFormatting sqref="L2536:L2556">
    <cfRule type="expression" dxfId="44" priority="5">
      <formula>ISODD(MONTH($C2533))</formula>
    </cfRule>
    <cfRule type="expression" dxfId="43" priority="6">
      <formula>ISEVEN(MONTH($C2533))</formula>
    </cfRule>
  </conditionalFormatting>
  <conditionalFormatting sqref="L2557:L2559">
    <cfRule type="expression" dxfId="42" priority="45">
      <formula>ISODD(MONTH($C2557))</formula>
    </cfRule>
    <cfRule type="expression" dxfId="41" priority="46">
      <formula>ISEVEN(MONTH($C2557))</formula>
    </cfRule>
  </conditionalFormatting>
  <conditionalFormatting sqref="L2560">
    <cfRule type="expression" dxfId="40" priority="105">
      <formula>ISODD(MONTH($C2559))</formula>
    </cfRule>
    <cfRule type="expression" dxfId="39" priority="106">
      <formula>ISEVEN(MONTH($C2559))</formula>
    </cfRule>
  </conditionalFormatting>
  <conditionalFormatting sqref="L2561">
    <cfRule type="expression" dxfId="38" priority="89">
      <formula>ISODD(MONTH($C2563))</formula>
    </cfRule>
    <cfRule type="expression" dxfId="37" priority="90">
      <formula>ISEVEN(MONTH($C2563))</formula>
    </cfRule>
  </conditionalFormatting>
  <conditionalFormatting sqref="L2562:L2563">
    <cfRule type="expression" dxfId="36" priority="97">
      <formula>ISODD(MONTH($C2562))</formula>
    </cfRule>
    <cfRule type="expression" dxfId="35" priority="98">
      <formula>ISEVEN(MONTH($C2562))</formula>
    </cfRule>
  </conditionalFormatting>
  <conditionalFormatting sqref="L2564:L2566 L2578:L2583 L2585:L2586">
    <cfRule type="expression" dxfId="34" priority="79">
      <formula>ISODD(MONTH($C2560))</formula>
    </cfRule>
    <cfRule type="expression" dxfId="33" priority="80">
      <formula>ISEVEN(MONTH($C2560))</formula>
    </cfRule>
  </conditionalFormatting>
  <conditionalFormatting sqref="L2567">
    <cfRule type="expression" dxfId="32" priority="71">
      <formula>ISODD(MONTH($C2561))</formula>
    </cfRule>
    <cfRule type="expression" dxfId="31" priority="72">
      <formula>ISEVEN(MONTH($C2561))</formula>
    </cfRule>
  </conditionalFormatting>
  <conditionalFormatting sqref="L2568:L2569">
    <cfRule type="expression" dxfId="30" priority="59">
      <formula>ISODD(MONTH($C2560))</formula>
    </cfRule>
    <cfRule type="expression" dxfId="29" priority="60">
      <formula>ISEVEN(MONTH($C2560))</formula>
    </cfRule>
  </conditionalFormatting>
  <conditionalFormatting sqref="L2570">
    <cfRule type="expression" dxfId="28" priority="85">
      <formula>ISODD(MONTH($C2573))</formula>
    </cfRule>
    <cfRule type="expression" dxfId="27" priority="86">
      <formula>ISEVEN(MONTH($C2573))</formula>
    </cfRule>
  </conditionalFormatting>
  <conditionalFormatting sqref="L2571">
    <cfRule type="expression" dxfId="26" priority="67">
      <formula>ISODD(MONTH($C2565))</formula>
    </cfRule>
    <cfRule type="expression" dxfId="25" priority="68">
      <formula>ISEVEN(MONTH($C2565))</formula>
    </cfRule>
  </conditionalFormatting>
  <conditionalFormatting sqref="L2572">
    <cfRule type="expression" dxfId="24" priority="63">
      <formula>ISODD(MONTH($C2575))</formula>
    </cfRule>
    <cfRule type="expression" dxfId="23" priority="64">
      <formula>ISEVEN(MONTH($C2575))</formula>
    </cfRule>
  </conditionalFormatting>
  <conditionalFormatting sqref="L2573">
    <cfRule type="expression" dxfId="22" priority="49">
      <formula>ISODD(MONTH($C2565))</formula>
    </cfRule>
    <cfRule type="expression" dxfId="21" priority="50">
      <formula>ISEVEN(MONTH($C2565))</formula>
    </cfRule>
  </conditionalFormatting>
  <conditionalFormatting sqref="L2574:L2577">
    <cfRule type="expression" dxfId="20" priority="81">
      <formula>ISODD(MONTH($C2564))</formula>
    </cfRule>
    <cfRule type="expression" dxfId="19" priority="82">
      <formula>ISEVEN(MONTH($C2564))</formula>
    </cfRule>
  </conditionalFormatting>
  <conditionalFormatting sqref="L2576:L2577">
    <cfRule type="expression" dxfId="18" priority="93">
      <formula>ISODD(MONTH($C2580))</formula>
    </cfRule>
    <cfRule type="expression" dxfId="17" priority="94">
      <formula>ISEVEN(MONTH($C2580))</formula>
    </cfRule>
  </conditionalFormatting>
  <conditionalFormatting sqref="L2584">
    <cfRule type="expression" dxfId="16" priority="51">
      <formula>ISODD(MONTH($C2574))</formula>
    </cfRule>
    <cfRule type="expression" dxfId="15" priority="52">
      <formula>ISEVEN(MONTH($C2574))</formula>
    </cfRule>
  </conditionalFormatting>
  <conditionalFormatting sqref="L2586">
    <cfRule type="expression" dxfId="14" priority="99">
      <formula>ISODD(MONTH($C2570))</formula>
    </cfRule>
    <cfRule type="expression" dxfId="13" priority="100">
      <formula>ISEVEN(MONTH($C2570))</formula>
    </cfRule>
  </conditionalFormatting>
  <hyperlinks>
    <hyperlink ref="J95" r:id="rId1" display="https://apps.newyorkfed.org/markets/autorates/fed%20funds" xr:uid="{A2CB38D6-B705-454A-9EA8-50B561D235F2}"/>
    <hyperlink ref="J288" r:id="rId2" display="https://apps.newyorkfed.org/markets/autorates/fed%20funds" xr:uid="{13340023-6611-644C-BE9D-6A38087CCA8E}"/>
    <hyperlink ref="O2422" r:id="rId3" xr:uid="{07A42119-6220-AB40-9392-507096F57B7B}"/>
    <hyperlink ref="O2421" r:id="rId4" xr:uid="{2E7C4D62-29CF-F742-8AEB-6639DAEDFA2C}"/>
    <hyperlink ref="O2426" r:id="rId5" xr:uid="{BDA5DB5F-5DB3-514C-AC10-F238607F3936}"/>
    <hyperlink ref="J410" r:id="rId6" display="https://apps.newyorkfed.org/markets/autorates/fed%20funds" xr:uid="{49934C15-B3A3-DC40-804B-923394F2B35B}"/>
    <hyperlink ref="O2420" r:id="rId7" display="https://www.newyorkfed.org/markets/reference-rates/sofr" xr:uid="{F3539AA1-2BC2-4700-81BD-237E3AF03D65}"/>
    <hyperlink ref="O2419" r:id="rId8" display="https://www.newyorkfed.org/markets/reference-rates/effr" xr:uid="{3740FF81-FA7C-4F0A-ACFE-AB776D28208A}"/>
  </hyperlinks>
  <pageMargins left="0.7" right="0.7" top="0.75" bottom="0.75" header="0.3" footer="0.3"/>
  <pageSetup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12" name="Button 1">
              <controlPr defaultSize="0" print="0" autoFill="0" autoPict="0" macro="[0]!UpdateShortRates">
                <anchor moveWithCells="1" sizeWithCells="1">
                  <from>
                    <xdr:col>15</xdr:col>
                    <xdr:colOff>66675</xdr:colOff>
                    <xdr:row>2433</xdr:row>
                    <xdr:rowOff>0</xdr:rowOff>
                  </from>
                  <to>
                    <xdr:col>16</xdr:col>
                    <xdr:colOff>295275</xdr:colOff>
                    <xdr:row>2436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67B14-9A56-4B4D-B44F-85D453D152AB}">
  <sheetPr codeName="Sheet6"/>
  <dimension ref="A1:N49"/>
  <sheetViews>
    <sheetView topLeftCell="A22" workbookViewId="0">
      <selection activeCell="F35" sqref="F35"/>
    </sheetView>
  </sheetViews>
  <sheetFormatPr defaultColWidth="11" defaultRowHeight="15.75"/>
  <cols>
    <col min="2" max="3" width="9.875" customWidth="1"/>
    <col min="4" max="4" width="10.625" bestFit="1" customWidth="1"/>
    <col min="5" max="5" width="9.875" customWidth="1"/>
    <col min="6" max="6" width="11.125" bestFit="1" customWidth="1"/>
    <col min="7" max="8" width="12.25" bestFit="1" customWidth="1"/>
    <col min="10" max="10" width="6.625" bestFit="1" customWidth="1"/>
    <col min="11" max="11" width="8" customWidth="1"/>
    <col min="12" max="12" width="41.875" bestFit="1" customWidth="1"/>
  </cols>
  <sheetData>
    <row r="1" spans="1:14">
      <c r="A1" s="269"/>
      <c r="B1" s="467" t="s">
        <v>176</v>
      </c>
      <c r="C1" s="468"/>
      <c r="D1" s="467" t="s">
        <v>173</v>
      </c>
      <c r="E1" s="468"/>
      <c r="F1" s="22" t="s">
        <v>177</v>
      </c>
      <c r="G1" s="467" t="s">
        <v>167</v>
      </c>
      <c r="H1" s="468"/>
      <c r="I1" s="22" t="s">
        <v>171</v>
      </c>
      <c r="J1" s="467" t="s">
        <v>169</v>
      </c>
      <c r="K1" s="468"/>
      <c r="L1" s="467" t="s">
        <v>170</v>
      </c>
      <c r="M1" s="468"/>
      <c r="N1" s="376" t="s">
        <v>92</v>
      </c>
    </row>
    <row r="2" spans="1:14">
      <c r="A2" s="270"/>
      <c r="B2" s="24" t="s">
        <v>24</v>
      </c>
      <c r="C2" s="25" t="s">
        <v>25</v>
      </c>
      <c r="D2" s="24" t="s">
        <v>24</v>
      </c>
      <c r="E2" s="25" t="s">
        <v>25</v>
      </c>
      <c r="F2" s="278" t="s">
        <v>71</v>
      </c>
      <c r="G2" s="24" t="s">
        <v>168</v>
      </c>
      <c r="H2" s="25" t="s">
        <v>19</v>
      </c>
      <c r="I2" s="278" t="s">
        <v>172</v>
      </c>
      <c r="J2" s="24" t="s">
        <v>168</v>
      </c>
      <c r="K2" s="25" t="s">
        <v>19</v>
      </c>
      <c r="L2" s="272" t="s">
        <v>174</v>
      </c>
      <c r="M2" s="273" t="s">
        <v>175</v>
      </c>
      <c r="N2" s="350" t="s">
        <v>232</v>
      </c>
    </row>
    <row r="3" spans="1:14">
      <c r="A3" s="383">
        <v>45192</v>
      </c>
      <c r="B3" s="337">
        <v>94.647599999999997</v>
      </c>
      <c r="C3" s="34" t="s">
        <v>200</v>
      </c>
      <c r="D3" s="33">
        <f t="shared" ref="D3:D13" ca="1" si="0">100-E3</f>
        <v>94.647626561489616</v>
      </c>
      <c r="E3" s="34">
        <f t="shared" ref="E3:E13" ca="1" si="1">(M3-1)*(360/I3)*100</f>
        <v>5.3523734385103872</v>
      </c>
      <c r="F3" s="319">
        <f t="shared" ref="F3:F13" ca="1" si="2">D3-B3</f>
        <v>2.6561489619325584E-5</v>
      </c>
      <c r="G3" s="258">
        <v>45189</v>
      </c>
      <c r="H3" s="255">
        <v>45280</v>
      </c>
      <c r="I3" s="261">
        <f t="shared" ref="I3:I13" si="3">H3-G3</f>
        <v>91</v>
      </c>
      <c r="J3" s="265">
        <f>MATCH(G3,'DAILY EXTRAPOLATION'!C:C,1)</f>
        <v>1391</v>
      </c>
      <c r="K3" s="266">
        <f>MATCH(H3,'DAILY EXTRAPOLATION'!C:C,1)-1</f>
        <v>1481</v>
      </c>
      <c r="L3" s="275" t="str">
        <f>_xlfn.CONCAT(ADDRESS(J3,14,1,1,"daily extrapolation"),":",ADDRESS(K3,14))</f>
        <v>'daily extrapolation'!$N$1391:$N$1481</v>
      </c>
      <c r="M3" s="276">
        <f t="shared" ref="M3:M13" ca="1" si="4">PRODUCT(INDIRECT(L3))</f>
        <v>1.0135296106362346</v>
      </c>
      <c r="N3" s="59"/>
    </row>
    <row r="4" spans="1:14">
      <c r="A4" s="384">
        <v>45222</v>
      </c>
      <c r="B4" s="338">
        <v>94.639799999999994</v>
      </c>
      <c r="C4" s="45" t="s">
        <v>200</v>
      </c>
      <c r="D4" s="40">
        <f t="shared" ca="1" si="0"/>
        <v>94.639773892620084</v>
      </c>
      <c r="E4" s="41">
        <f t="shared" ca="1" si="1"/>
        <v>5.3602261073799182</v>
      </c>
      <c r="F4" s="318">
        <f t="shared" ca="1" si="2"/>
        <v>-2.6107379909490191E-5</v>
      </c>
      <c r="G4" s="257">
        <v>45217</v>
      </c>
      <c r="H4" s="254">
        <v>45308</v>
      </c>
      <c r="I4" s="260">
        <f t="shared" si="3"/>
        <v>91</v>
      </c>
      <c r="J4" s="263">
        <f>MATCH(G4,'DAILY EXTRAPOLATION'!C:C,1)</f>
        <v>1419</v>
      </c>
      <c r="K4" s="264">
        <f>MATCH(H4,'DAILY EXTRAPOLATION'!C:C,1)-1</f>
        <v>1509</v>
      </c>
      <c r="L4" s="274" t="str">
        <f t="shared" ref="L4:L42" si="5">_xlfn.CONCAT(ADDRESS(J4,14,1,1,"daily extrapolation"),":",ADDRESS(K4,14))</f>
        <v>'daily extrapolation'!$N$1419:$N$1509</v>
      </c>
      <c r="M4" s="49">
        <f t="shared" ca="1" si="4"/>
        <v>1.0135494604380992</v>
      </c>
    </row>
    <row r="5" spans="1:14">
      <c r="A5" s="384">
        <v>45231</v>
      </c>
      <c r="B5" s="338">
        <v>94.638800000000003</v>
      </c>
      <c r="C5" s="45" t="s">
        <v>200</v>
      </c>
      <c r="D5" s="40">
        <f t="shared" ca="1" si="0"/>
        <v>94.63882534592986</v>
      </c>
      <c r="E5" s="41">
        <f t="shared" ca="1" si="1"/>
        <v>5.361174654070135</v>
      </c>
      <c r="F5" s="318">
        <f t="shared" ca="1" si="2"/>
        <v>2.5345929856257499E-5</v>
      </c>
      <c r="G5" s="257">
        <v>45245</v>
      </c>
      <c r="H5" s="254">
        <v>45343</v>
      </c>
      <c r="I5" s="260">
        <f t="shared" si="3"/>
        <v>98</v>
      </c>
      <c r="J5" s="263">
        <f>MATCH(G5,'DAILY EXTRAPOLATION'!C:C,1)</f>
        <v>1447</v>
      </c>
      <c r="K5" s="264">
        <f>MATCH(H5,'DAILY EXTRAPOLATION'!C:C,1)-1</f>
        <v>1544</v>
      </c>
      <c r="L5" s="274" t="str">
        <f t="shared" si="5"/>
        <v>'daily extrapolation'!$N$1447:$N$1544</v>
      </c>
      <c r="M5" s="49">
        <f t="shared" ca="1" si="4"/>
        <v>1.0145943087805243</v>
      </c>
    </row>
    <row r="6" spans="1:14">
      <c r="A6" s="385">
        <v>45261</v>
      </c>
      <c r="B6" s="342">
        <v>94.646699999999996</v>
      </c>
      <c r="C6" s="51" t="s">
        <v>200</v>
      </c>
      <c r="D6" s="50">
        <f t="shared" ca="1" si="0"/>
        <v>94.64680581995799</v>
      </c>
      <c r="E6" s="51">
        <f t="shared" ca="1" si="1"/>
        <v>5.3531941800420046</v>
      </c>
      <c r="F6" s="343">
        <f t="shared" ca="1" si="2"/>
        <v>1.0581995799441302E-4</v>
      </c>
      <c r="G6" s="259">
        <f t="shared" ref="G6:G15" si="6">H3</f>
        <v>45280</v>
      </c>
      <c r="H6" s="256">
        <v>45371</v>
      </c>
      <c r="I6" s="262">
        <f t="shared" si="3"/>
        <v>91</v>
      </c>
      <c r="J6" s="267">
        <f>MATCH(G6,'DAILY EXTRAPOLATION'!C:C,1)</f>
        <v>1482</v>
      </c>
      <c r="K6" s="268">
        <f>MATCH(H6,'DAILY EXTRAPOLATION'!C:C,1)-1</f>
        <v>1572</v>
      </c>
      <c r="L6" s="277" t="str">
        <f t="shared" si="5"/>
        <v>'daily extrapolation'!$N$1482:$N$1572</v>
      </c>
      <c r="M6" s="271">
        <f t="shared" ca="1" si="4"/>
        <v>1.0135316852884395</v>
      </c>
    </row>
    <row r="7" spans="1:14">
      <c r="A7" s="384">
        <v>45292</v>
      </c>
      <c r="B7" s="338">
        <v>94.651499999999999</v>
      </c>
      <c r="C7" s="41" t="s">
        <v>200</v>
      </c>
      <c r="D7" s="40">
        <f t="shared" ca="1" si="0"/>
        <v>94.651652450862258</v>
      </c>
      <c r="E7" s="41">
        <f t="shared" ca="1" si="1"/>
        <v>5.3483475491377463</v>
      </c>
      <c r="F7" s="344">
        <f t="shared" ca="1" si="2"/>
        <v>1.524508622594567E-4</v>
      </c>
      <c r="G7" s="257">
        <f t="shared" si="6"/>
        <v>45308</v>
      </c>
      <c r="H7" s="254">
        <v>45399</v>
      </c>
      <c r="I7" s="260">
        <f t="shared" si="3"/>
        <v>91</v>
      </c>
      <c r="J7" s="263">
        <f>MATCH(G7,'DAILY EXTRAPOLATION'!C:C,1)</f>
        <v>1510</v>
      </c>
      <c r="K7" s="264">
        <f>MATCH(H7,'DAILY EXTRAPOLATION'!C:C,1)-1</f>
        <v>1600</v>
      </c>
      <c r="L7" s="274" t="str">
        <f t="shared" si="5"/>
        <v>'daily extrapolation'!$N$1510:$N$1600</v>
      </c>
      <c r="M7" s="49">
        <f t="shared" ca="1" si="4"/>
        <v>1.0135194340825426</v>
      </c>
    </row>
    <row r="8" spans="1:14">
      <c r="A8" s="384">
        <v>45323</v>
      </c>
      <c r="B8" s="338">
        <v>94.653599999999997</v>
      </c>
      <c r="C8" s="41" t="s">
        <v>200</v>
      </c>
      <c r="D8" s="40">
        <f t="shared" ca="1" si="0"/>
        <v>94.653756630843603</v>
      </c>
      <c r="E8" s="41">
        <f t="shared" ca="1" si="1"/>
        <v>5.346243369156392</v>
      </c>
      <c r="F8" s="344">
        <f t="shared" ca="1" si="2"/>
        <v>1.566308436053987E-4</v>
      </c>
      <c r="G8" s="257">
        <f t="shared" si="6"/>
        <v>45343</v>
      </c>
      <c r="H8" s="254">
        <v>45427</v>
      </c>
      <c r="I8" s="260">
        <f t="shared" si="3"/>
        <v>84</v>
      </c>
      <c r="J8" s="263">
        <f>MATCH(G8,'DAILY EXTRAPOLATION'!C:C,1)</f>
        <v>1545</v>
      </c>
      <c r="K8" s="264">
        <f>MATCH(H8,'DAILY EXTRAPOLATION'!C:C,1)-1</f>
        <v>1628</v>
      </c>
      <c r="L8" s="274" t="str">
        <f t="shared" si="5"/>
        <v>'daily extrapolation'!$N$1545:$N$1628</v>
      </c>
      <c r="M8" s="49">
        <f t="shared" ca="1" si="4"/>
        <v>1.0124745678613649</v>
      </c>
    </row>
    <row r="9" spans="1:14">
      <c r="A9" s="383">
        <v>45352</v>
      </c>
      <c r="B9" s="338">
        <v>94.646600000000007</v>
      </c>
      <c r="C9" s="34" t="s">
        <v>200</v>
      </c>
      <c r="D9" s="33">
        <f t="shared" ca="1" si="0"/>
        <v>94.646120643882142</v>
      </c>
      <c r="E9" s="34">
        <f t="shared" ca="1" si="1"/>
        <v>5.3538793561178535</v>
      </c>
      <c r="F9" s="346">
        <f t="shared" ca="1" si="2"/>
        <v>-4.7935611786442678E-4</v>
      </c>
      <c r="G9" s="258">
        <f t="shared" si="6"/>
        <v>45371</v>
      </c>
      <c r="H9" s="255">
        <v>45463</v>
      </c>
      <c r="I9" s="243">
        <f t="shared" si="3"/>
        <v>92</v>
      </c>
      <c r="J9" s="265">
        <f>MATCH(G9,'DAILY EXTRAPOLATION'!C:C,1)</f>
        <v>1573</v>
      </c>
      <c r="K9" s="266">
        <f>MATCH(H9,'DAILY EXTRAPOLATION'!C:C,1)-1</f>
        <v>1664</v>
      </c>
      <c r="L9" s="275" t="str">
        <f t="shared" si="5"/>
        <v>'daily extrapolation'!$N$1573:$N$1664</v>
      </c>
      <c r="M9" s="276">
        <f t="shared" ca="1" si="4"/>
        <v>1.0136821361323012</v>
      </c>
      <c r="N9" s="322" t="s">
        <v>198</v>
      </c>
    </row>
    <row r="10" spans="1:14">
      <c r="A10" s="384">
        <v>45383</v>
      </c>
      <c r="B10" s="338">
        <v>94.642700000000005</v>
      </c>
      <c r="C10" s="41" t="s">
        <v>200</v>
      </c>
      <c r="D10" s="40">
        <f t="shared" ca="1" si="0"/>
        <v>94.642735717452865</v>
      </c>
      <c r="E10" s="41">
        <f t="shared" ca="1" si="1"/>
        <v>5.357264282547141</v>
      </c>
      <c r="F10" s="318">
        <f t="shared" ca="1" si="2"/>
        <v>3.5717452860239973E-5</v>
      </c>
      <c r="G10" s="257">
        <f t="shared" si="6"/>
        <v>45399</v>
      </c>
      <c r="H10" s="254">
        <v>45490</v>
      </c>
      <c r="I10" s="260">
        <f t="shared" si="3"/>
        <v>91</v>
      </c>
      <c r="J10" s="263">
        <f>MATCH(G10,'DAILY EXTRAPOLATION'!C:C,1)</f>
        <v>1601</v>
      </c>
      <c r="K10" s="264">
        <f>MATCH(H10,'DAILY EXTRAPOLATION'!C:C,1)-1</f>
        <v>1691</v>
      </c>
      <c r="L10" s="274" t="str">
        <f t="shared" si="5"/>
        <v>'daily extrapolation'!$N$1601:$N$1691</v>
      </c>
      <c r="M10" s="49">
        <f t="shared" ca="1" si="4"/>
        <v>1.0135419736031053</v>
      </c>
    </row>
    <row r="11" spans="1:14">
      <c r="A11" s="384">
        <v>45413</v>
      </c>
      <c r="B11" s="338">
        <v>94.631100000000004</v>
      </c>
      <c r="C11" s="41" t="s">
        <v>200</v>
      </c>
      <c r="D11" s="40">
        <f t="shared" ca="1" si="0"/>
        <v>94.631100457114627</v>
      </c>
      <c r="E11" s="41">
        <f t="shared" ca="1" si="1"/>
        <v>5.3688995428853667</v>
      </c>
      <c r="F11" s="318">
        <f t="shared" ca="1" si="2"/>
        <v>4.571146234866319E-7</v>
      </c>
      <c r="G11" s="257">
        <f t="shared" si="6"/>
        <v>45427</v>
      </c>
      <c r="H11" s="254">
        <v>45525</v>
      </c>
      <c r="I11" s="260">
        <f t="shared" si="3"/>
        <v>98</v>
      </c>
      <c r="J11" s="263">
        <f>MATCH(G11,'DAILY EXTRAPOLATION'!C:C,1)</f>
        <v>1629</v>
      </c>
      <c r="K11" s="264">
        <f>MATCH(H11,'DAILY EXTRAPOLATION'!C:C,1)-1</f>
        <v>1726</v>
      </c>
      <c r="L11" s="274" t="str">
        <f t="shared" si="5"/>
        <v>'daily extrapolation'!$N$1629:$N$1726</v>
      </c>
      <c r="M11" s="49">
        <f t="shared" ca="1" si="4"/>
        <v>1.0146153376445213</v>
      </c>
    </row>
    <row r="12" spans="1:14">
      <c r="A12" s="383">
        <v>45444</v>
      </c>
      <c r="B12" s="338">
        <v>94.628799999999998</v>
      </c>
      <c r="C12" s="34" t="s">
        <v>200</v>
      </c>
      <c r="D12" s="33">
        <f t="shared" ca="1" si="0"/>
        <v>94.629145547712312</v>
      </c>
      <c r="E12" s="34">
        <f t="shared" ca="1" si="1"/>
        <v>5.3708544522876878</v>
      </c>
      <c r="F12" s="344">
        <f t="shared" ca="1" si="2"/>
        <v>3.4554771231398718E-4</v>
      </c>
      <c r="G12" s="258">
        <f t="shared" si="6"/>
        <v>45463</v>
      </c>
      <c r="H12" s="255">
        <v>45553</v>
      </c>
      <c r="I12" s="243">
        <f t="shared" si="3"/>
        <v>90</v>
      </c>
      <c r="J12" s="265">
        <f>MATCH(G12,'DAILY EXTRAPOLATION'!C:C,1)</f>
        <v>1665</v>
      </c>
      <c r="K12" s="266">
        <f>MATCH(H12,'DAILY EXTRAPOLATION'!C:C,1)-1</f>
        <v>1754</v>
      </c>
      <c r="L12" s="275" t="str">
        <f t="shared" si="5"/>
        <v>'daily extrapolation'!$N$1665:$N$1754</v>
      </c>
      <c r="M12" s="276">
        <f t="shared" ca="1" si="4"/>
        <v>1.0134271361307192</v>
      </c>
      <c r="N12" s="322" t="s">
        <v>198</v>
      </c>
    </row>
    <row r="13" spans="1:14">
      <c r="A13" s="384">
        <v>45474</v>
      </c>
      <c r="B13" s="338">
        <v>94.774900000000002</v>
      </c>
      <c r="C13" s="41" t="s">
        <v>200</v>
      </c>
      <c r="D13" s="44">
        <f t="shared" ca="1" si="0"/>
        <v>94.774888047046815</v>
      </c>
      <c r="E13" s="45">
        <f t="shared" ca="1" si="1"/>
        <v>5.2251119529531875</v>
      </c>
      <c r="F13" s="318">
        <f t="shared" ca="1" si="2"/>
        <v>-1.1952953187233106E-5</v>
      </c>
      <c r="G13" s="257">
        <f t="shared" si="6"/>
        <v>45490</v>
      </c>
      <c r="H13" s="254">
        <v>45581</v>
      </c>
      <c r="I13" s="260">
        <f t="shared" si="3"/>
        <v>91</v>
      </c>
      <c r="J13" s="263">
        <f>MATCH(G13,'DAILY EXTRAPOLATION'!C:C,1)</f>
        <v>1692</v>
      </c>
      <c r="K13" s="264">
        <f>MATCH(H13,'DAILY EXTRAPOLATION'!C:C,1)-1</f>
        <v>1782</v>
      </c>
      <c r="L13" s="274" t="str">
        <f t="shared" si="5"/>
        <v>'daily extrapolation'!$N$1692:$N$1782</v>
      </c>
      <c r="M13" s="49">
        <f t="shared" ca="1" si="4"/>
        <v>1.0132079218810761</v>
      </c>
    </row>
    <row r="14" spans="1:14">
      <c r="A14" s="384">
        <v>45505</v>
      </c>
      <c r="B14" s="338">
        <v>95.004300000000001</v>
      </c>
      <c r="C14" s="41" t="s">
        <v>200</v>
      </c>
      <c r="D14" s="44">
        <f ca="1">100-E14</f>
        <v>95.004256871630673</v>
      </c>
      <c r="E14" s="45">
        <f ca="1">(M14-1)*(360/I14)*100</f>
        <v>4.9957431283693268</v>
      </c>
      <c r="F14" s="318">
        <f ca="1">D14-B14</f>
        <v>-4.312836932740538E-5</v>
      </c>
      <c r="G14" s="257">
        <f t="shared" si="6"/>
        <v>45525</v>
      </c>
      <c r="H14" s="254">
        <v>45616</v>
      </c>
      <c r="I14" s="260">
        <f>H14-G14</f>
        <v>91</v>
      </c>
      <c r="J14" s="263">
        <f>MATCH(G14,'DAILY EXTRAPOLATION'!C:C,1)</f>
        <v>1727</v>
      </c>
      <c r="K14" s="264">
        <f>MATCH(H14,'DAILY EXTRAPOLATION'!C:C,1)-1</f>
        <v>1817</v>
      </c>
      <c r="L14" s="274" t="str">
        <f t="shared" si="5"/>
        <v>'daily extrapolation'!$N$1727:$N$1817</v>
      </c>
      <c r="M14" s="49">
        <f ca="1">PRODUCT(INDIRECT(L14))</f>
        <v>1.012628128463378</v>
      </c>
    </row>
    <row r="15" spans="1:14">
      <c r="A15" s="383">
        <v>45536</v>
      </c>
      <c r="B15" s="338">
        <v>95.233800000000002</v>
      </c>
      <c r="C15" s="34" t="s">
        <v>200</v>
      </c>
      <c r="D15" s="33">
        <f ca="1">100-E15</f>
        <v>95.233789830195406</v>
      </c>
      <c r="E15" s="34">
        <f ca="1">(M15-1)*(360/I15)*100</f>
        <v>4.7662101698045962</v>
      </c>
      <c r="F15" s="319">
        <f ca="1">D15-B15</f>
        <v>-1.0169804596671383E-5</v>
      </c>
      <c r="G15" s="258">
        <f t="shared" si="6"/>
        <v>45553</v>
      </c>
      <c r="H15" s="255">
        <v>45644</v>
      </c>
      <c r="I15" s="261">
        <f>H15-G15</f>
        <v>91</v>
      </c>
      <c r="J15" s="321">
        <f>MATCH(G15,'DAILY EXTRAPOLATION'!C:C,1)</f>
        <v>1755</v>
      </c>
      <c r="K15" s="266">
        <f>MATCH(H15,'DAILY EXTRAPOLATION'!C:C,1)-1</f>
        <v>1845</v>
      </c>
      <c r="L15" s="275" t="str">
        <f t="shared" si="5"/>
        <v>'daily extrapolation'!$N$1755:$N$1845</v>
      </c>
      <c r="M15" s="276">
        <f ca="1">PRODUCT(INDIRECT(L15))</f>
        <v>1.0120479201514505</v>
      </c>
    </row>
    <row r="16" spans="1:14">
      <c r="A16" s="384">
        <v>45566</v>
      </c>
      <c r="B16" s="338">
        <v>95.390699999999995</v>
      </c>
      <c r="C16" s="41" t="s">
        <v>200</v>
      </c>
      <c r="D16" s="44">
        <f t="shared" ref="D16:D30" ca="1" si="7">100-E16</f>
        <v>95.39074749066819</v>
      </c>
      <c r="E16" s="45">
        <f t="shared" ref="E16:E30" ca="1" si="8">(M16-1)*(360/I16)*100</f>
        <v>4.6092525093318075</v>
      </c>
      <c r="F16" s="318">
        <f t="shared" ref="F16:F30" ca="1" si="9">D16-B16</f>
        <v>4.7490668194427599E-5</v>
      </c>
      <c r="G16" s="257">
        <f>H13</f>
        <v>45581</v>
      </c>
      <c r="H16" s="254">
        <v>45672</v>
      </c>
      <c r="I16" s="260">
        <f>H16-G16</f>
        <v>91</v>
      </c>
      <c r="J16" s="263">
        <f>MATCH(G16,'DAILY EXTRAPOLATION'!C:C,1)</f>
        <v>1783</v>
      </c>
      <c r="K16" s="264">
        <f>MATCH(H16,'DAILY EXTRAPOLATION'!C:C,1)-1</f>
        <v>1873</v>
      </c>
      <c r="L16" s="274" t="str">
        <f t="shared" si="5"/>
        <v>'daily extrapolation'!$N$1783:$N$1873</v>
      </c>
      <c r="M16" s="49">
        <f t="shared" ref="M16:M30" ca="1" si="10">PRODUCT(INDIRECT(L16))</f>
        <v>1.0116511660652554</v>
      </c>
    </row>
    <row r="17" spans="1:13">
      <c r="A17" s="384">
        <v>45597</v>
      </c>
      <c r="B17" s="338">
        <v>95.552700000000002</v>
      </c>
      <c r="C17" s="41" t="s">
        <v>200</v>
      </c>
      <c r="D17" s="44">
        <f t="shared" ca="1" si="7"/>
        <v>95.552667419824061</v>
      </c>
      <c r="E17" s="45">
        <f t="shared" ca="1" si="8"/>
        <v>4.447332580175936</v>
      </c>
      <c r="F17" s="323">
        <f t="shared" ca="1" si="9"/>
        <v>-3.258017594021112E-5</v>
      </c>
      <c r="G17" s="257">
        <f t="shared" ref="G17:G30" si="11">H14</f>
        <v>45616</v>
      </c>
      <c r="H17" s="254">
        <v>45707</v>
      </c>
      <c r="I17" s="260">
        <f>H17-G17</f>
        <v>91</v>
      </c>
      <c r="J17" s="288">
        <f>MATCH(G17,'DAILY EXTRAPOLATION'!C:C,1)</f>
        <v>1818</v>
      </c>
      <c r="K17" s="264">
        <f>MATCH(H17,'DAILY EXTRAPOLATION'!C:C,1)-1</f>
        <v>1908</v>
      </c>
      <c r="L17" s="274" t="str">
        <f t="shared" si="5"/>
        <v>'daily extrapolation'!$N$1818:$N$1908</v>
      </c>
      <c r="M17" s="324">
        <f t="shared" ca="1" si="10"/>
        <v>1.0112418684665558</v>
      </c>
    </row>
    <row r="18" spans="1:13">
      <c r="A18" s="385">
        <v>45627</v>
      </c>
      <c r="B18" s="342">
        <v>95.634399999999999</v>
      </c>
      <c r="C18" s="51" t="s">
        <v>200</v>
      </c>
      <c r="D18" s="50">
        <f t="shared" ca="1" si="7"/>
        <v>95.634422644223989</v>
      </c>
      <c r="E18" s="51">
        <f t="shared" ca="1" si="8"/>
        <v>4.3655773557760051</v>
      </c>
      <c r="F18" s="320">
        <f t="shared" ca="1" si="9"/>
        <v>2.264422398923216E-5</v>
      </c>
      <c r="G18" s="259">
        <f t="shared" si="11"/>
        <v>45644</v>
      </c>
      <c r="H18" s="256">
        <v>45735</v>
      </c>
      <c r="I18" s="262">
        <f>H18-G18</f>
        <v>91</v>
      </c>
      <c r="J18" s="267">
        <f>MATCH(G18,'DAILY EXTRAPOLATION'!C:C,1)</f>
        <v>1846</v>
      </c>
      <c r="K18" s="268">
        <f>MATCH(H18,'DAILY EXTRAPOLATION'!C:C,1)-1</f>
        <v>1936</v>
      </c>
      <c r="L18" s="277" t="str">
        <f t="shared" si="5"/>
        <v>'daily extrapolation'!$N$1846:$N$1936</v>
      </c>
      <c r="M18" s="271">
        <f t="shared" ca="1" si="10"/>
        <v>1.0110352094271005</v>
      </c>
    </row>
    <row r="19" spans="1:13">
      <c r="A19" s="384">
        <v>45658</v>
      </c>
      <c r="B19" s="338">
        <v>95.638999999999996</v>
      </c>
      <c r="C19" s="41" t="s">
        <v>200</v>
      </c>
      <c r="D19" s="40">
        <f t="shared" ca="1" si="7"/>
        <v>95.638964642982017</v>
      </c>
      <c r="E19" s="41">
        <f t="shared" ca="1" si="8"/>
        <v>4.3610353570179807</v>
      </c>
      <c r="F19" s="318">
        <f t="shared" ca="1" si="9"/>
        <v>-3.5357017978299154E-5</v>
      </c>
      <c r="G19" s="257">
        <f t="shared" si="11"/>
        <v>45672</v>
      </c>
      <c r="H19" s="254">
        <v>45763</v>
      </c>
      <c r="I19" s="260">
        <f t="shared" ref="I19:I30" si="12">H19-G19</f>
        <v>91</v>
      </c>
      <c r="J19" s="263">
        <f>MATCH(G19,'DAILY EXTRAPOLATION'!C:C,1)</f>
        <v>1874</v>
      </c>
      <c r="K19" s="264">
        <f>MATCH(H19,'DAILY EXTRAPOLATION'!C:C,1)-1</f>
        <v>1964</v>
      </c>
      <c r="L19" s="274" t="str">
        <f t="shared" si="5"/>
        <v>'daily extrapolation'!$N$1874:$N$1964</v>
      </c>
      <c r="M19" s="49">
        <f t="shared" ca="1" si="10"/>
        <v>1.0110237282635732</v>
      </c>
    </row>
    <row r="20" spans="1:13">
      <c r="A20" s="384">
        <v>45689</v>
      </c>
      <c r="B20" s="338">
        <v>95.645499999999998</v>
      </c>
      <c r="C20" s="41" t="s">
        <v>200</v>
      </c>
      <c r="D20" s="40">
        <f t="shared" ca="1" si="7"/>
        <v>95.645500879888374</v>
      </c>
      <c r="E20" s="41">
        <f t="shared" ca="1" si="8"/>
        <v>4.3544991201116252</v>
      </c>
      <c r="F20" s="318">
        <f t="shared" ca="1" si="9"/>
        <v>8.7988837549346499E-7</v>
      </c>
      <c r="G20" s="257">
        <f>H17</f>
        <v>45707</v>
      </c>
      <c r="H20" s="254">
        <v>45798</v>
      </c>
      <c r="I20" s="260">
        <f t="shared" si="12"/>
        <v>91</v>
      </c>
      <c r="J20" s="263">
        <f>MATCH(G20,'DAILY EXTRAPOLATION'!C:C,1)</f>
        <v>1909</v>
      </c>
      <c r="K20" s="264">
        <f>MATCH(H20,'DAILY EXTRAPOLATION'!C:C,1)-1</f>
        <v>1999</v>
      </c>
      <c r="L20" s="274" t="str">
        <f t="shared" si="5"/>
        <v>'daily extrapolation'!$N$1909:$N$1999</v>
      </c>
      <c r="M20" s="49">
        <f t="shared" ca="1" si="10"/>
        <v>1.0110072061091711</v>
      </c>
    </row>
    <row r="21" spans="1:13">
      <c r="A21" s="383">
        <v>45717</v>
      </c>
      <c r="B21" s="338">
        <v>95.657700000000006</v>
      </c>
      <c r="C21" s="34" t="s">
        <v>200</v>
      </c>
      <c r="D21" s="33">
        <f t="shared" ca="1" si="7"/>
        <v>95.657735470737023</v>
      </c>
      <c r="E21" s="34">
        <f t="shared" ca="1" si="8"/>
        <v>4.3422645292629802</v>
      </c>
      <c r="F21" s="319">
        <f t="shared" ca="1" si="9"/>
        <v>3.5470737017817555E-5</v>
      </c>
      <c r="G21" s="258">
        <f t="shared" si="11"/>
        <v>45735</v>
      </c>
      <c r="H21" s="255">
        <v>45826</v>
      </c>
      <c r="I21" s="351">
        <f t="shared" si="12"/>
        <v>91</v>
      </c>
      <c r="J21" s="265">
        <f>MATCH(G21,'DAILY EXTRAPOLATION'!C:C,1)</f>
        <v>1937</v>
      </c>
      <c r="K21" s="266">
        <f>MATCH(H21,'DAILY EXTRAPOLATION'!C:C,1)-1</f>
        <v>2027</v>
      </c>
      <c r="L21" s="275" t="str">
        <f t="shared" si="5"/>
        <v>'daily extrapolation'!$N$1937:$N$2027</v>
      </c>
      <c r="M21" s="276">
        <f t="shared" ca="1" si="10"/>
        <v>1.0109762797823036</v>
      </c>
    </row>
    <row r="22" spans="1:13">
      <c r="A22" s="384">
        <v>45748</v>
      </c>
      <c r="B22" s="338">
        <v>95.658799999999999</v>
      </c>
      <c r="C22" s="41" t="s">
        <v>200</v>
      </c>
      <c r="D22" s="40">
        <f t="shared" ca="1" si="7"/>
        <v>95.658758546054059</v>
      </c>
      <c r="E22" s="41">
        <f t="shared" ca="1" si="8"/>
        <v>4.341241453945945</v>
      </c>
      <c r="F22" s="318">
        <f t="shared" ca="1" si="9"/>
        <v>-4.1453945939906589E-5</v>
      </c>
      <c r="G22" s="257">
        <f t="shared" si="11"/>
        <v>45763</v>
      </c>
      <c r="H22" s="254">
        <v>45854</v>
      </c>
      <c r="I22" s="260">
        <f t="shared" si="12"/>
        <v>91</v>
      </c>
      <c r="J22" s="263">
        <f>MATCH(G22,'DAILY EXTRAPOLATION'!C:C,1)</f>
        <v>1965</v>
      </c>
      <c r="K22" s="264">
        <f>MATCH(H22,'DAILY EXTRAPOLATION'!C:C,1)-1</f>
        <v>2055</v>
      </c>
      <c r="L22" s="274" t="str">
        <f t="shared" si="5"/>
        <v>'daily extrapolation'!$N$1965:$N$2055</v>
      </c>
      <c r="M22" s="49">
        <f t="shared" ca="1" si="10"/>
        <v>1.0109736936752522</v>
      </c>
    </row>
    <row r="23" spans="1:13">
      <c r="A23" s="384">
        <v>45778</v>
      </c>
      <c r="B23" s="338">
        <v>95.6511</v>
      </c>
      <c r="C23" s="41" t="s">
        <v>200</v>
      </c>
      <c r="D23" s="40">
        <f t="shared" ca="1" si="7"/>
        <v>95.651077457813614</v>
      </c>
      <c r="E23" s="41">
        <f t="shared" ca="1" si="8"/>
        <v>4.3489225421863864</v>
      </c>
      <c r="F23" s="318">
        <f t="shared" ca="1" si="9"/>
        <v>-2.2542186385976493E-5</v>
      </c>
      <c r="G23" s="257">
        <f t="shared" si="11"/>
        <v>45798</v>
      </c>
      <c r="H23" s="254">
        <v>45889</v>
      </c>
      <c r="I23" s="260">
        <f t="shared" si="12"/>
        <v>91</v>
      </c>
      <c r="J23" s="263">
        <f>MATCH(G23,'DAILY EXTRAPOLATION'!C:C,1)</f>
        <v>2000</v>
      </c>
      <c r="K23" s="264">
        <f>MATCH(H23,'DAILY EXTRAPOLATION'!C:C,1)-1</f>
        <v>2090</v>
      </c>
      <c r="L23" s="274" t="str">
        <f t="shared" si="5"/>
        <v>'daily extrapolation'!$N$2000:$N$2090</v>
      </c>
      <c r="M23" s="49">
        <f t="shared" ca="1" si="10"/>
        <v>1.0109931097594156</v>
      </c>
    </row>
    <row r="24" spans="1:13">
      <c r="A24" s="383">
        <v>45809</v>
      </c>
      <c r="B24" s="33" t="e">
        <f>OUTPUT!#REF!</f>
        <v>#REF!</v>
      </c>
      <c r="C24" s="41" t="s">
        <v>200</v>
      </c>
      <c r="D24" s="33">
        <f t="shared" ca="1" si="7"/>
        <v>95.623975391905887</v>
      </c>
      <c r="E24" s="34">
        <f t="shared" ca="1" si="8"/>
        <v>4.3760246080941085</v>
      </c>
      <c r="F24" s="319" t="e">
        <f t="shared" ca="1" si="9"/>
        <v>#REF!</v>
      </c>
      <c r="G24" s="258">
        <f t="shared" si="11"/>
        <v>45826</v>
      </c>
      <c r="H24" s="255">
        <v>45917</v>
      </c>
      <c r="I24" s="351">
        <f t="shared" si="12"/>
        <v>91</v>
      </c>
      <c r="J24" s="265">
        <f>MATCH(G24,'DAILY EXTRAPOLATION'!C:C,1)</f>
        <v>2028</v>
      </c>
      <c r="K24" s="266">
        <f>MATCH(H24,'DAILY EXTRAPOLATION'!C:C,1)-1</f>
        <v>2118</v>
      </c>
      <c r="L24" s="275" t="str">
        <f t="shared" si="5"/>
        <v>'daily extrapolation'!$N$2028:$N$2118</v>
      </c>
      <c r="M24" s="276">
        <f t="shared" ca="1" si="10"/>
        <v>1.011061617759349</v>
      </c>
    </row>
    <row r="25" spans="1:13">
      <c r="A25" s="384">
        <v>45839</v>
      </c>
      <c r="B25" s="338">
        <v>95.678799999999995</v>
      </c>
      <c r="C25" s="41" t="s">
        <v>200</v>
      </c>
      <c r="D25" s="44">
        <f t="shared" ca="1" si="7"/>
        <v>95.678838537958185</v>
      </c>
      <c r="E25" s="45">
        <f t="shared" ca="1" si="8"/>
        <v>4.321161462041812</v>
      </c>
      <c r="F25" s="318">
        <f t="shared" ca="1" si="9"/>
        <v>3.8537958189976962E-5</v>
      </c>
      <c r="G25" s="257">
        <f t="shared" si="11"/>
        <v>45854</v>
      </c>
      <c r="H25" s="254">
        <v>45945</v>
      </c>
      <c r="I25" s="260">
        <f t="shared" si="12"/>
        <v>91</v>
      </c>
      <c r="J25" s="263">
        <f>MATCH(G25,'DAILY EXTRAPOLATION'!C:C,1)</f>
        <v>2056</v>
      </c>
      <c r="K25" s="264">
        <f>MATCH(H25,'DAILY EXTRAPOLATION'!C:C,1)-1</f>
        <v>2146</v>
      </c>
      <c r="L25" s="274" t="str">
        <f t="shared" si="5"/>
        <v>'daily extrapolation'!$N$2056:$N$2146</v>
      </c>
      <c r="M25" s="49">
        <f t="shared" ca="1" si="10"/>
        <v>1.010922935917939</v>
      </c>
    </row>
    <row r="26" spans="1:13">
      <c r="A26" s="384">
        <v>45870</v>
      </c>
      <c r="B26" s="33" t="e">
        <f>OUTPUT!#REF!</f>
        <v>#REF!</v>
      </c>
      <c r="C26" s="41" t="s">
        <v>200</v>
      </c>
      <c r="D26" s="44">
        <f t="shared" ca="1" si="7"/>
        <v>95.76901892505019</v>
      </c>
      <c r="E26" s="45">
        <f t="shared" ca="1" si="8"/>
        <v>4.2309810749498054</v>
      </c>
      <c r="F26" s="318" t="e">
        <f t="shared" ca="1" si="9"/>
        <v>#REF!</v>
      </c>
      <c r="G26" s="257">
        <f t="shared" si="11"/>
        <v>45889</v>
      </c>
      <c r="H26" s="254">
        <v>45980</v>
      </c>
      <c r="I26" s="260">
        <f t="shared" si="12"/>
        <v>91</v>
      </c>
      <c r="J26" s="263">
        <f>MATCH(G26,'DAILY EXTRAPOLATION'!C:C,1)</f>
        <v>2091</v>
      </c>
      <c r="K26" s="264">
        <f>MATCH(H26,'DAILY EXTRAPOLATION'!C:C,1)-1</f>
        <v>2181</v>
      </c>
      <c r="L26" s="274" t="str">
        <f t="shared" si="5"/>
        <v>'daily extrapolation'!$N$2091:$N$2181</v>
      </c>
      <c r="M26" s="49">
        <f t="shared" ca="1" si="10"/>
        <v>1.0106949799394565</v>
      </c>
    </row>
    <row r="27" spans="1:13">
      <c r="A27" s="384">
        <v>45901</v>
      </c>
      <c r="B27" s="338">
        <v>95.913399999999996</v>
      </c>
      <c r="C27" s="41" t="s">
        <v>200</v>
      </c>
      <c r="D27" s="33">
        <f t="shared" ca="1" si="7"/>
        <v>95.913445532228977</v>
      </c>
      <c r="E27" s="34">
        <f t="shared" ca="1" si="8"/>
        <v>4.0865544677710224</v>
      </c>
      <c r="F27" s="319">
        <f t="shared" ca="1" si="9"/>
        <v>4.5532228980960099E-5</v>
      </c>
      <c r="G27" s="258">
        <f t="shared" si="11"/>
        <v>45917</v>
      </c>
      <c r="H27" s="255">
        <v>46008</v>
      </c>
      <c r="I27" s="261">
        <f t="shared" si="12"/>
        <v>91</v>
      </c>
      <c r="J27" s="321">
        <f>MATCH(G27,'DAILY EXTRAPOLATION'!C:C,1)</f>
        <v>2119</v>
      </c>
      <c r="K27" s="266">
        <f>MATCH(H27,'DAILY EXTRAPOLATION'!C:C,1)-1</f>
        <v>2209</v>
      </c>
      <c r="L27" s="275" t="str">
        <f t="shared" si="5"/>
        <v>'daily extrapolation'!$N$2119:$N$2209</v>
      </c>
      <c r="M27" s="276">
        <f t="shared" ca="1" si="10"/>
        <v>1.0103299015713101</v>
      </c>
    </row>
    <row r="28" spans="1:13">
      <c r="A28" s="38">
        <v>45931</v>
      </c>
      <c r="B28" s="40" t="e">
        <f>OUTPUT!#REF!</f>
        <v>#REF!</v>
      </c>
      <c r="C28" s="41" t="e">
        <f>OUTPUT!#REF!</f>
        <v>#REF!</v>
      </c>
      <c r="D28" s="44">
        <f t="shared" ca="1" si="7"/>
        <v>96.075938426932595</v>
      </c>
      <c r="E28" s="45">
        <f t="shared" ca="1" si="8"/>
        <v>3.9240615730674091</v>
      </c>
      <c r="F28" s="318" t="e">
        <f t="shared" ca="1" si="9"/>
        <v>#REF!</v>
      </c>
      <c r="G28" s="257">
        <f t="shared" si="11"/>
        <v>45945</v>
      </c>
      <c r="H28" s="254">
        <v>46043</v>
      </c>
      <c r="I28" s="260">
        <f t="shared" si="12"/>
        <v>98</v>
      </c>
      <c r="J28" s="263">
        <f>MATCH(G28,'DAILY EXTRAPOLATION'!C:C,1)</f>
        <v>2147</v>
      </c>
      <c r="K28" s="264">
        <f>MATCH(H28,'DAILY EXTRAPOLATION'!C:C,1)-1</f>
        <v>2244</v>
      </c>
      <c r="L28" s="274" t="str">
        <f t="shared" si="5"/>
        <v>'daily extrapolation'!$N$2147:$N$2244</v>
      </c>
      <c r="M28" s="49">
        <f t="shared" ca="1" si="10"/>
        <v>1.0106821676155724</v>
      </c>
    </row>
    <row r="29" spans="1:13">
      <c r="A29" s="38">
        <v>45962</v>
      </c>
      <c r="B29" s="40" t="e">
        <f>OUTPUT!#REF!</f>
        <v>#REF!</v>
      </c>
      <c r="C29" s="41" t="e">
        <f>OUTPUT!#REF!</f>
        <v>#REF!</v>
      </c>
      <c r="D29" s="44">
        <f t="shared" ca="1" si="7"/>
        <v>96.232020849806034</v>
      </c>
      <c r="E29" s="45">
        <f t="shared" ca="1" si="8"/>
        <v>3.7679791501939701</v>
      </c>
      <c r="F29" s="323" t="e">
        <f t="shared" ca="1" si="9"/>
        <v>#REF!</v>
      </c>
      <c r="G29" s="257">
        <f t="shared" si="11"/>
        <v>45980</v>
      </c>
      <c r="H29" s="254">
        <v>46071</v>
      </c>
      <c r="I29" s="260">
        <f t="shared" si="12"/>
        <v>91</v>
      </c>
      <c r="J29" s="288">
        <f>MATCH(G29,'DAILY EXTRAPOLATION'!C:C,1)</f>
        <v>2182</v>
      </c>
      <c r="K29" s="264">
        <f>MATCH(H29,'DAILY EXTRAPOLATION'!C:C,1)-1</f>
        <v>2272</v>
      </c>
      <c r="L29" s="274" t="str">
        <f t="shared" si="5"/>
        <v>'daily extrapolation'!$N$2182:$N$2272</v>
      </c>
      <c r="M29" s="324">
        <f t="shared" ca="1" si="10"/>
        <v>1.0095246139629903</v>
      </c>
    </row>
    <row r="30" spans="1:13">
      <c r="A30" s="43">
        <v>45992</v>
      </c>
      <c r="B30" s="462">
        <v>96.3108</v>
      </c>
      <c r="C30" s="51" t="s">
        <v>200</v>
      </c>
      <c r="D30" s="50">
        <f t="shared" ca="1" si="7"/>
        <v>96.310313986477453</v>
      </c>
      <c r="E30" s="51">
        <f t="shared" ca="1" si="8"/>
        <v>3.6896860135225404</v>
      </c>
      <c r="F30" s="343">
        <f t="shared" ca="1" si="9"/>
        <v>-4.8601352254706853E-4</v>
      </c>
      <c r="G30" s="259">
        <f t="shared" si="11"/>
        <v>46008</v>
      </c>
      <c r="H30" s="256">
        <v>46099</v>
      </c>
      <c r="I30" s="262">
        <f t="shared" si="12"/>
        <v>91</v>
      </c>
      <c r="J30" s="267">
        <f>MATCH(G30,'DAILY EXTRAPOLATION'!C:C,1)</f>
        <v>2210</v>
      </c>
      <c r="K30" s="268">
        <f>MATCH(H30,'DAILY EXTRAPOLATION'!C:C,1)-1</f>
        <v>2300</v>
      </c>
      <c r="L30" s="277" t="str">
        <f t="shared" si="5"/>
        <v>'daily extrapolation'!$N$2210:$N$2300</v>
      </c>
      <c r="M30" s="271">
        <f t="shared" ca="1" si="10"/>
        <v>1.0093267063119598</v>
      </c>
    </row>
    <row r="31" spans="1:13">
      <c r="A31" s="38">
        <v>46023</v>
      </c>
      <c r="B31" s="338">
        <v>96.333100000000002</v>
      </c>
      <c r="C31" s="41" t="s">
        <v>200</v>
      </c>
      <c r="D31" s="40">
        <f t="shared" ref="D31:D42" ca="1" si="13">100-E31</f>
        <v>96.332985313038989</v>
      </c>
      <c r="E31" s="41">
        <f t="shared" ref="E31:E42" ca="1" si="14">(M31-1)*(360/I31)*100</f>
        <v>3.6670146869610036</v>
      </c>
      <c r="F31" s="344">
        <f t="shared" ref="F31:F42" ca="1" si="15">D31-B31</f>
        <v>-1.1468696101246678E-4</v>
      </c>
      <c r="G31" s="257">
        <f>H28</f>
        <v>46043</v>
      </c>
      <c r="H31" s="254">
        <v>46127</v>
      </c>
      <c r="I31" s="260">
        <f t="shared" ref="I31:I42" si="16">H31-G31</f>
        <v>84</v>
      </c>
      <c r="J31" s="263">
        <f>MATCH(G31,'DAILY EXTRAPOLATION'!C:C,1)</f>
        <v>2245</v>
      </c>
      <c r="K31" s="264">
        <f>MATCH(H31,'DAILY EXTRAPOLATION'!C:C,1)-1</f>
        <v>2328</v>
      </c>
      <c r="L31" s="274" t="str">
        <f t="shared" si="5"/>
        <v>'daily extrapolation'!$N$2245:$N$2328</v>
      </c>
      <c r="M31" s="49">
        <f t="shared" ref="M31:M42" ca="1" si="17">PRODUCT(INDIRECT(L31))</f>
        <v>1.008556367602909</v>
      </c>
    </row>
    <row r="32" spans="1:13">
      <c r="A32" s="38">
        <v>46054</v>
      </c>
      <c r="B32" s="338">
        <v>96.346000000000004</v>
      </c>
      <c r="C32" s="41" t="s">
        <v>200</v>
      </c>
      <c r="D32" s="40">
        <f t="shared" ca="1" si="13"/>
        <v>96.345888142539181</v>
      </c>
      <c r="E32" s="41">
        <f t="shared" ca="1" si="14"/>
        <v>3.6541118574608249</v>
      </c>
      <c r="F32" s="344">
        <f ca="1">D32-B32</f>
        <v>-1.1185746082276182E-4</v>
      </c>
      <c r="G32" s="257">
        <f>H29</f>
        <v>46071</v>
      </c>
      <c r="H32" s="254">
        <v>46162</v>
      </c>
      <c r="I32" s="260">
        <f t="shared" si="16"/>
        <v>91</v>
      </c>
      <c r="J32" s="263">
        <f>MATCH(G32,'DAILY EXTRAPOLATION'!C:C,1)</f>
        <v>2273</v>
      </c>
      <c r="K32" s="264">
        <f>MATCH(H32,'DAILY EXTRAPOLATION'!C:C,1)-1</f>
        <v>2363</v>
      </c>
      <c r="L32" s="274" t="str">
        <f t="shared" si="5"/>
        <v>'daily extrapolation'!$N$2273:$N$2363</v>
      </c>
      <c r="M32" s="49">
        <f t="shared" ca="1" si="17"/>
        <v>1.0092367827508038</v>
      </c>
    </row>
    <row r="33" spans="1:13">
      <c r="A33" s="32">
        <v>46082</v>
      </c>
      <c r="B33" s="338">
        <v>96.363600000000005</v>
      </c>
      <c r="C33" s="41" t="s">
        <v>200</v>
      </c>
      <c r="D33" s="33">
        <f t="shared" ca="1" si="13"/>
        <v>96.36353033262013</v>
      </c>
      <c r="E33" s="34">
        <f t="shared" ca="1" si="14"/>
        <v>3.6364696673798687</v>
      </c>
      <c r="F33" s="344">
        <f t="shared" ca="1" si="15"/>
        <v>-6.9667379875681945E-5</v>
      </c>
      <c r="G33" s="258">
        <f t="shared" ref="G33:G42" si="18">H30</f>
        <v>46099</v>
      </c>
      <c r="H33" s="255">
        <v>46190</v>
      </c>
      <c r="I33" s="351">
        <f t="shared" si="16"/>
        <v>91</v>
      </c>
      <c r="J33" s="321">
        <f>MATCH(G33,'DAILY EXTRAPOLATION'!C:C,1)</f>
        <v>2301</v>
      </c>
      <c r="K33" s="266">
        <f>MATCH(H33,'DAILY EXTRAPOLATION'!C:C,1)-1</f>
        <v>2391</v>
      </c>
      <c r="L33" s="275" t="str">
        <f>_xlfn.CONCAT(ADDRESS(J33,14,1,1,"daily extrapolation"),":",ADDRESS(K33,14))</f>
        <v>'daily extrapolation'!$N$2301:$N$2391</v>
      </c>
      <c r="M33" s="276">
        <f t="shared" ca="1" si="17"/>
        <v>1.0091921872147658</v>
      </c>
    </row>
    <row r="34" spans="1:13">
      <c r="A34" s="38">
        <v>46113</v>
      </c>
      <c r="B34" s="338">
        <v>96.368799999999993</v>
      </c>
      <c r="C34" s="41" t="s">
        <v>200</v>
      </c>
      <c r="D34" s="40">
        <f t="shared" ca="1" si="13"/>
        <v>96.36875345987751</v>
      </c>
      <c r="E34" s="41">
        <f t="shared" ca="1" si="14"/>
        <v>3.631246540122484</v>
      </c>
      <c r="F34" s="318">
        <f t="shared" ca="1" si="15"/>
        <v>-4.6540122482952029E-5</v>
      </c>
      <c r="G34" s="257">
        <f t="shared" si="18"/>
        <v>46127</v>
      </c>
      <c r="H34" s="254">
        <v>46218</v>
      </c>
      <c r="I34" s="260">
        <f t="shared" si="16"/>
        <v>91</v>
      </c>
      <c r="J34" s="263">
        <f>MATCH(G34,'DAILY EXTRAPOLATION'!C:C,1)</f>
        <v>2329</v>
      </c>
      <c r="K34" s="264">
        <f>MATCH(H34,'DAILY EXTRAPOLATION'!C:C,1)-1</f>
        <v>2419</v>
      </c>
      <c r="L34" s="274" t="str">
        <f t="shared" si="5"/>
        <v>'daily extrapolation'!$N$2329:$N$2419</v>
      </c>
      <c r="M34" s="49">
        <f t="shared" ca="1" si="17"/>
        <v>1.0091789843097541</v>
      </c>
    </row>
    <row r="35" spans="1:13">
      <c r="A35" s="38">
        <v>46143</v>
      </c>
      <c r="B35" s="338">
        <v>96.364099999999993</v>
      </c>
      <c r="C35" s="41" t="s">
        <v>200</v>
      </c>
      <c r="D35" s="40">
        <f t="shared" ca="1" si="13"/>
        <v>96.364096340478469</v>
      </c>
      <c r="E35" s="41">
        <f t="shared" ca="1" si="14"/>
        <v>3.6359036595215279</v>
      </c>
      <c r="F35" s="318">
        <f t="shared" ca="1" si="15"/>
        <v>-3.659521524923548E-6</v>
      </c>
      <c r="G35" s="257">
        <f t="shared" si="18"/>
        <v>46162</v>
      </c>
      <c r="H35" s="254">
        <v>46253</v>
      </c>
      <c r="I35" s="260">
        <f t="shared" si="16"/>
        <v>91</v>
      </c>
      <c r="J35" s="263">
        <f>MATCH(G35,'DAILY EXTRAPOLATION'!C:C,1)</f>
        <v>2364</v>
      </c>
      <c r="K35" s="264">
        <f>MATCH(H35,'DAILY EXTRAPOLATION'!C:C,1)-1</f>
        <v>2454</v>
      </c>
      <c r="L35" s="274" t="str">
        <f t="shared" si="5"/>
        <v>'daily extrapolation'!$N$2364:$N$2454</v>
      </c>
      <c r="M35" s="49">
        <f t="shared" ca="1" si="17"/>
        <v>1.0091907564726794</v>
      </c>
    </row>
    <row r="36" spans="1:13">
      <c r="A36" s="32">
        <f>+OUTPUT!A3</f>
        <v>46174</v>
      </c>
      <c r="B36" s="33">
        <f>OUTPUT!H3</f>
        <v>96.355000000000004</v>
      </c>
      <c r="C36" s="34">
        <f>OUTPUT!I3</f>
        <v>3.644999999999996</v>
      </c>
      <c r="D36" s="33">
        <f t="shared" ca="1" si="13"/>
        <v>96.354292543989033</v>
      </c>
      <c r="E36" s="34">
        <f t="shared" ca="1" si="14"/>
        <v>3.6457074560109679</v>
      </c>
      <c r="F36" s="319">
        <f t="shared" ca="1" si="15"/>
        <v>-7.0745601097144117E-4</v>
      </c>
      <c r="G36" s="258">
        <f t="shared" si="18"/>
        <v>46190</v>
      </c>
      <c r="H36" s="255">
        <v>46281</v>
      </c>
      <c r="I36" s="351">
        <f t="shared" si="16"/>
        <v>91</v>
      </c>
      <c r="J36" s="265">
        <f>MATCH(G36,'DAILY EXTRAPOLATION'!C:C,1)</f>
        <v>2392</v>
      </c>
      <c r="K36" s="266">
        <f>MATCH(H36,'DAILY EXTRAPOLATION'!C:C,1)-1</f>
        <v>2482</v>
      </c>
      <c r="L36" s="275" t="str">
        <f t="shared" si="5"/>
        <v>'daily extrapolation'!$N$2392:$N$2482</v>
      </c>
      <c r="M36" s="276">
        <f t="shared" ca="1" si="17"/>
        <v>1.0092155382915833</v>
      </c>
    </row>
    <row r="37" spans="1:13">
      <c r="A37" s="38">
        <f>+OUTPUT!A4</f>
        <v>46204</v>
      </c>
      <c r="B37" s="40">
        <f>OUTPUT!H4</f>
        <v>96.314999999999998</v>
      </c>
      <c r="C37" s="41">
        <f>OUTPUT!I4</f>
        <v>3.6850000000000023</v>
      </c>
      <c r="D37" s="44">
        <f t="shared" ca="1" si="13"/>
        <v>96.306806059755928</v>
      </c>
      <c r="E37" s="45">
        <f t="shared" ca="1" si="14"/>
        <v>3.6931939402440688</v>
      </c>
      <c r="F37" s="318">
        <f t="shared" ca="1" si="15"/>
        <v>-8.1939402440696085E-3</v>
      </c>
      <c r="G37" s="257">
        <f t="shared" si="18"/>
        <v>46218</v>
      </c>
      <c r="H37" s="254">
        <v>46316</v>
      </c>
      <c r="I37" s="260">
        <f t="shared" si="16"/>
        <v>98</v>
      </c>
      <c r="J37" s="263">
        <f>MATCH(G37,'DAILY EXTRAPOLATION'!C:C,1)</f>
        <v>2420</v>
      </c>
      <c r="K37" s="264">
        <f>MATCH(H37,'DAILY EXTRAPOLATION'!C:C,1)-1</f>
        <v>2517</v>
      </c>
      <c r="L37" s="274" t="str">
        <f t="shared" si="5"/>
        <v>'daily extrapolation'!$N$2420:$N$2517</v>
      </c>
      <c r="M37" s="49">
        <f t="shared" ca="1" si="17"/>
        <v>1.0100536946151089</v>
      </c>
    </row>
    <row r="38" spans="1:13">
      <c r="A38" s="38">
        <f>+OUTPUT!A5</f>
        <v>46235</v>
      </c>
      <c r="B38" s="40">
        <f>OUTPUT!H5</f>
        <v>96.26</v>
      </c>
      <c r="C38" s="41">
        <f>OUTPUT!I5</f>
        <v>3.7399999999999949</v>
      </c>
      <c r="D38" s="44">
        <f t="shared" ca="1" si="13"/>
        <v>96.254693384882913</v>
      </c>
      <c r="E38" s="45">
        <f t="shared" ca="1" si="14"/>
        <v>3.7453066151170811</v>
      </c>
      <c r="F38" s="318">
        <f t="shared" ca="1" si="15"/>
        <v>-5.3066151170924059E-3</v>
      </c>
      <c r="G38" s="257">
        <f t="shared" si="18"/>
        <v>46253</v>
      </c>
      <c r="H38" s="254">
        <v>46344</v>
      </c>
      <c r="I38" s="260">
        <f t="shared" si="16"/>
        <v>91</v>
      </c>
      <c r="J38" s="263">
        <f>MATCH(G38,'DAILY EXTRAPOLATION'!C:C,1)</f>
        <v>2455</v>
      </c>
      <c r="K38" s="264">
        <f>MATCH(H38,'DAILY EXTRAPOLATION'!C:C,1)-1</f>
        <v>2545</v>
      </c>
      <c r="L38" s="274" t="str">
        <f t="shared" si="5"/>
        <v>'daily extrapolation'!$N$2455:$N$2545</v>
      </c>
      <c r="M38" s="49">
        <f t="shared" ca="1" si="17"/>
        <v>1.0094673028326571</v>
      </c>
    </row>
    <row r="39" spans="1:13">
      <c r="A39" s="32">
        <f>+OUTPUT!A6</f>
        <v>46266</v>
      </c>
      <c r="B39" s="33">
        <f>OUTPUT!H6</f>
        <v>96.197500000000005</v>
      </c>
      <c r="C39" s="34">
        <f>OUTPUT!I6</f>
        <v>3.8024999999999949</v>
      </c>
      <c r="D39" s="33">
        <f t="shared" ca="1" si="13"/>
        <v>96.194297608716838</v>
      </c>
      <c r="E39" s="34">
        <f t="shared" ca="1" si="14"/>
        <v>3.8057023912831602</v>
      </c>
      <c r="F39" s="319">
        <f t="shared" ca="1" si="15"/>
        <v>-3.2023912831675716E-3</v>
      </c>
      <c r="G39" s="258">
        <f t="shared" si="18"/>
        <v>46281</v>
      </c>
      <c r="H39" s="255">
        <v>46372</v>
      </c>
      <c r="I39" s="261">
        <f t="shared" si="16"/>
        <v>91</v>
      </c>
      <c r="J39" s="321">
        <f>MATCH(G39,'DAILY EXTRAPOLATION'!C:C,1)</f>
        <v>2483</v>
      </c>
      <c r="K39" s="266">
        <f>MATCH(H39,'DAILY EXTRAPOLATION'!C:C,1)-1</f>
        <v>2573</v>
      </c>
      <c r="L39" s="275" t="str">
        <f t="shared" si="5"/>
        <v>'daily extrapolation'!$N$2483:$N$2573</v>
      </c>
      <c r="M39" s="276">
        <f t="shared" ca="1" si="17"/>
        <v>1.0096199699335213</v>
      </c>
    </row>
    <row r="40" spans="1:13">
      <c r="A40" s="38">
        <f>+OUTPUT!A7</f>
        <v>46296</v>
      </c>
      <c r="B40" s="40">
        <f>OUTPUT!H7</f>
        <v>96.13</v>
      </c>
      <c r="C40" s="41">
        <f>OUTPUT!I7</f>
        <v>3.8700000000000045</v>
      </c>
      <c r="D40" s="44">
        <f t="shared" ca="1" si="13"/>
        <v>96.819981128853314</v>
      </c>
      <c r="E40" s="45">
        <f t="shared" ca="1" si="14"/>
        <v>3.1800188711466815</v>
      </c>
      <c r="F40" s="318">
        <f t="shared" ca="1" si="15"/>
        <v>0.68998112885331864</v>
      </c>
      <c r="G40" s="257">
        <f t="shared" si="18"/>
        <v>46316</v>
      </c>
      <c r="H40" s="254">
        <v>46407</v>
      </c>
      <c r="I40" s="260">
        <f t="shared" si="16"/>
        <v>91</v>
      </c>
      <c r="J40" s="263">
        <f>MATCH(G40,'DAILY EXTRAPOLATION'!C:C,1)</f>
        <v>2518</v>
      </c>
      <c r="K40" s="264">
        <f>MATCH(H40,'DAILY EXTRAPOLATION'!C:C,1)-1</f>
        <v>2591</v>
      </c>
      <c r="L40" s="274" t="str">
        <f t="shared" si="5"/>
        <v>'daily extrapolation'!$N$2518:$N$2591</v>
      </c>
      <c r="M40" s="49">
        <f t="shared" ca="1" si="17"/>
        <v>1.0080383810353986</v>
      </c>
    </row>
    <row r="41" spans="1:13">
      <c r="A41" s="38">
        <f>+OUTPUT!A8</f>
        <v>46327</v>
      </c>
      <c r="B41" s="40">
        <f>OUTPUT!H8</f>
        <v>96.084999999999994</v>
      </c>
      <c r="C41" s="41">
        <f>OUTPUT!I8</f>
        <v>3.9150000000000063</v>
      </c>
      <c r="D41" s="44">
        <f t="shared" ca="1" si="13"/>
        <v>97.994463519102865</v>
      </c>
      <c r="E41" s="45">
        <f t="shared" ca="1" si="14"/>
        <v>2.0055364808971379</v>
      </c>
      <c r="F41" s="323">
        <f t="shared" ca="1" si="15"/>
        <v>1.9094635191028715</v>
      </c>
      <c r="G41" s="257">
        <f t="shared" si="18"/>
        <v>46344</v>
      </c>
      <c r="H41" s="254">
        <v>46435</v>
      </c>
      <c r="I41" s="260">
        <f t="shared" si="16"/>
        <v>91</v>
      </c>
      <c r="J41" s="288">
        <f>MATCH(G41,'DAILY EXTRAPOLATION'!C:C,1)</f>
        <v>2546</v>
      </c>
      <c r="K41" s="264">
        <f>MATCH(H41,'DAILY EXTRAPOLATION'!C:C,1)-1</f>
        <v>2591</v>
      </c>
      <c r="L41" s="274" t="str">
        <f t="shared" si="5"/>
        <v>'daily extrapolation'!$N$2546:$N$2591</v>
      </c>
      <c r="M41" s="324">
        <f t="shared" ca="1" si="17"/>
        <v>1.0050695505489344</v>
      </c>
    </row>
    <row r="42" spans="1:13">
      <c r="A42" s="43">
        <f>+OUTPUT!A9</f>
        <v>46357</v>
      </c>
      <c r="B42" s="50">
        <f>OUTPUT!H9</f>
        <v>96.045000000000002</v>
      </c>
      <c r="C42" s="51">
        <f>OUTPUT!I9</f>
        <v>3.9549999999999983</v>
      </c>
      <c r="D42" s="50">
        <f t="shared" ca="1" si="13"/>
        <v>99.178762238833897</v>
      </c>
      <c r="E42" s="51">
        <f t="shared" ca="1" si="14"/>
        <v>0.82123776116610303</v>
      </c>
      <c r="F42" s="320">
        <f t="shared" ca="1" si="15"/>
        <v>3.1337622388338957</v>
      </c>
      <c r="G42" s="259">
        <f t="shared" si="18"/>
        <v>46372</v>
      </c>
      <c r="H42" s="256">
        <v>46463</v>
      </c>
      <c r="I42" s="262">
        <f t="shared" si="16"/>
        <v>91</v>
      </c>
      <c r="J42" s="267">
        <f>MATCH(G42,'DAILY EXTRAPOLATION'!C:C,1)</f>
        <v>2574</v>
      </c>
      <c r="K42" s="268">
        <f>MATCH(H42,'DAILY EXTRAPOLATION'!C:C,1)-1</f>
        <v>2591</v>
      </c>
      <c r="L42" s="277" t="str">
        <f t="shared" si="5"/>
        <v>'daily extrapolation'!$N$2574:$N$2591</v>
      </c>
      <c r="M42" s="271">
        <f t="shared" ca="1" si="17"/>
        <v>1.0020759065629476</v>
      </c>
    </row>
    <row r="45" spans="1:13">
      <c r="G45" s="21" t="s">
        <v>130</v>
      </c>
      <c r="H45" s="17"/>
      <c r="I45" s="17"/>
      <c r="J45" s="17"/>
      <c r="K45" s="17"/>
    </row>
    <row r="46" spans="1:13" ht="30" customHeight="1">
      <c r="G46" s="474" t="s">
        <v>129</v>
      </c>
      <c r="H46" s="474"/>
      <c r="I46" s="474"/>
      <c r="J46" s="474"/>
      <c r="K46" s="474"/>
    </row>
    <row r="47" spans="1:13" ht="30" customHeight="1">
      <c r="G47" s="474"/>
      <c r="H47" s="474"/>
      <c r="I47" s="474"/>
      <c r="J47" s="474"/>
      <c r="K47" s="474"/>
    </row>
    <row r="48" spans="1:13" ht="30" customHeight="1">
      <c r="G48" s="474"/>
      <c r="H48" s="474"/>
      <c r="I48" s="474"/>
      <c r="J48" s="474"/>
      <c r="K48" s="474"/>
    </row>
    <row r="49" spans="7:11" ht="30" customHeight="1">
      <c r="G49" s="474"/>
      <c r="H49" s="474"/>
      <c r="I49" s="474"/>
      <c r="J49" s="474"/>
      <c r="K49" s="474"/>
    </row>
  </sheetData>
  <sortState xmlns:xlrd2="http://schemas.microsoft.com/office/spreadsheetml/2017/richdata2" ref="A3:N18">
    <sortCondition sortBy="cellColor" ref="A4:A18"/>
  </sortState>
  <mergeCells count="6">
    <mergeCell ref="L1:M1"/>
    <mergeCell ref="B1:C1"/>
    <mergeCell ref="G46:K49"/>
    <mergeCell ref="G1:H1"/>
    <mergeCell ref="J1:K1"/>
    <mergeCell ref="D1:E1"/>
  </mergeCells>
  <hyperlinks>
    <hyperlink ref="N1" r:id="rId1" xr:uid="{10D87EBD-B1E3-43D0-8254-67045E4829E0}"/>
    <hyperlink ref="N2" r:id="rId2" display="https://www.cmegroup.com/markets/interest-rates/stirs/three-month-sofr.calendar.html" xr:uid="{51405A44-B1DF-4689-A837-3C7B6320D00D}"/>
  </hyperlinks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C12EC-953C-204A-8CFA-CDC32D8AFA4B}">
  <sheetPr codeName="Sheet3"/>
  <dimension ref="A1:T43"/>
  <sheetViews>
    <sheetView zoomScale="75" zoomScaleNormal="75" workbookViewId="0">
      <selection activeCell="E34" sqref="E34"/>
    </sheetView>
  </sheetViews>
  <sheetFormatPr defaultColWidth="19.625" defaultRowHeight="15"/>
  <cols>
    <col min="1" max="1" width="19.625" style="17"/>
    <col min="2" max="3" width="12.125" style="17" bestFit="1" customWidth="1"/>
    <col min="4" max="4" width="13.25" style="17" bestFit="1" customWidth="1"/>
    <col min="5" max="5" width="13.75" style="17" bestFit="1" customWidth="1"/>
    <col min="6" max="7" width="13.25" style="17" bestFit="1" customWidth="1"/>
    <col min="8" max="10" width="9.375" style="17" customWidth="1"/>
    <col min="11" max="11" width="9" style="17" customWidth="1"/>
    <col min="12" max="12" width="17.875" style="17" customWidth="1"/>
    <col min="13" max="19" width="14" style="17" customWidth="1"/>
    <col min="20" max="16384" width="19.625" style="17"/>
  </cols>
  <sheetData>
    <row r="1" spans="1:20" ht="16.5" thickBot="1">
      <c r="A1" s="68" t="s">
        <v>41</v>
      </c>
      <c r="I1" s="123" t="s">
        <v>23</v>
      </c>
      <c r="J1" s="124" t="s">
        <v>0</v>
      </c>
      <c r="L1" s="350" t="s">
        <v>9</v>
      </c>
    </row>
    <row r="2" spans="1:20" ht="15.75">
      <c r="A2" s="68" t="s">
        <v>42</v>
      </c>
      <c r="I2" s="125">
        <v>0</v>
      </c>
      <c r="J2" s="126" t="s">
        <v>1</v>
      </c>
      <c r="L2" s="350" t="s">
        <v>16</v>
      </c>
    </row>
    <row r="3" spans="1:20">
      <c r="I3" s="128">
        <v>1</v>
      </c>
      <c r="J3" s="129" t="s">
        <v>2</v>
      </c>
      <c r="L3" s="68" t="s">
        <v>17</v>
      </c>
    </row>
    <row r="4" spans="1:20">
      <c r="I4" s="128">
        <v>2</v>
      </c>
      <c r="J4" s="129" t="s">
        <v>3</v>
      </c>
    </row>
    <row r="5" spans="1:20" ht="18">
      <c r="A5" s="14" t="s">
        <v>149</v>
      </c>
      <c r="B5" s="14">
        <v>2021</v>
      </c>
      <c r="C5" s="14">
        <v>2022</v>
      </c>
      <c r="D5" s="14">
        <f>C5+1</f>
        <v>2023</v>
      </c>
      <c r="E5" s="14">
        <f>D5+1</f>
        <v>2024</v>
      </c>
      <c r="F5" s="14">
        <f>E5+1</f>
        <v>2025</v>
      </c>
      <c r="G5" s="14">
        <f>F5+1</f>
        <v>2026</v>
      </c>
      <c r="I5" s="128">
        <v>3</v>
      </c>
      <c r="J5" s="129" t="s">
        <v>4</v>
      </c>
      <c r="L5" s="14" t="s">
        <v>148</v>
      </c>
      <c r="M5" s="158">
        <v>2020</v>
      </c>
      <c r="N5" s="158">
        <v>2021</v>
      </c>
      <c r="O5" s="158">
        <v>2022</v>
      </c>
      <c r="P5" s="158">
        <v>2023</v>
      </c>
      <c r="Q5" s="158">
        <v>2024</v>
      </c>
      <c r="R5" s="158">
        <v>2025</v>
      </c>
      <c r="S5" s="158">
        <v>2026</v>
      </c>
    </row>
    <row r="6" spans="1:20" ht="18">
      <c r="A6" s="21" t="s">
        <v>46</v>
      </c>
      <c r="B6" s="157">
        <v>44197</v>
      </c>
      <c r="C6" s="157" t="s">
        <v>120</v>
      </c>
      <c r="D6" s="157">
        <v>44928</v>
      </c>
      <c r="E6" s="157">
        <v>45292</v>
      </c>
      <c r="F6" s="157">
        <v>45658</v>
      </c>
      <c r="G6" s="157">
        <v>46023</v>
      </c>
      <c r="I6" s="128">
        <v>4</v>
      </c>
      <c r="J6" s="129" t="s">
        <v>5</v>
      </c>
      <c r="L6" s="159" t="s">
        <v>10</v>
      </c>
      <c r="M6" s="155" t="s">
        <v>11</v>
      </c>
      <c r="N6" s="155" t="s">
        <v>124</v>
      </c>
      <c r="O6" s="155" t="s">
        <v>122</v>
      </c>
      <c r="P6" s="155">
        <v>31</v>
      </c>
      <c r="Q6" s="155" t="s">
        <v>179</v>
      </c>
      <c r="R6" s="155" t="s">
        <v>11</v>
      </c>
      <c r="S6" s="155" t="s">
        <v>132</v>
      </c>
    </row>
    <row r="7" spans="1:20" ht="18">
      <c r="A7" s="21" t="s">
        <v>45</v>
      </c>
      <c r="B7" s="157">
        <v>44214</v>
      </c>
      <c r="C7" s="157">
        <v>44578</v>
      </c>
      <c r="D7" s="157">
        <v>44942</v>
      </c>
      <c r="E7" s="157">
        <v>45306</v>
      </c>
      <c r="F7" s="157">
        <v>45677</v>
      </c>
      <c r="G7" s="157">
        <v>46041</v>
      </c>
      <c r="I7" s="128">
        <v>5</v>
      </c>
      <c r="J7" s="129" t="s">
        <v>6</v>
      </c>
      <c r="L7" s="159" t="s">
        <v>131</v>
      </c>
      <c r="M7" s="155"/>
      <c r="N7" s="155"/>
      <c r="O7" s="155"/>
      <c r="P7" s="155">
        <v>1</v>
      </c>
      <c r="Q7" s="155"/>
      <c r="R7" s="155"/>
      <c r="S7" s="155"/>
    </row>
    <row r="8" spans="1:20" ht="18.75" thickBot="1">
      <c r="A8" s="21" t="s">
        <v>47</v>
      </c>
      <c r="B8" s="157">
        <v>44242</v>
      </c>
      <c r="C8" s="157">
        <v>44613</v>
      </c>
      <c r="D8" s="157">
        <v>44977</v>
      </c>
      <c r="E8" s="157">
        <v>45341</v>
      </c>
      <c r="F8" s="157">
        <v>45705</v>
      </c>
      <c r="G8" s="157">
        <v>46069</v>
      </c>
      <c r="I8" s="130">
        <v>6</v>
      </c>
      <c r="J8" s="131" t="s">
        <v>7</v>
      </c>
      <c r="L8" s="159" t="s">
        <v>139</v>
      </c>
      <c r="M8" s="155" t="s">
        <v>143</v>
      </c>
      <c r="N8" s="155" t="s">
        <v>144</v>
      </c>
      <c r="O8" s="155" t="s">
        <v>133</v>
      </c>
      <c r="P8" s="155" t="s">
        <v>135</v>
      </c>
      <c r="Q8" s="155" t="s">
        <v>163</v>
      </c>
      <c r="R8" s="155" t="s">
        <v>211</v>
      </c>
      <c r="S8" s="155" t="s">
        <v>143</v>
      </c>
    </row>
    <row r="9" spans="1:20" ht="18">
      <c r="A9" s="21" t="s">
        <v>229</v>
      </c>
      <c r="B9" s="157">
        <v>44288</v>
      </c>
      <c r="C9" s="157">
        <v>44666</v>
      </c>
      <c r="D9" s="387">
        <v>45023</v>
      </c>
      <c r="E9" s="387">
        <v>45380</v>
      </c>
      <c r="F9" s="387">
        <v>45765</v>
      </c>
      <c r="G9" s="387">
        <v>46115</v>
      </c>
      <c r="L9" s="159" t="s">
        <v>12</v>
      </c>
      <c r="M9" s="155" t="s">
        <v>11</v>
      </c>
      <c r="N9" s="155" t="s">
        <v>132</v>
      </c>
      <c r="O9" s="155"/>
      <c r="P9" s="155"/>
      <c r="Q9" s="155">
        <v>30</v>
      </c>
      <c r="R9" s="155"/>
      <c r="S9" s="155" t="s">
        <v>11</v>
      </c>
    </row>
    <row r="10" spans="1:20" ht="18.75" thickBot="1">
      <c r="A10" s="21" t="s">
        <v>48</v>
      </c>
      <c r="B10" s="157">
        <v>44347</v>
      </c>
      <c r="C10" s="157">
        <v>44711</v>
      </c>
      <c r="D10" s="157">
        <v>45075</v>
      </c>
      <c r="E10" s="157">
        <v>45439</v>
      </c>
      <c r="F10" s="157">
        <v>45803</v>
      </c>
      <c r="G10" s="157">
        <v>46167</v>
      </c>
      <c r="L10" s="159" t="s">
        <v>123</v>
      </c>
      <c r="M10" s="155"/>
      <c r="N10" s="155"/>
      <c r="O10" s="155" t="s">
        <v>125</v>
      </c>
      <c r="P10" s="239" t="s">
        <v>138</v>
      </c>
      <c r="Q10" s="239">
        <v>1</v>
      </c>
      <c r="R10" s="239" t="s">
        <v>180</v>
      </c>
      <c r="S10" s="239"/>
      <c r="T10" s="136"/>
    </row>
    <row r="11" spans="1:20" ht="18.75" thickBot="1">
      <c r="A11" s="21" t="s">
        <v>121</v>
      </c>
      <c r="B11" s="157" t="s">
        <v>120</v>
      </c>
      <c r="C11" s="157">
        <v>44732</v>
      </c>
      <c r="D11" s="157">
        <v>45096</v>
      </c>
      <c r="E11" s="157">
        <v>45462</v>
      </c>
      <c r="F11" s="157">
        <v>45827</v>
      </c>
      <c r="G11" s="157">
        <v>46192</v>
      </c>
      <c r="I11" s="123" t="s">
        <v>67</v>
      </c>
      <c r="J11" s="124" t="s">
        <v>150</v>
      </c>
      <c r="L11" s="159" t="s">
        <v>140</v>
      </c>
      <c r="M11" s="156" t="s">
        <v>147</v>
      </c>
      <c r="N11" s="155" t="s">
        <v>133</v>
      </c>
      <c r="O11" s="155" t="s">
        <v>137</v>
      </c>
      <c r="P11" s="155" t="s">
        <v>146</v>
      </c>
      <c r="Q11" s="155" t="s">
        <v>178</v>
      </c>
      <c r="R11" s="155" t="s">
        <v>143</v>
      </c>
      <c r="S11" s="155" t="s">
        <v>144</v>
      </c>
    </row>
    <row r="12" spans="1:20" ht="18">
      <c r="A12" s="21" t="s">
        <v>49</v>
      </c>
      <c r="B12" s="157">
        <v>44382</v>
      </c>
      <c r="C12" s="157">
        <v>44746</v>
      </c>
      <c r="D12" s="157">
        <v>45111</v>
      </c>
      <c r="E12" s="157">
        <v>45477</v>
      </c>
      <c r="F12" s="157">
        <v>45842</v>
      </c>
      <c r="G12" s="157">
        <v>46206</v>
      </c>
      <c r="I12" s="125">
        <v>1</v>
      </c>
      <c r="J12" s="126">
        <v>31</v>
      </c>
      <c r="L12" s="159" t="s">
        <v>13</v>
      </c>
      <c r="M12" s="155" t="s">
        <v>11</v>
      </c>
      <c r="N12" s="155" t="s">
        <v>132</v>
      </c>
      <c r="O12" s="155" t="s">
        <v>124</v>
      </c>
      <c r="P12" s="155" t="s">
        <v>122</v>
      </c>
      <c r="Q12" s="155" t="s">
        <v>179</v>
      </c>
      <c r="R12" s="155" t="s">
        <v>209</v>
      </c>
      <c r="S12" s="155" t="s">
        <v>11</v>
      </c>
    </row>
    <row r="13" spans="1:20" ht="18">
      <c r="A13" s="21" t="s">
        <v>50</v>
      </c>
      <c r="B13" s="157">
        <v>44445</v>
      </c>
      <c r="C13" s="157">
        <v>44809</v>
      </c>
      <c r="D13" s="157">
        <v>45173</v>
      </c>
      <c r="E13" s="157">
        <v>45537</v>
      </c>
      <c r="F13" s="157">
        <v>45901</v>
      </c>
      <c r="G13" s="157">
        <v>46272</v>
      </c>
      <c r="I13" s="128">
        <f>I12+1</f>
        <v>2</v>
      </c>
      <c r="J13" s="129">
        <v>28</v>
      </c>
      <c r="L13" s="159" t="s">
        <v>134</v>
      </c>
      <c r="M13" s="155"/>
      <c r="N13" s="155"/>
      <c r="O13" s="155"/>
      <c r="P13" s="155"/>
      <c r="Q13" s="155"/>
      <c r="R13" s="155"/>
      <c r="S13" s="155"/>
    </row>
    <row r="14" spans="1:20" ht="18">
      <c r="A14" s="21" t="s">
        <v>55</v>
      </c>
      <c r="B14" s="157">
        <v>44480</v>
      </c>
      <c r="C14" s="157">
        <v>44844</v>
      </c>
      <c r="D14" s="157">
        <v>45208</v>
      </c>
      <c r="E14" s="157">
        <v>45579</v>
      </c>
      <c r="F14" s="157">
        <v>45943</v>
      </c>
      <c r="G14" s="157">
        <v>46307</v>
      </c>
      <c r="I14" s="128">
        <f t="shared" ref="I14:I23" si="0">I13+1</f>
        <v>3</v>
      </c>
      <c r="J14" s="129">
        <v>31</v>
      </c>
      <c r="L14" s="159" t="s">
        <v>141</v>
      </c>
      <c r="M14" s="155" t="s">
        <v>133</v>
      </c>
      <c r="N14" s="155" t="s">
        <v>135</v>
      </c>
      <c r="O14" s="155" t="s">
        <v>145</v>
      </c>
      <c r="P14" s="155" t="s">
        <v>163</v>
      </c>
      <c r="Q14" s="155" t="s">
        <v>143</v>
      </c>
      <c r="R14" s="155" t="s">
        <v>144</v>
      </c>
      <c r="S14" s="155" t="s">
        <v>133</v>
      </c>
    </row>
    <row r="15" spans="1:20" ht="18">
      <c r="A15" s="21" t="s">
        <v>54</v>
      </c>
      <c r="B15" s="157">
        <v>44511</v>
      </c>
      <c r="C15" s="157">
        <v>44876</v>
      </c>
      <c r="D15" s="157" t="s">
        <v>120</v>
      </c>
      <c r="E15" s="157">
        <v>45607</v>
      </c>
      <c r="F15" s="157">
        <v>45972</v>
      </c>
      <c r="G15" s="157">
        <v>46337</v>
      </c>
      <c r="I15" s="128">
        <f t="shared" si="0"/>
        <v>4</v>
      </c>
      <c r="J15" s="129">
        <v>30</v>
      </c>
      <c r="L15" s="159" t="s">
        <v>136</v>
      </c>
      <c r="M15" s="18"/>
      <c r="N15" s="18"/>
      <c r="O15" s="18"/>
      <c r="P15" s="240">
        <v>31</v>
      </c>
      <c r="Q15" s="240"/>
      <c r="R15" s="240" t="s">
        <v>11</v>
      </c>
      <c r="S15" s="240" t="s">
        <v>132</v>
      </c>
    </row>
    <row r="16" spans="1:20" ht="18">
      <c r="A16" s="21" t="s">
        <v>51</v>
      </c>
      <c r="B16" s="157">
        <v>44525</v>
      </c>
      <c r="C16" s="157">
        <v>44889</v>
      </c>
      <c r="D16" s="157">
        <v>45253</v>
      </c>
      <c r="E16" s="157">
        <v>45624</v>
      </c>
      <c r="F16" s="157">
        <v>45988</v>
      </c>
      <c r="G16" s="157">
        <v>46352</v>
      </c>
      <c r="I16" s="128">
        <f t="shared" si="0"/>
        <v>5</v>
      </c>
      <c r="J16" s="129">
        <v>31</v>
      </c>
      <c r="L16" s="159" t="s">
        <v>14</v>
      </c>
      <c r="M16" s="156" t="s">
        <v>61</v>
      </c>
      <c r="N16" s="156" t="s">
        <v>138</v>
      </c>
      <c r="O16" s="156" t="s">
        <v>126</v>
      </c>
      <c r="P16" s="241">
        <v>1</v>
      </c>
      <c r="Q16" s="241" t="s">
        <v>180</v>
      </c>
      <c r="R16" s="241"/>
      <c r="S16" s="241"/>
    </row>
    <row r="17" spans="1:19" ht="18">
      <c r="A17" s="21" t="s">
        <v>52</v>
      </c>
      <c r="B17" s="157">
        <v>44554</v>
      </c>
      <c r="C17" s="157">
        <v>44921</v>
      </c>
      <c r="D17" s="157">
        <v>45285</v>
      </c>
      <c r="E17" s="157">
        <v>45651</v>
      </c>
      <c r="F17" s="157">
        <v>46016</v>
      </c>
      <c r="G17" s="157">
        <v>46381</v>
      </c>
      <c r="I17" s="128">
        <f t="shared" si="0"/>
        <v>6</v>
      </c>
      <c r="J17" s="129">
        <v>30</v>
      </c>
      <c r="L17" s="159" t="s">
        <v>142</v>
      </c>
      <c r="M17" s="155" t="s">
        <v>133</v>
      </c>
      <c r="N17" s="155" t="s">
        <v>137</v>
      </c>
      <c r="O17" s="155" t="s">
        <v>146</v>
      </c>
      <c r="P17" s="156" t="s">
        <v>164</v>
      </c>
      <c r="Q17" s="156" t="s">
        <v>143</v>
      </c>
      <c r="R17" s="156" t="s">
        <v>147</v>
      </c>
      <c r="S17" s="156" t="s">
        <v>212</v>
      </c>
    </row>
    <row r="18" spans="1:19" ht="18">
      <c r="I18" s="128">
        <f t="shared" si="0"/>
        <v>7</v>
      </c>
      <c r="J18" s="129">
        <v>31</v>
      </c>
      <c r="L18" s="127" t="s">
        <v>15</v>
      </c>
    </row>
    <row r="19" spans="1:19">
      <c r="I19" s="128">
        <f t="shared" si="0"/>
        <v>8</v>
      </c>
      <c r="J19" s="129">
        <v>31</v>
      </c>
    </row>
    <row r="20" spans="1:19" ht="20.100000000000001" customHeight="1">
      <c r="D20" s="327" t="s">
        <v>230</v>
      </c>
      <c r="E20" s="327"/>
      <c r="F20" s="388"/>
      <c r="G20" s="347"/>
      <c r="I20" s="128">
        <f t="shared" si="0"/>
        <v>9</v>
      </c>
      <c r="J20" s="129">
        <v>30</v>
      </c>
    </row>
    <row r="21" spans="1:19" ht="18" customHeight="1">
      <c r="F21" s="347"/>
      <c r="G21" s="347"/>
      <c r="I21" s="128">
        <f t="shared" si="0"/>
        <v>10</v>
      </c>
      <c r="J21" s="129">
        <v>31</v>
      </c>
      <c r="M21" s="235"/>
    </row>
    <row r="22" spans="1:19" ht="20.25">
      <c r="F22" s="347"/>
      <c r="G22" s="347"/>
      <c r="I22" s="128">
        <f t="shared" si="0"/>
        <v>11</v>
      </c>
      <c r="J22" s="129">
        <v>30</v>
      </c>
      <c r="M22"/>
    </row>
    <row r="23" spans="1:19" ht="21" thickBot="1">
      <c r="F23" s="347"/>
      <c r="G23" s="347"/>
      <c r="I23" s="130">
        <f t="shared" si="0"/>
        <v>12</v>
      </c>
      <c r="J23" s="131">
        <v>31</v>
      </c>
      <c r="M23"/>
    </row>
    <row r="24" spans="1:19" ht="15.75">
      <c r="M24" s="235"/>
    </row>
    <row r="25" spans="1:19" ht="15.75">
      <c r="M25"/>
    </row>
    <row r="26" spans="1:19" ht="15.75">
      <c r="M26"/>
    </row>
    <row r="27" spans="1:19" ht="15.75">
      <c r="M27" s="235"/>
    </row>
    <row r="28" spans="1:19" ht="15.75">
      <c r="M28" s="236"/>
    </row>
    <row r="29" spans="1:19" ht="15.75">
      <c r="M29"/>
    </row>
    <row r="30" spans="1:19" ht="15.75">
      <c r="M30" s="235"/>
    </row>
    <row r="31" spans="1:19" ht="15.75">
      <c r="M31"/>
    </row>
    <row r="32" spans="1:19" ht="15.75">
      <c r="M32"/>
    </row>
    <row r="33" spans="13:13" ht="15.75">
      <c r="M33" s="235"/>
    </row>
    <row r="34" spans="13:13" ht="15.75">
      <c r="M34"/>
    </row>
    <row r="35" spans="13:13" ht="15.75">
      <c r="M35"/>
    </row>
    <row r="36" spans="13:13" ht="15.75">
      <c r="M36" s="235"/>
    </row>
    <row r="37" spans="13:13" ht="15.75">
      <c r="M37"/>
    </row>
    <row r="38" spans="13:13" ht="15.75">
      <c r="M38"/>
    </row>
    <row r="39" spans="13:13" ht="15.75">
      <c r="M39" s="235"/>
    </row>
    <row r="40" spans="13:13" ht="15.75">
      <c r="M40"/>
    </row>
    <row r="41" spans="13:13" ht="15.75">
      <c r="M41"/>
    </row>
    <row r="42" spans="13:13" ht="20.25">
      <c r="M42" s="237"/>
    </row>
    <row r="43" spans="13:13" ht="20.25">
      <c r="M43" s="238"/>
    </row>
  </sheetData>
  <phoneticPr fontId="5" type="noConversion"/>
  <hyperlinks>
    <hyperlink ref="L1" r:id="rId1" xr:uid="{F7E2882B-2C7C-3F41-9099-A1249496F3CA}"/>
    <hyperlink ref="L2" r:id="rId2" xr:uid="{3A7E0536-6934-3046-8F8C-70A231D768FF}"/>
    <hyperlink ref="L3" r:id="rId3" xr:uid="{30DA5ABA-A59D-E345-A40D-5A17716BB5EB}"/>
    <hyperlink ref="A1" r:id="rId4" xr:uid="{9D746C15-74D3-4B41-B898-632968C5889E}"/>
    <hyperlink ref="A2" r:id="rId5" xr:uid="{1AEA67D0-EC2E-4D46-A28E-0BA02CCA1053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F7057-E47B-B14B-9604-B4FE3A83F38B}">
  <sheetPr codeName="Sheet4"/>
  <dimension ref="A1:S55"/>
  <sheetViews>
    <sheetView workbookViewId="0">
      <selection activeCell="G43" sqref="G43"/>
    </sheetView>
  </sheetViews>
  <sheetFormatPr defaultColWidth="10.875" defaultRowHeight="15"/>
  <cols>
    <col min="1" max="1" width="12" style="21" customWidth="1"/>
    <col min="2" max="2" width="8.625" style="17" customWidth="1"/>
    <col min="3" max="3" width="14.875" style="17" customWidth="1"/>
    <col min="4" max="4" width="11.125" style="21" customWidth="1"/>
    <col min="5" max="5" width="13.5" style="17" bestFit="1" customWidth="1"/>
    <col min="6" max="6" width="13.625" style="17" bestFit="1" customWidth="1"/>
    <col min="7" max="7" width="14.875" style="18" bestFit="1" customWidth="1"/>
    <col min="8" max="8" width="15.375" style="363" bestFit="1" customWidth="1"/>
    <col min="9" max="9" width="14" style="17" bestFit="1" customWidth="1"/>
    <col min="10" max="11" width="11.5" style="17" bestFit="1" customWidth="1"/>
    <col min="12" max="12" width="17.5" style="17" bestFit="1" customWidth="1"/>
    <col min="13" max="13" width="16.625" style="17" bestFit="1" customWidth="1"/>
    <col min="14" max="17" width="10.875" style="17"/>
    <col min="18" max="18" width="35.125" style="17" bestFit="1" customWidth="1"/>
    <col min="19" max="16384" width="10.875" style="17"/>
  </cols>
  <sheetData>
    <row r="1" spans="1:19" s="445" customFormat="1">
      <c r="A1" s="442" t="s">
        <v>66</v>
      </c>
      <c r="B1" s="442" t="s">
        <v>72</v>
      </c>
      <c r="C1" s="442" t="s">
        <v>75</v>
      </c>
      <c r="D1" s="443" t="s">
        <v>67</v>
      </c>
      <c r="E1" s="443" t="s">
        <v>68</v>
      </c>
      <c r="F1" s="443" t="s">
        <v>69</v>
      </c>
      <c r="G1" s="444" t="s">
        <v>70</v>
      </c>
      <c r="H1" s="416" t="s">
        <v>73</v>
      </c>
      <c r="I1" s="416" t="s">
        <v>74</v>
      </c>
      <c r="L1" s="152"/>
      <c r="M1" s="446"/>
      <c r="N1" s="149"/>
      <c r="R1" s="149"/>
      <c r="S1" s="149"/>
    </row>
    <row r="2" spans="1:19" s="149" customFormat="1">
      <c r="A2" s="19" t="s">
        <v>65</v>
      </c>
      <c r="B2" s="20" t="s">
        <v>71</v>
      </c>
      <c r="C2" s="20" t="s">
        <v>182</v>
      </c>
      <c r="D2" s="302">
        <v>202608</v>
      </c>
      <c r="E2" s="150">
        <v>96.367500000000007</v>
      </c>
      <c r="F2" s="150">
        <v>96.37</v>
      </c>
      <c r="G2" s="151">
        <v>96.37</v>
      </c>
      <c r="H2" s="417">
        <f t="shared" ref="H2:H6" si="0">IF(F2&lt;G2,F2,IF(E2&gt;G2,E2,G2))</f>
        <v>96.37</v>
      </c>
      <c r="I2" s="148">
        <f t="shared" ref="I2:I5" si="1">100-H2</f>
        <v>3.6299999999999955</v>
      </c>
      <c r="L2" s="152"/>
      <c r="M2" s="153"/>
    </row>
    <row r="3" spans="1:19" s="149" customFormat="1">
      <c r="A3" s="19" t="s">
        <v>65</v>
      </c>
      <c r="B3" s="20" t="s">
        <v>71</v>
      </c>
      <c r="C3" s="20" t="s">
        <v>182</v>
      </c>
      <c r="D3" s="302">
        <v>202609</v>
      </c>
      <c r="E3" s="150">
        <v>96.32</v>
      </c>
      <c r="F3" s="150">
        <v>96.325000000000003</v>
      </c>
      <c r="G3" s="151">
        <v>96.32</v>
      </c>
      <c r="H3" s="417">
        <f t="shared" si="0"/>
        <v>96.32</v>
      </c>
      <c r="I3" s="148">
        <f t="shared" si="1"/>
        <v>3.6800000000000068</v>
      </c>
      <c r="L3" s="152"/>
      <c r="M3" s="153"/>
    </row>
    <row r="4" spans="1:19" s="149" customFormat="1">
      <c r="A4" s="19" t="s">
        <v>65</v>
      </c>
      <c r="B4" s="20" t="s">
        <v>71</v>
      </c>
      <c r="C4" s="20" t="s">
        <v>182</v>
      </c>
      <c r="D4" s="302">
        <v>202610</v>
      </c>
      <c r="E4" s="150">
        <v>96.265000000000001</v>
      </c>
      <c r="F4" s="150">
        <v>96.27</v>
      </c>
      <c r="G4" s="151">
        <v>96.265000000000001</v>
      </c>
      <c r="H4" s="417">
        <f t="shared" si="0"/>
        <v>96.265000000000001</v>
      </c>
      <c r="I4" s="148">
        <f t="shared" si="1"/>
        <v>3.7349999999999994</v>
      </c>
      <c r="L4" s="152"/>
      <c r="M4" s="153"/>
    </row>
    <row r="5" spans="1:19" s="149" customFormat="1">
      <c r="A5" s="19" t="s">
        <v>65</v>
      </c>
      <c r="B5" s="20" t="s">
        <v>71</v>
      </c>
      <c r="C5" s="20" t="s">
        <v>182</v>
      </c>
      <c r="D5" s="302">
        <v>202611</v>
      </c>
      <c r="E5" s="150">
        <v>96.215000000000003</v>
      </c>
      <c r="F5" s="150">
        <v>96.22</v>
      </c>
      <c r="G5" s="151">
        <v>96.215000000000003</v>
      </c>
      <c r="H5" s="417">
        <f t="shared" si="0"/>
        <v>96.215000000000003</v>
      </c>
      <c r="I5" s="148">
        <f t="shared" si="1"/>
        <v>3.7849999999999966</v>
      </c>
      <c r="L5" s="152"/>
      <c r="M5" s="153"/>
    </row>
    <row r="6" spans="1:19" s="149" customFormat="1">
      <c r="A6" s="19" t="s">
        <v>65</v>
      </c>
      <c r="B6" s="20" t="s">
        <v>71</v>
      </c>
      <c r="C6" s="20" t="s">
        <v>182</v>
      </c>
      <c r="D6" s="302">
        <v>202612</v>
      </c>
      <c r="E6" s="150">
        <v>96.14</v>
      </c>
      <c r="F6" s="150">
        <v>96.144999999999996</v>
      </c>
      <c r="G6" s="151">
        <v>96.14</v>
      </c>
      <c r="H6" s="417">
        <f t="shared" si="0"/>
        <v>96.14</v>
      </c>
      <c r="I6" s="148">
        <f>100-H6</f>
        <v>3.8599999999999994</v>
      </c>
      <c r="L6" s="152"/>
      <c r="M6" s="153"/>
    </row>
    <row r="7" spans="1:19" s="149" customFormat="1">
      <c r="A7" s="19" t="s">
        <v>65</v>
      </c>
      <c r="B7" s="20" t="s">
        <v>71</v>
      </c>
      <c r="C7" s="20" t="s">
        <v>182</v>
      </c>
      <c r="D7" s="302">
        <v>202701</v>
      </c>
      <c r="E7" s="150">
        <v>96.105000000000004</v>
      </c>
      <c r="F7" s="150">
        <v>96.11</v>
      </c>
      <c r="G7" s="151">
        <v>96.105000000000004</v>
      </c>
      <c r="H7" s="417">
        <f t="shared" ref="H7:H18" si="2">IF(F7&lt;G7,F7,IF(E7&gt;G7,E7,G7))</f>
        <v>96.105000000000004</v>
      </c>
      <c r="I7" s="148">
        <f t="shared" ref="I7:I18" si="3">100-H7</f>
        <v>3.894999999999996</v>
      </c>
      <c r="L7" s="152"/>
      <c r="M7" s="153"/>
    </row>
    <row r="8" spans="1:19" s="149" customFormat="1">
      <c r="A8" s="19" t="s">
        <v>65</v>
      </c>
      <c r="B8" s="20" t="s">
        <v>71</v>
      </c>
      <c r="C8" s="20" t="s">
        <v>182</v>
      </c>
      <c r="D8" s="302">
        <v>202702</v>
      </c>
      <c r="E8" s="150">
        <v>96.06</v>
      </c>
      <c r="F8" s="150">
        <v>96.07</v>
      </c>
      <c r="G8" s="151">
        <v>96.064999999999998</v>
      </c>
      <c r="H8" s="417">
        <f t="shared" si="2"/>
        <v>96.064999999999998</v>
      </c>
      <c r="I8" s="148">
        <f t="shared" si="3"/>
        <v>3.9350000000000023</v>
      </c>
      <c r="L8" s="152"/>
      <c r="M8" s="153"/>
    </row>
    <row r="9" spans="1:19" s="149" customFormat="1">
      <c r="A9" s="19" t="s">
        <v>65</v>
      </c>
      <c r="B9" s="20" t="s">
        <v>71</v>
      </c>
      <c r="C9" s="20" t="s">
        <v>182</v>
      </c>
      <c r="D9" s="302">
        <v>202703</v>
      </c>
      <c r="E9" s="150">
        <v>96.025000000000006</v>
      </c>
      <c r="F9" s="150">
        <v>96.034999999999997</v>
      </c>
      <c r="G9" s="151">
        <v>96.03</v>
      </c>
      <c r="H9" s="417">
        <f t="shared" si="2"/>
        <v>96.03</v>
      </c>
      <c r="I9" s="148">
        <f t="shared" si="3"/>
        <v>3.9699999999999989</v>
      </c>
      <c r="L9" s="152"/>
      <c r="M9" s="153"/>
    </row>
    <row r="10" spans="1:19" s="149" customFormat="1">
      <c r="A10" s="19" t="s">
        <v>65</v>
      </c>
      <c r="B10" s="20" t="s">
        <v>71</v>
      </c>
      <c r="C10" s="20" t="s">
        <v>182</v>
      </c>
      <c r="D10" s="302">
        <v>202704</v>
      </c>
      <c r="E10" s="150">
        <v>95.99</v>
      </c>
      <c r="F10" s="150">
        <v>95.995000000000005</v>
      </c>
      <c r="G10" s="151">
        <v>95.99</v>
      </c>
      <c r="H10" s="417">
        <f t="shared" si="2"/>
        <v>95.99</v>
      </c>
      <c r="I10" s="148">
        <f t="shared" si="3"/>
        <v>4.0100000000000051</v>
      </c>
      <c r="L10" s="152"/>
      <c r="M10" s="153"/>
    </row>
    <row r="11" spans="1:19" s="149" customFormat="1">
      <c r="A11" s="19" t="s">
        <v>65</v>
      </c>
      <c r="B11" s="20" t="s">
        <v>71</v>
      </c>
      <c r="C11" s="20" t="s">
        <v>182</v>
      </c>
      <c r="D11" s="302">
        <v>202705</v>
      </c>
      <c r="E11" s="150">
        <v>95.965000000000003</v>
      </c>
      <c r="F11" s="150">
        <v>95.97</v>
      </c>
      <c r="G11" s="151">
        <v>95.965000000000003</v>
      </c>
      <c r="H11" s="417">
        <f t="shared" si="2"/>
        <v>95.965000000000003</v>
      </c>
      <c r="I11" s="148">
        <f t="shared" si="3"/>
        <v>4.0349999999999966</v>
      </c>
      <c r="L11" s="152"/>
      <c r="M11" s="153"/>
    </row>
    <row r="12" spans="1:19" s="149" customFormat="1">
      <c r="A12" s="19" t="s">
        <v>65</v>
      </c>
      <c r="B12" s="20" t="s">
        <v>71</v>
      </c>
      <c r="C12" s="20" t="s">
        <v>182</v>
      </c>
      <c r="D12" s="302">
        <v>202706</v>
      </c>
      <c r="E12" s="150">
        <v>95.94</v>
      </c>
      <c r="F12" s="150">
        <v>95.944999999999993</v>
      </c>
      <c r="G12" s="151">
        <v>95.94</v>
      </c>
      <c r="H12" s="417">
        <f t="shared" si="2"/>
        <v>95.94</v>
      </c>
      <c r="I12" s="148">
        <f t="shared" si="3"/>
        <v>4.0600000000000023</v>
      </c>
      <c r="L12" s="152"/>
      <c r="M12" s="153"/>
    </row>
    <row r="13" spans="1:19" s="149" customFormat="1">
      <c r="A13" s="19" t="s">
        <v>65</v>
      </c>
      <c r="B13" s="20" t="s">
        <v>71</v>
      </c>
      <c r="C13" s="20" t="s">
        <v>182</v>
      </c>
      <c r="D13" s="302">
        <v>202707</v>
      </c>
      <c r="E13" s="150">
        <v>95.93</v>
      </c>
      <c r="F13" s="150">
        <v>95.935000000000002</v>
      </c>
      <c r="G13" s="151">
        <v>95.93</v>
      </c>
      <c r="H13" s="417">
        <f t="shared" si="2"/>
        <v>95.93</v>
      </c>
      <c r="I13" s="148">
        <f t="shared" si="3"/>
        <v>4.0699999999999932</v>
      </c>
      <c r="L13" s="152"/>
      <c r="M13" s="153"/>
    </row>
    <row r="14" spans="1:19" s="149" customFormat="1">
      <c r="A14" s="19" t="s">
        <v>65</v>
      </c>
      <c r="B14" s="20" t="s">
        <v>71</v>
      </c>
      <c r="C14" s="20" t="s">
        <v>182</v>
      </c>
      <c r="D14" s="302">
        <v>202708</v>
      </c>
      <c r="E14" s="150">
        <v>95.924999999999997</v>
      </c>
      <c r="F14" s="150">
        <v>95.93</v>
      </c>
      <c r="G14" s="151">
        <v>95.924999999999997</v>
      </c>
      <c r="H14" s="417">
        <f t="shared" si="2"/>
        <v>95.924999999999997</v>
      </c>
      <c r="I14" s="148">
        <f t="shared" si="3"/>
        <v>4.0750000000000028</v>
      </c>
      <c r="L14" s="152"/>
      <c r="M14" s="153"/>
    </row>
    <row r="15" spans="1:19" s="149" customFormat="1">
      <c r="A15" s="19" t="s">
        <v>65</v>
      </c>
      <c r="B15" s="20" t="s">
        <v>71</v>
      </c>
      <c r="C15" s="20" t="s">
        <v>182</v>
      </c>
      <c r="D15" s="302">
        <v>202709</v>
      </c>
      <c r="E15" s="150">
        <v>95.92</v>
      </c>
      <c r="F15" s="150">
        <v>95.93</v>
      </c>
      <c r="G15" s="151">
        <v>95.92</v>
      </c>
      <c r="H15" s="417">
        <f t="shared" si="2"/>
        <v>95.92</v>
      </c>
      <c r="I15" s="148">
        <f t="shared" si="3"/>
        <v>4.0799999999999983</v>
      </c>
      <c r="L15" s="152"/>
      <c r="M15" s="153"/>
    </row>
    <row r="16" spans="1:19" s="149" customFormat="1">
      <c r="A16" s="19" t="s">
        <v>65</v>
      </c>
      <c r="B16" s="20" t="s">
        <v>71</v>
      </c>
      <c r="C16" s="20" t="s">
        <v>182</v>
      </c>
      <c r="D16" s="302">
        <v>202710</v>
      </c>
      <c r="E16" s="150">
        <v>95.92</v>
      </c>
      <c r="F16" s="150">
        <v>95.93</v>
      </c>
      <c r="G16" s="151">
        <v>95.92</v>
      </c>
      <c r="H16" s="417">
        <f t="shared" si="2"/>
        <v>95.92</v>
      </c>
      <c r="I16" s="148">
        <f t="shared" si="3"/>
        <v>4.0799999999999983</v>
      </c>
      <c r="L16" s="152"/>
      <c r="M16" s="153"/>
    </row>
    <row r="17" spans="1:19" s="149" customFormat="1">
      <c r="A17" s="19" t="s">
        <v>65</v>
      </c>
      <c r="B17" s="20" t="s">
        <v>71</v>
      </c>
      <c r="C17" s="20" t="s">
        <v>182</v>
      </c>
      <c r="D17" s="302">
        <v>202711</v>
      </c>
      <c r="E17" s="150">
        <v>95.92</v>
      </c>
      <c r="F17" s="150">
        <v>95.935000000000002</v>
      </c>
      <c r="G17" s="151" t="s">
        <v>231</v>
      </c>
      <c r="H17" s="417">
        <f t="shared" si="2"/>
        <v>95.935000000000002</v>
      </c>
      <c r="I17" s="148">
        <f t="shared" si="3"/>
        <v>4.0649999999999977</v>
      </c>
      <c r="L17" s="152"/>
      <c r="M17" s="153"/>
    </row>
    <row r="18" spans="1:19" s="149" customFormat="1">
      <c r="A18" s="19" t="s">
        <v>65</v>
      </c>
      <c r="B18" s="20" t="s">
        <v>71</v>
      </c>
      <c r="C18" s="20" t="s">
        <v>182</v>
      </c>
      <c r="D18" s="302">
        <v>202712</v>
      </c>
      <c r="E18" s="150">
        <v>95.924999999999997</v>
      </c>
      <c r="F18" s="150">
        <v>95.95</v>
      </c>
      <c r="G18" s="151" t="s">
        <v>231</v>
      </c>
      <c r="H18" s="417">
        <f t="shared" si="2"/>
        <v>95.95</v>
      </c>
      <c r="I18" s="148">
        <f t="shared" si="3"/>
        <v>4.0499999999999972</v>
      </c>
      <c r="L18" s="152"/>
      <c r="M18" s="153"/>
    </row>
    <row r="19" spans="1:19" s="147" customFormat="1">
      <c r="A19" s="395" t="s">
        <v>76</v>
      </c>
      <c r="B19" s="357" t="s">
        <v>71</v>
      </c>
      <c r="C19" s="357" t="s">
        <v>183</v>
      </c>
      <c r="D19" s="396">
        <v>202608</v>
      </c>
      <c r="E19" s="397">
        <v>96.357500000000002</v>
      </c>
      <c r="F19" s="397">
        <v>96.36</v>
      </c>
      <c r="G19" s="398">
        <v>96.36</v>
      </c>
      <c r="H19" s="418">
        <f t="shared" ref="H19:H22" si="4">IF(F19&lt;G19,F19,IF(E19&gt;G19,E19,G19))</f>
        <v>96.36</v>
      </c>
      <c r="I19" s="353">
        <f t="shared" ref="I19:I22" si="5">100-H19</f>
        <v>3.6400000000000006</v>
      </c>
      <c r="J19" s="353"/>
      <c r="K19" s="354"/>
      <c r="L19" s="355"/>
      <c r="M19" s="356"/>
      <c r="N19" s="356"/>
      <c r="O19" s="356"/>
      <c r="P19" s="355"/>
      <c r="Q19" s="356"/>
      <c r="R19" s="356"/>
      <c r="S19" s="355"/>
    </row>
    <row r="20" spans="1:19" s="147" customFormat="1">
      <c r="A20" s="395" t="s">
        <v>76</v>
      </c>
      <c r="B20" s="357" t="s">
        <v>71</v>
      </c>
      <c r="C20" s="357" t="s">
        <v>183</v>
      </c>
      <c r="D20" s="396">
        <v>202609</v>
      </c>
      <c r="E20" s="397">
        <v>96.31</v>
      </c>
      <c r="F20" s="397">
        <v>96.314999999999998</v>
      </c>
      <c r="G20" s="398">
        <v>96.31</v>
      </c>
      <c r="H20" s="418">
        <f t="shared" si="4"/>
        <v>96.31</v>
      </c>
      <c r="I20" s="353">
        <f t="shared" si="5"/>
        <v>3.6899999999999977</v>
      </c>
      <c r="J20" s="353"/>
      <c r="K20" s="354"/>
      <c r="L20" s="355"/>
      <c r="M20" s="356"/>
      <c r="N20" s="356"/>
      <c r="O20" s="356"/>
      <c r="P20" s="355"/>
      <c r="Q20" s="356"/>
      <c r="R20" s="356"/>
      <c r="S20" s="355"/>
    </row>
    <row r="21" spans="1:19" s="147" customFormat="1">
      <c r="A21" s="395" t="s">
        <v>76</v>
      </c>
      <c r="B21" s="357" t="s">
        <v>71</v>
      </c>
      <c r="C21" s="357" t="s">
        <v>183</v>
      </c>
      <c r="D21" s="396">
        <v>202610</v>
      </c>
      <c r="E21" s="397">
        <v>96.245000000000005</v>
      </c>
      <c r="F21" s="397">
        <v>96.25</v>
      </c>
      <c r="G21" s="398">
        <v>96.245000000000005</v>
      </c>
      <c r="H21" s="418">
        <f t="shared" si="4"/>
        <v>96.245000000000005</v>
      </c>
      <c r="I21" s="353">
        <f t="shared" si="5"/>
        <v>3.7549999999999955</v>
      </c>
      <c r="J21" s="353"/>
      <c r="K21" s="354"/>
      <c r="L21" s="355"/>
      <c r="M21" s="356"/>
      <c r="N21" s="356"/>
      <c r="O21" s="356"/>
      <c r="P21" s="355"/>
      <c r="Q21" s="356"/>
      <c r="R21" s="356"/>
      <c r="S21" s="355"/>
    </row>
    <row r="22" spans="1:19" s="147" customFormat="1">
      <c r="A22" s="395" t="s">
        <v>76</v>
      </c>
      <c r="B22" s="357" t="s">
        <v>71</v>
      </c>
      <c r="C22" s="357" t="s">
        <v>183</v>
      </c>
      <c r="D22" s="396">
        <v>202611</v>
      </c>
      <c r="E22" s="397">
        <v>96.19</v>
      </c>
      <c r="F22" s="397">
        <v>96.194999999999993</v>
      </c>
      <c r="G22" s="398">
        <v>96.19</v>
      </c>
      <c r="H22" s="418">
        <f t="shared" si="4"/>
        <v>96.19</v>
      </c>
      <c r="I22" s="353">
        <f t="shared" si="5"/>
        <v>3.8100000000000023</v>
      </c>
      <c r="J22" s="353"/>
      <c r="K22" s="354"/>
      <c r="L22" s="355"/>
      <c r="M22" s="356"/>
      <c r="N22" s="356"/>
      <c r="O22" s="356"/>
      <c r="P22" s="355"/>
      <c r="Q22" s="356"/>
      <c r="R22" s="356"/>
      <c r="S22" s="355"/>
    </row>
    <row r="23" spans="1:19" s="147" customFormat="1">
      <c r="A23" s="395" t="s">
        <v>76</v>
      </c>
      <c r="B23" s="357" t="s">
        <v>71</v>
      </c>
      <c r="C23" s="357" t="s">
        <v>183</v>
      </c>
      <c r="D23" s="396">
        <v>202612</v>
      </c>
      <c r="E23" s="397">
        <v>96.1</v>
      </c>
      <c r="F23" s="397">
        <v>96.11</v>
      </c>
      <c r="G23" s="398">
        <v>96.105000000000004</v>
      </c>
      <c r="H23" s="418">
        <f t="shared" ref="H23:H35" si="6">IF(F23&lt;G23,F23,IF(E23&gt;G23,E23,G23))</f>
        <v>96.105000000000004</v>
      </c>
      <c r="I23" s="353">
        <f t="shared" ref="I23:I35" si="7">100-H23</f>
        <v>3.894999999999996</v>
      </c>
      <c r="J23" s="353"/>
      <c r="K23" s="354"/>
      <c r="L23" s="355"/>
      <c r="M23" s="356"/>
      <c r="N23" s="356"/>
      <c r="O23" s="356"/>
      <c r="P23" s="355"/>
      <c r="Q23" s="356"/>
      <c r="R23" s="356"/>
      <c r="S23" s="355"/>
    </row>
    <row r="24" spans="1:19" s="147" customFormat="1">
      <c r="A24" s="395" t="s">
        <v>76</v>
      </c>
      <c r="B24" s="357" t="s">
        <v>71</v>
      </c>
      <c r="C24" s="357" t="s">
        <v>183</v>
      </c>
      <c r="D24" s="396">
        <v>202701</v>
      </c>
      <c r="E24" s="397">
        <v>96.075000000000003</v>
      </c>
      <c r="F24" s="397">
        <v>96.08</v>
      </c>
      <c r="G24" s="398">
        <v>96.075000000000003</v>
      </c>
      <c r="H24" s="418">
        <f t="shared" si="6"/>
        <v>96.075000000000003</v>
      </c>
      <c r="I24" s="353">
        <f t="shared" si="7"/>
        <v>3.9249999999999972</v>
      </c>
      <c r="J24" s="353"/>
      <c r="K24" s="354"/>
      <c r="L24" s="355"/>
      <c r="M24" s="356"/>
      <c r="N24" s="356"/>
      <c r="O24" s="356"/>
      <c r="P24" s="355"/>
      <c r="Q24" s="356"/>
      <c r="R24" s="356"/>
      <c r="S24" s="355"/>
    </row>
    <row r="25" spans="1:19" s="147" customFormat="1">
      <c r="A25" s="395" t="s">
        <v>76</v>
      </c>
      <c r="B25" s="357" t="s">
        <v>71</v>
      </c>
      <c r="C25" s="357" t="s">
        <v>183</v>
      </c>
      <c r="D25" s="396">
        <v>202702</v>
      </c>
      <c r="E25" s="397">
        <v>96.045000000000002</v>
      </c>
      <c r="F25" s="397">
        <v>96.05</v>
      </c>
      <c r="G25" s="398">
        <v>96.045000000000002</v>
      </c>
      <c r="H25" s="418">
        <f t="shared" si="6"/>
        <v>96.045000000000002</v>
      </c>
      <c r="I25" s="353">
        <f t="shared" si="7"/>
        <v>3.9549999999999983</v>
      </c>
      <c r="J25" s="353"/>
      <c r="K25" s="354"/>
      <c r="L25" s="355"/>
      <c r="M25" s="356"/>
      <c r="N25" s="356"/>
      <c r="O25" s="356"/>
      <c r="P25" s="355"/>
      <c r="Q25" s="356"/>
      <c r="R25" s="356"/>
      <c r="S25" s="355"/>
    </row>
    <row r="26" spans="1:19" s="147" customFormat="1">
      <c r="A26" s="395" t="s">
        <v>76</v>
      </c>
      <c r="B26" s="357" t="s">
        <v>71</v>
      </c>
      <c r="C26" s="357" t="s">
        <v>183</v>
      </c>
      <c r="D26" s="396">
        <v>202703</v>
      </c>
      <c r="E26" s="397">
        <v>96.004999999999995</v>
      </c>
      <c r="F26" s="397">
        <v>96.01</v>
      </c>
      <c r="G26" s="398">
        <v>96.004999999999995</v>
      </c>
      <c r="H26" s="418">
        <f t="shared" si="6"/>
        <v>96.004999999999995</v>
      </c>
      <c r="I26" s="353">
        <f t="shared" si="7"/>
        <v>3.9950000000000045</v>
      </c>
      <c r="J26" s="353"/>
      <c r="K26" s="354"/>
      <c r="L26" s="355"/>
      <c r="M26" s="356"/>
      <c r="N26" s="356"/>
      <c r="O26" s="356"/>
      <c r="P26" s="355"/>
      <c r="Q26" s="356"/>
      <c r="R26" s="356"/>
      <c r="S26" s="355"/>
    </row>
    <row r="27" spans="1:19" s="147" customFormat="1">
      <c r="A27" s="395" t="s">
        <v>76</v>
      </c>
      <c r="B27" s="357" t="s">
        <v>71</v>
      </c>
      <c r="C27" s="357" t="s">
        <v>183</v>
      </c>
      <c r="D27" s="396">
        <v>202704</v>
      </c>
      <c r="E27" s="397">
        <v>95.97</v>
      </c>
      <c r="F27" s="397">
        <v>95.974999999999994</v>
      </c>
      <c r="G27" s="398">
        <v>95.97</v>
      </c>
      <c r="H27" s="418">
        <f t="shared" si="6"/>
        <v>95.97</v>
      </c>
      <c r="I27" s="353">
        <f t="shared" si="7"/>
        <v>4.0300000000000011</v>
      </c>
      <c r="J27" s="353"/>
      <c r="K27" s="354"/>
      <c r="L27" s="355"/>
      <c r="M27" s="356"/>
      <c r="N27" s="356"/>
      <c r="O27" s="356"/>
      <c r="P27" s="355"/>
      <c r="Q27" s="356"/>
      <c r="R27" s="356"/>
      <c r="S27" s="355"/>
    </row>
    <row r="28" spans="1:19" s="147" customFormat="1">
      <c r="A28" s="395" t="s">
        <v>76</v>
      </c>
      <c r="B28" s="357" t="s">
        <v>71</v>
      </c>
      <c r="C28" s="357" t="s">
        <v>183</v>
      </c>
      <c r="D28" s="396">
        <v>202705</v>
      </c>
      <c r="E28" s="397">
        <v>95.94</v>
      </c>
      <c r="F28" s="397">
        <v>95.944999999999993</v>
      </c>
      <c r="G28" s="398">
        <v>95.944999999999993</v>
      </c>
      <c r="H28" s="418">
        <f t="shared" si="6"/>
        <v>95.944999999999993</v>
      </c>
      <c r="I28" s="353">
        <f t="shared" si="7"/>
        <v>4.0550000000000068</v>
      </c>
      <c r="J28" s="353"/>
      <c r="K28" s="354"/>
      <c r="L28" s="355"/>
      <c r="M28" s="356"/>
      <c r="N28" s="356"/>
      <c r="O28" s="356"/>
      <c r="P28" s="355"/>
      <c r="Q28" s="356"/>
      <c r="R28" s="356"/>
      <c r="S28" s="355"/>
    </row>
    <row r="29" spans="1:19" s="147" customFormat="1">
      <c r="A29" s="395" t="s">
        <v>76</v>
      </c>
      <c r="B29" s="357" t="s">
        <v>71</v>
      </c>
      <c r="C29" s="357" t="s">
        <v>183</v>
      </c>
      <c r="D29" s="396">
        <v>202706</v>
      </c>
      <c r="E29" s="397">
        <v>95.91</v>
      </c>
      <c r="F29" s="397">
        <v>95.92</v>
      </c>
      <c r="G29" s="398">
        <v>95.91</v>
      </c>
      <c r="H29" s="418">
        <f t="shared" si="6"/>
        <v>95.91</v>
      </c>
      <c r="I29" s="353">
        <f t="shared" si="7"/>
        <v>4.0900000000000034</v>
      </c>
      <c r="J29" s="353"/>
      <c r="K29" s="354"/>
      <c r="L29" s="355"/>
      <c r="M29" s="356"/>
      <c r="N29" s="356"/>
      <c r="O29" s="356"/>
      <c r="P29" s="355"/>
      <c r="Q29" s="356"/>
      <c r="R29" s="356"/>
      <c r="S29" s="355"/>
    </row>
    <row r="30" spans="1:19" s="147" customFormat="1">
      <c r="A30" s="395" t="s">
        <v>76</v>
      </c>
      <c r="B30" s="357" t="s">
        <v>71</v>
      </c>
      <c r="C30" s="357" t="s">
        <v>183</v>
      </c>
      <c r="D30" s="396">
        <v>202707</v>
      </c>
      <c r="E30" s="397">
        <v>95.9</v>
      </c>
      <c r="F30" s="397">
        <v>95.91</v>
      </c>
      <c r="G30" s="398">
        <v>95.905000000000001</v>
      </c>
      <c r="H30" s="418">
        <f t="shared" si="6"/>
        <v>95.905000000000001</v>
      </c>
      <c r="I30" s="353">
        <f t="shared" si="7"/>
        <v>4.0949999999999989</v>
      </c>
      <c r="J30" s="353"/>
      <c r="K30" s="354"/>
      <c r="L30" s="355"/>
      <c r="M30" s="356"/>
      <c r="N30" s="356"/>
      <c r="O30" s="356"/>
      <c r="P30" s="355"/>
      <c r="Q30" s="356"/>
      <c r="R30" s="356"/>
      <c r="S30" s="355"/>
    </row>
    <row r="31" spans="1:19" s="147" customFormat="1">
      <c r="A31" s="395" t="s">
        <v>76</v>
      </c>
      <c r="B31" s="357" t="s">
        <v>71</v>
      </c>
      <c r="C31" s="357" t="s">
        <v>183</v>
      </c>
      <c r="D31" s="396">
        <v>202708</v>
      </c>
      <c r="E31" s="397">
        <v>95.894999999999996</v>
      </c>
      <c r="F31" s="397">
        <v>95.905000000000001</v>
      </c>
      <c r="G31" s="398">
        <v>95.9</v>
      </c>
      <c r="H31" s="418">
        <f t="shared" si="6"/>
        <v>95.9</v>
      </c>
      <c r="I31" s="353">
        <f t="shared" si="7"/>
        <v>4.0999999999999943</v>
      </c>
      <c r="J31" s="353"/>
      <c r="K31" s="354"/>
      <c r="L31" s="355"/>
      <c r="M31" s="356"/>
      <c r="N31" s="356"/>
      <c r="O31" s="356"/>
      <c r="P31" s="355"/>
      <c r="Q31" s="356"/>
      <c r="R31" s="356"/>
      <c r="S31" s="355"/>
    </row>
    <row r="32" spans="1:19" s="147" customFormat="1">
      <c r="A32" s="395" t="s">
        <v>76</v>
      </c>
      <c r="B32" s="357" t="s">
        <v>71</v>
      </c>
      <c r="C32" s="357" t="s">
        <v>183</v>
      </c>
      <c r="D32" s="396">
        <v>202709</v>
      </c>
      <c r="E32" s="397">
        <v>95.88</v>
      </c>
      <c r="F32" s="397">
        <v>95.9</v>
      </c>
      <c r="G32" s="398">
        <v>95.894999999999996</v>
      </c>
      <c r="H32" s="418">
        <f t="shared" si="6"/>
        <v>95.894999999999996</v>
      </c>
      <c r="I32" s="353">
        <f t="shared" si="7"/>
        <v>4.105000000000004</v>
      </c>
      <c r="J32" s="353"/>
      <c r="K32" s="354"/>
      <c r="L32" s="355"/>
      <c r="M32" s="356"/>
      <c r="N32" s="356"/>
      <c r="O32" s="356"/>
      <c r="P32" s="355"/>
      <c r="Q32" s="356"/>
      <c r="R32" s="356"/>
      <c r="S32" s="355"/>
    </row>
    <row r="33" spans="1:19" s="147" customFormat="1">
      <c r="A33" s="395" t="s">
        <v>76</v>
      </c>
      <c r="B33" s="357" t="s">
        <v>71</v>
      </c>
      <c r="C33" s="357" t="s">
        <v>183</v>
      </c>
      <c r="D33" s="396">
        <v>202710</v>
      </c>
      <c r="E33" s="397">
        <v>95.88</v>
      </c>
      <c r="F33" s="397">
        <v>95.9</v>
      </c>
      <c r="G33" s="398" t="s">
        <v>231</v>
      </c>
      <c r="H33" s="418">
        <f t="shared" si="6"/>
        <v>95.9</v>
      </c>
      <c r="I33" s="353">
        <f t="shared" si="7"/>
        <v>4.0999999999999943</v>
      </c>
      <c r="J33" s="353"/>
      <c r="K33" s="354"/>
      <c r="L33" s="355"/>
      <c r="M33" s="356"/>
      <c r="N33" s="356"/>
      <c r="O33" s="356"/>
      <c r="P33" s="355"/>
      <c r="Q33" s="356"/>
      <c r="R33" s="356"/>
      <c r="S33" s="355"/>
    </row>
    <row r="34" spans="1:19" s="147" customFormat="1">
      <c r="A34" s="395" t="s">
        <v>76</v>
      </c>
      <c r="B34" s="357" t="s">
        <v>71</v>
      </c>
      <c r="C34" s="357" t="s">
        <v>183</v>
      </c>
      <c r="D34" s="396">
        <v>202711</v>
      </c>
      <c r="E34" s="397">
        <v>95.76</v>
      </c>
      <c r="F34" s="397">
        <v>96.045000000000002</v>
      </c>
      <c r="G34" s="398" t="s">
        <v>231</v>
      </c>
      <c r="H34" s="418">
        <f t="shared" si="6"/>
        <v>96.045000000000002</v>
      </c>
      <c r="I34" s="353">
        <f t="shared" si="7"/>
        <v>3.9549999999999983</v>
      </c>
      <c r="J34" s="353"/>
      <c r="K34" s="354"/>
      <c r="L34" s="355"/>
      <c r="M34" s="356"/>
      <c r="N34" s="356"/>
      <c r="O34" s="356"/>
      <c r="P34" s="355"/>
      <c r="Q34" s="356"/>
      <c r="R34" s="356"/>
      <c r="S34" s="355"/>
    </row>
    <row r="35" spans="1:19" s="147" customFormat="1">
      <c r="A35" s="395" t="s">
        <v>76</v>
      </c>
      <c r="B35" s="357" t="s">
        <v>71</v>
      </c>
      <c r="C35" s="357" t="s">
        <v>183</v>
      </c>
      <c r="D35" s="396">
        <v>202712</v>
      </c>
      <c r="E35" s="397">
        <v>95.855000000000004</v>
      </c>
      <c r="F35" s="397">
        <v>95.924999999999997</v>
      </c>
      <c r="G35" s="398" t="s">
        <v>231</v>
      </c>
      <c r="H35" s="418">
        <f t="shared" si="6"/>
        <v>95.924999999999997</v>
      </c>
      <c r="I35" s="353">
        <f t="shared" si="7"/>
        <v>4.0750000000000028</v>
      </c>
      <c r="J35" s="353"/>
      <c r="K35" s="354"/>
      <c r="L35" s="355"/>
      <c r="M35" s="356"/>
      <c r="N35" s="356"/>
      <c r="O35" s="356"/>
      <c r="P35" s="355"/>
      <c r="Q35" s="356"/>
      <c r="R35" s="356"/>
      <c r="S35" s="355"/>
    </row>
    <row r="36" spans="1:19" s="154" customFormat="1">
      <c r="A36" s="141" t="s">
        <v>77</v>
      </c>
      <c r="B36" s="142" t="s">
        <v>71</v>
      </c>
      <c r="C36" s="142" t="s">
        <v>183</v>
      </c>
      <c r="D36" s="303">
        <v>202605</v>
      </c>
      <c r="E36" s="143" t="s">
        <v>231</v>
      </c>
      <c r="F36" s="143" t="s">
        <v>231</v>
      </c>
      <c r="G36" s="144" t="s">
        <v>231</v>
      </c>
      <c r="H36" s="419" t="str">
        <f t="shared" ref="H36:H42" si="8">IF(F36&lt;G36,F36,IF(E36&gt;G36,E36,G36))</f>
        <v>-</v>
      </c>
      <c r="I36" s="145" t="e">
        <f t="shared" ref="I36:I42" si="9">100-H36</f>
        <v>#VALUE!</v>
      </c>
      <c r="K36" s="147"/>
    </row>
    <row r="37" spans="1:19" s="154" customFormat="1">
      <c r="A37" s="141" t="s">
        <v>77</v>
      </c>
      <c r="B37" s="142" t="s">
        <v>71</v>
      </c>
      <c r="C37" s="142" t="s">
        <v>183</v>
      </c>
      <c r="D37" s="303">
        <v>202606</v>
      </c>
      <c r="E37" s="143">
        <v>96.352500000000006</v>
      </c>
      <c r="F37" s="143">
        <v>96.355000000000004</v>
      </c>
      <c r="G37" s="144">
        <v>96.355000000000004</v>
      </c>
      <c r="H37" s="419">
        <f t="shared" si="8"/>
        <v>96.355000000000004</v>
      </c>
      <c r="I37" s="145">
        <f t="shared" si="9"/>
        <v>3.644999999999996</v>
      </c>
      <c r="K37" s="147"/>
    </row>
    <row r="38" spans="1:19" s="154" customFormat="1">
      <c r="A38" s="141" t="s">
        <v>77</v>
      </c>
      <c r="B38" s="142" t="s">
        <v>71</v>
      </c>
      <c r="C38" s="142" t="s">
        <v>183</v>
      </c>
      <c r="D38" s="303">
        <v>202607</v>
      </c>
      <c r="E38" s="143">
        <v>96.307500000000005</v>
      </c>
      <c r="F38" s="143">
        <v>96.314999999999998</v>
      </c>
      <c r="G38" s="144" t="s">
        <v>231</v>
      </c>
      <c r="H38" s="419">
        <f t="shared" si="8"/>
        <v>96.314999999999998</v>
      </c>
      <c r="I38" s="145">
        <f t="shared" si="9"/>
        <v>3.6850000000000023</v>
      </c>
      <c r="K38" s="147"/>
    </row>
    <row r="39" spans="1:19" s="154" customFormat="1">
      <c r="A39" s="141" t="s">
        <v>77</v>
      </c>
      <c r="B39" s="142" t="s">
        <v>71</v>
      </c>
      <c r="C39" s="142" t="s">
        <v>183</v>
      </c>
      <c r="D39" s="303">
        <v>202608</v>
      </c>
      <c r="E39" s="143">
        <v>96.254999999999995</v>
      </c>
      <c r="F39" s="143">
        <v>96.26</v>
      </c>
      <c r="G39" s="144" t="s">
        <v>231</v>
      </c>
      <c r="H39" s="419">
        <f t="shared" si="8"/>
        <v>96.26</v>
      </c>
      <c r="I39" s="145">
        <f t="shared" si="9"/>
        <v>3.7399999999999949</v>
      </c>
      <c r="K39" s="147"/>
    </row>
    <row r="40" spans="1:19" s="154" customFormat="1">
      <c r="A40" s="141" t="s">
        <v>77</v>
      </c>
      <c r="B40" s="142" t="s">
        <v>71</v>
      </c>
      <c r="C40" s="142" t="s">
        <v>183</v>
      </c>
      <c r="D40" s="303">
        <v>202609</v>
      </c>
      <c r="E40" s="143">
        <v>96.194999999999993</v>
      </c>
      <c r="F40" s="143">
        <v>96.197500000000005</v>
      </c>
      <c r="G40" s="144">
        <v>96.197500000000005</v>
      </c>
      <c r="H40" s="419">
        <f t="shared" si="8"/>
        <v>96.197500000000005</v>
      </c>
      <c r="I40" s="145">
        <f t="shared" si="9"/>
        <v>3.8024999999999949</v>
      </c>
      <c r="K40" s="147"/>
    </row>
    <row r="41" spans="1:19" s="154" customFormat="1">
      <c r="A41" s="141" t="s">
        <v>77</v>
      </c>
      <c r="B41" s="142" t="s">
        <v>71</v>
      </c>
      <c r="C41" s="142" t="s">
        <v>183</v>
      </c>
      <c r="D41" s="303">
        <v>202610</v>
      </c>
      <c r="E41" s="143">
        <v>96.12</v>
      </c>
      <c r="F41" s="143">
        <v>96.13</v>
      </c>
      <c r="G41" s="144">
        <v>96.135000000000005</v>
      </c>
      <c r="H41" s="419">
        <f t="shared" si="8"/>
        <v>96.13</v>
      </c>
      <c r="I41" s="145">
        <f t="shared" si="9"/>
        <v>3.8700000000000045</v>
      </c>
      <c r="K41" s="147"/>
    </row>
    <row r="42" spans="1:19" s="154" customFormat="1">
      <c r="A42" s="141" t="s">
        <v>77</v>
      </c>
      <c r="B42" s="142" t="s">
        <v>71</v>
      </c>
      <c r="C42" s="142" t="s">
        <v>183</v>
      </c>
      <c r="D42" s="303">
        <v>202611</v>
      </c>
      <c r="E42" s="143">
        <v>96.075000000000003</v>
      </c>
      <c r="F42" s="143">
        <v>96.084999999999994</v>
      </c>
      <c r="G42" s="144" t="s">
        <v>231</v>
      </c>
      <c r="H42" s="419">
        <f t="shared" si="8"/>
        <v>96.084999999999994</v>
      </c>
      <c r="I42" s="145">
        <f t="shared" si="9"/>
        <v>3.9150000000000063</v>
      </c>
      <c r="K42" s="147"/>
    </row>
    <row r="43" spans="1:19" s="154" customFormat="1">
      <c r="A43" s="141" t="s">
        <v>77</v>
      </c>
      <c r="B43" s="142" t="s">
        <v>71</v>
      </c>
      <c r="C43" s="142" t="s">
        <v>183</v>
      </c>
      <c r="D43" s="303">
        <v>202612</v>
      </c>
      <c r="E43" s="143">
        <v>96.04</v>
      </c>
      <c r="F43" s="143">
        <v>96.045000000000002</v>
      </c>
      <c r="G43" s="144">
        <v>96.045000000000002</v>
      </c>
      <c r="H43" s="419">
        <f>IF(F43&lt;G43,F43,IF(E43&gt;G43,E43,G43))</f>
        <v>96.045000000000002</v>
      </c>
      <c r="I43" s="145">
        <f>100-H43</f>
        <v>3.9549999999999983</v>
      </c>
      <c r="K43" s="147"/>
    </row>
    <row r="44" spans="1:19" s="154" customFormat="1">
      <c r="A44" s="141" t="s">
        <v>77</v>
      </c>
      <c r="B44" s="142" t="s">
        <v>71</v>
      </c>
      <c r="C44" s="142" t="s">
        <v>183</v>
      </c>
      <c r="D44" s="303">
        <v>202701</v>
      </c>
      <c r="E44" s="143">
        <v>96</v>
      </c>
      <c r="F44" s="143">
        <v>96.01</v>
      </c>
      <c r="G44" s="144" t="s">
        <v>231</v>
      </c>
      <c r="H44" s="419">
        <f t="shared" ref="H44:H52" si="10">IF(F44&lt;G44,F44,IF(E44&gt;G44,E44,G44))</f>
        <v>96.01</v>
      </c>
      <c r="I44" s="145">
        <f t="shared" ref="I44:I52" si="11">100-H44</f>
        <v>3.9899999999999949</v>
      </c>
      <c r="K44" s="147"/>
    </row>
    <row r="45" spans="1:19" s="149" customFormat="1">
      <c r="A45" s="141" t="s">
        <v>77</v>
      </c>
      <c r="B45" s="142" t="s">
        <v>71</v>
      </c>
      <c r="C45" s="142" t="s">
        <v>183</v>
      </c>
      <c r="D45" s="303">
        <v>202702</v>
      </c>
      <c r="E45" s="143">
        <v>95.965000000000003</v>
      </c>
      <c r="F45" s="143">
        <v>95.98</v>
      </c>
      <c r="G45" s="144" t="s">
        <v>231</v>
      </c>
      <c r="H45" s="419">
        <f t="shared" si="10"/>
        <v>95.98</v>
      </c>
      <c r="I45" s="145">
        <f t="shared" si="11"/>
        <v>4.019999999999996</v>
      </c>
    </row>
    <row r="46" spans="1:19" s="149" customFormat="1">
      <c r="A46" s="141" t="s">
        <v>77</v>
      </c>
      <c r="B46" s="142" t="s">
        <v>71</v>
      </c>
      <c r="C46" s="142" t="s">
        <v>183</v>
      </c>
      <c r="D46" s="303">
        <v>202703</v>
      </c>
      <c r="E46" s="143">
        <v>95.935000000000002</v>
      </c>
      <c r="F46" s="143">
        <v>95.94</v>
      </c>
      <c r="G46" s="144">
        <v>95.94</v>
      </c>
      <c r="H46" s="419">
        <f t="shared" si="10"/>
        <v>95.94</v>
      </c>
      <c r="I46" s="145">
        <f t="shared" si="11"/>
        <v>4.0600000000000023</v>
      </c>
    </row>
    <row r="47" spans="1:19" s="149" customFormat="1">
      <c r="A47" s="141" t="s">
        <v>77</v>
      </c>
      <c r="B47" s="142" t="s">
        <v>71</v>
      </c>
      <c r="C47" s="142" t="s">
        <v>183</v>
      </c>
      <c r="D47" s="303">
        <v>202704</v>
      </c>
      <c r="E47" s="143" t="s">
        <v>231</v>
      </c>
      <c r="F47" s="143" t="s">
        <v>231</v>
      </c>
      <c r="G47" s="144" t="s">
        <v>231</v>
      </c>
      <c r="H47" s="419" t="str">
        <f t="shared" si="10"/>
        <v>-</v>
      </c>
      <c r="I47" s="145" t="e">
        <f t="shared" si="11"/>
        <v>#VALUE!</v>
      </c>
    </row>
    <row r="48" spans="1:19" s="149" customFormat="1">
      <c r="A48" s="141" t="s">
        <v>77</v>
      </c>
      <c r="B48" s="142" t="s">
        <v>71</v>
      </c>
      <c r="C48" s="142" t="s">
        <v>183</v>
      </c>
      <c r="D48" s="303">
        <v>202705</v>
      </c>
      <c r="E48" s="143" t="s">
        <v>231</v>
      </c>
      <c r="F48" s="143" t="s">
        <v>231</v>
      </c>
      <c r="G48" s="144" t="s">
        <v>231</v>
      </c>
      <c r="H48" s="419" t="str">
        <f t="shared" si="10"/>
        <v>-</v>
      </c>
      <c r="I48" s="145" t="e">
        <f t="shared" si="11"/>
        <v>#VALUE!</v>
      </c>
    </row>
    <row r="49" spans="1:12" s="149" customFormat="1">
      <c r="A49" s="141" t="s">
        <v>77</v>
      </c>
      <c r="B49" s="142" t="s">
        <v>71</v>
      </c>
      <c r="C49" s="142" t="s">
        <v>183</v>
      </c>
      <c r="D49" s="303">
        <v>202706</v>
      </c>
      <c r="E49" s="143">
        <v>95.88</v>
      </c>
      <c r="F49" s="143">
        <v>95.885000000000005</v>
      </c>
      <c r="G49" s="144">
        <v>95.885000000000005</v>
      </c>
      <c r="H49" s="419">
        <f t="shared" si="10"/>
        <v>95.885000000000005</v>
      </c>
      <c r="I49" s="145">
        <f t="shared" si="11"/>
        <v>4.1149999999999949</v>
      </c>
    </row>
    <row r="50" spans="1:12" s="149" customFormat="1">
      <c r="A50" s="141" t="s">
        <v>77</v>
      </c>
      <c r="B50" s="142" t="s">
        <v>71</v>
      </c>
      <c r="C50" s="142" t="s">
        <v>183</v>
      </c>
      <c r="D50" s="303">
        <v>202707</v>
      </c>
      <c r="E50" s="143" t="s">
        <v>231</v>
      </c>
      <c r="F50" s="143" t="s">
        <v>231</v>
      </c>
      <c r="G50" s="144" t="s">
        <v>231</v>
      </c>
      <c r="H50" s="419" t="str">
        <f t="shared" si="10"/>
        <v>-</v>
      </c>
      <c r="I50" s="145" t="e">
        <f t="shared" si="11"/>
        <v>#VALUE!</v>
      </c>
      <c r="K50" s="147"/>
    </row>
    <row r="51" spans="1:12" s="149" customFormat="1">
      <c r="A51" s="141" t="s">
        <v>77</v>
      </c>
      <c r="B51" s="142" t="s">
        <v>71</v>
      </c>
      <c r="C51" s="142" t="s">
        <v>183</v>
      </c>
      <c r="D51" s="303">
        <v>202708</v>
      </c>
      <c r="E51" s="143" t="s">
        <v>231</v>
      </c>
      <c r="F51" s="143" t="s">
        <v>231</v>
      </c>
      <c r="G51" s="144" t="s">
        <v>231</v>
      </c>
      <c r="H51" s="419" t="str">
        <f t="shared" si="10"/>
        <v>-</v>
      </c>
      <c r="I51" s="145" t="e">
        <f t="shared" si="11"/>
        <v>#VALUE!</v>
      </c>
      <c r="K51" s="147"/>
    </row>
    <row r="52" spans="1:12" s="149" customFormat="1">
      <c r="A52" s="141" t="s">
        <v>77</v>
      </c>
      <c r="B52" s="142" t="s">
        <v>71</v>
      </c>
      <c r="C52" s="142" t="s">
        <v>183</v>
      </c>
      <c r="D52" s="303">
        <v>202709</v>
      </c>
      <c r="E52" s="143">
        <v>95.87</v>
      </c>
      <c r="F52" s="143">
        <v>95.875</v>
      </c>
      <c r="G52" s="144">
        <v>95.875</v>
      </c>
      <c r="H52" s="419">
        <f t="shared" si="10"/>
        <v>95.875</v>
      </c>
      <c r="I52" s="145">
        <f t="shared" si="11"/>
        <v>4.125</v>
      </c>
      <c r="K52" s="147"/>
    </row>
    <row r="53" spans="1:12" s="149" customFormat="1">
      <c r="H53" s="146"/>
      <c r="K53" s="147"/>
    </row>
    <row r="54" spans="1:12" s="149" customFormat="1">
      <c r="A54" s="21"/>
      <c r="B54" s="17"/>
      <c r="C54" s="17"/>
      <c r="D54" s="21"/>
      <c r="E54" s="17"/>
      <c r="F54" s="17"/>
      <c r="G54" s="18"/>
      <c r="H54" s="363"/>
      <c r="I54" s="17"/>
      <c r="J54" s="17"/>
      <c r="K54" s="147"/>
    </row>
    <row r="55" spans="1:12">
      <c r="L55" s="149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77370-DBD8-B649-BF5E-0E69200463B7}">
  <sheetPr codeName="Sheet5"/>
  <dimension ref="A1:H29"/>
  <sheetViews>
    <sheetView workbookViewId="0">
      <selection activeCell="A16" sqref="A16"/>
    </sheetView>
  </sheetViews>
  <sheetFormatPr defaultColWidth="11" defaultRowHeight="15.75"/>
  <cols>
    <col min="1" max="1" width="24.625" customWidth="1"/>
    <col min="2" max="2" width="26.375" bestFit="1" customWidth="1"/>
    <col min="3" max="3" width="10.125" customWidth="1"/>
    <col min="4" max="4" width="14.125" bestFit="1" customWidth="1"/>
    <col min="6" max="6" width="15" customWidth="1"/>
    <col min="7" max="7" width="23.875" bestFit="1" customWidth="1"/>
    <col min="8" max="8" width="20.875" bestFit="1" customWidth="1"/>
    <col min="9" max="9" width="26.375" customWidth="1"/>
  </cols>
  <sheetData>
    <row r="1" spans="1:8" ht="16.5" thickBot="1">
      <c r="A1" s="11" t="s">
        <v>257</v>
      </c>
      <c r="B1" s="11" t="s">
        <v>258</v>
      </c>
    </row>
    <row r="2" spans="1:8">
      <c r="A2" s="4" t="s">
        <v>79</v>
      </c>
      <c r="B2" s="7" t="s">
        <v>248</v>
      </c>
      <c r="C2" s="10">
        <f>ROW(A12)-1</f>
        <v>11</v>
      </c>
      <c r="D2" s="8" t="s">
        <v>85</v>
      </c>
      <c r="E2" s="2"/>
      <c r="F2" s="2"/>
    </row>
    <row r="3" spans="1:8">
      <c r="A3" s="6" t="s">
        <v>99</v>
      </c>
      <c r="B3" s="7">
        <v>7496</v>
      </c>
      <c r="C3" s="5" t="s">
        <v>100</v>
      </c>
      <c r="D3" s="2"/>
      <c r="E3" s="2"/>
      <c r="F3" s="2"/>
      <c r="H3" s="5"/>
    </row>
    <row r="4" spans="1:8">
      <c r="A4" s="6" t="s">
        <v>90</v>
      </c>
      <c r="B4" s="7">
        <v>32</v>
      </c>
    </row>
    <row r="5" spans="1:8">
      <c r="A5" s="6" t="s">
        <v>102</v>
      </c>
      <c r="B5" s="7" t="str" cm="1">
        <f t="array" aca="1" ref="B5" ca="1">_xlfn.TEXTAFTER(_xlfn.TEXTBEFORE(CELL("filename",A3),"]"),"[")</f>
        <v>2026 Short Rates.xlsm</v>
      </c>
    </row>
    <row r="6" spans="1:8">
      <c r="A6" s="6" t="s">
        <v>80</v>
      </c>
      <c r="B6" s="7" t="s">
        <v>106</v>
      </c>
      <c r="C6" s="5"/>
    </row>
    <row r="7" spans="1:8">
      <c r="A7" s="6" t="s">
        <v>81</v>
      </c>
      <c r="B7" s="7" t="s">
        <v>249</v>
      </c>
      <c r="C7" s="9">
        <f>COUNTA(INPUT!A:A)</f>
        <v>52</v>
      </c>
      <c r="D7" s="8" t="s">
        <v>85</v>
      </c>
      <c r="E7" s="9">
        <v>7</v>
      </c>
      <c r="F7" s="8" t="s">
        <v>105</v>
      </c>
    </row>
    <row r="8" spans="1:8">
      <c r="A8" s="6" t="s">
        <v>82</v>
      </c>
      <c r="B8" s="7" t="str">
        <f>B6</f>
        <v>INPUT</v>
      </c>
      <c r="C8" s="5"/>
    </row>
    <row r="9" spans="1:8">
      <c r="A9" s="6" t="s">
        <v>101</v>
      </c>
      <c r="B9" s="7" t="s">
        <v>86</v>
      </c>
      <c r="C9" s="5"/>
    </row>
    <row r="10" spans="1:8">
      <c r="A10" s="6" t="s">
        <v>83</v>
      </c>
      <c r="B10" s="7">
        <v>1</v>
      </c>
      <c r="C10" s="5" t="s">
        <v>87</v>
      </c>
    </row>
    <row r="11" spans="1:8">
      <c r="A11" s="6" t="s">
        <v>84</v>
      </c>
      <c r="B11" s="447">
        <v>60</v>
      </c>
      <c r="C11" s="13"/>
    </row>
    <row r="12" spans="1:8">
      <c r="A12" s="9" t="s">
        <v>104</v>
      </c>
      <c r="C12" s="11"/>
    </row>
    <row r="13" spans="1:8">
      <c r="C13" s="12"/>
    </row>
    <row r="14" spans="1:8" ht="16.5" thickBot="1"/>
    <row r="15" spans="1:8">
      <c r="A15" s="298" t="s">
        <v>256</v>
      </c>
      <c r="B15" s="300"/>
    </row>
    <row r="16" spans="1:8" ht="16.5" thickBot="1">
      <c r="A16" s="299" t="s">
        <v>259</v>
      </c>
      <c r="B16" s="301"/>
    </row>
    <row r="17" spans="1:1">
      <c r="A17" s="9" t="s">
        <v>88</v>
      </c>
    </row>
    <row r="21" spans="1:1">
      <c r="A21" s="1" t="s">
        <v>32</v>
      </c>
    </row>
    <row r="22" spans="1:1">
      <c r="A22" s="1" t="s">
        <v>33</v>
      </c>
    </row>
    <row r="23" spans="1:1">
      <c r="A23" s="1" t="s">
        <v>34</v>
      </c>
    </row>
    <row r="24" spans="1:1">
      <c r="A24" s="1" t="s">
        <v>31</v>
      </c>
    </row>
    <row r="25" spans="1:1">
      <c r="A25" s="3"/>
    </row>
    <row r="26" spans="1:1">
      <c r="A26" s="3" t="s">
        <v>63</v>
      </c>
    </row>
    <row r="28" spans="1:1">
      <c r="A28" s="160" t="s">
        <v>8</v>
      </c>
    </row>
    <row r="29" spans="1:1">
      <c r="A29" s="160" t="s">
        <v>62</v>
      </c>
    </row>
  </sheetData>
  <hyperlinks>
    <hyperlink ref="A23" r:id="rId1" xr:uid="{1B301DB4-8D50-BD45-87C4-397491CB9262}"/>
    <hyperlink ref="A22" r:id="rId2" xr:uid="{7F933731-341B-5D4D-8DC2-8ABA8A1E01E1}"/>
    <hyperlink ref="A21" r:id="rId3" xr:uid="{7797C6CE-6965-2647-853B-36D4FBC3C133}"/>
    <hyperlink ref="A24" r:id="rId4" xr:uid="{6B62898A-3A2C-D948-BC52-CFD585FC4186}"/>
    <hyperlink ref="A29" r:id="rId5" xr:uid="{4F62545F-CC92-1B48-BAB6-46F0997CAC07}"/>
    <hyperlink ref="A28" r:id="rId6" xr:uid="{AE07A12B-3020-4543-8988-5B16710F1F16}"/>
  </hyperlinks>
  <pageMargins left="0.7" right="0.7" top="0.75" bottom="0.75" header="0.3" footer="0.3"/>
  <tableParts count="1"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042D6-6939-4C85-A1A9-AA84F8743238}">
  <sheetPr codeName="Sheet7"/>
  <dimension ref="A1:E726"/>
  <sheetViews>
    <sheetView topLeftCell="A143" workbookViewId="0">
      <selection activeCell="M153" sqref="M153"/>
    </sheetView>
  </sheetViews>
  <sheetFormatPr defaultRowHeight="15.75"/>
  <cols>
    <col min="1" max="1" width="12.875" bestFit="1" customWidth="1"/>
    <col min="2" max="2" width="11.25" style="235" customWidth="1"/>
    <col min="3" max="3" width="14.125" customWidth="1"/>
    <col min="4" max="4" width="15.875" style="235" bestFit="1" customWidth="1"/>
    <col min="5" max="5" width="13.625" style="450" bestFit="1" customWidth="1"/>
  </cols>
  <sheetData>
    <row r="1" spans="1:5" s="235" customFormat="1">
      <c r="A1" s="449" t="s">
        <v>252</v>
      </c>
      <c r="B1" s="449" t="s">
        <v>253</v>
      </c>
      <c r="C1" s="449" t="s">
        <v>251</v>
      </c>
      <c r="D1" s="449" t="s">
        <v>254</v>
      </c>
      <c r="E1" s="449" t="s">
        <v>255</v>
      </c>
    </row>
    <row r="2" spans="1:5">
      <c r="A2" s="452">
        <f>'DAILY EXTRAPOLATION'!C2376</f>
        <v>46174</v>
      </c>
      <c r="B2" s="451">
        <f>A3</f>
        <v>46175</v>
      </c>
      <c r="C2" s="448">
        <f>'DAILY EXTRAPOLATION'!N2376</f>
        <v>1.000101388888889</v>
      </c>
      <c r="D2" s="453">
        <f>1*C2</f>
        <v>1.000101388888889</v>
      </c>
      <c r="E2" s="450">
        <f>(D2/1-1)*360/(B2-A$2)</f>
        <v>3.6500000000039279E-2</v>
      </c>
    </row>
    <row r="3" spans="1:5">
      <c r="A3" s="452">
        <f>'DAILY EXTRAPOLATION'!C2377</f>
        <v>46175</v>
      </c>
      <c r="B3" s="451">
        <f t="shared" ref="B3:B66" si="0">A4</f>
        <v>46176</v>
      </c>
      <c r="C3" s="448">
        <f>'DAILY EXTRAPOLATION'!N2377</f>
        <v>1.0001008333333334</v>
      </c>
      <c r="D3" s="454">
        <f>D2*C3</f>
        <v>1.0002022324456021</v>
      </c>
      <c r="E3" s="450">
        <f>(D3/1-1)*360/(B3-A$2)</f>
        <v>3.6401840208384328E-2</v>
      </c>
    </row>
    <row r="4" spans="1:5">
      <c r="A4" s="452">
        <f>'DAILY EXTRAPOLATION'!C2378</f>
        <v>46176</v>
      </c>
      <c r="B4" s="451">
        <f t="shared" si="0"/>
        <v>46177</v>
      </c>
      <c r="C4" s="448">
        <f>'DAILY EXTRAPOLATION'!N2378</f>
        <v>1.0001002777777779</v>
      </c>
      <c r="D4" s="454">
        <f t="shared" ref="D4:D67" si="1">D3*C4</f>
        <v>1.0003025305028002</v>
      </c>
      <c r="E4" s="450">
        <f t="shared" ref="E4:E67" si="2">(D4/1-1)*360/(B4-A$2)</f>
        <v>3.630366033601895E-2</v>
      </c>
    </row>
    <row r="5" spans="1:5">
      <c r="A5" s="452">
        <f>'DAILY EXTRAPOLATION'!C2379</f>
        <v>46177</v>
      </c>
      <c r="B5" s="451">
        <f t="shared" si="0"/>
        <v>46178</v>
      </c>
      <c r="C5" s="448">
        <f>'DAILY EXTRAPOLATION'!N2379</f>
        <v>1.0001005555555555</v>
      </c>
      <c r="D5" s="454">
        <f t="shared" si="1"/>
        <v>1.0004031164794784</v>
      </c>
      <c r="E5" s="450">
        <f t="shared" si="2"/>
        <v>3.6280483153059429E-2</v>
      </c>
    </row>
    <row r="6" spans="1:5">
      <c r="A6" s="452">
        <f>'DAILY EXTRAPOLATION'!C2380</f>
        <v>46178</v>
      </c>
      <c r="B6" s="451">
        <f t="shared" si="0"/>
        <v>46179</v>
      </c>
      <c r="C6" s="448">
        <f>'DAILY EXTRAPOLATION'!N2380</f>
        <v>1.0003025000000001</v>
      </c>
      <c r="D6" s="454">
        <f t="shared" si="1"/>
        <v>1.0007057384222136</v>
      </c>
      <c r="E6" s="450">
        <f t="shared" si="2"/>
        <v>5.0813166399375831E-2</v>
      </c>
    </row>
    <row r="7" spans="1:5">
      <c r="A7" s="452">
        <f>'DAILY EXTRAPOLATION'!C2381</f>
        <v>46179</v>
      </c>
      <c r="B7" s="451">
        <f t="shared" si="0"/>
        <v>46180</v>
      </c>
      <c r="C7" s="448">
        <f>'DAILY EXTRAPOLATION'!N2381</f>
        <v>1</v>
      </c>
      <c r="D7" s="454">
        <f t="shared" si="1"/>
        <v>1.0007057384222136</v>
      </c>
      <c r="E7" s="450">
        <f t="shared" si="2"/>
        <v>4.2344305332813192E-2</v>
      </c>
    </row>
    <row r="8" spans="1:5">
      <c r="A8" s="452">
        <f>'DAILY EXTRAPOLATION'!C2382</f>
        <v>46180</v>
      </c>
      <c r="B8" s="451">
        <f t="shared" si="0"/>
        <v>46181</v>
      </c>
      <c r="C8" s="448">
        <f>'DAILY EXTRAPOLATION'!N2382</f>
        <v>1</v>
      </c>
      <c r="D8" s="454">
        <f t="shared" si="1"/>
        <v>1.0007057384222136</v>
      </c>
      <c r="E8" s="450">
        <f t="shared" si="2"/>
        <v>3.629511885669702E-2</v>
      </c>
    </row>
    <row r="9" spans="1:5">
      <c r="A9" s="452">
        <f>'DAILY EXTRAPOLATION'!C2383</f>
        <v>46181</v>
      </c>
      <c r="B9" s="451">
        <f t="shared" si="0"/>
        <v>46182</v>
      </c>
      <c r="C9" s="448">
        <f>'DAILY EXTRAPOLATION'!N2383</f>
        <v>1.0001008333333334</v>
      </c>
      <c r="D9" s="454">
        <f t="shared" si="1"/>
        <v>1.0008066429175047</v>
      </c>
      <c r="E9" s="450">
        <f t="shared" si="2"/>
        <v>3.6298931287709335E-2</v>
      </c>
    </row>
    <row r="10" spans="1:5">
      <c r="A10" s="452">
        <f>'DAILY EXTRAPOLATION'!C2384</f>
        <v>46182</v>
      </c>
      <c r="B10" s="451">
        <f t="shared" si="0"/>
        <v>46183</v>
      </c>
      <c r="C10" s="448">
        <f>'DAILY EXTRAPOLATION'!N2384</f>
        <v>1.0001</v>
      </c>
      <c r="D10" s="454">
        <f t="shared" si="1"/>
        <v>1.0009067235817963</v>
      </c>
      <c r="E10" s="450">
        <f t="shared" si="2"/>
        <v>3.626894327185326E-2</v>
      </c>
    </row>
    <row r="11" spans="1:5">
      <c r="A11" s="452">
        <f>'DAILY EXTRAPOLATION'!C2385</f>
        <v>46183</v>
      </c>
      <c r="B11" s="451">
        <f t="shared" si="0"/>
        <v>46184</v>
      </c>
      <c r="C11" s="448">
        <f>'DAILY EXTRAPOLATION'!N2385</f>
        <v>1.0000997222222223</v>
      </c>
      <c r="D11" s="454">
        <f t="shared" si="1"/>
        <v>1.0010065362245091</v>
      </c>
      <c r="E11" s="450">
        <f t="shared" si="2"/>
        <v>3.6235304082326891E-2</v>
      </c>
    </row>
    <row r="12" spans="1:5">
      <c r="A12" s="452">
        <f>'DAILY EXTRAPOLATION'!C2386</f>
        <v>46184</v>
      </c>
      <c r="B12" s="451">
        <f t="shared" si="0"/>
        <v>46185</v>
      </c>
      <c r="C12" s="448">
        <f>'DAILY EXTRAPOLATION'!N2386</f>
        <v>1.0001</v>
      </c>
      <c r="D12" s="454">
        <f t="shared" si="1"/>
        <v>1.0011066368781316</v>
      </c>
      <c r="E12" s="450">
        <f t="shared" si="2"/>
        <v>3.6217206920671104E-2</v>
      </c>
    </row>
    <row r="13" spans="1:5">
      <c r="A13" s="452">
        <f>'DAILY EXTRAPOLATION'!C2387</f>
        <v>46185</v>
      </c>
      <c r="B13" s="451">
        <f t="shared" si="0"/>
        <v>46186</v>
      </c>
      <c r="C13" s="448">
        <f>'DAILY EXTRAPOLATION'!N2387</f>
        <v>1.0003041666666668</v>
      </c>
      <c r="D13" s="454">
        <f t="shared" si="1"/>
        <v>1.0014111401468488</v>
      </c>
      <c r="E13" s="450">
        <f t="shared" si="2"/>
        <v>4.2334204405465314E-2</v>
      </c>
    </row>
    <row r="14" spans="1:5">
      <c r="A14" s="452">
        <f>'DAILY EXTRAPOLATION'!C2388</f>
        <v>46186</v>
      </c>
      <c r="B14" s="451">
        <f t="shared" si="0"/>
        <v>46187</v>
      </c>
      <c r="C14" s="448">
        <f>'DAILY EXTRAPOLATION'!N2388</f>
        <v>1</v>
      </c>
      <c r="D14" s="454">
        <f t="shared" si="1"/>
        <v>1.0014111401468488</v>
      </c>
      <c r="E14" s="450">
        <f t="shared" si="2"/>
        <v>3.9077727143506442E-2</v>
      </c>
    </row>
    <row r="15" spans="1:5">
      <c r="A15" s="452">
        <f>'DAILY EXTRAPOLATION'!C2389</f>
        <v>46187</v>
      </c>
      <c r="B15" s="451">
        <f t="shared" si="0"/>
        <v>46188</v>
      </c>
      <c r="C15" s="448">
        <f>'DAILY EXTRAPOLATION'!N2389</f>
        <v>1</v>
      </c>
      <c r="D15" s="454">
        <f t="shared" si="1"/>
        <v>1.0014111401468488</v>
      </c>
      <c r="E15" s="450">
        <f t="shared" si="2"/>
        <v>3.6286460918970267E-2</v>
      </c>
    </row>
    <row r="16" spans="1:5">
      <c r="A16" s="452">
        <f>'DAILY EXTRAPOLATION'!C2390</f>
        <v>46188</v>
      </c>
      <c r="B16" s="451">
        <f t="shared" si="0"/>
        <v>46189</v>
      </c>
      <c r="C16" s="448">
        <f>'DAILY EXTRAPOLATION'!N2390</f>
        <v>1.0001024999999999</v>
      </c>
      <c r="D16" s="454">
        <f t="shared" si="1"/>
        <v>1.0015137847887139</v>
      </c>
      <c r="E16" s="450">
        <f t="shared" si="2"/>
        <v>3.633083492913336E-2</v>
      </c>
    </row>
    <row r="17" spans="1:5">
      <c r="A17" s="452">
        <f>'DAILY EXTRAPOLATION'!C2391</f>
        <v>46189</v>
      </c>
      <c r="B17" s="451">
        <f t="shared" si="0"/>
        <v>46190</v>
      </c>
      <c r="C17" s="448">
        <f>'DAILY EXTRAPOLATION'!N2391</f>
        <v>1.0001008333333334</v>
      </c>
      <c r="D17" s="454">
        <f t="shared" si="1"/>
        <v>1.0016147707620136</v>
      </c>
      <c r="E17" s="450">
        <f t="shared" si="2"/>
        <v>3.6332342145304897E-2</v>
      </c>
    </row>
    <row r="18" spans="1:5">
      <c r="A18" s="452">
        <f>'DAILY EXTRAPOLATION'!C2392</f>
        <v>46190</v>
      </c>
      <c r="B18" s="451">
        <f t="shared" si="0"/>
        <v>46191</v>
      </c>
      <c r="C18" s="448">
        <f>'DAILY EXTRAPOLATION'!N2392</f>
        <v>1.0001008333333334</v>
      </c>
      <c r="D18" s="454">
        <f t="shared" si="1"/>
        <v>1.0017157669180654</v>
      </c>
      <c r="E18" s="450">
        <f t="shared" si="2"/>
        <v>3.633388767667925E-2</v>
      </c>
    </row>
    <row r="19" spans="1:5">
      <c r="A19" s="452">
        <f>'DAILY EXTRAPOLATION'!C2393</f>
        <v>46191</v>
      </c>
      <c r="B19" s="451">
        <f t="shared" si="0"/>
        <v>46192</v>
      </c>
      <c r="C19" s="448">
        <f>'DAILY EXTRAPOLATION'!N2393</f>
        <v>1.0004022222222222</v>
      </c>
      <c r="D19" s="454">
        <f t="shared" si="1"/>
        <v>1.0021186792598702</v>
      </c>
      <c r="E19" s="450">
        <f t="shared" si="2"/>
        <v>4.2373585197403862E-2</v>
      </c>
    </row>
    <row r="20" spans="1:5">
      <c r="A20" s="452">
        <f>'DAILY EXTRAPOLATION'!C2394</f>
        <v>46192</v>
      </c>
      <c r="B20" s="451">
        <f t="shared" si="0"/>
        <v>46193</v>
      </c>
      <c r="C20" s="448">
        <f>'DAILY EXTRAPOLATION'!N2394</f>
        <v>1</v>
      </c>
      <c r="D20" s="454">
        <f t="shared" si="1"/>
        <v>1.0021186792598702</v>
      </c>
      <c r="E20" s="450">
        <f t="shared" si="2"/>
        <v>4.0143396502803658E-2</v>
      </c>
    </row>
    <row r="21" spans="1:5">
      <c r="A21" s="452">
        <f>'DAILY EXTRAPOLATION'!C2395</f>
        <v>46193</v>
      </c>
      <c r="B21" s="451">
        <f t="shared" si="0"/>
        <v>46194</v>
      </c>
      <c r="C21" s="448">
        <f>'DAILY EXTRAPOLATION'!N2395</f>
        <v>1</v>
      </c>
      <c r="D21" s="454">
        <f t="shared" si="1"/>
        <v>1.0021186792598702</v>
      </c>
      <c r="E21" s="450">
        <f t="shared" si="2"/>
        <v>3.8136226677663476E-2</v>
      </c>
    </row>
    <row r="22" spans="1:5">
      <c r="A22" s="452">
        <f>'DAILY EXTRAPOLATION'!C2396</f>
        <v>46194</v>
      </c>
      <c r="B22" s="451">
        <f t="shared" si="0"/>
        <v>46195</v>
      </c>
      <c r="C22" s="448">
        <f>'DAILY EXTRAPOLATION'!N2396</f>
        <v>1</v>
      </c>
      <c r="D22" s="454">
        <f t="shared" si="1"/>
        <v>1.0021186792598702</v>
      </c>
      <c r="E22" s="450">
        <f t="shared" si="2"/>
        <v>3.6320215883489028E-2</v>
      </c>
    </row>
    <row r="23" spans="1:5">
      <c r="A23" s="452">
        <f>'DAILY EXTRAPOLATION'!C2397</f>
        <v>46195</v>
      </c>
      <c r="B23" s="451">
        <f t="shared" si="0"/>
        <v>46196</v>
      </c>
      <c r="C23" s="448">
        <f>'DAILY EXTRAPOLATION'!N2397</f>
        <v>1.0001002777777779</v>
      </c>
      <c r="D23" s="454">
        <f t="shared" si="1"/>
        <v>1.0022191694940961</v>
      </c>
      <c r="E23" s="450">
        <f t="shared" si="2"/>
        <v>3.6313682630662841E-2</v>
      </c>
    </row>
    <row r="24" spans="1:5">
      <c r="A24" s="452">
        <f>'DAILY EXTRAPOLATION'!C2398</f>
        <v>46196</v>
      </c>
      <c r="B24" s="451">
        <f t="shared" si="0"/>
        <v>46197</v>
      </c>
      <c r="C24" s="448">
        <f>'DAILY EXTRAPOLATION'!N2398</f>
        <v>1.0001005555555555</v>
      </c>
      <c r="D24" s="454">
        <f t="shared" si="1"/>
        <v>1.0023199481994729</v>
      </c>
      <c r="E24" s="450">
        <f t="shared" si="2"/>
        <v>3.6312232687401892E-2</v>
      </c>
    </row>
    <row r="25" spans="1:5">
      <c r="A25" s="452">
        <f>'DAILY EXTRAPOLATION'!C2399</f>
        <v>46197</v>
      </c>
      <c r="B25" s="451">
        <f t="shared" si="0"/>
        <v>46198</v>
      </c>
      <c r="C25" s="448">
        <f>'DAILY EXTRAPOLATION'!N2399</f>
        <v>1.0001005555555555</v>
      </c>
      <c r="D25" s="454">
        <f t="shared" si="1"/>
        <v>1.0024207370387086</v>
      </c>
      <c r="E25" s="450">
        <f t="shared" si="2"/>
        <v>3.631105558062897E-2</v>
      </c>
    </row>
    <row r="26" spans="1:5">
      <c r="A26" s="452">
        <f>'DAILY EXTRAPOLATION'!C2400</f>
        <v>46198</v>
      </c>
      <c r="B26" s="451">
        <f t="shared" si="0"/>
        <v>46199</v>
      </c>
      <c r="C26" s="448">
        <f>'DAILY EXTRAPOLATION'!N2400</f>
        <v>1.0001011111111111</v>
      </c>
      <c r="D26" s="454">
        <f t="shared" si="1"/>
        <v>1.0025220929132315</v>
      </c>
      <c r="E26" s="450">
        <f t="shared" si="2"/>
        <v>3.6318137950533111E-2</v>
      </c>
    </row>
    <row r="27" spans="1:5">
      <c r="A27" s="452">
        <f>'DAILY EXTRAPOLATION'!C2401</f>
        <v>46199</v>
      </c>
      <c r="B27" s="451">
        <f t="shared" si="0"/>
        <v>46200</v>
      </c>
      <c r="C27" s="448">
        <f>'DAILY EXTRAPOLATION'!N2401</f>
        <v>1.0003016666666666</v>
      </c>
      <c r="D27" s="454">
        <f t="shared" si="1"/>
        <v>1.0028245204112602</v>
      </c>
      <c r="E27" s="450">
        <f t="shared" si="2"/>
        <v>3.9108744155911083E-2</v>
      </c>
    </row>
    <row r="28" spans="1:5">
      <c r="A28" s="452">
        <f>'DAILY EXTRAPOLATION'!C2402</f>
        <v>46200</v>
      </c>
      <c r="B28" s="451">
        <f t="shared" si="0"/>
        <v>46201</v>
      </c>
      <c r="C28" s="448">
        <f>'DAILY EXTRAPOLATION'!N2402</f>
        <v>1</v>
      </c>
      <c r="D28" s="454">
        <f t="shared" si="1"/>
        <v>1.0028245204112602</v>
      </c>
      <c r="E28" s="450">
        <f t="shared" si="2"/>
        <v>3.7660272150136599E-2</v>
      </c>
    </row>
    <row r="29" spans="1:5">
      <c r="A29" s="452">
        <f>'DAILY EXTRAPOLATION'!C2403</f>
        <v>46201</v>
      </c>
      <c r="B29" s="451">
        <f t="shared" si="0"/>
        <v>46202</v>
      </c>
      <c r="C29" s="448">
        <f>'DAILY EXTRAPOLATION'!N2403</f>
        <v>1</v>
      </c>
      <c r="D29" s="454">
        <f t="shared" si="1"/>
        <v>1.0028245204112602</v>
      </c>
      <c r="E29" s="450">
        <f t="shared" si="2"/>
        <v>3.6315262430488868E-2</v>
      </c>
    </row>
    <row r="30" spans="1:5">
      <c r="A30" s="452">
        <f>'DAILY EXTRAPOLATION'!C2404</f>
        <v>46202</v>
      </c>
      <c r="B30" s="451">
        <f t="shared" si="0"/>
        <v>46203</v>
      </c>
      <c r="C30" s="448">
        <f>'DAILY EXTRAPOLATION'!N2404</f>
        <v>1.0001005555555555</v>
      </c>
      <c r="D30" s="454">
        <f t="shared" si="1"/>
        <v>1.002925359988035</v>
      </c>
      <c r="E30" s="450">
        <f t="shared" si="2"/>
        <v>3.6314813644572459E-2</v>
      </c>
    </row>
    <row r="31" spans="1:5">
      <c r="A31" s="452">
        <f>'DAILY EXTRAPOLATION'!C2405</f>
        <v>46203</v>
      </c>
      <c r="B31" s="451">
        <f t="shared" si="0"/>
        <v>46204</v>
      </c>
      <c r="C31" s="448">
        <f>'DAILY EXTRAPOLATION'!N2405</f>
        <v>1.0001022222222222</v>
      </c>
      <c r="D31" s="454">
        <f t="shared" si="1"/>
        <v>1.0030278812470561</v>
      </c>
      <c r="E31" s="450">
        <f t="shared" si="2"/>
        <v>3.6334574964673294E-2</v>
      </c>
    </row>
    <row r="32" spans="1:5">
      <c r="A32" s="452">
        <f>'DAILY EXTRAPOLATION'!C2406</f>
        <v>46204</v>
      </c>
      <c r="B32" s="451">
        <f t="shared" si="0"/>
        <v>46205</v>
      </c>
      <c r="C32" s="448">
        <f>'DAILY EXTRAPOLATION'!N2406</f>
        <v>1.0001016666666667</v>
      </c>
      <c r="D32" s="454">
        <f t="shared" si="1"/>
        <v>1.0031298557483161</v>
      </c>
      <c r="E32" s="450">
        <f t="shared" si="2"/>
        <v>3.634671191592944E-2</v>
      </c>
    </row>
    <row r="33" spans="1:5">
      <c r="A33" s="452">
        <f>'DAILY EXTRAPOLATION'!C2407</f>
        <v>46205</v>
      </c>
      <c r="B33" s="451">
        <f t="shared" si="0"/>
        <v>46206</v>
      </c>
      <c r="C33" s="448">
        <f>'DAILY EXTRAPOLATION'!N2407</f>
        <v>1.0004044444444444</v>
      </c>
      <c r="D33" s="454">
        <f t="shared" si="1"/>
        <v>1.0035355660455298</v>
      </c>
      <c r="E33" s="450">
        <f t="shared" si="2"/>
        <v>3.9775118012210786E-2</v>
      </c>
    </row>
    <row r="34" spans="1:5">
      <c r="A34" s="452">
        <f>'DAILY EXTRAPOLATION'!C2408</f>
        <v>46206</v>
      </c>
      <c r="B34" s="451">
        <f t="shared" si="0"/>
        <v>46207</v>
      </c>
      <c r="C34" s="448">
        <f>'DAILY EXTRAPOLATION'!N2408</f>
        <v>1</v>
      </c>
      <c r="D34" s="454">
        <f t="shared" si="1"/>
        <v>1.0035355660455298</v>
      </c>
      <c r="E34" s="450">
        <f t="shared" si="2"/>
        <v>3.8569811405780155E-2</v>
      </c>
    </row>
    <row r="35" spans="1:5">
      <c r="A35" s="452">
        <f>'DAILY EXTRAPOLATION'!C2409</f>
        <v>46207</v>
      </c>
      <c r="B35" s="451">
        <f t="shared" si="0"/>
        <v>46208</v>
      </c>
      <c r="C35" s="448">
        <f>'DAILY EXTRAPOLATION'!N2409</f>
        <v>1</v>
      </c>
      <c r="D35" s="454">
        <f t="shared" si="1"/>
        <v>1.0035355660455298</v>
      </c>
      <c r="E35" s="450">
        <f t="shared" si="2"/>
        <v>3.7435405187963094E-2</v>
      </c>
    </row>
    <row r="36" spans="1:5">
      <c r="A36" s="452">
        <f>'DAILY EXTRAPOLATION'!C2410</f>
        <v>46208</v>
      </c>
      <c r="B36" s="451">
        <f t="shared" si="0"/>
        <v>46209</v>
      </c>
      <c r="C36" s="448">
        <f>'DAILY EXTRAPOLATION'!N2410</f>
        <v>1</v>
      </c>
      <c r="D36" s="454">
        <f t="shared" si="1"/>
        <v>1.0035355660455298</v>
      </c>
      <c r="E36" s="450">
        <f t="shared" si="2"/>
        <v>3.6365822182592718E-2</v>
      </c>
    </row>
    <row r="37" spans="1:5">
      <c r="A37" s="452">
        <f>'DAILY EXTRAPOLATION'!C2411</f>
        <v>46209</v>
      </c>
      <c r="B37" s="451">
        <f t="shared" si="0"/>
        <v>46210</v>
      </c>
      <c r="C37" s="448">
        <f>'DAILY EXTRAPOLATION'!N2411</f>
        <v>1.0001008333333334</v>
      </c>
      <c r="D37" s="454">
        <f t="shared" si="1"/>
        <v>1.0036367558817729</v>
      </c>
      <c r="E37" s="450">
        <f t="shared" si="2"/>
        <v>3.636755881772924E-2</v>
      </c>
    </row>
    <row r="38" spans="1:5">
      <c r="A38" s="452">
        <f>'DAILY EXTRAPOLATION'!C2412</f>
        <v>46210</v>
      </c>
      <c r="B38" s="451">
        <f t="shared" si="0"/>
        <v>46211</v>
      </c>
      <c r="C38" s="448">
        <f>'DAILY EXTRAPOLATION'!N2412</f>
        <v>1.0001005555555555</v>
      </c>
      <c r="D38" s="454">
        <f t="shared" si="1"/>
        <v>1.0037376771333366</v>
      </c>
      <c r="E38" s="450">
        <f t="shared" si="2"/>
        <v>3.6366588324356248E-2</v>
      </c>
    </row>
    <row r="39" spans="1:5">
      <c r="A39" s="452">
        <f>'DAILY EXTRAPOLATION'!C2413</f>
        <v>46211</v>
      </c>
      <c r="B39" s="451">
        <f t="shared" si="0"/>
        <v>46212</v>
      </c>
      <c r="C39" s="448">
        <f>'DAILY EXTRAPOLATION'!N2413</f>
        <v>1.0000994444444444</v>
      </c>
      <c r="D39" s="454">
        <f t="shared" si="1"/>
        <v>1.0038374932690071</v>
      </c>
      <c r="E39" s="450">
        <f t="shared" si="2"/>
        <v>3.6355199390593236E-2</v>
      </c>
    </row>
    <row r="40" spans="1:5">
      <c r="A40" s="452">
        <f>'DAILY EXTRAPOLATION'!C2414</f>
        <v>46212</v>
      </c>
      <c r="B40" s="451">
        <f t="shared" si="0"/>
        <v>46213</v>
      </c>
      <c r="C40" s="448">
        <f>'DAILY EXTRAPOLATION'!N2414</f>
        <v>1.0000980555555556</v>
      </c>
      <c r="D40" s="454">
        <f t="shared" si="1"/>
        <v>1.0039359251120972</v>
      </c>
      <c r="E40" s="450">
        <f t="shared" si="2"/>
        <v>3.633161641935851E-2</v>
      </c>
    </row>
    <row r="41" spans="1:5">
      <c r="A41" s="452">
        <f>'DAILY EXTRAPOLATION'!C2415</f>
        <v>46213</v>
      </c>
      <c r="B41" s="451">
        <f t="shared" si="0"/>
        <v>46214</v>
      </c>
      <c r="C41" s="448">
        <f>'DAILY EXTRAPOLATION'!N2415</f>
        <v>1.0002958333333334</v>
      </c>
      <c r="D41" s="454">
        <f t="shared" si="1"/>
        <v>1.0042329228232763</v>
      </c>
      <c r="E41" s="450">
        <f t="shared" si="2"/>
        <v>3.8096305409486275E-2</v>
      </c>
    </row>
    <row r="42" spans="1:5">
      <c r="A42" s="452">
        <f>'DAILY EXTRAPOLATION'!C2416</f>
        <v>46214</v>
      </c>
      <c r="B42" s="451">
        <f t="shared" si="0"/>
        <v>46215</v>
      </c>
      <c r="C42" s="448">
        <f>'DAILY EXTRAPOLATION'!N2416</f>
        <v>1</v>
      </c>
      <c r="D42" s="454">
        <f t="shared" si="1"/>
        <v>1.0042329228232763</v>
      </c>
      <c r="E42" s="450">
        <f t="shared" si="2"/>
        <v>3.7167127228767097E-2</v>
      </c>
    </row>
    <row r="43" spans="1:5">
      <c r="A43" s="452">
        <f>'DAILY EXTRAPOLATION'!C2417</f>
        <v>46215</v>
      </c>
      <c r="B43" s="451">
        <f t="shared" si="0"/>
        <v>46216</v>
      </c>
      <c r="C43" s="448">
        <f>'DAILY EXTRAPOLATION'!N2417</f>
        <v>1</v>
      </c>
      <c r="D43" s="454">
        <f t="shared" si="1"/>
        <v>1.0042329228232763</v>
      </c>
      <c r="E43" s="450">
        <f t="shared" si="2"/>
        <v>3.6282195628082166E-2</v>
      </c>
    </row>
    <row r="44" spans="1:5">
      <c r="A44" s="452">
        <f>'DAILY EXTRAPOLATION'!C2418</f>
        <v>46216</v>
      </c>
      <c r="B44" s="451">
        <f t="shared" si="0"/>
        <v>46217</v>
      </c>
      <c r="C44" s="448">
        <f>'DAILY EXTRAPOLATION'!N2418</f>
        <v>1.0001</v>
      </c>
      <c r="D44" s="454">
        <f t="shared" si="1"/>
        <v>1.0043333461155586</v>
      </c>
      <c r="E44" s="450">
        <f t="shared" si="2"/>
        <v>3.6279176781420654E-2</v>
      </c>
    </row>
    <row r="45" spans="1:5">
      <c r="A45" s="452">
        <f>'DAILY EXTRAPOLATION'!C2419</f>
        <v>46217</v>
      </c>
      <c r="B45" s="451">
        <f t="shared" si="0"/>
        <v>46218</v>
      </c>
      <c r="C45" s="448">
        <f>'DAILY EXTRAPOLATION'!N2419</f>
        <v>1.0001008333333334</v>
      </c>
      <c r="D45" s="454">
        <f t="shared" si="1"/>
        <v>1.0044346163946254</v>
      </c>
      <c r="E45" s="450">
        <f t="shared" si="2"/>
        <v>3.6283225046935014E-2</v>
      </c>
    </row>
    <row r="46" spans="1:5">
      <c r="A46" s="452">
        <f>'DAILY EXTRAPOLATION'!C2420</f>
        <v>46218</v>
      </c>
      <c r="B46" s="451">
        <f t="shared" si="0"/>
        <v>46219</v>
      </c>
      <c r="C46" s="448">
        <f>'DAILY EXTRAPOLATION'!N2420</f>
        <v>1.0001011111111111</v>
      </c>
      <c r="D46" s="454">
        <f t="shared" si="1"/>
        <v>1.0045361758947275</v>
      </c>
      <c r="E46" s="450">
        <f t="shared" si="2"/>
        <v>3.6289407157820364E-2</v>
      </c>
    </row>
    <row r="47" spans="1:5">
      <c r="A47" s="452">
        <f>'DAILY EXTRAPOLATION'!C2421</f>
        <v>46219</v>
      </c>
      <c r="B47" s="451">
        <f t="shared" si="0"/>
        <v>46220</v>
      </c>
      <c r="C47" s="448">
        <f>'DAILY EXTRAPOLATION'!N2421</f>
        <v>1.0001005555555555</v>
      </c>
      <c r="D47" s="454">
        <f t="shared" si="1"/>
        <v>1.0046371875879703</v>
      </c>
      <c r="E47" s="450">
        <f t="shared" si="2"/>
        <v>3.6291033297158638E-2</v>
      </c>
    </row>
    <row r="48" spans="1:5">
      <c r="A48" s="452">
        <f>'DAILY EXTRAPOLATION'!C2422</f>
        <v>46220</v>
      </c>
      <c r="B48" s="451">
        <f t="shared" si="0"/>
        <v>46221</v>
      </c>
      <c r="C48" s="448">
        <f>'DAILY EXTRAPOLATION'!N2422</f>
        <v>1.0002991666666667</v>
      </c>
      <c r="D48" s="454">
        <f t="shared" si="1"/>
        <v>1.0049377415465903</v>
      </c>
      <c r="E48" s="450">
        <f t="shared" si="2"/>
        <v>3.7820999080266308E-2</v>
      </c>
    </row>
    <row r="49" spans="1:5">
      <c r="A49" s="452">
        <f>'DAILY EXTRAPOLATION'!C2423</f>
        <v>46221</v>
      </c>
      <c r="B49" s="451">
        <f t="shared" si="0"/>
        <v>46222</v>
      </c>
      <c r="C49" s="448">
        <f>'DAILY EXTRAPOLATION'!N2423</f>
        <v>1</v>
      </c>
      <c r="D49" s="454">
        <f t="shared" si="1"/>
        <v>1.0049377415465903</v>
      </c>
      <c r="E49" s="450">
        <f t="shared" si="2"/>
        <v>3.703306159942743E-2</v>
      </c>
    </row>
    <row r="50" spans="1:5">
      <c r="A50" s="452">
        <f>'DAILY EXTRAPOLATION'!C2424</f>
        <v>46222</v>
      </c>
      <c r="B50" s="451">
        <f t="shared" si="0"/>
        <v>46223</v>
      </c>
      <c r="C50" s="448">
        <f>'DAILY EXTRAPOLATION'!N2424</f>
        <v>1</v>
      </c>
      <c r="D50" s="454">
        <f t="shared" si="1"/>
        <v>1.0049377415465903</v>
      </c>
      <c r="E50" s="450">
        <f t="shared" si="2"/>
        <v>3.627728483209218E-2</v>
      </c>
    </row>
    <row r="51" spans="1:5">
      <c r="A51" s="452">
        <f>'DAILY EXTRAPOLATION'!C2425</f>
        <v>46223</v>
      </c>
      <c r="B51" s="451">
        <f t="shared" si="0"/>
        <v>46224</v>
      </c>
      <c r="C51" s="448">
        <f>'DAILY EXTRAPOLATION'!N2425</f>
        <v>1.0000991666666668</v>
      </c>
      <c r="D51" s="454">
        <f t="shared" si="1"/>
        <v>1.005037397872627</v>
      </c>
      <c r="E51" s="450">
        <f t="shared" si="2"/>
        <v>3.6269264682914581E-2</v>
      </c>
    </row>
    <row r="52" spans="1:5">
      <c r="A52" s="452">
        <f>'DAILY EXTRAPOLATION'!C2426</f>
        <v>46224</v>
      </c>
      <c r="B52" s="451">
        <f t="shared" si="0"/>
        <v>46225</v>
      </c>
      <c r="C52" s="448">
        <f>'DAILY EXTRAPOLATION'!N2426</f>
        <v>1.0001002777777779</v>
      </c>
      <c r="D52" s="454">
        <f t="shared" si="1"/>
        <v>1.0051381807894693</v>
      </c>
      <c r="E52" s="450">
        <f t="shared" si="2"/>
        <v>3.6269511455077126E-2</v>
      </c>
    </row>
    <row r="53" spans="1:5">
      <c r="A53" s="452">
        <f>'DAILY EXTRAPOLATION'!C2427</f>
        <v>46225</v>
      </c>
      <c r="B53" s="451">
        <f t="shared" si="0"/>
        <v>46226</v>
      </c>
      <c r="C53" s="448">
        <f>'DAILY EXTRAPOLATION'!N2427</f>
        <v>1.0001005555555555</v>
      </c>
      <c r="D53" s="454">
        <f t="shared" si="1"/>
        <v>1.0052392530176486</v>
      </c>
      <c r="E53" s="450">
        <f t="shared" si="2"/>
        <v>3.6271751660644183E-2</v>
      </c>
    </row>
    <row r="54" spans="1:5">
      <c r="A54" s="452">
        <f>'DAILY EXTRAPOLATION'!C2428</f>
        <v>46226</v>
      </c>
      <c r="B54" s="451">
        <f t="shared" si="0"/>
        <v>46227</v>
      </c>
      <c r="C54" s="448">
        <f>'DAILY EXTRAPOLATION'!N2428</f>
        <v>1.0001011111111111</v>
      </c>
      <c r="D54" s="454">
        <f t="shared" si="1"/>
        <v>1.0053408938754538</v>
      </c>
      <c r="E54" s="450">
        <f t="shared" si="2"/>
        <v>3.6277769720063399E-2</v>
      </c>
    </row>
    <row r="55" spans="1:5">
      <c r="A55" s="452">
        <f>'DAILY EXTRAPOLATION'!C2429</f>
        <v>46227</v>
      </c>
      <c r="B55" s="451">
        <f t="shared" si="0"/>
        <v>46228</v>
      </c>
      <c r="C55" s="448">
        <f>'DAILY EXTRAPOLATION'!N2429</f>
        <v>1.0003033333333333</v>
      </c>
      <c r="D55" s="454">
        <f t="shared" si="1"/>
        <v>1.0056458472799292</v>
      </c>
      <c r="E55" s="450">
        <f t="shared" si="2"/>
        <v>3.7638981866194854E-2</v>
      </c>
    </row>
    <row r="56" spans="1:5">
      <c r="A56" s="452">
        <f>'DAILY EXTRAPOLATION'!C2430</f>
        <v>46228</v>
      </c>
      <c r="B56" s="451">
        <f t="shared" si="0"/>
        <v>46229</v>
      </c>
      <c r="C56" s="448">
        <f>'DAILY EXTRAPOLATION'!N2430</f>
        <v>1</v>
      </c>
      <c r="D56" s="454">
        <f t="shared" si="1"/>
        <v>1.0056458472799292</v>
      </c>
      <c r="E56" s="450">
        <f t="shared" si="2"/>
        <v>3.6954636741354949E-2</v>
      </c>
    </row>
    <row r="57" spans="1:5">
      <c r="A57" s="452">
        <f>'DAILY EXTRAPOLATION'!C2431</f>
        <v>46229</v>
      </c>
      <c r="B57" s="451">
        <f t="shared" si="0"/>
        <v>46230</v>
      </c>
      <c r="C57" s="448">
        <f>'DAILY EXTRAPOLATION'!N2431</f>
        <v>1</v>
      </c>
      <c r="D57" s="454">
        <f t="shared" si="1"/>
        <v>1.0056458472799292</v>
      </c>
      <c r="E57" s="450">
        <f t="shared" si="2"/>
        <v>3.6294732513830752E-2</v>
      </c>
    </row>
    <row r="58" spans="1:5">
      <c r="A58" s="452">
        <f>'DAILY EXTRAPOLATION'!C2432</f>
        <v>46230</v>
      </c>
      <c r="B58" s="451">
        <f t="shared" si="0"/>
        <v>46231</v>
      </c>
      <c r="C58" s="448">
        <f>'DAILY EXTRAPOLATION'!N2432</f>
        <v>1.0001011111111111</v>
      </c>
      <c r="D58" s="454">
        <f t="shared" si="1"/>
        <v>1.005747529248932</v>
      </c>
      <c r="E58" s="450">
        <f t="shared" si="2"/>
        <v>3.6300184730096587E-2</v>
      </c>
    </row>
    <row r="59" spans="1:5">
      <c r="A59" s="452">
        <f>'DAILY EXTRAPOLATION'!C2433</f>
        <v>46231</v>
      </c>
      <c r="B59" s="451">
        <f t="shared" si="0"/>
        <v>46232</v>
      </c>
      <c r="C59" s="448">
        <f>'DAILY EXTRAPOLATION'!N2433</f>
        <v>1.000101388888889</v>
      </c>
      <c r="D59" s="454">
        <f t="shared" si="1"/>
        <v>1.0058495008734254</v>
      </c>
      <c r="E59" s="450">
        <f t="shared" si="2"/>
        <v>3.6307246800571416E-2</v>
      </c>
    </row>
    <row r="60" spans="1:5">
      <c r="A60" s="452">
        <f>'DAILY EXTRAPOLATION'!C2434</f>
        <v>46232</v>
      </c>
      <c r="B60" s="451">
        <f t="shared" si="0"/>
        <v>46233</v>
      </c>
      <c r="C60" s="448">
        <f>'DAILY EXTRAPOLATION'!N2434</f>
        <v>1.000101388888889</v>
      </c>
      <c r="D60" s="454">
        <f t="shared" si="1"/>
        <v>1.0059514828367084</v>
      </c>
      <c r="E60" s="450">
        <f t="shared" si="2"/>
        <v>3.6314132562966707E-2</v>
      </c>
    </row>
    <row r="61" spans="1:5">
      <c r="A61" s="452">
        <f>'DAILY EXTRAPOLATION'!C2435</f>
        <v>46233</v>
      </c>
      <c r="B61" s="451">
        <f t="shared" si="0"/>
        <v>46234</v>
      </c>
      <c r="C61" s="448">
        <f>'DAILY EXTRAPOLATION'!N2435</f>
        <v>1.000101388888889</v>
      </c>
      <c r="D61" s="454">
        <f t="shared" si="1"/>
        <v>1.0060534751398296</v>
      </c>
      <c r="E61" s="450">
        <f t="shared" si="2"/>
        <v>3.6320850838977403E-2</v>
      </c>
    </row>
    <row r="62" spans="1:5">
      <c r="A62" s="452">
        <f>'DAILY EXTRAPOLATION'!C2436</f>
        <v>46234</v>
      </c>
      <c r="B62" s="451">
        <f t="shared" si="0"/>
        <v>46235</v>
      </c>
      <c r="C62" s="448">
        <f>'DAILY EXTRAPOLATION'!N2436</f>
        <v>1.000305</v>
      </c>
      <c r="D62" s="454">
        <f t="shared" si="1"/>
        <v>1.0063603214497472</v>
      </c>
      <c r="E62" s="450">
        <f t="shared" si="2"/>
        <v>3.7536323309983397E-2</v>
      </c>
    </row>
    <row r="63" spans="1:5">
      <c r="A63" s="452">
        <f>'DAILY EXTRAPOLATION'!C2437</f>
        <v>46235</v>
      </c>
      <c r="B63" s="451">
        <f t="shared" si="0"/>
        <v>46236</v>
      </c>
      <c r="C63" s="448">
        <f>'DAILY EXTRAPOLATION'!N2437</f>
        <v>1</v>
      </c>
      <c r="D63" s="454">
        <f t="shared" si="1"/>
        <v>1.0063603214497472</v>
      </c>
      <c r="E63" s="450">
        <f t="shared" si="2"/>
        <v>3.6930898740467531E-2</v>
      </c>
    </row>
    <row r="64" spans="1:5">
      <c r="A64" s="452">
        <f>'DAILY EXTRAPOLATION'!C2438</f>
        <v>46236</v>
      </c>
      <c r="B64" s="451">
        <f t="shared" si="0"/>
        <v>46237</v>
      </c>
      <c r="C64" s="448">
        <f>'DAILY EXTRAPOLATION'!N2438</f>
        <v>1</v>
      </c>
      <c r="D64" s="454">
        <f t="shared" si="1"/>
        <v>1.0063603214497472</v>
      </c>
      <c r="E64" s="450">
        <f t="shared" si="2"/>
        <v>3.6344693998555347E-2</v>
      </c>
    </row>
    <row r="65" spans="1:5">
      <c r="A65" s="452">
        <f>'DAILY EXTRAPOLATION'!C2439</f>
        <v>46237</v>
      </c>
      <c r="B65" s="451">
        <f t="shared" si="0"/>
        <v>46238</v>
      </c>
      <c r="C65" s="448">
        <f>'DAILY EXTRAPOLATION'!N2439</f>
        <v>1.000101388888889</v>
      </c>
      <c r="D65" s="454">
        <f t="shared" si="1"/>
        <v>1.0064623552045608</v>
      </c>
      <c r="E65" s="450">
        <f t="shared" si="2"/>
        <v>3.6350748025654744E-2</v>
      </c>
    </row>
    <row r="66" spans="1:5">
      <c r="A66" s="452">
        <f>'DAILY EXTRAPOLATION'!C2440</f>
        <v>46238</v>
      </c>
      <c r="B66" s="451">
        <f t="shared" si="0"/>
        <v>46239</v>
      </c>
      <c r="C66" s="448">
        <f>'DAILY EXTRAPOLATION'!N2440</f>
        <v>1.0001016666666667</v>
      </c>
      <c r="D66" s="454">
        <f t="shared" si="1"/>
        <v>1.0065646788773399</v>
      </c>
      <c r="E66" s="450">
        <f t="shared" si="2"/>
        <v>3.6358221474497979E-2</v>
      </c>
    </row>
    <row r="67" spans="1:5">
      <c r="A67" s="452">
        <f>'DAILY EXTRAPOLATION'!C2441</f>
        <v>46239</v>
      </c>
      <c r="B67" s="451">
        <f t="shared" ref="B67:B130" si="3">A68</f>
        <v>46240</v>
      </c>
      <c r="C67" s="448">
        <f>'DAILY EXTRAPOLATION'!N2441</f>
        <v>1.0001011111111111</v>
      </c>
      <c r="D67" s="454">
        <f t="shared" si="1"/>
        <v>1.0066664537504264</v>
      </c>
      <c r="E67" s="450">
        <f t="shared" si="2"/>
        <v>3.6362475002325839E-2</v>
      </c>
    </row>
    <row r="68" spans="1:5">
      <c r="A68" s="452">
        <f>'DAILY EXTRAPOLATION'!C2442</f>
        <v>46240</v>
      </c>
      <c r="B68" s="451">
        <f t="shared" si="3"/>
        <v>46241</v>
      </c>
      <c r="C68" s="448">
        <f>'DAILY EXTRAPOLATION'!N2442</f>
        <v>1.000101388888889</v>
      </c>
      <c r="D68" s="454">
        <f t="shared" ref="D68:D131" si="4">D67*C68</f>
        <v>1.0067685185436539</v>
      </c>
      <c r="E68" s="450">
        <f t="shared" ref="E68:E131" si="5">(D68/1-1)*360/(B68-A$2)</f>
        <v>3.6368159339035887E-2</v>
      </c>
    </row>
    <row r="69" spans="1:5">
      <c r="A69" s="452">
        <f>'DAILY EXTRAPOLATION'!C2443</f>
        <v>46241</v>
      </c>
      <c r="B69" s="451">
        <f t="shared" si="3"/>
        <v>46242</v>
      </c>
      <c r="C69" s="448">
        <f>'DAILY EXTRAPOLATION'!N2443</f>
        <v>1.0003016666666666</v>
      </c>
      <c r="D69" s="454">
        <f t="shared" si="4"/>
        <v>1.0070722270467478</v>
      </c>
      <c r="E69" s="450">
        <f t="shared" si="5"/>
        <v>3.7441202012194308E-2</v>
      </c>
    </row>
    <row r="70" spans="1:5">
      <c r="A70" s="452">
        <f>'DAILY EXTRAPOLATION'!C2444</f>
        <v>46242</v>
      </c>
      <c r="B70" s="451">
        <f t="shared" si="3"/>
        <v>46243</v>
      </c>
      <c r="C70" s="448">
        <f>'DAILY EXTRAPOLATION'!N2444</f>
        <v>1</v>
      </c>
      <c r="D70" s="454">
        <f t="shared" si="4"/>
        <v>1.0070722270467478</v>
      </c>
      <c r="E70" s="450">
        <f t="shared" si="5"/>
        <v>3.689857589607555E-2</v>
      </c>
    </row>
    <row r="71" spans="1:5">
      <c r="A71" s="452">
        <f>'DAILY EXTRAPOLATION'!C2445</f>
        <v>46243</v>
      </c>
      <c r="B71" s="451">
        <f t="shared" si="3"/>
        <v>46244</v>
      </c>
      <c r="C71" s="448">
        <f>'DAILY EXTRAPOLATION'!N2445</f>
        <v>1</v>
      </c>
      <c r="D71" s="454">
        <f t="shared" si="4"/>
        <v>1.0070722270467478</v>
      </c>
      <c r="E71" s="450">
        <f t="shared" si="5"/>
        <v>3.6371453383274473E-2</v>
      </c>
    </row>
    <row r="72" spans="1:5">
      <c r="A72" s="452">
        <f>'DAILY EXTRAPOLATION'!C2446</f>
        <v>46244</v>
      </c>
      <c r="B72" s="451">
        <f t="shared" si="3"/>
        <v>46245</v>
      </c>
      <c r="C72" s="448">
        <f>'DAILY EXTRAPOLATION'!N2446</f>
        <v>1.0001008333333334</v>
      </c>
      <c r="D72" s="454">
        <f t="shared" si="4"/>
        <v>1.0071737734963084</v>
      </c>
      <c r="E72" s="450">
        <f t="shared" si="5"/>
        <v>3.6374062798183608E-2</v>
      </c>
    </row>
    <row r="73" spans="1:5">
      <c r="A73" s="452">
        <f>'DAILY EXTRAPOLATION'!C2447</f>
        <v>46245</v>
      </c>
      <c r="B73" s="451">
        <f t="shared" si="3"/>
        <v>46246</v>
      </c>
      <c r="C73" s="448">
        <f>'DAILY EXTRAPOLATION'!N2447</f>
        <v>1.0001011111111111</v>
      </c>
      <c r="D73" s="454">
        <f t="shared" si="4"/>
        <v>1.0072756099556286</v>
      </c>
      <c r="E73" s="450">
        <f t="shared" si="5"/>
        <v>3.6378049778142962E-2</v>
      </c>
    </row>
    <row r="74" spans="1:5">
      <c r="A74" s="452">
        <f>'DAILY EXTRAPOLATION'!C2448</f>
        <v>46246</v>
      </c>
      <c r="B74" s="451">
        <f t="shared" si="3"/>
        <v>46247</v>
      </c>
      <c r="C74" s="448">
        <f>'DAILY EXTRAPOLATION'!N2448</f>
        <v>1.0001005555555555</v>
      </c>
      <c r="D74" s="454">
        <f t="shared" si="4"/>
        <v>1.0073768971141852</v>
      </c>
      <c r="E74" s="450">
        <f t="shared" si="5"/>
        <v>3.6379218645296925E-2</v>
      </c>
    </row>
    <row r="75" spans="1:5">
      <c r="A75" s="452">
        <f>'DAILY EXTRAPOLATION'!C2449</f>
        <v>46247</v>
      </c>
      <c r="B75" s="451">
        <f t="shared" si="3"/>
        <v>46248</v>
      </c>
      <c r="C75" s="448">
        <f>'DAILY EXTRAPOLATION'!N2449</f>
        <v>1.0001005555555555</v>
      </c>
      <c r="D75" s="454">
        <f t="shared" si="4"/>
        <v>1.0074781944577285</v>
      </c>
      <c r="E75" s="450">
        <f t="shared" si="5"/>
        <v>3.6380405470030346E-2</v>
      </c>
    </row>
    <row r="76" spans="1:5">
      <c r="A76" s="452">
        <f>'DAILY EXTRAPOLATION'!C2450</f>
        <v>46248</v>
      </c>
      <c r="B76" s="451">
        <f t="shared" si="3"/>
        <v>46249</v>
      </c>
      <c r="C76" s="448">
        <f>'DAILY EXTRAPOLATION'!N2450</f>
        <v>1.0003016666666666</v>
      </c>
      <c r="D76" s="454">
        <f t="shared" si="4"/>
        <v>1.0077821170463899</v>
      </c>
      <c r="E76" s="450">
        <f t="shared" si="5"/>
        <v>3.7354161822671372E-2</v>
      </c>
    </row>
    <row r="77" spans="1:5">
      <c r="A77" s="452">
        <f>'DAILY EXTRAPOLATION'!C2451</f>
        <v>46249</v>
      </c>
      <c r="B77" s="451">
        <f t="shared" si="3"/>
        <v>46250</v>
      </c>
      <c r="C77" s="448">
        <f>'DAILY EXTRAPOLATION'!N2451</f>
        <v>1</v>
      </c>
      <c r="D77" s="454">
        <f t="shared" si="4"/>
        <v>1.0077821170463899</v>
      </c>
      <c r="E77" s="450">
        <f t="shared" si="5"/>
        <v>3.6862659693425698E-2</v>
      </c>
    </row>
    <row r="78" spans="1:5">
      <c r="A78" s="452">
        <f>'DAILY EXTRAPOLATION'!C2452</f>
        <v>46250</v>
      </c>
      <c r="B78" s="451">
        <f t="shared" si="3"/>
        <v>46251</v>
      </c>
      <c r="C78" s="448">
        <f>'DAILY EXTRAPOLATION'!N2452</f>
        <v>1</v>
      </c>
      <c r="D78" s="454">
        <f t="shared" si="4"/>
        <v>1.0077821170463899</v>
      </c>
      <c r="E78" s="450">
        <f t="shared" si="5"/>
        <v>3.6383923853251336E-2</v>
      </c>
    </row>
    <row r="79" spans="1:5">
      <c r="A79" s="452">
        <f>'DAILY EXTRAPOLATION'!C2453</f>
        <v>46251</v>
      </c>
      <c r="B79" s="451">
        <f t="shared" si="3"/>
        <v>46252</v>
      </c>
      <c r="C79" s="448">
        <f>'DAILY EXTRAPOLATION'!N2453</f>
        <v>1.0001016666666667</v>
      </c>
      <c r="D79" s="454">
        <f t="shared" si="4"/>
        <v>1.0078845748949563</v>
      </c>
      <c r="E79" s="450">
        <f t="shared" si="5"/>
        <v>3.6390345669029114E-2</v>
      </c>
    </row>
    <row r="80" spans="1:5">
      <c r="A80" s="452">
        <f>'DAILY EXTRAPOLATION'!C2454</f>
        <v>46252</v>
      </c>
      <c r="B80" s="451">
        <f t="shared" si="3"/>
        <v>46253</v>
      </c>
      <c r="C80" s="448">
        <f>'DAILY EXTRAPOLATION'!N2454</f>
        <v>1.000101388888889</v>
      </c>
      <c r="D80" s="454">
        <f t="shared" si="4"/>
        <v>1.0079867631921333</v>
      </c>
      <c r="E80" s="450">
        <f t="shared" si="5"/>
        <v>3.6395376571746761E-2</v>
      </c>
    </row>
    <row r="81" spans="1:5">
      <c r="A81" s="452">
        <f>'DAILY EXTRAPOLATION'!C2455</f>
        <v>46253</v>
      </c>
      <c r="B81" s="451">
        <f t="shared" si="3"/>
        <v>46254</v>
      </c>
      <c r="C81" s="448">
        <f>'DAILY EXTRAPOLATION'!N2455</f>
        <v>1.0001005555555555</v>
      </c>
      <c r="D81" s="454">
        <f t="shared" si="4"/>
        <v>1.0080881218610986</v>
      </c>
      <c r="E81" s="450">
        <f t="shared" si="5"/>
        <v>3.6396548374943882E-2</v>
      </c>
    </row>
    <row r="82" spans="1:5">
      <c r="A82" s="452">
        <f>'DAILY EXTRAPOLATION'!C2456</f>
        <v>46254</v>
      </c>
      <c r="B82" s="451">
        <f t="shared" si="3"/>
        <v>46255</v>
      </c>
      <c r="C82" s="448">
        <f>'DAILY EXTRAPOLATION'!N2456</f>
        <v>1.0001008333333334</v>
      </c>
      <c r="D82" s="454">
        <f t="shared" si="4"/>
        <v>1.0081897707467198</v>
      </c>
      <c r="E82" s="450">
        <f t="shared" si="5"/>
        <v>3.6398981096532362E-2</v>
      </c>
    </row>
    <row r="83" spans="1:5">
      <c r="A83" s="452">
        <f>'DAILY EXTRAPOLATION'!C2457</f>
        <v>46255</v>
      </c>
      <c r="B83" s="451">
        <f t="shared" si="3"/>
        <v>46256</v>
      </c>
      <c r="C83" s="448">
        <f ca="1">'DAILY EXTRAPOLATION'!N2457</f>
        <v>1.0003040151515152</v>
      </c>
      <c r="D83" s="454">
        <f t="shared" ca="1" si="4"/>
        <v>1.0084962757126295</v>
      </c>
      <c r="E83" s="450">
        <f t="shared" ca="1" si="5"/>
        <v>3.7300722640812231E-2</v>
      </c>
    </row>
    <row r="84" spans="1:5">
      <c r="A84" s="452">
        <f>'DAILY EXTRAPOLATION'!C2458</f>
        <v>46256</v>
      </c>
      <c r="B84" s="451">
        <f t="shared" si="3"/>
        <v>46257</v>
      </c>
      <c r="C84" s="448">
        <f ca="1">'DAILY EXTRAPOLATION'!N2458</f>
        <v>1</v>
      </c>
      <c r="D84" s="454">
        <f t="shared" ca="1" si="4"/>
        <v>1.0084962757126295</v>
      </c>
      <c r="E84" s="450">
        <f t="shared" ca="1" si="5"/>
        <v>3.685131634393498E-2</v>
      </c>
    </row>
    <row r="85" spans="1:5">
      <c r="A85" s="452">
        <f>'DAILY EXTRAPOLATION'!C2459</f>
        <v>46257</v>
      </c>
      <c r="B85" s="451">
        <f t="shared" si="3"/>
        <v>46258</v>
      </c>
      <c r="C85" s="448">
        <f ca="1">'DAILY EXTRAPOLATION'!N2459</f>
        <v>1</v>
      </c>
      <c r="D85" s="454">
        <f t="shared" ca="1" si="4"/>
        <v>1.0084962757126295</v>
      </c>
      <c r="E85" s="450">
        <f t="shared" ca="1" si="5"/>
        <v>3.6412610196983372E-2</v>
      </c>
    </row>
    <row r="86" spans="1:5">
      <c r="A86" s="452">
        <f>'DAILY EXTRAPOLATION'!C2460</f>
        <v>46258</v>
      </c>
      <c r="B86" s="451">
        <f t="shared" si="3"/>
        <v>46259</v>
      </c>
      <c r="C86" s="448">
        <f ca="1">'DAILY EXTRAPOLATION'!N2460</f>
        <v>1.0001013383838384</v>
      </c>
      <c r="D86" s="454">
        <f t="shared" ca="1" si="4"/>
        <v>1.0085984750953172</v>
      </c>
      <c r="E86" s="450">
        <f t="shared" ca="1" si="5"/>
        <v>3.6417070991931644E-2</v>
      </c>
    </row>
    <row r="87" spans="1:5">
      <c r="A87" s="452">
        <f>'DAILY EXTRAPOLATION'!C2461</f>
        <v>46259</v>
      </c>
      <c r="B87" s="451">
        <f t="shared" si="3"/>
        <v>46260</v>
      </c>
      <c r="C87" s="448">
        <f ca="1">'DAILY EXTRAPOLATION'!N2461</f>
        <v>1.0001013383838384</v>
      </c>
      <c r="D87" s="454">
        <f t="shared" ca="1" si="4"/>
        <v>1.0087006848347253</v>
      </c>
      <c r="E87" s="450">
        <f t="shared" ca="1" si="5"/>
        <v>3.6421471401175687E-2</v>
      </c>
    </row>
    <row r="88" spans="1:5">
      <c r="A88" s="452">
        <f>'DAILY EXTRAPOLATION'!C2462</f>
        <v>46260</v>
      </c>
      <c r="B88" s="451">
        <f t="shared" si="3"/>
        <v>46261</v>
      </c>
      <c r="C88" s="448">
        <f ca="1">'DAILY EXTRAPOLATION'!N2462</f>
        <v>1.0001013383838384</v>
      </c>
      <c r="D88" s="454">
        <f t="shared" ca="1" si="4"/>
        <v>1.0088029049319032</v>
      </c>
      <c r="E88" s="450">
        <f t="shared" ca="1" si="5"/>
        <v>3.6425813511323443E-2</v>
      </c>
    </row>
    <row r="89" spans="1:5">
      <c r="A89" s="452">
        <f>'DAILY EXTRAPOLATION'!C2463</f>
        <v>46261</v>
      </c>
      <c r="B89" s="451">
        <f t="shared" si="3"/>
        <v>46262</v>
      </c>
      <c r="C89" s="448">
        <f ca="1">'DAILY EXTRAPOLATION'!N2463</f>
        <v>1.0001013383838384</v>
      </c>
      <c r="D89" s="454">
        <f t="shared" ca="1" si="4"/>
        <v>1.0089051353879004</v>
      </c>
      <c r="E89" s="450">
        <f t="shared" ca="1" si="5"/>
        <v>3.6430099314137945E-2</v>
      </c>
    </row>
    <row r="90" spans="1:5">
      <c r="A90" s="452">
        <f>'DAILY EXTRAPOLATION'!C2464</f>
        <v>46262</v>
      </c>
      <c r="B90" s="451">
        <f t="shared" si="3"/>
        <v>46263</v>
      </c>
      <c r="C90" s="448">
        <f ca="1">'DAILY EXTRAPOLATION'!N2464</f>
        <v>1.0003040151515152</v>
      </c>
      <c r="D90" s="454">
        <f t="shared" ca="1" si="4"/>
        <v>1.0092118578354998</v>
      </c>
      <c r="E90" s="450">
        <f t="shared" ca="1" si="5"/>
        <v>3.7261447424493679E-2</v>
      </c>
    </row>
    <row r="91" spans="1:5">
      <c r="A91" s="452">
        <f>'DAILY EXTRAPOLATION'!C2465</f>
        <v>46263</v>
      </c>
      <c r="B91" s="451">
        <f t="shared" si="3"/>
        <v>46264</v>
      </c>
      <c r="C91" s="448">
        <f ca="1">'DAILY EXTRAPOLATION'!N2465</f>
        <v>1</v>
      </c>
      <c r="D91" s="454">
        <f t="shared" ca="1" si="4"/>
        <v>1.0092118578354998</v>
      </c>
      <c r="E91" s="450">
        <f t="shared" ca="1" si="5"/>
        <v>3.6847431341999304E-2</v>
      </c>
    </row>
    <row r="92" spans="1:5">
      <c r="A92" s="452">
        <f>'DAILY EXTRAPOLATION'!C2466</f>
        <v>46264</v>
      </c>
      <c r="B92" s="451">
        <f t="shared" si="3"/>
        <v>46265</v>
      </c>
      <c r="C92" s="448">
        <f ca="1">'DAILY EXTRAPOLATION'!N2466</f>
        <v>1</v>
      </c>
      <c r="D92" s="454">
        <f t="shared" ca="1" si="4"/>
        <v>1.0092118578354998</v>
      </c>
      <c r="E92" s="450">
        <f t="shared" ca="1" si="5"/>
        <v>3.6442514514065244E-2</v>
      </c>
    </row>
    <row r="93" spans="1:5">
      <c r="A93" s="452">
        <f>'DAILY EXTRAPOLATION'!C2467</f>
        <v>46265</v>
      </c>
      <c r="B93" s="451">
        <f t="shared" si="3"/>
        <v>46266</v>
      </c>
      <c r="C93" s="448">
        <f ca="1">'DAILY EXTRAPOLATION'!N2467</f>
        <v>1.0001013383838384</v>
      </c>
      <c r="D93" s="454">
        <f t="shared" ca="1" si="4"/>
        <v>1.0093141297341235</v>
      </c>
      <c r="E93" s="450">
        <f t="shared" ca="1" si="5"/>
        <v>3.6446594611787564E-2</v>
      </c>
    </row>
    <row r="94" spans="1:5">
      <c r="A94" s="452">
        <f>'DAILY EXTRAPOLATION'!C2468</f>
        <v>46266</v>
      </c>
      <c r="B94" s="451">
        <f t="shared" si="3"/>
        <v>46267</v>
      </c>
      <c r="C94" s="448">
        <f ca="1">'DAILY EXTRAPOLATION'!N2468</f>
        <v>1.0001010633680556</v>
      </c>
      <c r="D94" s="454">
        <f t="shared" ca="1" si="4"/>
        <v>1.0094161344195005</v>
      </c>
      <c r="E94" s="450">
        <f t="shared" ca="1" si="5"/>
        <v>3.6449552591614878E-2</v>
      </c>
    </row>
    <row r="95" spans="1:5">
      <c r="A95" s="452">
        <f>'DAILY EXTRAPOLATION'!C2469</f>
        <v>46267</v>
      </c>
      <c r="B95" s="451">
        <f t="shared" si="3"/>
        <v>46268</v>
      </c>
      <c r="C95" s="448">
        <f ca="1">'DAILY EXTRAPOLATION'!N2469</f>
        <v>1.0001010633680556</v>
      </c>
      <c r="D95" s="454">
        <f t="shared" ca="1" si="4"/>
        <v>1.0095181494138146</v>
      </c>
      <c r="E95" s="450">
        <f t="shared" ca="1" si="5"/>
        <v>3.6452487116736647E-2</v>
      </c>
    </row>
    <row r="96" spans="1:5">
      <c r="A96" s="452">
        <f>'DAILY EXTRAPOLATION'!C2470</f>
        <v>46268</v>
      </c>
      <c r="B96" s="451">
        <f t="shared" si="3"/>
        <v>46269</v>
      </c>
      <c r="C96" s="448">
        <f ca="1">'DAILY EXTRAPOLATION'!N2470</f>
        <v>1.0001010633680556</v>
      </c>
      <c r="D96" s="454">
        <f t="shared" ca="1" si="4"/>
        <v>1.0096201747181075</v>
      </c>
      <c r="E96" s="450">
        <f t="shared" ca="1" si="5"/>
        <v>3.6455398931775788E-2</v>
      </c>
    </row>
    <row r="97" spans="1:5">
      <c r="A97" s="452">
        <f>'DAILY EXTRAPOLATION'!C2471</f>
        <v>46269</v>
      </c>
      <c r="B97" s="451">
        <f t="shared" si="3"/>
        <v>46270</v>
      </c>
      <c r="C97" s="448">
        <f ca="1">'DAILY EXTRAPOLATION'!N2471</f>
        <v>1.0004042534722222</v>
      </c>
      <c r="D97" s="454">
        <f t="shared" ca="1" si="4"/>
        <v>1.0100283171793629</v>
      </c>
      <c r="E97" s="450">
        <f t="shared" ca="1" si="5"/>
        <v>3.7606189422610958E-2</v>
      </c>
    </row>
    <row r="98" spans="1:5">
      <c r="A98" s="452">
        <f>'DAILY EXTRAPOLATION'!C2472</f>
        <v>46270</v>
      </c>
      <c r="B98" s="451">
        <f t="shared" si="3"/>
        <v>46271</v>
      </c>
      <c r="C98" s="448">
        <f ca="1">'DAILY EXTRAPOLATION'!N2472</f>
        <v>1</v>
      </c>
      <c r="D98" s="454">
        <f t="shared" ca="1" si="4"/>
        <v>1.0100283171793629</v>
      </c>
      <c r="E98" s="450">
        <f t="shared" ca="1" si="5"/>
        <v>3.7218496748151052E-2</v>
      </c>
    </row>
    <row r="99" spans="1:5">
      <c r="A99" s="452">
        <f>'DAILY EXTRAPOLATION'!C2473</f>
        <v>46271</v>
      </c>
      <c r="B99" s="451">
        <f t="shared" si="3"/>
        <v>46272</v>
      </c>
      <c r="C99" s="448">
        <f ca="1">'DAILY EXTRAPOLATION'!N2473</f>
        <v>1</v>
      </c>
      <c r="D99" s="454">
        <f t="shared" ca="1" si="4"/>
        <v>1.0100283171793629</v>
      </c>
      <c r="E99" s="450">
        <f t="shared" ca="1" si="5"/>
        <v>3.6838716169088286E-2</v>
      </c>
    </row>
    <row r="100" spans="1:5">
      <c r="A100" s="452">
        <f>'DAILY EXTRAPOLATION'!C2474</f>
        <v>46272</v>
      </c>
      <c r="B100" s="451">
        <f t="shared" si="3"/>
        <v>46273</v>
      </c>
      <c r="C100" s="448">
        <f ca="1">'DAILY EXTRAPOLATION'!N2474</f>
        <v>1</v>
      </c>
      <c r="D100" s="454">
        <f t="shared" ca="1" si="4"/>
        <v>1.0100283171793629</v>
      </c>
      <c r="E100" s="450">
        <f t="shared" ca="1" si="5"/>
        <v>3.6466607924956082E-2</v>
      </c>
    </row>
    <row r="101" spans="1:5">
      <c r="A101" s="452">
        <f>'DAILY EXTRAPOLATION'!C2475</f>
        <v>46273</v>
      </c>
      <c r="B101" s="451">
        <f t="shared" si="3"/>
        <v>46274</v>
      </c>
      <c r="C101" s="448">
        <f ca="1">'DAILY EXTRAPOLATION'!N2475</f>
        <v>1.0001010633680556</v>
      </c>
      <c r="D101" s="454">
        <f t="shared" ca="1" si="4"/>
        <v>1.0101303940429287</v>
      </c>
      <c r="E101" s="450">
        <f t="shared" ca="1" si="5"/>
        <v>3.6469418554543331E-2</v>
      </c>
    </row>
    <row r="102" spans="1:5">
      <c r="A102" s="452">
        <f>'DAILY EXTRAPOLATION'!C2476</f>
        <v>46274</v>
      </c>
      <c r="B102" s="451">
        <f t="shared" si="3"/>
        <v>46275</v>
      </c>
      <c r="C102" s="448">
        <f ca="1">'DAILY EXTRAPOLATION'!N2476</f>
        <v>1.0001010633680556</v>
      </c>
      <c r="D102" s="454">
        <f t="shared" ca="1" si="4"/>
        <v>1.0102324812227259</v>
      </c>
      <c r="E102" s="450">
        <f t="shared" ca="1" si="5"/>
        <v>3.6472210298825018E-2</v>
      </c>
    </row>
    <row r="103" spans="1:5">
      <c r="A103" s="452">
        <f>'DAILY EXTRAPOLATION'!C2477</f>
        <v>46275</v>
      </c>
      <c r="B103" s="451">
        <f t="shared" si="3"/>
        <v>46276</v>
      </c>
      <c r="C103" s="448">
        <f ca="1">'DAILY EXTRAPOLATION'!N2477</f>
        <v>1.0001010633680556</v>
      </c>
      <c r="D103" s="454">
        <f t="shared" ca="1" si="4"/>
        <v>1.0103345787197975</v>
      </c>
      <c r="E103" s="450">
        <f t="shared" ca="1" si="5"/>
        <v>3.6474983716932294E-2</v>
      </c>
    </row>
    <row r="104" spans="1:5">
      <c r="A104" s="452">
        <f>'DAILY EXTRAPOLATION'!C2478</f>
        <v>46276</v>
      </c>
      <c r="B104" s="451">
        <f t="shared" si="3"/>
        <v>46277</v>
      </c>
      <c r="C104" s="448">
        <f ca="1">'DAILY EXTRAPOLATION'!N2478</f>
        <v>1.0003031901041666</v>
      </c>
      <c r="D104" s="454">
        <f t="shared" ca="1" si="4"/>
        <v>1.0106409021659626</v>
      </c>
      <c r="E104" s="450">
        <f t="shared" ca="1" si="5"/>
        <v>3.719150271598573E-2</v>
      </c>
    </row>
    <row r="105" spans="1:5">
      <c r="A105" s="452">
        <f>'DAILY EXTRAPOLATION'!C2479</f>
        <v>46277</v>
      </c>
      <c r="B105" s="451">
        <f t="shared" si="3"/>
        <v>46278</v>
      </c>
      <c r="C105" s="448">
        <f ca="1">'DAILY EXTRAPOLATION'!N2479</f>
        <v>1</v>
      </c>
      <c r="D105" s="454">
        <f t="shared" ca="1" si="4"/>
        <v>1.0106409021659626</v>
      </c>
      <c r="E105" s="450">
        <f t="shared" ca="1" si="5"/>
        <v>3.6833892112947408E-2</v>
      </c>
    </row>
    <row r="106" spans="1:5">
      <c r="A106" s="452">
        <f>'DAILY EXTRAPOLATION'!C2480</f>
        <v>46278</v>
      </c>
      <c r="B106" s="451">
        <f t="shared" si="3"/>
        <v>46279</v>
      </c>
      <c r="C106" s="448">
        <f ca="1">'DAILY EXTRAPOLATION'!N2480</f>
        <v>1</v>
      </c>
      <c r="D106" s="454">
        <f t="shared" ca="1" si="4"/>
        <v>1.0106409021659626</v>
      </c>
      <c r="E106" s="450">
        <f t="shared" ca="1" si="5"/>
        <v>3.6483093140443144E-2</v>
      </c>
    </row>
    <row r="107" spans="1:5">
      <c r="A107" s="452">
        <f>'DAILY EXTRAPOLATION'!C2481</f>
        <v>46279</v>
      </c>
      <c r="B107" s="451">
        <f t="shared" si="3"/>
        <v>46280</v>
      </c>
      <c r="C107" s="448">
        <f ca="1">'DAILY EXTRAPOLATION'!N2481</f>
        <v>1.0001010633680556</v>
      </c>
      <c r="D107" s="454">
        <f t="shared" ca="1" si="4"/>
        <v>1.0107430409394302</v>
      </c>
      <c r="E107" s="450">
        <f t="shared" ca="1" si="5"/>
        <v>3.6485799416932883E-2</v>
      </c>
    </row>
    <row r="108" spans="1:5">
      <c r="A108" s="452">
        <f>'DAILY EXTRAPOLATION'!C2482</f>
        <v>46280</v>
      </c>
      <c r="B108" s="451">
        <f t="shared" si="3"/>
        <v>46281</v>
      </c>
      <c r="C108" s="448">
        <f ca="1">'DAILY EXTRAPOLATION'!N2482</f>
        <v>1.0001010633680556</v>
      </c>
      <c r="D108" s="454">
        <f t="shared" ca="1" si="4"/>
        <v>1.0108451900353863</v>
      </c>
      <c r="E108" s="450">
        <f t="shared" ca="1" si="5"/>
        <v>3.6488489838682914E-2</v>
      </c>
    </row>
    <row r="109" spans="1:5">
      <c r="A109" s="452">
        <f>'DAILY EXTRAPOLATION'!C2483</f>
        <v>46281</v>
      </c>
      <c r="B109" s="451">
        <f t="shared" si="3"/>
        <v>46282</v>
      </c>
      <c r="C109" s="448">
        <f ca="1">'DAILY EXTRAPOLATION'!N2483</f>
        <v>1.0001010633680556</v>
      </c>
      <c r="D109" s="454">
        <f t="shared" ca="1" si="4"/>
        <v>1.0109473494548742</v>
      </c>
      <c r="E109" s="450">
        <f t="shared" ca="1" si="5"/>
        <v>3.6491164849580628E-2</v>
      </c>
    </row>
    <row r="110" spans="1:5">
      <c r="A110" s="452">
        <f>'DAILY EXTRAPOLATION'!C2484</f>
        <v>46282</v>
      </c>
      <c r="B110" s="451">
        <f t="shared" si="3"/>
        <v>46283</v>
      </c>
      <c r="C110" s="448">
        <f ca="1">'DAILY EXTRAPOLATION'!N2484</f>
        <v>1.0001041418650793</v>
      </c>
      <c r="D110" s="454">
        <f t="shared" ca="1" si="4"/>
        <v>1.0110526313973434</v>
      </c>
      <c r="E110" s="450">
        <f t="shared" ca="1" si="5"/>
        <v>3.6504103697647797E-2</v>
      </c>
    </row>
    <row r="111" spans="1:5">
      <c r="A111" s="452">
        <f>'DAILY EXTRAPOLATION'!C2485</f>
        <v>46283</v>
      </c>
      <c r="B111" s="451">
        <f t="shared" si="3"/>
        <v>46284</v>
      </c>
      <c r="C111" s="448">
        <f ca="1">'DAILY EXTRAPOLATION'!N2485</f>
        <v>1.000312425595238</v>
      </c>
      <c r="D111" s="454">
        <f t="shared" ca="1" si="4"/>
        <v>1.0113685101175247</v>
      </c>
      <c r="E111" s="450">
        <f t="shared" ca="1" si="5"/>
        <v>3.7206033111899052E-2</v>
      </c>
    </row>
    <row r="112" spans="1:5">
      <c r="A112" s="452">
        <f>'DAILY EXTRAPOLATION'!C2486</f>
        <v>46284</v>
      </c>
      <c r="B112" s="451">
        <f t="shared" si="3"/>
        <v>46285</v>
      </c>
      <c r="C112" s="448">
        <f ca="1">'DAILY EXTRAPOLATION'!N2486</f>
        <v>1</v>
      </c>
      <c r="D112" s="454">
        <f t="shared" ca="1" si="4"/>
        <v>1.0113685101175247</v>
      </c>
      <c r="E112" s="450">
        <f t="shared" ca="1" si="5"/>
        <v>3.6870843624404466E-2</v>
      </c>
    </row>
    <row r="113" spans="1:5">
      <c r="A113" s="452">
        <f>'DAILY EXTRAPOLATION'!C2487</f>
        <v>46285</v>
      </c>
      <c r="B113" s="451">
        <f t="shared" si="3"/>
        <v>46286</v>
      </c>
      <c r="C113" s="448">
        <f ca="1">'DAILY EXTRAPOLATION'!N2487</f>
        <v>1</v>
      </c>
      <c r="D113" s="454">
        <f t="shared" ca="1" si="4"/>
        <v>1.0113685101175247</v>
      </c>
      <c r="E113" s="450">
        <f t="shared" ca="1" si="5"/>
        <v>3.6541639663472285E-2</v>
      </c>
    </row>
    <row r="114" spans="1:5">
      <c r="A114" s="452">
        <f>'DAILY EXTRAPOLATION'!C2488</f>
        <v>46286</v>
      </c>
      <c r="B114" s="451">
        <f t="shared" si="3"/>
        <v>46287</v>
      </c>
      <c r="C114" s="448">
        <f ca="1">'DAILY EXTRAPOLATION'!N2488</f>
        <v>1.0001041418650793</v>
      </c>
      <c r="D114" s="454">
        <f t="shared" ca="1" si="4"/>
        <v>1.0114738359204509</v>
      </c>
      <c r="E114" s="450">
        <f t="shared" ca="1" si="5"/>
        <v>3.6553813551879054E-2</v>
      </c>
    </row>
    <row r="115" spans="1:5">
      <c r="A115" s="452">
        <f>'DAILY EXTRAPOLATION'!C2489</f>
        <v>46287</v>
      </c>
      <c r="B115" s="451">
        <f t="shared" si="3"/>
        <v>46288</v>
      </c>
      <c r="C115" s="448">
        <f ca="1">'DAILY EXTRAPOLATION'!N2489</f>
        <v>1.0001041418650793</v>
      </c>
      <c r="D115" s="454">
        <f t="shared" ca="1" si="4"/>
        <v>1.0115791726922025</v>
      </c>
      <c r="E115" s="450">
        <f t="shared" ca="1" si="5"/>
        <v>3.6565808501692242E-2</v>
      </c>
    </row>
    <row r="116" spans="1:5">
      <c r="A116" s="452">
        <f>'DAILY EXTRAPOLATION'!C2490</f>
        <v>46288</v>
      </c>
      <c r="B116" s="451">
        <f t="shared" si="3"/>
        <v>46289</v>
      </c>
      <c r="C116" s="448">
        <f ca="1">'DAILY EXTRAPOLATION'!N2490</f>
        <v>1.0001041418650793</v>
      </c>
      <c r="D116" s="454">
        <f t="shared" ca="1" si="4"/>
        <v>1.0116845204339222</v>
      </c>
      <c r="E116" s="450">
        <f t="shared" ca="1" si="5"/>
        <v>3.6577629184452128E-2</v>
      </c>
    </row>
    <row r="117" spans="1:5">
      <c r="A117" s="452">
        <f>'DAILY EXTRAPOLATION'!C2491</f>
        <v>46289</v>
      </c>
      <c r="B117" s="451">
        <f t="shared" si="3"/>
        <v>46290</v>
      </c>
      <c r="C117" s="448">
        <f ca="1">'DAILY EXTRAPOLATION'!N2491</f>
        <v>1.0001041418650793</v>
      </c>
      <c r="D117" s="454">
        <f t="shared" ca="1" si="4"/>
        <v>1.0117898791467521</v>
      </c>
      <c r="E117" s="450">
        <f t="shared" ca="1" si="5"/>
        <v>3.6589280110610009E-2</v>
      </c>
    </row>
    <row r="118" spans="1:5">
      <c r="A118" s="452">
        <f>'DAILY EXTRAPOLATION'!C2492</f>
        <v>46290</v>
      </c>
      <c r="B118" s="451">
        <f t="shared" si="3"/>
        <v>46291</v>
      </c>
      <c r="C118" s="448">
        <f ca="1">'DAILY EXTRAPOLATION'!N2492</f>
        <v>1.000312425595238</v>
      </c>
      <c r="D118" s="454">
        <f t="shared" ca="1" si="4"/>
        <v>1.0121059882020003</v>
      </c>
      <c r="E118" s="450">
        <f t="shared" ca="1" si="5"/>
        <v>3.7249194467693113E-2</v>
      </c>
    </row>
    <row r="119" spans="1:5">
      <c r="A119" s="452">
        <f>'DAILY EXTRAPOLATION'!C2493</f>
        <v>46291</v>
      </c>
      <c r="B119" s="451">
        <f t="shared" si="3"/>
        <v>46292</v>
      </c>
      <c r="C119" s="448">
        <f ca="1">'DAILY EXTRAPOLATION'!N2493</f>
        <v>1</v>
      </c>
      <c r="D119" s="454">
        <f t="shared" ca="1" si="4"/>
        <v>1.0121059882020003</v>
      </c>
      <c r="E119" s="450">
        <f t="shared" ca="1" si="5"/>
        <v>3.6933523328136389E-2</v>
      </c>
    </row>
    <row r="120" spans="1:5">
      <c r="A120" s="452">
        <f>'DAILY EXTRAPOLATION'!C2494</f>
        <v>46292</v>
      </c>
      <c r="B120" s="451">
        <f t="shared" si="3"/>
        <v>46293</v>
      </c>
      <c r="C120" s="448">
        <f ca="1">'DAILY EXTRAPOLATION'!N2494</f>
        <v>1</v>
      </c>
      <c r="D120" s="454">
        <f t="shared" ca="1" si="4"/>
        <v>1.0121059882020003</v>
      </c>
      <c r="E120" s="450">
        <f t="shared" ca="1" si="5"/>
        <v>3.6623157585883144E-2</v>
      </c>
    </row>
    <row r="121" spans="1:5">
      <c r="A121" s="452">
        <f>'DAILY EXTRAPOLATION'!C2495</f>
        <v>46293</v>
      </c>
      <c r="B121" s="451">
        <f t="shared" si="3"/>
        <v>46294</v>
      </c>
      <c r="C121" s="448">
        <f ca="1">'DAILY EXTRAPOLATION'!N2495</f>
        <v>1.0001041418650793</v>
      </c>
      <c r="D121" s="454">
        <f t="shared" ca="1" si="4"/>
        <v>1.0122113908072696</v>
      </c>
      <c r="E121" s="450">
        <f t="shared" ca="1" si="5"/>
        <v>3.6634172421808886E-2</v>
      </c>
    </row>
    <row r="122" spans="1:5">
      <c r="A122" s="452">
        <f>'DAILY EXTRAPOLATION'!C2496</f>
        <v>46294</v>
      </c>
      <c r="B122" s="451">
        <f t="shared" si="3"/>
        <v>46295</v>
      </c>
      <c r="C122" s="448">
        <f ca="1">'DAILY EXTRAPOLATION'!N2496</f>
        <v>1.0001041418650793</v>
      </c>
      <c r="D122" s="454">
        <f t="shared" ca="1" si="4"/>
        <v>1.0123168043893629</v>
      </c>
      <c r="E122" s="450">
        <f t="shared" ca="1" si="5"/>
        <v>3.6645037852649921E-2</v>
      </c>
    </row>
    <row r="123" spans="1:5">
      <c r="A123" s="452">
        <f>'DAILY EXTRAPOLATION'!C2497</f>
        <v>46295</v>
      </c>
      <c r="B123" s="451">
        <f t="shared" si="3"/>
        <v>46296</v>
      </c>
      <c r="C123" s="448">
        <f ca="1">'DAILY EXTRAPOLATION'!N2497</f>
        <v>1.0001041418650793</v>
      </c>
      <c r="D123" s="454">
        <f t="shared" ca="1" si="4"/>
        <v>1.0124222289494231</v>
      </c>
      <c r="E123" s="450">
        <f t="shared" ca="1" si="5"/>
        <v>3.6655757555674809E-2</v>
      </c>
    </row>
    <row r="124" spans="1:5">
      <c r="A124" s="452">
        <f>'DAILY EXTRAPOLATION'!C2498</f>
        <v>46296</v>
      </c>
      <c r="B124" s="451">
        <f t="shared" si="3"/>
        <v>46297</v>
      </c>
      <c r="C124" s="448">
        <f ca="1">'DAILY EXTRAPOLATION'!N2498</f>
        <v>1.0001041418650793</v>
      </c>
      <c r="D124" s="454">
        <f t="shared" ca="1" si="4"/>
        <v>1.0125276644885937</v>
      </c>
      <c r="E124" s="450">
        <f t="shared" ca="1" si="5"/>
        <v>3.6666335088566808E-2</v>
      </c>
    </row>
    <row r="125" spans="1:5">
      <c r="A125" s="452">
        <f>'DAILY EXTRAPOLATION'!C2499</f>
        <v>46297</v>
      </c>
      <c r="B125" s="451">
        <f t="shared" si="3"/>
        <v>46298</v>
      </c>
      <c r="C125" s="448">
        <f ca="1">'DAILY EXTRAPOLATION'!N2499</f>
        <v>1.000312425595238</v>
      </c>
      <c r="D125" s="454">
        <f t="shared" ca="1" si="4"/>
        <v>1.0128440040468665</v>
      </c>
      <c r="E125" s="450">
        <f t="shared" ca="1" si="5"/>
        <v>3.7289044007031702E-2</v>
      </c>
    </row>
    <row r="126" spans="1:5">
      <c r="A126" s="452">
        <f>'DAILY EXTRAPOLATION'!C2500</f>
        <v>46298</v>
      </c>
      <c r="B126" s="451">
        <f t="shared" si="3"/>
        <v>46299</v>
      </c>
      <c r="C126" s="448">
        <f ca="1">'DAILY EXTRAPOLATION'!N2500</f>
        <v>1</v>
      </c>
      <c r="D126" s="454">
        <f t="shared" ca="1" si="4"/>
        <v>1.0128440040468665</v>
      </c>
      <c r="E126" s="450">
        <f t="shared" ca="1" si="5"/>
        <v>3.6990731654975448E-2</v>
      </c>
    </row>
    <row r="127" spans="1:5">
      <c r="A127" s="452">
        <f>'DAILY EXTRAPOLATION'!C2501</f>
        <v>46299</v>
      </c>
      <c r="B127" s="451">
        <f t="shared" si="3"/>
        <v>46300</v>
      </c>
      <c r="C127" s="448">
        <f ca="1">'DAILY EXTRAPOLATION'!N2501</f>
        <v>1</v>
      </c>
      <c r="D127" s="454">
        <f t="shared" ca="1" si="4"/>
        <v>1.0128440040468665</v>
      </c>
      <c r="E127" s="450">
        <f t="shared" ca="1" si="5"/>
        <v>3.6697154419618502E-2</v>
      </c>
    </row>
    <row r="128" spans="1:5">
      <c r="A128" s="452">
        <f>'DAILY EXTRAPOLATION'!C2502</f>
        <v>46300</v>
      </c>
      <c r="B128" s="451">
        <f t="shared" si="3"/>
        <v>46301</v>
      </c>
      <c r="C128" s="448">
        <f ca="1">'DAILY EXTRAPOLATION'!N2502</f>
        <v>1.0001041418650793</v>
      </c>
      <c r="D128" s="454">
        <f t="shared" ca="1" si="4"/>
        <v>1.0129494835104824</v>
      </c>
      <c r="E128" s="450">
        <f t="shared" ca="1" si="5"/>
        <v>3.6707197352548585E-2</v>
      </c>
    </row>
    <row r="129" spans="1:5">
      <c r="A129" s="452">
        <f>'DAILY EXTRAPOLATION'!C2503</f>
        <v>46301</v>
      </c>
      <c r="B129" s="451">
        <f t="shared" si="3"/>
        <v>46302</v>
      </c>
      <c r="C129" s="448">
        <f ca="1">'DAILY EXTRAPOLATION'!N2503</f>
        <v>1.0001041418650793</v>
      </c>
      <c r="D129" s="454">
        <f t="shared" ca="1" si="4"/>
        <v>1.0130549739589263</v>
      </c>
      <c r="E129" s="450">
        <f t="shared" ca="1" si="5"/>
        <v>3.671711425948021E-2</v>
      </c>
    </row>
    <row r="130" spans="1:5">
      <c r="A130" s="452">
        <f>'DAILY EXTRAPOLATION'!C2504</f>
        <v>46302</v>
      </c>
      <c r="B130" s="451">
        <f t="shared" si="3"/>
        <v>46303</v>
      </c>
      <c r="C130" s="448">
        <f ca="1">'DAILY EXTRAPOLATION'!N2504</f>
        <v>1.0001041418650793</v>
      </c>
      <c r="D130" s="454">
        <f t="shared" ca="1" si="4"/>
        <v>1.0131604753933423</v>
      </c>
      <c r="E130" s="450">
        <f t="shared" ca="1" si="5"/>
        <v>3.6726908074443648E-2</v>
      </c>
    </row>
    <row r="131" spans="1:5">
      <c r="A131" s="452">
        <f>'DAILY EXTRAPOLATION'!C2505</f>
        <v>46303</v>
      </c>
      <c r="B131" s="451">
        <f t="shared" ref="B131:B194" si="6">A132</f>
        <v>46304</v>
      </c>
      <c r="C131" s="448">
        <f ca="1">'DAILY EXTRAPOLATION'!N2505</f>
        <v>1.0001041418650793</v>
      </c>
      <c r="D131" s="454">
        <f t="shared" ca="1" si="4"/>
        <v>1.0132659878148744</v>
      </c>
      <c r="E131" s="450">
        <f t="shared" ca="1" si="5"/>
        <v>3.6736581641190716E-2</v>
      </c>
    </row>
    <row r="132" spans="1:5">
      <c r="A132" s="452">
        <f>'DAILY EXTRAPOLATION'!C2506</f>
        <v>46304</v>
      </c>
      <c r="B132" s="451">
        <f t="shared" si="6"/>
        <v>46305</v>
      </c>
      <c r="C132" s="448">
        <f ca="1">'DAILY EXTRAPOLATION'!N2506</f>
        <v>1.0004165674603174</v>
      </c>
      <c r="D132" s="454">
        <f t="shared" ref="D132:D195" ca="1" si="7">D131*C132</f>
        <v>1.0136880814540445</v>
      </c>
      <c r="E132" s="450">
        <f t="shared" ref="E132:E195" ca="1" si="8">(D132/1-1)*360/(B132-A$2)</f>
        <v>3.761610170577126E-2</v>
      </c>
    </row>
    <row r="133" spans="1:5">
      <c r="A133" s="452">
        <f>'DAILY EXTRAPOLATION'!C2507</f>
        <v>46305</v>
      </c>
      <c r="B133" s="451">
        <f t="shared" si="6"/>
        <v>46306</v>
      </c>
      <c r="C133" s="448">
        <f ca="1">'DAILY EXTRAPOLATION'!N2507</f>
        <v>1</v>
      </c>
      <c r="D133" s="454">
        <f t="shared" ca="1" si="7"/>
        <v>1.0136880814540445</v>
      </c>
      <c r="E133" s="450">
        <f t="shared" ca="1" si="8"/>
        <v>3.7331131238303297E-2</v>
      </c>
    </row>
    <row r="134" spans="1:5">
      <c r="A134" s="452">
        <f>'DAILY EXTRAPOLATION'!C2508</f>
        <v>46306</v>
      </c>
      <c r="B134" s="451">
        <f t="shared" si="6"/>
        <v>46307</v>
      </c>
      <c r="C134" s="448">
        <f ca="1">'DAILY EXTRAPOLATION'!N2508</f>
        <v>1</v>
      </c>
      <c r="D134" s="454">
        <f t="shared" ca="1" si="7"/>
        <v>1.0136880814540445</v>
      </c>
      <c r="E134" s="450">
        <f t="shared" ca="1" si="8"/>
        <v>3.7050446041022825E-2</v>
      </c>
    </row>
    <row r="135" spans="1:5">
      <c r="A135" s="452">
        <f>'DAILY EXTRAPOLATION'!C2509</f>
        <v>46307</v>
      </c>
      <c r="B135" s="451">
        <f t="shared" si="6"/>
        <v>46308</v>
      </c>
      <c r="C135" s="448">
        <f ca="1">'DAILY EXTRAPOLATION'!N2509</f>
        <v>1</v>
      </c>
      <c r="D135" s="454">
        <f t="shared" ca="1" si="7"/>
        <v>1.0136880814540445</v>
      </c>
      <c r="E135" s="450">
        <f t="shared" ca="1" si="8"/>
        <v>3.6773950175045041E-2</v>
      </c>
    </row>
    <row r="136" spans="1:5">
      <c r="A136" s="452">
        <f>'DAILY EXTRAPOLATION'!C2510</f>
        <v>46308</v>
      </c>
      <c r="B136" s="451">
        <f t="shared" si="6"/>
        <v>46309</v>
      </c>
      <c r="C136" s="448">
        <f ca="1">'DAILY EXTRAPOLATION'!N2510</f>
        <v>1.0001041418650793</v>
      </c>
      <c r="D136" s="454">
        <f t="shared" ca="1" si="7"/>
        <v>1.0137936488214558</v>
      </c>
      <c r="E136" s="450">
        <f t="shared" ca="1" si="8"/>
        <v>3.6783063523882241E-2</v>
      </c>
    </row>
    <row r="137" spans="1:5">
      <c r="A137" s="452">
        <f>'DAILY EXTRAPOLATION'!C2511</f>
        <v>46309</v>
      </c>
      <c r="B137" s="451">
        <f t="shared" si="6"/>
        <v>46310</v>
      </c>
      <c r="C137" s="448">
        <f ca="1">'DAILY EXTRAPOLATION'!N2511</f>
        <v>1.0001041418650793</v>
      </c>
      <c r="D137" s="454">
        <f t="shared" ca="1" si="7"/>
        <v>1.0138992271828497</v>
      </c>
      <c r="E137" s="450">
        <f t="shared" ca="1" si="8"/>
        <v>3.6792071954602275E-2</v>
      </c>
    </row>
    <row r="138" spans="1:5">
      <c r="A138" s="452">
        <f>'DAILY EXTRAPOLATION'!C2512</f>
        <v>46310</v>
      </c>
      <c r="B138" s="451">
        <f t="shared" si="6"/>
        <v>46311</v>
      </c>
      <c r="C138" s="448">
        <f ca="1">'DAILY EXTRAPOLATION'!N2512</f>
        <v>1.0001041418650793</v>
      </c>
      <c r="D138" s="454">
        <f t="shared" ca="1" si="7"/>
        <v>1.0140048165393711</v>
      </c>
      <c r="E138" s="450">
        <f t="shared" ca="1" si="8"/>
        <v>3.6800977767690569E-2</v>
      </c>
    </row>
    <row r="139" spans="1:5">
      <c r="A139" s="452">
        <f>'DAILY EXTRAPOLATION'!C2513</f>
        <v>46311</v>
      </c>
      <c r="B139" s="451">
        <f t="shared" si="6"/>
        <v>46312</v>
      </c>
      <c r="C139" s="448">
        <f ca="1">'DAILY EXTRAPOLATION'!N2513</f>
        <v>1.000312425595238</v>
      </c>
      <c r="D139" s="454">
        <f t="shared" ca="1" si="7"/>
        <v>1.0143216175977527</v>
      </c>
      <c r="E139" s="450">
        <f t="shared" ca="1" si="8"/>
        <v>3.7360741559354989E-2</v>
      </c>
    </row>
    <row r="140" spans="1:5">
      <c r="A140" s="452">
        <f>'DAILY EXTRAPOLATION'!C2514</f>
        <v>46312</v>
      </c>
      <c r="B140" s="451">
        <f t="shared" si="6"/>
        <v>46313</v>
      </c>
      <c r="C140" s="448">
        <f ca="1">'DAILY EXTRAPOLATION'!N2514</f>
        <v>1</v>
      </c>
      <c r="D140" s="454">
        <f t="shared" ca="1" si="7"/>
        <v>1.0143216175977527</v>
      </c>
      <c r="E140" s="450">
        <f t="shared" ca="1" si="8"/>
        <v>3.7091959245978329E-2</v>
      </c>
    </row>
    <row r="141" spans="1:5">
      <c r="A141" s="452">
        <f>'DAILY EXTRAPOLATION'!C2515</f>
        <v>46313</v>
      </c>
      <c r="B141" s="451">
        <f t="shared" si="6"/>
        <v>46314</v>
      </c>
      <c r="C141" s="448">
        <f ca="1">'DAILY EXTRAPOLATION'!N2515</f>
        <v>1</v>
      </c>
      <c r="D141" s="454">
        <f t="shared" ca="1" si="7"/>
        <v>1.0143216175977527</v>
      </c>
      <c r="E141" s="450">
        <f t="shared" ca="1" si="8"/>
        <v>3.6827016679935633E-2</v>
      </c>
    </row>
    <row r="142" spans="1:5">
      <c r="A142" s="452">
        <f>'DAILY EXTRAPOLATION'!C2516</f>
        <v>46314</v>
      </c>
      <c r="B142" s="451">
        <f t="shared" si="6"/>
        <v>46315</v>
      </c>
      <c r="C142" s="448">
        <f ca="1">'DAILY EXTRAPOLATION'!N2516</f>
        <v>1.0001041418650793</v>
      </c>
      <c r="D142" s="454">
        <f t="shared" ca="1" si="7"/>
        <v>1.0144272509427996</v>
      </c>
      <c r="E142" s="450">
        <f t="shared" ca="1" si="8"/>
        <v>3.6835534322041577E-2</v>
      </c>
    </row>
    <row r="143" spans="1:5">
      <c r="A143" s="452">
        <f>'DAILY EXTRAPOLATION'!C2517</f>
        <v>46315</v>
      </c>
      <c r="B143" s="451">
        <f t="shared" si="6"/>
        <v>46316</v>
      </c>
      <c r="C143" s="448">
        <f ca="1">'DAILY EXTRAPOLATION'!N2517</f>
        <v>1.0001041418650793</v>
      </c>
      <c r="D143" s="454">
        <f t="shared" ca="1" si="7"/>
        <v>1.0145328952887001</v>
      </c>
      <c r="E143" s="450">
        <f t="shared" ca="1" si="8"/>
        <v>3.6843959886845204E-2</v>
      </c>
    </row>
    <row r="144" spans="1:5">
      <c r="A144" s="452">
        <f>'DAILY EXTRAPOLATION'!C2518</f>
        <v>46316</v>
      </c>
      <c r="B144" s="451">
        <f t="shared" si="6"/>
        <v>46317</v>
      </c>
      <c r="C144" s="448">
        <f ca="1">'DAILY EXTRAPOLATION'!N2518</f>
        <v>1.0001041418650793</v>
      </c>
      <c r="D144" s="454">
        <f t="shared" ca="1" si="7"/>
        <v>1.0146385506365998</v>
      </c>
      <c r="E144" s="450">
        <f t="shared" ca="1" si="8"/>
        <v>3.6852295308922575E-2</v>
      </c>
    </row>
    <row r="145" spans="1:5">
      <c r="A145" s="452">
        <f>'DAILY EXTRAPOLATION'!C2519</f>
        <v>46317</v>
      </c>
      <c r="B145" s="451">
        <f t="shared" si="6"/>
        <v>46318</v>
      </c>
      <c r="C145" s="448">
        <f ca="1">'DAILY EXTRAPOLATION'!N2519</f>
        <v>1.0001041418650793</v>
      </c>
      <c r="D145" s="454">
        <f t="shared" ca="1" si="7"/>
        <v>1.0147442169876444</v>
      </c>
      <c r="E145" s="450">
        <f t="shared" ca="1" si="8"/>
        <v>3.6860542469110968E-2</v>
      </c>
    </row>
    <row r="146" spans="1:5">
      <c r="A146" s="452">
        <f>'DAILY EXTRAPOLATION'!C2520</f>
        <v>46318</v>
      </c>
      <c r="B146" s="451">
        <f t="shared" si="6"/>
        <v>46319</v>
      </c>
      <c r="C146" s="448">
        <f ca="1">'DAILY EXTRAPOLATION'!N2520</f>
        <v>1.000312425595238</v>
      </c>
      <c r="D146" s="454">
        <f t="shared" ca="1" si="7"/>
        <v>1.015061249053651</v>
      </c>
      <c r="E146" s="450">
        <f t="shared" ca="1" si="8"/>
        <v>3.7393445926305995E-2</v>
      </c>
    </row>
    <row r="147" spans="1:5">
      <c r="A147" s="452">
        <f>'DAILY EXTRAPOLATION'!C2521</f>
        <v>46319</v>
      </c>
      <c r="B147" s="451">
        <f t="shared" si="6"/>
        <v>46320</v>
      </c>
      <c r="C147" s="448">
        <f ca="1">'DAILY EXTRAPOLATION'!N2521</f>
        <v>1</v>
      </c>
      <c r="D147" s="454">
        <f t="shared" ca="1" si="7"/>
        <v>1.015061249053651</v>
      </c>
      <c r="E147" s="450">
        <f t="shared" ca="1" si="8"/>
        <v>3.7137326433660064E-2</v>
      </c>
    </row>
    <row r="148" spans="1:5">
      <c r="A148" s="452">
        <f>'DAILY EXTRAPOLATION'!C2522</f>
        <v>46320</v>
      </c>
      <c r="B148" s="451">
        <f t="shared" si="6"/>
        <v>46321</v>
      </c>
      <c r="C148" s="448">
        <f ca="1">'DAILY EXTRAPOLATION'!N2522</f>
        <v>1</v>
      </c>
      <c r="D148" s="454">
        <f t="shared" ca="1" si="7"/>
        <v>1.015061249053651</v>
      </c>
      <c r="E148" s="450">
        <f t="shared" ca="1" si="8"/>
        <v>3.6884691559961699E-2</v>
      </c>
    </row>
    <row r="149" spans="1:5">
      <c r="A149" s="452">
        <f>'DAILY EXTRAPOLATION'!C2523</f>
        <v>46321</v>
      </c>
      <c r="B149" s="451">
        <f t="shared" si="6"/>
        <v>46322</v>
      </c>
      <c r="C149" s="448">
        <f ca="1">'DAILY EXTRAPOLATION'!N2523</f>
        <v>1.0001041418650793</v>
      </c>
      <c r="D149" s="454">
        <f t="shared" ca="1" si="7"/>
        <v>1.0151669594252972</v>
      </c>
      <c r="E149" s="450">
        <f t="shared" ca="1" si="8"/>
        <v>3.6892604007479728E-2</v>
      </c>
    </row>
    <row r="150" spans="1:5">
      <c r="A150" s="452">
        <f>'DAILY EXTRAPOLATION'!C2524</f>
        <v>46322</v>
      </c>
      <c r="B150" s="451">
        <f t="shared" si="6"/>
        <v>46323</v>
      </c>
      <c r="C150" s="448">
        <f ca="1">'DAILY EXTRAPOLATION'!N2524</f>
        <v>1.0001041418650793</v>
      </c>
      <c r="D150" s="454">
        <f t="shared" ca="1" si="7"/>
        <v>1.0152726808058188</v>
      </c>
      <c r="E150" s="450">
        <f t="shared" ca="1" si="8"/>
        <v>3.6900436846273574E-2</v>
      </c>
    </row>
    <row r="151" spans="1:5">
      <c r="A151" s="452">
        <f>'DAILY EXTRAPOLATION'!C2525</f>
        <v>46323</v>
      </c>
      <c r="B151" s="451">
        <f t="shared" si="6"/>
        <v>46324</v>
      </c>
      <c r="C151" s="448">
        <f ca="1">'DAILY EXTRAPOLATION'!N2525</f>
        <v>1.0001041418650793</v>
      </c>
      <c r="D151" s="454">
        <f t="shared" ca="1" si="7"/>
        <v>1.0153784131963619</v>
      </c>
      <c r="E151" s="450">
        <f t="shared" ca="1" si="8"/>
        <v>3.6908191671268575E-2</v>
      </c>
    </row>
    <row r="152" spans="1:5">
      <c r="A152" s="452">
        <f>'DAILY EXTRAPOLATION'!C2526</f>
        <v>46324</v>
      </c>
      <c r="B152" s="451">
        <f t="shared" si="6"/>
        <v>46325</v>
      </c>
      <c r="C152" s="448">
        <f>'DAILY EXTRAPOLATION'!N2526</f>
        <v>1.0001058333333332</v>
      </c>
      <c r="D152" s="454">
        <f t="shared" ca="1" si="7"/>
        <v>1.0154858740784252</v>
      </c>
      <c r="E152" s="450">
        <f t="shared" ca="1" si="8"/>
        <v>3.6919964690285162E-2</v>
      </c>
    </row>
    <row r="153" spans="1:5">
      <c r="A153" s="452">
        <f>'DAILY EXTRAPOLATION'!C2527</f>
        <v>46325</v>
      </c>
      <c r="B153" s="451">
        <f t="shared" si="6"/>
        <v>46326</v>
      </c>
      <c r="C153" s="448">
        <f>'DAILY EXTRAPOLATION'!N2527</f>
        <v>1.0003175</v>
      </c>
      <c r="D153" s="454">
        <f t="shared" ca="1" si="7"/>
        <v>1.0158082908434449</v>
      </c>
      <c r="E153" s="450">
        <f t="shared" ca="1" si="8"/>
        <v>3.7440688839737987E-2</v>
      </c>
    </row>
    <row r="154" spans="1:5">
      <c r="A154" s="452">
        <f>'DAILY EXTRAPOLATION'!C2528</f>
        <v>46326</v>
      </c>
      <c r="B154" s="451">
        <f t="shared" si="6"/>
        <v>46327</v>
      </c>
      <c r="C154" s="448">
        <f>'DAILY EXTRAPOLATION'!N2528</f>
        <v>1</v>
      </c>
      <c r="D154" s="454">
        <f t="shared" ca="1" si="7"/>
        <v>1.0158082908434449</v>
      </c>
      <c r="E154" s="450">
        <f t="shared" ca="1" si="8"/>
        <v>3.7195978455164536E-2</v>
      </c>
    </row>
    <row r="155" spans="1:5">
      <c r="A155" s="452">
        <f>'DAILY EXTRAPOLATION'!C2529</f>
        <v>46327</v>
      </c>
      <c r="B155" s="451">
        <f t="shared" si="6"/>
        <v>46328</v>
      </c>
      <c r="C155" s="448">
        <f>'DAILY EXTRAPOLATION'!N2529</f>
        <v>1</v>
      </c>
      <c r="D155" s="454">
        <f t="shared" ca="1" si="7"/>
        <v>1.0158082908434449</v>
      </c>
      <c r="E155" s="450">
        <f t="shared" ca="1" si="8"/>
        <v>3.6954446127533597E-2</v>
      </c>
    </row>
    <row r="156" spans="1:5">
      <c r="A156" s="452">
        <f>'DAILY EXTRAPOLATION'!C2530</f>
        <v>46328</v>
      </c>
      <c r="B156" s="451">
        <f t="shared" si="6"/>
        <v>46329</v>
      </c>
      <c r="C156" s="448">
        <f ca="1">'DAILY EXTRAPOLATION'!N2530</f>
        <v>1.0001058333333332</v>
      </c>
      <c r="D156" s="454">
        <f t="shared" ca="1" si="7"/>
        <v>1.0159157972208925</v>
      </c>
      <c r="E156" s="450">
        <f t="shared" ca="1" si="8"/>
        <v>3.6965722577556856E-2</v>
      </c>
    </row>
    <row r="157" spans="1:5">
      <c r="A157" s="452">
        <f>'DAILY EXTRAPOLATION'!C2531</f>
        <v>46329</v>
      </c>
      <c r="B157" s="451">
        <f t="shared" si="6"/>
        <v>46330</v>
      </c>
      <c r="C157" s="448">
        <f ca="1">'DAILY EXTRAPOLATION'!N2531</f>
        <v>1.0001058333333332</v>
      </c>
      <c r="D157" s="454">
        <f t="shared" ca="1" si="7"/>
        <v>1.0160233149760984</v>
      </c>
      <c r="E157" s="450">
        <f t="shared" ca="1" si="8"/>
        <v>3.6976880714073311E-2</v>
      </c>
    </row>
    <row r="158" spans="1:5">
      <c r="A158" s="452">
        <f>'DAILY EXTRAPOLATION'!C2532</f>
        <v>46330</v>
      </c>
      <c r="B158" s="451">
        <f t="shared" si="6"/>
        <v>46331</v>
      </c>
      <c r="C158" s="448">
        <f ca="1">'DAILY EXTRAPOLATION'!N2532</f>
        <v>1.0001058333333332</v>
      </c>
      <c r="D158" s="454">
        <f t="shared" ca="1" si="7"/>
        <v>1.0161308441102666</v>
      </c>
      <c r="E158" s="450">
        <f t="shared" ca="1" si="8"/>
        <v>3.6987922800611202E-2</v>
      </c>
    </row>
    <row r="159" spans="1:5">
      <c r="A159" s="452">
        <f>'DAILY EXTRAPOLATION'!C2533</f>
        <v>46331</v>
      </c>
      <c r="B159" s="451">
        <f t="shared" si="6"/>
        <v>46332</v>
      </c>
      <c r="C159" s="448">
        <f ca="1">'DAILY EXTRAPOLATION'!N2533</f>
        <v>1.0001058333333332</v>
      </c>
      <c r="D159" s="454">
        <f t="shared" ca="1" si="7"/>
        <v>1.0162383846246015</v>
      </c>
      <c r="E159" s="450">
        <f t="shared" ca="1" si="8"/>
        <v>3.6998851043395765E-2</v>
      </c>
    </row>
    <row r="160" spans="1:5">
      <c r="A160" s="452">
        <f>'DAILY EXTRAPOLATION'!C2534</f>
        <v>46332</v>
      </c>
      <c r="B160" s="451">
        <f t="shared" si="6"/>
        <v>46333</v>
      </c>
      <c r="C160" s="448">
        <f ca="1">'DAILY EXTRAPOLATION'!N2534</f>
        <v>1.0003175</v>
      </c>
      <c r="D160" s="454">
        <f t="shared" ca="1" si="7"/>
        <v>1.0165610403117198</v>
      </c>
      <c r="E160" s="450">
        <f t="shared" ca="1" si="8"/>
        <v>3.7496695045403296E-2</v>
      </c>
    </row>
    <row r="161" spans="1:5">
      <c r="A161" s="452">
        <f>'DAILY EXTRAPOLATION'!C2535</f>
        <v>46333</v>
      </c>
      <c r="B161" s="451">
        <f t="shared" si="6"/>
        <v>46334</v>
      </c>
      <c r="C161" s="448">
        <f ca="1">'DAILY EXTRAPOLATION'!N2535</f>
        <v>1</v>
      </c>
      <c r="D161" s="454">
        <f t="shared" ca="1" si="7"/>
        <v>1.0165610403117198</v>
      </c>
      <c r="E161" s="450">
        <f t="shared" ca="1" si="8"/>
        <v>3.7262340701369523E-2</v>
      </c>
    </row>
    <row r="162" spans="1:5">
      <c r="A162" s="452">
        <f>'DAILY EXTRAPOLATION'!C2536</f>
        <v>46334</v>
      </c>
      <c r="B162" s="451">
        <f t="shared" si="6"/>
        <v>46335</v>
      </c>
      <c r="C162" s="448">
        <f ca="1">'DAILY EXTRAPOLATION'!N2536</f>
        <v>1</v>
      </c>
      <c r="D162" s="454">
        <f t="shared" ca="1" si="7"/>
        <v>1.0165610403117198</v>
      </c>
      <c r="E162" s="450">
        <f t="shared" ca="1" si="8"/>
        <v>3.7030897591423126E-2</v>
      </c>
    </row>
    <row r="163" spans="1:5">
      <c r="A163" s="452">
        <f>'DAILY EXTRAPOLATION'!C2537</f>
        <v>46335</v>
      </c>
      <c r="B163" s="451">
        <f t="shared" si="6"/>
        <v>46336</v>
      </c>
      <c r="C163" s="448">
        <f ca="1">'DAILY EXTRAPOLATION'!N2537</f>
        <v>1.0001058333333332</v>
      </c>
      <c r="D163" s="454">
        <f t="shared" ca="1" si="7"/>
        <v>1.0166686263551528</v>
      </c>
      <c r="E163" s="450">
        <f t="shared" ca="1" si="8"/>
        <v>3.704139190033947E-2</v>
      </c>
    </row>
    <row r="164" spans="1:5">
      <c r="A164" s="452">
        <f>'DAILY EXTRAPOLATION'!C2538</f>
        <v>46336</v>
      </c>
      <c r="B164" s="451">
        <f t="shared" si="6"/>
        <v>46337</v>
      </c>
      <c r="C164" s="448">
        <f ca="1">'DAILY EXTRAPOLATION'!N2538</f>
        <v>1.0002116666666667</v>
      </c>
      <c r="D164" s="454">
        <f t="shared" ca="1" si="7"/>
        <v>1.016883821214398</v>
      </c>
      <c r="E164" s="450">
        <f t="shared" ca="1" si="8"/>
        <v>3.7289421087014031E-2</v>
      </c>
    </row>
    <row r="165" spans="1:5">
      <c r="A165" s="452">
        <f>'DAILY EXTRAPOLATION'!C2539</f>
        <v>46337</v>
      </c>
      <c r="B165" s="451">
        <f t="shared" si="6"/>
        <v>46338</v>
      </c>
      <c r="C165" s="448">
        <f ca="1">'DAILY EXTRAPOLATION'!N2539</f>
        <v>1</v>
      </c>
      <c r="D165" s="454">
        <f t="shared" ca="1" si="7"/>
        <v>1.016883821214398</v>
      </c>
      <c r="E165" s="450">
        <f t="shared" ca="1" si="8"/>
        <v>3.7062046568190773E-2</v>
      </c>
    </row>
    <row r="166" spans="1:5">
      <c r="A166" s="452">
        <f>'DAILY EXTRAPOLATION'!C2540</f>
        <v>46338</v>
      </c>
      <c r="B166" s="451">
        <f t="shared" si="6"/>
        <v>46339</v>
      </c>
      <c r="C166" s="448">
        <f ca="1">'DAILY EXTRAPOLATION'!N2540</f>
        <v>1.0001058333333332</v>
      </c>
      <c r="D166" s="454">
        <f t="shared" ca="1" si="7"/>
        <v>1.0169914414188097</v>
      </c>
      <c r="E166" s="450">
        <f t="shared" ca="1" si="8"/>
        <v>3.7072235822857541E-2</v>
      </c>
    </row>
    <row r="167" spans="1:5">
      <c r="A167" s="452">
        <f>'DAILY EXTRAPOLATION'!C2541</f>
        <v>46339</v>
      </c>
      <c r="B167" s="451">
        <f t="shared" si="6"/>
        <v>46340</v>
      </c>
      <c r="C167" s="448">
        <f ca="1">'DAILY EXTRAPOLATION'!N2541</f>
        <v>1.0003175</v>
      </c>
      <c r="D167" s="454">
        <f t="shared" ca="1" si="7"/>
        <v>1.0173143362014601</v>
      </c>
      <c r="E167" s="450">
        <f t="shared" ca="1" si="8"/>
        <v>3.7549162846539884E-2</v>
      </c>
    </row>
    <row r="168" spans="1:5">
      <c r="A168" s="452">
        <f>'DAILY EXTRAPOLATION'!C2542</f>
        <v>46340</v>
      </c>
      <c r="B168" s="451">
        <f t="shared" si="6"/>
        <v>46341</v>
      </c>
      <c r="C168" s="448">
        <f ca="1">'DAILY EXTRAPOLATION'!N2542</f>
        <v>1</v>
      </c>
      <c r="D168" s="454">
        <f t="shared" ca="1" si="7"/>
        <v>1.0173143362014601</v>
      </c>
      <c r="E168" s="450">
        <f t="shared" ca="1" si="8"/>
        <v>3.7324317560033654E-2</v>
      </c>
    </row>
    <row r="169" spans="1:5">
      <c r="A169" s="452">
        <f>'DAILY EXTRAPOLATION'!C2543</f>
        <v>46341</v>
      </c>
      <c r="B169" s="451">
        <f t="shared" si="6"/>
        <v>46342</v>
      </c>
      <c r="C169" s="448">
        <f ca="1">'DAILY EXTRAPOLATION'!N2543</f>
        <v>1</v>
      </c>
      <c r="D169" s="454">
        <f t="shared" ca="1" si="7"/>
        <v>1.0173143362014601</v>
      </c>
      <c r="E169" s="450">
        <f t="shared" ca="1" si="8"/>
        <v>3.7102149003128693E-2</v>
      </c>
    </row>
    <row r="170" spans="1:5">
      <c r="A170" s="452">
        <f>'DAILY EXTRAPOLATION'!C2544</f>
        <v>46342</v>
      </c>
      <c r="B170" s="451">
        <f t="shared" si="6"/>
        <v>46343</v>
      </c>
      <c r="C170" s="448">
        <f ca="1">'DAILY EXTRAPOLATION'!N2544</f>
        <v>1.0001058333333332</v>
      </c>
      <c r="D170" s="454">
        <f t="shared" ca="1" si="7"/>
        <v>1.0174220019687079</v>
      </c>
      <c r="E170" s="450">
        <f t="shared" ca="1" si="8"/>
        <v>3.7111956856419222E-2</v>
      </c>
    </row>
    <row r="171" spans="1:5">
      <c r="A171" s="452">
        <f>'DAILY EXTRAPOLATION'!C2545</f>
        <v>46343</v>
      </c>
      <c r="B171" s="451">
        <f t="shared" si="6"/>
        <v>46344</v>
      </c>
      <c r="C171" s="448">
        <f ca="1">'DAILY EXTRAPOLATION'!N2545</f>
        <v>1.0001058333333332</v>
      </c>
      <c r="D171" s="454">
        <f t="shared" ca="1" si="7"/>
        <v>1.0175296791305828</v>
      </c>
      <c r="E171" s="450">
        <f t="shared" ca="1" si="8"/>
        <v>3.7121673452998841E-2</v>
      </c>
    </row>
    <row r="172" spans="1:5">
      <c r="A172" s="452">
        <f>'DAILY EXTRAPOLATION'!C2546</f>
        <v>46344</v>
      </c>
      <c r="B172" s="451">
        <f t="shared" si="6"/>
        <v>46345</v>
      </c>
      <c r="C172" s="448">
        <f ca="1">'DAILY EXTRAPOLATION'!N2546</f>
        <v>1.0001058333333332</v>
      </c>
      <c r="D172" s="454">
        <f t="shared" ca="1" si="7"/>
        <v>1.0176373676882906</v>
      </c>
      <c r="E172" s="450">
        <f t="shared" ca="1" si="8"/>
        <v>3.7131300396401279E-2</v>
      </c>
    </row>
    <row r="173" spans="1:5">
      <c r="A173" s="452">
        <f>'DAILY EXTRAPOLATION'!C2547</f>
        <v>46345</v>
      </c>
      <c r="B173" s="451">
        <f t="shared" si="6"/>
        <v>46346</v>
      </c>
      <c r="C173" s="448">
        <f ca="1">'DAILY EXTRAPOLATION'!N2547</f>
        <v>1.0001058333333332</v>
      </c>
      <c r="D173" s="454">
        <f t="shared" ca="1" si="7"/>
        <v>1.0177450676430375</v>
      </c>
      <c r="E173" s="450">
        <f t="shared" ca="1" si="8"/>
        <v>3.714083925286922E-2</v>
      </c>
    </row>
    <row r="174" spans="1:5">
      <c r="A174" s="452">
        <f>'DAILY EXTRAPOLATION'!C2548</f>
        <v>46346</v>
      </c>
      <c r="B174" s="451">
        <f t="shared" si="6"/>
        <v>46347</v>
      </c>
      <c r="C174" s="448">
        <f ca="1">'DAILY EXTRAPOLATION'!N2548</f>
        <v>1.0003175</v>
      </c>
      <c r="D174" s="454">
        <f t="shared" ca="1" si="7"/>
        <v>1.0180682017020142</v>
      </c>
      <c r="E174" s="450">
        <f t="shared" ca="1" si="8"/>
        <v>3.7598570015752043E-2</v>
      </c>
    </row>
    <row r="175" spans="1:5">
      <c r="A175" s="452">
        <f>'DAILY EXTRAPOLATION'!C2549</f>
        <v>46347</v>
      </c>
      <c r="B175" s="451">
        <f t="shared" si="6"/>
        <v>46348</v>
      </c>
      <c r="C175" s="448">
        <f ca="1">'DAILY EXTRAPOLATION'!N2549</f>
        <v>1</v>
      </c>
      <c r="D175" s="454">
        <f t="shared" ca="1" si="7"/>
        <v>1.0180682017020142</v>
      </c>
      <c r="E175" s="450">
        <f t="shared" ca="1" si="8"/>
        <v>3.7382486280029326E-2</v>
      </c>
    </row>
    <row r="176" spans="1:5">
      <c r="A176" s="452">
        <f>'DAILY EXTRAPOLATION'!C2550</f>
        <v>46348</v>
      </c>
      <c r="B176" s="451">
        <f t="shared" si="6"/>
        <v>46349</v>
      </c>
      <c r="C176" s="448">
        <f ca="1">'DAILY EXTRAPOLATION'!N2550</f>
        <v>1</v>
      </c>
      <c r="D176" s="454">
        <f t="shared" ca="1" si="7"/>
        <v>1.0180682017020142</v>
      </c>
      <c r="E176" s="450">
        <f t="shared" ca="1" si="8"/>
        <v>3.7168872072714874E-2</v>
      </c>
    </row>
    <row r="177" spans="1:5">
      <c r="A177" s="452">
        <f>'DAILY EXTRAPOLATION'!C2551</f>
        <v>46349</v>
      </c>
      <c r="B177" s="451">
        <f t="shared" si="6"/>
        <v>46350</v>
      </c>
      <c r="C177" s="448">
        <f ca="1">'DAILY EXTRAPOLATION'!N2551</f>
        <v>1.0001058333333332</v>
      </c>
      <c r="D177" s="454">
        <f t="shared" ca="1" si="7"/>
        <v>1.0181759472533609</v>
      </c>
      <c r="E177" s="450">
        <f t="shared" ca="1" si="8"/>
        <v>3.7178073927329143E-2</v>
      </c>
    </row>
    <row r="178" spans="1:5">
      <c r="A178" s="452">
        <f>'DAILY EXTRAPOLATION'!C2552</f>
        <v>46350</v>
      </c>
      <c r="B178" s="451">
        <f t="shared" si="6"/>
        <v>46351</v>
      </c>
      <c r="C178" s="448">
        <f ca="1">'DAILY EXTRAPOLATION'!N2552</f>
        <v>1.0001058333333332</v>
      </c>
      <c r="D178" s="454">
        <f t="shared" ca="1" si="7"/>
        <v>1.0182837042077786</v>
      </c>
      <c r="E178" s="450">
        <f t="shared" ca="1" si="8"/>
        <v>3.7187194998871693E-2</v>
      </c>
    </row>
    <row r="179" spans="1:5">
      <c r="A179" s="452">
        <f>'DAILY EXTRAPOLATION'!C2553</f>
        <v>46351</v>
      </c>
      <c r="B179" s="451">
        <f t="shared" si="6"/>
        <v>46352</v>
      </c>
      <c r="C179" s="448">
        <f ca="1">'DAILY EXTRAPOLATION'!N2553</f>
        <v>1.0002116666666667</v>
      </c>
      <c r="D179" s="454">
        <f t="shared" ca="1" si="7"/>
        <v>1.0184992409251692</v>
      </c>
      <c r="E179" s="450">
        <f t="shared" ca="1" si="8"/>
        <v>3.7414195129555669E-2</v>
      </c>
    </row>
    <row r="180" spans="1:5">
      <c r="A180" s="452">
        <f>'DAILY EXTRAPOLATION'!C2554</f>
        <v>46352</v>
      </c>
      <c r="B180" s="451">
        <f t="shared" si="6"/>
        <v>46353</v>
      </c>
      <c r="C180" s="448">
        <f ca="1">'DAILY EXTRAPOLATION'!N2554</f>
        <v>1</v>
      </c>
      <c r="D180" s="454">
        <f t="shared" ca="1" si="7"/>
        <v>1.0184992409251692</v>
      </c>
      <c r="E180" s="450">
        <f ca="1">(D180/1-1)*360/(B180-A$2)</f>
        <v>3.7205177279669883E-2</v>
      </c>
    </row>
    <row r="181" spans="1:5">
      <c r="A181" s="452">
        <f>'DAILY EXTRAPOLATION'!C2555</f>
        <v>46353</v>
      </c>
      <c r="B181" s="451">
        <f t="shared" si="6"/>
        <v>46354</v>
      </c>
      <c r="C181" s="448">
        <f ca="1">'DAILY EXTRAPOLATION'!N2555</f>
        <v>1.0003175</v>
      </c>
      <c r="D181" s="454">
        <f t="shared" ca="1" si="7"/>
        <v>1.018822614434163</v>
      </c>
      <c r="E181" s="450">
        <f t="shared" ca="1" si="8"/>
        <v>3.7645228868325997E-2</v>
      </c>
    </row>
    <row r="182" spans="1:5">
      <c r="A182" s="452">
        <f>'DAILY EXTRAPOLATION'!C2556</f>
        <v>46354</v>
      </c>
      <c r="B182" s="451">
        <f t="shared" si="6"/>
        <v>46355</v>
      </c>
      <c r="C182" s="448">
        <f ca="1">'DAILY EXTRAPOLATION'!N2556</f>
        <v>1</v>
      </c>
      <c r="D182" s="454">
        <f t="shared" ca="1" si="7"/>
        <v>1.018822614434163</v>
      </c>
      <c r="E182" s="450">
        <f t="shared" ca="1" si="8"/>
        <v>3.7437244178445746E-2</v>
      </c>
    </row>
    <row r="183" spans="1:5">
      <c r="A183" s="452">
        <f>'DAILY EXTRAPOLATION'!C2557</f>
        <v>46355</v>
      </c>
      <c r="B183" s="451">
        <f t="shared" si="6"/>
        <v>46356</v>
      </c>
      <c r="C183" s="448">
        <f ca="1">'DAILY EXTRAPOLATION'!N2557</f>
        <v>1</v>
      </c>
      <c r="D183" s="454">
        <f t="shared" ca="1" si="7"/>
        <v>1.018822614434163</v>
      </c>
      <c r="E183" s="450">
        <f t="shared" ca="1" si="8"/>
        <v>3.7231545034608127E-2</v>
      </c>
    </row>
    <row r="184" spans="1:5">
      <c r="A184" s="452">
        <f>'DAILY EXTRAPOLATION'!C2558</f>
        <v>46356</v>
      </c>
      <c r="B184" s="451">
        <f t="shared" si="6"/>
        <v>46357</v>
      </c>
      <c r="C184" s="448">
        <f ca="1">'DAILY EXTRAPOLATION'!N2558</f>
        <v>1.0001058333333332</v>
      </c>
      <c r="D184" s="454">
        <f t="shared" ca="1" si="7"/>
        <v>1.0189304398275238</v>
      </c>
      <c r="E184" s="450">
        <f t="shared" ca="1" si="8"/>
        <v>3.7240209496768227E-2</v>
      </c>
    </row>
    <row r="185" spans="1:5">
      <c r="A185" s="452">
        <f>'DAILY EXTRAPOLATION'!C2559</f>
        <v>46357</v>
      </c>
      <c r="B185" s="451">
        <f t="shared" si="6"/>
        <v>46358</v>
      </c>
      <c r="C185" s="448">
        <f ca="1">'DAILY EXTRAPOLATION'!N2559</f>
        <v>1.0001058333333332</v>
      </c>
      <c r="D185" s="454">
        <f t="shared" ca="1" si="7"/>
        <v>1.0190382766324055</v>
      </c>
      <c r="E185" s="450">
        <f t="shared" ca="1" si="8"/>
        <v>3.7248802106880398E-2</v>
      </c>
    </row>
    <row r="186" spans="1:5">
      <c r="A186" s="452">
        <f>'DAILY EXTRAPOLATION'!C2560</f>
        <v>46358</v>
      </c>
      <c r="B186" s="451">
        <f t="shared" si="6"/>
        <v>46359</v>
      </c>
      <c r="C186" s="448">
        <f ca="1">'DAILY EXTRAPOLATION'!N2560</f>
        <v>1.0001058333333332</v>
      </c>
      <c r="D186" s="454">
        <f t="shared" ca="1" si="7"/>
        <v>1.0191461248500158</v>
      </c>
      <c r="E186" s="450">
        <f t="shared" ca="1" si="8"/>
        <v>3.725732403246311E-2</v>
      </c>
    </row>
    <row r="187" spans="1:5">
      <c r="A187" s="452">
        <f>'DAILY EXTRAPOLATION'!C2561</f>
        <v>46359</v>
      </c>
      <c r="B187" s="451">
        <f t="shared" si="6"/>
        <v>46360</v>
      </c>
      <c r="C187" s="448">
        <f ca="1">'DAILY EXTRAPOLATION'!N2561</f>
        <v>1.0001058333333332</v>
      </c>
      <c r="D187" s="454">
        <f t="shared" ca="1" si="7"/>
        <v>1.0192539844815622</v>
      </c>
      <c r="E187" s="450">
        <f t="shared" ca="1" si="8"/>
        <v>3.7265776415926911E-2</v>
      </c>
    </row>
    <row r="188" spans="1:5">
      <c r="A188" s="452">
        <f>'DAILY EXTRAPOLATION'!C2562</f>
        <v>46360</v>
      </c>
      <c r="B188" s="451">
        <f t="shared" si="6"/>
        <v>46361</v>
      </c>
      <c r="C188" s="448">
        <f ca="1">'DAILY EXTRAPOLATION'!N2562</f>
        <v>1.0003175</v>
      </c>
      <c r="D188" s="454">
        <f t="shared" ca="1" si="7"/>
        <v>1.019577597621635</v>
      </c>
      <c r="E188" s="450">
        <f t="shared" ca="1" si="8"/>
        <v>3.7689492747532666E-2</v>
      </c>
    </row>
    <row r="189" spans="1:5">
      <c r="A189" s="452">
        <f>'DAILY EXTRAPOLATION'!C2563</f>
        <v>46361</v>
      </c>
      <c r="B189" s="451">
        <f t="shared" si="6"/>
        <v>46362</v>
      </c>
      <c r="C189" s="448">
        <f ca="1">'DAILY EXTRAPOLATION'!N2563</f>
        <v>1</v>
      </c>
      <c r="D189" s="454">
        <f t="shared" ca="1" si="7"/>
        <v>1.019577597621635</v>
      </c>
      <c r="E189" s="450">
        <f t="shared" ca="1" si="8"/>
        <v>3.7489016722279833E-2</v>
      </c>
    </row>
    <row r="190" spans="1:5">
      <c r="A190" s="452">
        <f>'DAILY EXTRAPOLATION'!C2564</f>
        <v>46362</v>
      </c>
      <c r="B190" s="451">
        <f t="shared" si="6"/>
        <v>46363</v>
      </c>
      <c r="C190" s="448">
        <f ca="1">'DAILY EXTRAPOLATION'!N2564</f>
        <v>1</v>
      </c>
      <c r="D190" s="454">
        <f t="shared" ca="1" si="7"/>
        <v>1.019577597621635</v>
      </c>
      <c r="E190" s="450">
        <f t="shared" ca="1" si="8"/>
        <v>3.7290662136447661E-2</v>
      </c>
    </row>
    <row r="191" spans="1:5">
      <c r="A191" s="452">
        <f>'DAILY EXTRAPOLATION'!C2565</f>
        <v>46363</v>
      </c>
      <c r="B191" s="451">
        <f t="shared" si="6"/>
        <v>46364</v>
      </c>
      <c r="C191" s="448">
        <f ca="1">'DAILY EXTRAPOLATION'!N2565</f>
        <v>1.0001058333333332</v>
      </c>
      <c r="D191" s="454">
        <f t="shared" ca="1" si="7"/>
        <v>1.0196855029173832</v>
      </c>
      <c r="E191" s="450">
        <f t="shared" ca="1" si="8"/>
        <v>3.7298847632936678E-2</v>
      </c>
    </row>
    <row r="192" spans="1:5">
      <c r="A192" s="452">
        <f>'DAILY EXTRAPOLATION'!C2566</f>
        <v>46364</v>
      </c>
      <c r="B192" s="451">
        <f t="shared" si="6"/>
        <v>46365</v>
      </c>
      <c r="C192" s="448">
        <f ca="1">'DAILY EXTRAPOLATION'!N2566</f>
        <v>1.0001058333333332</v>
      </c>
      <c r="D192" s="454">
        <f t="shared" ca="1" si="7"/>
        <v>1.0197934196331087</v>
      </c>
      <c r="E192" s="450">
        <f t="shared" ca="1" si="8"/>
        <v>3.7306968941984903E-2</v>
      </c>
    </row>
    <row r="193" spans="1:5">
      <c r="A193" s="452">
        <f>'DAILY EXTRAPOLATION'!C2567</f>
        <v>46365</v>
      </c>
      <c r="B193" s="451">
        <f t="shared" si="6"/>
        <v>46366</v>
      </c>
      <c r="C193" s="448">
        <f ca="1">'DAILY EXTRAPOLATION'!N2567</f>
        <v>1.0001058333333332</v>
      </c>
      <c r="D193" s="454">
        <f t="shared" ca="1" si="7"/>
        <v>1.0199013477700198</v>
      </c>
      <c r="E193" s="450">
        <f t="shared" ca="1" si="8"/>
        <v>3.7315027068787199E-2</v>
      </c>
    </row>
    <row r="194" spans="1:5">
      <c r="A194" s="452">
        <f>'DAILY EXTRAPOLATION'!C2568</f>
        <v>46366</v>
      </c>
      <c r="B194" s="451">
        <f t="shared" si="6"/>
        <v>46367</v>
      </c>
      <c r="C194" s="448">
        <f ca="1">'DAILY EXTRAPOLATION'!N2568</f>
        <v>1.0001091603535353</v>
      </c>
      <c r="D194" s="454">
        <f t="shared" ca="1" si="7"/>
        <v>1.0200126805617136</v>
      </c>
      <c r="E194" s="450">
        <f t="shared" ca="1" si="8"/>
        <v>3.7329352343092669E-2</v>
      </c>
    </row>
    <row r="195" spans="1:5">
      <c r="A195" s="452">
        <f>'DAILY EXTRAPOLATION'!C2569</f>
        <v>46367</v>
      </c>
      <c r="B195" s="451">
        <f t="shared" ref="B195:B216" si="9">A196</f>
        <v>46368</v>
      </c>
      <c r="C195" s="448">
        <f ca="1">'DAILY EXTRAPOLATION'!N2569</f>
        <v>1.000327481060606</v>
      </c>
      <c r="D195" s="454">
        <f t="shared" ca="1" si="7"/>
        <v>1.0203467153961754</v>
      </c>
      <c r="E195" s="450">
        <f t="shared" ca="1" si="8"/>
        <v>3.7756791456820302E-2</v>
      </c>
    </row>
    <row r="196" spans="1:5">
      <c r="A196" s="452">
        <f>'DAILY EXTRAPOLATION'!C2570</f>
        <v>46368</v>
      </c>
      <c r="B196" s="451">
        <f t="shared" si="9"/>
        <v>46369</v>
      </c>
      <c r="C196" s="448">
        <f ca="1">'DAILY EXTRAPOLATION'!N2570</f>
        <v>1</v>
      </c>
      <c r="D196" s="454">
        <f t="shared" ref="D196:D216" ca="1" si="10">D195*C196</f>
        <v>1.0203467153961754</v>
      </c>
      <c r="E196" s="450">
        <f t="shared" ref="E196:E216" ca="1" si="11">(D196/1-1)*360/(B196-A$2)</f>
        <v>3.7563166885246864E-2</v>
      </c>
    </row>
    <row r="197" spans="1:5">
      <c r="A197" s="452">
        <f>'DAILY EXTRAPOLATION'!C2571</f>
        <v>46369</v>
      </c>
      <c r="B197" s="451">
        <f t="shared" si="9"/>
        <v>46370</v>
      </c>
      <c r="C197" s="448">
        <f ca="1">'DAILY EXTRAPOLATION'!N2571</f>
        <v>1</v>
      </c>
      <c r="D197" s="454">
        <f t="shared" ca="1" si="10"/>
        <v>1.0203467153961754</v>
      </c>
      <c r="E197" s="450">
        <f t="shared" ca="1" si="11"/>
        <v>3.7371518074607854E-2</v>
      </c>
    </row>
    <row r="198" spans="1:5">
      <c r="A198" s="452">
        <f>'DAILY EXTRAPOLATION'!C2572</f>
        <v>46370</v>
      </c>
      <c r="B198" s="451">
        <f t="shared" si="9"/>
        <v>46371</v>
      </c>
      <c r="C198" s="448">
        <f ca="1">'DAILY EXTRAPOLATION'!N2572</f>
        <v>1.0001091603535353</v>
      </c>
      <c r="D198" s="454">
        <f t="shared" ca="1" si="10"/>
        <v>1.0204580968043566</v>
      </c>
      <c r="E198" s="450">
        <f t="shared" ca="1" si="11"/>
        <v>3.7385354566336966E-2</v>
      </c>
    </row>
    <row r="199" spans="1:5">
      <c r="A199" s="452">
        <f>'DAILY EXTRAPOLATION'!C2573</f>
        <v>46371</v>
      </c>
      <c r="B199" s="451">
        <f t="shared" si="9"/>
        <v>46372</v>
      </c>
      <c r="C199" s="448">
        <f ca="1">'DAILY EXTRAPOLATION'!N2573</f>
        <v>1.0001091603535353</v>
      </c>
      <c r="D199" s="454">
        <f t="shared" ca="1" si="10"/>
        <v>1.0205694903709717</v>
      </c>
      <c r="E199" s="450">
        <f t="shared" ca="1" si="11"/>
        <v>3.7399073401766667E-2</v>
      </c>
    </row>
    <row r="200" spans="1:5">
      <c r="A200" s="452">
        <f>'DAILY EXTRAPOLATION'!C2574</f>
        <v>46372</v>
      </c>
      <c r="B200" s="451">
        <f t="shared" si="9"/>
        <v>46373</v>
      </c>
      <c r="C200" s="448">
        <f ca="1">'DAILY EXTRAPOLATION'!N2574</f>
        <v>1.0001091603535353</v>
      </c>
      <c r="D200" s="454">
        <f t="shared" ca="1" si="10"/>
        <v>1.0206808960973479</v>
      </c>
      <c r="E200" s="450">
        <f t="shared" ca="1" si="11"/>
        <v>3.7412676357011294E-2</v>
      </c>
    </row>
    <row r="201" spans="1:5">
      <c r="A201" s="452">
        <f>'DAILY EXTRAPOLATION'!C2575</f>
        <v>46373</v>
      </c>
      <c r="B201" s="451">
        <f t="shared" si="9"/>
        <v>46374</v>
      </c>
      <c r="C201" s="448">
        <f ca="1">'DAILY EXTRAPOLATION'!N2575</f>
        <v>1.0001091603535353</v>
      </c>
      <c r="D201" s="454">
        <f t="shared" ca="1" si="10"/>
        <v>1.0207923139848125</v>
      </c>
      <c r="E201" s="450">
        <f t="shared" ca="1" si="11"/>
        <v>3.7426165172662527E-2</v>
      </c>
    </row>
    <row r="202" spans="1:5">
      <c r="A202" s="452">
        <f>'DAILY EXTRAPOLATION'!C2576</f>
        <v>46374</v>
      </c>
      <c r="B202" s="451">
        <f t="shared" si="9"/>
        <v>46375</v>
      </c>
      <c r="C202" s="448">
        <f ca="1">'DAILY EXTRAPOLATION'!N2576</f>
        <v>1.000327481060606</v>
      </c>
      <c r="D202" s="454">
        <f t="shared" ca="1" si="10"/>
        <v>1.0211266041344547</v>
      </c>
      <c r="E202" s="450">
        <f t="shared" ca="1" si="11"/>
        <v>3.7838693972157604E-2</v>
      </c>
    </row>
    <row r="203" spans="1:5">
      <c r="A203" s="452">
        <f>'DAILY EXTRAPOLATION'!C2577</f>
        <v>46375</v>
      </c>
      <c r="B203" s="451">
        <f t="shared" si="9"/>
        <v>46376</v>
      </c>
      <c r="C203" s="448">
        <f ca="1">'DAILY EXTRAPOLATION'!N2577</f>
        <v>1</v>
      </c>
      <c r="D203" s="454">
        <f t="shared" ca="1" si="10"/>
        <v>1.0211266041344547</v>
      </c>
      <c r="E203" s="450">
        <f t="shared" ca="1" si="11"/>
        <v>3.7651373704968703E-2</v>
      </c>
    </row>
    <row r="204" spans="1:5">
      <c r="A204" s="452">
        <f>'DAILY EXTRAPOLATION'!C2578</f>
        <v>46376</v>
      </c>
      <c r="B204" s="451">
        <f t="shared" si="9"/>
        <v>46377</v>
      </c>
      <c r="C204" s="448">
        <f ca="1">'DAILY EXTRAPOLATION'!N2578</f>
        <v>1</v>
      </c>
      <c r="D204" s="454">
        <f t="shared" ca="1" si="10"/>
        <v>1.0211266041344547</v>
      </c>
      <c r="E204" s="450">
        <f t="shared" ca="1" si="11"/>
        <v>3.7465898957653593E-2</v>
      </c>
    </row>
    <row r="205" spans="1:5">
      <c r="A205" s="452">
        <f>'DAILY EXTRAPOLATION'!C2579</f>
        <v>46377</v>
      </c>
      <c r="B205" s="451">
        <f t="shared" si="9"/>
        <v>46378</v>
      </c>
      <c r="C205" s="448">
        <f ca="1">'DAILY EXTRAPOLATION'!N2579</f>
        <v>1.0001091603535353</v>
      </c>
      <c r="D205" s="454">
        <f t="shared" ca="1" si="10"/>
        <v>1.0212380706755662</v>
      </c>
      <c r="E205" s="450">
        <f t="shared" ca="1" si="11"/>
        <v>3.7478948250999101E-2</v>
      </c>
    </row>
    <row r="206" spans="1:5">
      <c r="A206" s="452">
        <f>'DAILY EXTRAPOLATION'!C2580</f>
        <v>46378</v>
      </c>
      <c r="B206" s="451">
        <f t="shared" si="9"/>
        <v>46379</v>
      </c>
      <c r="C206" s="448">
        <f ca="1">'DAILY EXTRAPOLATION'!N2580</f>
        <v>1.0001091603535353</v>
      </c>
      <c r="D206" s="454">
        <f t="shared" ca="1" si="10"/>
        <v>1.0213495493844047</v>
      </c>
      <c r="E206" s="450">
        <f t="shared" ca="1" si="11"/>
        <v>3.7491891601881419E-2</v>
      </c>
    </row>
    <row r="207" spans="1:5">
      <c r="A207" s="452">
        <f>'DAILY EXTRAPOLATION'!C2581</f>
        <v>46379</v>
      </c>
      <c r="B207" s="451">
        <f t="shared" si="9"/>
        <v>46380</v>
      </c>
      <c r="C207" s="448">
        <f ca="1">'DAILY EXTRAPOLATION'!N2581</f>
        <v>1.0001091603535353</v>
      </c>
      <c r="D207" s="454">
        <f t="shared" ca="1" si="10"/>
        <v>1.0214610402622986</v>
      </c>
      <c r="E207" s="450">
        <f t="shared" ca="1" si="11"/>
        <v>3.7504730555473209E-2</v>
      </c>
    </row>
    <row r="208" spans="1:5">
      <c r="A208" s="452">
        <f>'DAILY EXTRAPOLATION'!C2582</f>
        <v>46380</v>
      </c>
      <c r="B208" s="451">
        <f t="shared" si="9"/>
        <v>46381</v>
      </c>
      <c r="C208" s="448">
        <f ca="1">'DAILY EXTRAPOLATION'!N2582</f>
        <v>1.0004366414141415</v>
      </c>
      <c r="D208" s="454">
        <f t="shared" ca="1" si="10"/>
        <v>1.021907052455409</v>
      </c>
      <c r="E208" s="450">
        <f t="shared" ca="1" si="11"/>
        <v>3.8099221661580918E-2</v>
      </c>
    </row>
    <row r="209" spans="1:5">
      <c r="A209" s="452">
        <f>'DAILY EXTRAPOLATION'!C2583</f>
        <v>46381</v>
      </c>
      <c r="B209" s="451">
        <f t="shared" si="9"/>
        <v>46382</v>
      </c>
      <c r="C209" s="448">
        <f ca="1">'DAILY EXTRAPOLATION'!N2583</f>
        <v>1</v>
      </c>
      <c r="D209" s="454">
        <f t="shared" ca="1" si="10"/>
        <v>1.021907052455409</v>
      </c>
      <c r="E209" s="450">
        <f t="shared" ca="1" si="11"/>
        <v>3.7916052326669468E-2</v>
      </c>
    </row>
    <row r="210" spans="1:5">
      <c r="A210" s="452">
        <f>'DAILY EXTRAPOLATION'!C2584</f>
        <v>46382</v>
      </c>
      <c r="B210" s="451">
        <f t="shared" si="9"/>
        <v>46383</v>
      </c>
      <c r="C210" s="448">
        <f ca="1">'DAILY EXTRAPOLATION'!N2584</f>
        <v>1</v>
      </c>
      <c r="D210" s="454">
        <f t="shared" ca="1" si="10"/>
        <v>1.021907052455409</v>
      </c>
      <c r="E210" s="450">
        <f t="shared" ca="1" si="11"/>
        <v>3.7734635808360048E-2</v>
      </c>
    </row>
    <row r="211" spans="1:5">
      <c r="A211" s="452">
        <f>'DAILY EXTRAPOLATION'!C2585</f>
        <v>46383</v>
      </c>
      <c r="B211" s="451">
        <f t="shared" si="9"/>
        <v>46384</v>
      </c>
      <c r="C211" s="448">
        <f ca="1">'DAILY EXTRAPOLATION'!N2585</f>
        <v>1</v>
      </c>
      <c r="D211" s="454">
        <f t="shared" ca="1" si="10"/>
        <v>1.021907052455409</v>
      </c>
      <c r="E211" s="450">
        <f t="shared" ca="1" si="11"/>
        <v>3.7554947066415476E-2</v>
      </c>
    </row>
    <row r="212" spans="1:5">
      <c r="A212" s="452">
        <f>'DAILY EXTRAPOLATION'!C2586</f>
        <v>46384</v>
      </c>
      <c r="B212" s="451">
        <f t="shared" si="9"/>
        <v>46385</v>
      </c>
      <c r="C212" s="448">
        <f ca="1">'DAILY EXTRAPOLATION'!N2586</f>
        <v>1.0001091603535353</v>
      </c>
      <c r="D212" s="454">
        <f t="shared" ca="1" si="10"/>
        <v>1.0220186041905353</v>
      </c>
      <c r="E212" s="450">
        <f t="shared" ca="1" si="11"/>
        <v>3.7567286770581472E-2</v>
      </c>
    </row>
    <row r="213" spans="1:5">
      <c r="A213" s="452">
        <f>'DAILY EXTRAPOLATION'!C2587</f>
        <v>46385</v>
      </c>
      <c r="B213" s="451">
        <f t="shared" si="9"/>
        <v>46386</v>
      </c>
      <c r="C213" s="448">
        <f ca="1">'DAILY EXTRAPOLATION'!N2587</f>
        <v>1.0001091603535353</v>
      </c>
      <c r="D213" s="454">
        <f t="shared" ca="1" si="10"/>
        <v>1.0221301681026882</v>
      </c>
      <c r="E213" s="450">
        <f t="shared" ca="1" si="11"/>
        <v>3.7579530740413918E-2</v>
      </c>
    </row>
    <row r="214" spans="1:5">
      <c r="A214" s="452">
        <f>'DAILY EXTRAPOLATION'!C2588</f>
        <v>46386</v>
      </c>
      <c r="B214" s="451">
        <f t="shared" si="9"/>
        <v>46387</v>
      </c>
      <c r="C214" s="448">
        <f ca="1">'DAILY EXTRAPOLATION'!N2588</f>
        <v>1.0001091603535353</v>
      </c>
      <c r="D214" s="454">
        <f t="shared" ca="1" si="10"/>
        <v>1.0222417441931972</v>
      </c>
      <c r="E214" s="450">
        <f t="shared" ca="1" si="11"/>
        <v>3.7591680326530555E-2</v>
      </c>
    </row>
    <row r="215" spans="1:5">
      <c r="A215" s="452">
        <f>'DAILY EXTRAPOLATION'!C2589</f>
        <v>46387</v>
      </c>
      <c r="B215" s="451">
        <f t="shared" si="9"/>
        <v>46388</v>
      </c>
      <c r="C215" s="448">
        <f ca="1">'DAILY EXTRAPOLATION'!N2589</f>
        <v>1.0004366414141415</v>
      </c>
      <c r="D215" s="454">
        <f t="shared" ca="1" si="10"/>
        <v>1.0226880972739762</v>
      </c>
      <c r="E215" s="450">
        <f t="shared" ca="1" si="11"/>
        <v>3.8166892610427335E-2</v>
      </c>
    </row>
    <row r="216" spans="1:5">
      <c r="A216" s="452">
        <f>'DAILY EXTRAPOLATION'!C2590</f>
        <v>46388</v>
      </c>
      <c r="B216" s="451">
        <f t="shared" si="9"/>
        <v>46389</v>
      </c>
      <c r="C216" s="448">
        <f>'DAILY EXTRAPOLATION'!N2590</f>
        <v>1</v>
      </c>
      <c r="D216" s="454">
        <f t="shared" ca="1" si="10"/>
        <v>1.0226880972739762</v>
      </c>
      <c r="E216" s="450">
        <f t="shared" ca="1" si="11"/>
        <v>3.7989372179681159E-2</v>
      </c>
    </row>
    <row r="217" spans="1:5">
      <c r="A217" s="452">
        <f>'DAILY EXTRAPOLATION'!C2591</f>
        <v>46389</v>
      </c>
      <c r="B217" s="451"/>
      <c r="C217" s="448"/>
      <c r="D217" s="454"/>
    </row>
    <row r="218" spans="1:5">
      <c r="A218" s="452"/>
      <c r="B218" s="451"/>
      <c r="C218" s="448"/>
      <c r="D218" s="454"/>
    </row>
    <row r="219" spans="1:5">
      <c r="A219" s="452"/>
      <c r="B219" s="451"/>
      <c r="C219" s="448"/>
      <c r="D219" s="454"/>
    </row>
    <row r="220" spans="1:5">
      <c r="A220" s="452"/>
      <c r="B220" s="451"/>
      <c r="C220" s="448"/>
      <c r="D220" s="454"/>
    </row>
    <row r="221" spans="1:5">
      <c r="A221" s="452"/>
      <c r="B221" s="451"/>
      <c r="C221" s="448"/>
      <c r="D221" s="454"/>
    </row>
    <row r="222" spans="1:5">
      <c r="A222" s="452"/>
      <c r="B222" s="451"/>
      <c r="C222" s="448"/>
      <c r="D222" s="454"/>
    </row>
    <row r="223" spans="1:5">
      <c r="A223" s="452"/>
      <c r="B223" s="451"/>
      <c r="C223" s="448"/>
      <c r="D223" s="454"/>
    </row>
    <row r="224" spans="1:5">
      <c r="A224" s="452"/>
      <c r="B224" s="451"/>
      <c r="C224" s="448"/>
      <c r="D224" s="454"/>
    </row>
    <row r="225" spans="1:4">
      <c r="A225" s="452"/>
      <c r="B225" s="451"/>
      <c r="C225" s="448"/>
      <c r="D225" s="454"/>
    </row>
    <row r="226" spans="1:4">
      <c r="A226" s="452"/>
      <c r="B226" s="451"/>
      <c r="C226" s="448"/>
      <c r="D226" s="454"/>
    </row>
    <row r="227" spans="1:4">
      <c r="A227" s="452"/>
      <c r="B227" s="451"/>
      <c r="C227" s="448"/>
      <c r="D227" s="454"/>
    </row>
    <row r="228" spans="1:4">
      <c r="A228" s="452"/>
      <c r="B228" s="451"/>
      <c r="C228" s="448"/>
      <c r="D228" s="454"/>
    </row>
    <row r="229" spans="1:4">
      <c r="A229" s="452"/>
      <c r="B229" s="451"/>
      <c r="C229" s="448"/>
      <c r="D229" s="454"/>
    </row>
    <row r="230" spans="1:4">
      <c r="A230" s="452"/>
      <c r="B230" s="451"/>
      <c r="C230" s="448"/>
      <c r="D230" s="454"/>
    </row>
    <row r="231" spans="1:4">
      <c r="A231" s="452"/>
      <c r="B231" s="451"/>
      <c r="C231" s="448"/>
      <c r="D231" s="454"/>
    </row>
    <row r="232" spans="1:4">
      <c r="A232" s="452"/>
      <c r="B232" s="451"/>
      <c r="C232" s="448"/>
      <c r="D232" s="454"/>
    </row>
    <row r="233" spans="1:4">
      <c r="A233" s="452"/>
      <c r="B233" s="451"/>
      <c r="C233" s="448"/>
      <c r="D233" s="454"/>
    </row>
    <row r="234" spans="1:4">
      <c r="A234" s="452"/>
      <c r="B234" s="451"/>
      <c r="C234" s="448"/>
      <c r="D234" s="454"/>
    </row>
    <row r="235" spans="1:4">
      <c r="A235" s="452"/>
      <c r="B235" s="451"/>
      <c r="C235" s="448"/>
      <c r="D235" s="454"/>
    </row>
    <row r="236" spans="1:4">
      <c r="A236" s="452"/>
      <c r="B236" s="451"/>
      <c r="C236" s="448"/>
      <c r="D236" s="454"/>
    </row>
    <row r="237" spans="1:4">
      <c r="A237" s="452"/>
      <c r="B237" s="451"/>
      <c r="C237" s="448"/>
      <c r="D237" s="454"/>
    </row>
    <row r="238" spans="1:4">
      <c r="A238" s="452"/>
      <c r="B238" s="451"/>
      <c r="C238" s="448"/>
      <c r="D238" s="454"/>
    </row>
    <row r="239" spans="1:4">
      <c r="A239" s="452"/>
      <c r="B239" s="451"/>
      <c r="C239" s="448"/>
      <c r="D239" s="454"/>
    </row>
    <row r="240" spans="1:4">
      <c r="A240" s="452"/>
      <c r="B240" s="451"/>
      <c r="C240" s="448"/>
      <c r="D240" s="454"/>
    </row>
    <row r="241" spans="1:4">
      <c r="A241" s="452"/>
      <c r="B241" s="451"/>
      <c r="C241" s="448"/>
      <c r="D241" s="454"/>
    </row>
    <row r="242" spans="1:4">
      <c r="A242" s="452"/>
      <c r="B242" s="451"/>
      <c r="C242" s="448"/>
      <c r="D242" s="454"/>
    </row>
    <row r="243" spans="1:4">
      <c r="A243" s="452"/>
      <c r="B243" s="451"/>
      <c r="C243" s="448"/>
      <c r="D243" s="454"/>
    </row>
    <row r="244" spans="1:4">
      <c r="A244" s="452"/>
      <c r="B244" s="451"/>
      <c r="C244" s="448"/>
      <c r="D244" s="454"/>
    </row>
    <row r="245" spans="1:4">
      <c r="A245" s="452"/>
      <c r="B245" s="451"/>
      <c r="C245" s="448"/>
      <c r="D245" s="454"/>
    </row>
    <row r="246" spans="1:4">
      <c r="A246" s="452"/>
      <c r="B246" s="451"/>
      <c r="C246" s="448"/>
      <c r="D246" s="454"/>
    </row>
    <row r="247" spans="1:4">
      <c r="A247" s="452"/>
      <c r="B247" s="451"/>
      <c r="C247" s="448"/>
      <c r="D247" s="454"/>
    </row>
    <row r="248" spans="1:4">
      <c r="A248" s="452"/>
      <c r="B248" s="451"/>
      <c r="C248" s="448"/>
      <c r="D248" s="454"/>
    </row>
    <row r="249" spans="1:4">
      <c r="A249" s="452"/>
      <c r="B249" s="451"/>
      <c r="C249" s="448"/>
      <c r="D249" s="454"/>
    </row>
    <row r="250" spans="1:4">
      <c r="A250" s="452"/>
      <c r="B250" s="451"/>
      <c r="C250" s="448"/>
      <c r="D250" s="454"/>
    </row>
    <row r="251" spans="1:4">
      <c r="A251" s="452"/>
      <c r="B251" s="451"/>
      <c r="C251" s="448"/>
      <c r="D251" s="454"/>
    </row>
    <row r="252" spans="1:4">
      <c r="A252" s="452"/>
      <c r="B252" s="451"/>
      <c r="C252" s="448"/>
      <c r="D252" s="454"/>
    </row>
    <row r="253" spans="1:4">
      <c r="A253" s="452"/>
      <c r="B253" s="451"/>
      <c r="C253" s="448"/>
      <c r="D253" s="454"/>
    </row>
    <row r="254" spans="1:4">
      <c r="A254" s="452"/>
      <c r="B254" s="451"/>
      <c r="C254" s="448"/>
      <c r="D254" s="454"/>
    </row>
    <row r="255" spans="1:4">
      <c r="A255" s="452"/>
      <c r="B255" s="451"/>
      <c r="C255" s="448"/>
      <c r="D255" s="454"/>
    </row>
    <row r="256" spans="1:4">
      <c r="A256" s="452"/>
      <c r="B256" s="451"/>
      <c r="C256" s="448"/>
      <c r="D256" s="454"/>
    </row>
    <row r="257" spans="1:4">
      <c r="A257" s="452"/>
      <c r="B257" s="451"/>
      <c r="C257" s="448"/>
      <c r="D257" s="454"/>
    </row>
    <row r="258" spans="1:4">
      <c r="A258" s="452"/>
      <c r="B258" s="451"/>
      <c r="C258" s="448"/>
      <c r="D258" s="454"/>
    </row>
    <row r="259" spans="1:4">
      <c r="A259" s="452"/>
      <c r="B259" s="451"/>
      <c r="C259" s="448"/>
      <c r="D259" s="454"/>
    </row>
    <row r="260" spans="1:4">
      <c r="A260" s="452"/>
      <c r="B260" s="451"/>
      <c r="C260" s="448"/>
      <c r="D260" s="454"/>
    </row>
    <row r="261" spans="1:4">
      <c r="A261" s="452"/>
      <c r="B261" s="451"/>
      <c r="C261" s="448"/>
      <c r="D261" s="454"/>
    </row>
    <row r="262" spans="1:4">
      <c r="A262" s="452"/>
      <c r="B262" s="451"/>
      <c r="C262" s="448"/>
      <c r="D262" s="454"/>
    </row>
    <row r="263" spans="1:4">
      <c r="A263" s="452"/>
      <c r="B263" s="451"/>
      <c r="C263" s="448"/>
      <c r="D263" s="454"/>
    </row>
    <row r="264" spans="1:4">
      <c r="A264" s="452"/>
      <c r="B264" s="451"/>
      <c r="C264" s="448"/>
      <c r="D264" s="454"/>
    </row>
    <row r="265" spans="1:4">
      <c r="A265" s="452"/>
      <c r="B265" s="451"/>
      <c r="C265" s="448"/>
      <c r="D265" s="454"/>
    </row>
    <row r="266" spans="1:4">
      <c r="A266" s="452"/>
      <c r="B266" s="451"/>
      <c r="C266" s="448"/>
      <c r="D266" s="454"/>
    </row>
    <row r="267" spans="1:4">
      <c r="A267" s="452"/>
      <c r="B267" s="451"/>
      <c r="C267" s="448"/>
      <c r="D267" s="454"/>
    </row>
    <row r="268" spans="1:4">
      <c r="A268" s="452"/>
      <c r="B268" s="451"/>
      <c r="C268" s="448"/>
      <c r="D268" s="454"/>
    </row>
    <row r="269" spans="1:4">
      <c r="A269" s="452"/>
      <c r="B269" s="451"/>
      <c r="C269" s="448"/>
      <c r="D269" s="454"/>
    </row>
    <row r="270" spans="1:4">
      <c r="A270" s="452"/>
      <c r="B270" s="451"/>
      <c r="C270" s="448"/>
      <c r="D270" s="454"/>
    </row>
    <row r="271" spans="1:4">
      <c r="A271" s="452"/>
      <c r="B271" s="451"/>
      <c r="C271" s="448"/>
      <c r="D271" s="454"/>
    </row>
    <row r="272" spans="1:4">
      <c r="A272" s="452"/>
      <c r="B272" s="451"/>
      <c r="C272" s="448"/>
      <c r="D272" s="454"/>
    </row>
    <row r="273" spans="1:4">
      <c r="A273" s="452"/>
      <c r="B273" s="451"/>
      <c r="C273" s="448"/>
      <c r="D273" s="454"/>
    </row>
    <row r="274" spans="1:4">
      <c r="A274" s="452"/>
      <c r="B274" s="451"/>
      <c r="C274" s="448"/>
      <c r="D274" s="454"/>
    </row>
    <row r="275" spans="1:4">
      <c r="A275" s="452"/>
      <c r="B275" s="451"/>
      <c r="C275" s="448"/>
      <c r="D275" s="454"/>
    </row>
    <row r="276" spans="1:4">
      <c r="A276" s="452"/>
      <c r="B276" s="451"/>
      <c r="C276" s="448"/>
      <c r="D276" s="454"/>
    </row>
    <row r="277" spans="1:4">
      <c r="A277" s="452"/>
      <c r="B277" s="451"/>
      <c r="C277" s="448"/>
      <c r="D277" s="454"/>
    </row>
    <row r="278" spans="1:4">
      <c r="A278" s="452"/>
      <c r="B278" s="451"/>
      <c r="C278" s="448"/>
      <c r="D278" s="454"/>
    </row>
    <row r="279" spans="1:4">
      <c r="A279" s="452"/>
      <c r="B279" s="451"/>
      <c r="C279" s="448"/>
      <c r="D279" s="454"/>
    </row>
    <row r="280" spans="1:4">
      <c r="A280" s="452"/>
      <c r="B280" s="451"/>
      <c r="C280" s="448"/>
      <c r="D280" s="454"/>
    </row>
    <row r="281" spans="1:4">
      <c r="A281" s="452"/>
      <c r="B281" s="451"/>
      <c r="C281" s="448"/>
      <c r="D281" s="454"/>
    </row>
    <row r="282" spans="1:4">
      <c r="A282" s="452"/>
      <c r="B282" s="451"/>
      <c r="C282" s="448"/>
      <c r="D282" s="454"/>
    </row>
    <row r="283" spans="1:4">
      <c r="A283" s="452"/>
      <c r="B283" s="451"/>
      <c r="C283" s="448"/>
      <c r="D283" s="454"/>
    </row>
    <row r="284" spans="1:4">
      <c r="A284" s="452"/>
      <c r="B284" s="451"/>
      <c r="C284" s="448"/>
      <c r="D284" s="454"/>
    </row>
    <row r="285" spans="1:4">
      <c r="A285" s="452"/>
      <c r="B285" s="451"/>
      <c r="C285" s="448"/>
      <c r="D285" s="454"/>
    </row>
    <row r="286" spans="1:4">
      <c r="A286" s="452"/>
      <c r="B286" s="451"/>
      <c r="C286" s="448"/>
      <c r="D286" s="454"/>
    </row>
    <row r="287" spans="1:4">
      <c r="A287" s="452"/>
      <c r="B287" s="451"/>
      <c r="C287" s="448"/>
      <c r="D287" s="454"/>
    </row>
    <row r="288" spans="1:4">
      <c r="A288" s="452"/>
      <c r="B288" s="451"/>
      <c r="C288" s="448"/>
      <c r="D288" s="454"/>
    </row>
    <row r="289" spans="1:4">
      <c r="A289" s="452"/>
      <c r="B289" s="451"/>
      <c r="C289" s="448"/>
      <c r="D289" s="454"/>
    </row>
    <row r="290" spans="1:4">
      <c r="A290" s="452"/>
      <c r="B290" s="451"/>
      <c r="C290" s="448"/>
      <c r="D290" s="454"/>
    </row>
    <row r="291" spans="1:4">
      <c r="A291" s="452"/>
      <c r="B291" s="451"/>
      <c r="C291" s="448"/>
      <c r="D291" s="454"/>
    </row>
    <row r="292" spans="1:4">
      <c r="A292" s="452"/>
      <c r="B292" s="451"/>
      <c r="C292" s="448"/>
      <c r="D292" s="454"/>
    </row>
    <row r="293" spans="1:4">
      <c r="A293" s="452"/>
      <c r="B293" s="451"/>
      <c r="C293" s="448"/>
      <c r="D293" s="454"/>
    </row>
    <row r="294" spans="1:4">
      <c r="A294" s="452"/>
      <c r="B294" s="451"/>
      <c r="C294" s="448"/>
      <c r="D294" s="454"/>
    </row>
    <row r="295" spans="1:4">
      <c r="A295" s="452"/>
      <c r="B295" s="451"/>
      <c r="C295" s="448"/>
      <c r="D295" s="454"/>
    </row>
    <row r="296" spans="1:4">
      <c r="A296" s="452"/>
      <c r="B296" s="451"/>
      <c r="C296" s="448"/>
      <c r="D296" s="454"/>
    </row>
    <row r="297" spans="1:4">
      <c r="A297" s="452"/>
      <c r="B297" s="451"/>
      <c r="C297" s="448"/>
      <c r="D297" s="454"/>
    </row>
    <row r="298" spans="1:4">
      <c r="A298" s="452"/>
      <c r="B298" s="451"/>
      <c r="C298" s="448"/>
      <c r="D298" s="454"/>
    </row>
    <row r="299" spans="1:4">
      <c r="A299" s="452"/>
      <c r="B299" s="451"/>
      <c r="C299" s="448"/>
      <c r="D299" s="454"/>
    </row>
    <row r="300" spans="1:4">
      <c r="A300" s="452"/>
      <c r="B300" s="451"/>
      <c r="C300" s="448"/>
      <c r="D300" s="454"/>
    </row>
    <row r="301" spans="1:4">
      <c r="A301" s="452"/>
      <c r="B301" s="451"/>
      <c r="C301" s="448"/>
      <c r="D301" s="454"/>
    </row>
    <row r="302" spans="1:4">
      <c r="A302" s="452"/>
      <c r="B302" s="451"/>
      <c r="C302" s="448"/>
      <c r="D302" s="454"/>
    </row>
    <row r="303" spans="1:4">
      <c r="A303" s="452"/>
      <c r="B303" s="451"/>
      <c r="C303" s="448"/>
      <c r="D303" s="454"/>
    </row>
    <row r="304" spans="1:4">
      <c r="A304" s="452"/>
      <c r="B304" s="451"/>
      <c r="C304" s="448"/>
      <c r="D304" s="454"/>
    </row>
    <row r="305" spans="1:4">
      <c r="A305" s="452"/>
      <c r="B305" s="451"/>
      <c r="C305" s="448"/>
      <c r="D305" s="454"/>
    </row>
    <row r="306" spans="1:4">
      <c r="A306" s="452"/>
      <c r="B306" s="451"/>
      <c r="C306" s="448"/>
      <c r="D306" s="454"/>
    </row>
    <row r="307" spans="1:4">
      <c r="A307" s="452"/>
      <c r="B307" s="451"/>
      <c r="C307" s="448"/>
      <c r="D307" s="454"/>
    </row>
    <row r="308" spans="1:4">
      <c r="A308" s="452"/>
      <c r="B308" s="451"/>
      <c r="C308" s="448"/>
      <c r="D308" s="454"/>
    </row>
    <row r="309" spans="1:4">
      <c r="A309" s="452"/>
      <c r="B309" s="451"/>
      <c r="C309" s="448"/>
      <c r="D309" s="454"/>
    </row>
    <row r="310" spans="1:4">
      <c r="A310" s="452"/>
      <c r="B310" s="451"/>
      <c r="C310" s="448"/>
      <c r="D310" s="454"/>
    </row>
    <row r="311" spans="1:4">
      <c r="A311" s="452"/>
    </row>
    <row r="312" spans="1:4">
      <c r="A312" s="452"/>
    </row>
    <row r="313" spans="1:4">
      <c r="A313" s="452"/>
    </row>
    <row r="314" spans="1:4">
      <c r="A314" s="452"/>
    </row>
    <row r="315" spans="1:4">
      <c r="A315" s="452"/>
    </row>
    <row r="316" spans="1:4">
      <c r="A316" s="452"/>
    </row>
    <row r="317" spans="1:4">
      <c r="A317" s="452"/>
    </row>
    <row r="318" spans="1:4">
      <c r="A318" s="452"/>
    </row>
    <row r="319" spans="1:4">
      <c r="A319" s="452"/>
    </row>
    <row r="320" spans="1:4">
      <c r="A320" s="452"/>
    </row>
    <row r="321" spans="1:1">
      <c r="A321" s="452"/>
    </row>
    <row r="322" spans="1:1">
      <c r="A322" s="452"/>
    </row>
    <row r="323" spans="1:1">
      <c r="A323" s="452"/>
    </row>
    <row r="324" spans="1:1">
      <c r="A324" s="452"/>
    </row>
    <row r="325" spans="1:1">
      <c r="A325" s="452"/>
    </row>
    <row r="326" spans="1:1">
      <c r="A326" s="452"/>
    </row>
    <row r="327" spans="1:1">
      <c r="A327" s="452"/>
    </row>
    <row r="328" spans="1:1">
      <c r="A328" s="452"/>
    </row>
    <row r="329" spans="1:1">
      <c r="A329" s="452"/>
    </row>
    <row r="330" spans="1:1">
      <c r="A330" s="452"/>
    </row>
    <row r="331" spans="1:1">
      <c r="A331" s="452"/>
    </row>
    <row r="332" spans="1:1">
      <c r="A332" s="452"/>
    </row>
    <row r="333" spans="1:1">
      <c r="A333" s="452"/>
    </row>
    <row r="334" spans="1:1">
      <c r="A334" s="452"/>
    </row>
    <row r="335" spans="1:1">
      <c r="A335" s="452"/>
    </row>
    <row r="336" spans="1:1">
      <c r="A336" s="452"/>
    </row>
    <row r="337" spans="1:1">
      <c r="A337" s="452"/>
    </row>
    <row r="338" spans="1:1">
      <c r="A338" s="452"/>
    </row>
    <row r="339" spans="1:1">
      <c r="A339" s="452"/>
    </row>
    <row r="340" spans="1:1">
      <c r="A340" s="452"/>
    </row>
    <row r="341" spans="1:1">
      <c r="A341" s="452"/>
    </row>
    <row r="342" spans="1:1">
      <c r="A342" s="452"/>
    </row>
    <row r="343" spans="1:1">
      <c r="A343" s="452"/>
    </row>
    <row r="344" spans="1:1">
      <c r="A344" s="452"/>
    </row>
    <row r="345" spans="1:1">
      <c r="A345" s="452"/>
    </row>
    <row r="346" spans="1:1">
      <c r="A346" s="452"/>
    </row>
    <row r="347" spans="1:1">
      <c r="A347" s="452"/>
    </row>
    <row r="348" spans="1:1">
      <c r="A348" s="452"/>
    </row>
    <row r="349" spans="1:1">
      <c r="A349" s="452"/>
    </row>
    <row r="350" spans="1:1">
      <c r="A350" s="452"/>
    </row>
    <row r="351" spans="1:1">
      <c r="A351" s="452"/>
    </row>
    <row r="352" spans="1:1">
      <c r="A352" s="452"/>
    </row>
    <row r="353" spans="1:1">
      <c r="A353" s="452"/>
    </row>
    <row r="354" spans="1:1">
      <c r="A354" s="452"/>
    </row>
    <row r="355" spans="1:1">
      <c r="A355" s="452"/>
    </row>
    <row r="356" spans="1:1">
      <c r="A356" s="452"/>
    </row>
    <row r="357" spans="1:1">
      <c r="A357" s="452"/>
    </row>
    <row r="358" spans="1:1">
      <c r="A358" s="452"/>
    </row>
    <row r="359" spans="1:1">
      <c r="A359" s="452"/>
    </row>
    <row r="360" spans="1:1">
      <c r="A360" s="452"/>
    </row>
    <row r="361" spans="1:1">
      <c r="A361" s="452"/>
    </row>
    <row r="362" spans="1:1">
      <c r="A362" s="452"/>
    </row>
    <row r="363" spans="1:1">
      <c r="A363" s="452"/>
    </row>
    <row r="364" spans="1:1">
      <c r="A364" s="452"/>
    </row>
    <row r="365" spans="1:1">
      <c r="A365" s="452"/>
    </row>
    <row r="366" spans="1:1">
      <c r="A366" s="452"/>
    </row>
    <row r="367" spans="1:1">
      <c r="A367" s="452"/>
    </row>
    <row r="368" spans="1:1">
      <c r="A368" s="452"/>
    </row>
    <row r="369" spans="1:1">
      <c r="A369" s="452"/>
    </row>
    <row r="370" spans="1:1">
      <c r="A370" s="452"/>
    </row>
    <row r="371" spans="1:1">
      <c r="A371" s="452"/>
    </row>
    <row r="372" spans="1:1">
      <c r="A372" s="452"/>
    </row>
    <row r="373" spans="1:1">
      <c r="A373" s="452"/>
    </row>
    <row r="374" spans="1:1">
      <c r="A374" s="452"/>
    </row>
    <row r="375" spans="1:1">
      <c r="A375" s="452"/>
    </row>
    <row r="376" spans="1:1">
      <c r="A376" s="452"/>
    </row>
    <row r="377" spans="1:1">
      <c r="A377" s="452"/>
    </row>
    <row r="378" spans="1:1">
      <c r="A378" s="452"/>
    </row>
    <row r="379" spans="1:1">
      <c r="A379" s="452"/>
    </row>
    <row r="380" spans="1:1">
      <c r="A380" s="452"/>
    </row>
    <row r="381" spans="1:1">
      <c r="A381" s="452"/>
    </row>
    <row r="382" spans="1:1">
      <c r="A382" s="452"/>
    </row>
    <row r="383" spans="1:1">
      <c r="A383" s="452"/>
    </row>
    <row r="384" spans="1:1">
      <c r="A384" s="452"/>
    </row>
    <row r="385" spans="1:1">
      <c r="A385" s="452"/>
    </row>
    <row r="386" spans="1:1">
      <c r="A386" s="452"/>
    </row>
    <row r="387" spans="1:1">
      <c r="A387" s="452"/>
    </row>
    <row r="388" spans="1:1">
      <c r="A388" s="452"/>
    </row>
    <row r="389" spans="1:1">
      <c r="A389" s="452"/>
    </row>
    <row r="390" spans="1:1">
      <c r="A390" s="452"/>
    </row>
    <row r="391" spans="1:1">
      <c r="A391" s="452"/>
    </row>
    <row r="392" spans="1:1">
      <c r="A392" s="452"/>
    </row>
    <row r="393" spans="1:1">
      <c r="A393" s="452"/>
    </row>
    <row r="394" spans="1:1">
      <c r="A394" s="452"/>
    </row>
    <row r="395" spans="1:1">
      <c r="A395" s="452"/>
    </row>
    <row r="396" spans="1:1">
      <c r="A396" s="452"/>
    </row>
    <row r="397" spans="1:1">
      <c r="A397" s="452"/>
    </row>
    <row r="398" spans="1:1">
      <c r="A398" s="452"/>
    </row>
    <row r="399" spans="1:1">
      <c r="A399" s="452"/>
    </row>
    <row r="400" spans="1:1">
      <c r="A400" s="452"/>
    </row>
    <row r="401" spans="1:1">
      <c r="A401" s="452"/>
    </row>
    <row r="402" spans="1:1">
      <c r="A402" s="452"/>
    </row>
    <row r="403" spans="1:1">
      <c r="A403" s="452"/>
    </row>
    <row r="404" spans="1:1">
      <c r="A404" s="452"/>
    </row>
    <row r="405" spans="1:1">
      <c r="A405" s="452"/>
    </row>
    <row r="406" spans="1:1">
      <c r="A406" s="452"/>
    </row>
    <row r="407" spans="1:1">
      <c r="A407" s="452"/>
    </row>
    <row r="408" spans="1:1">
      <c r="A408" s="452"/>
    </row>
    <row r="409" spans="1:1">
      <c r="A409" s="452"/>
    </row>
    <row r="410" spans="1:1">
      <c r="A410" s="452"/>
    </row>
    <row r="411" spans="1:1">
      <c r="A411" s="452"/>
    </row>
    <row r="412" spans="1:1">
      <c r="A412" s="452"/>
    </row>
    <row r="413" spans="1:1">
      <c r="A413" s="452"/>
    </row>
    <row r="414" spans="1:1">
      <c r="A414" s="452"/>
    </row>
    <row r="415" spans="1:1">
      <c r="A415" s="452"/>
    </row>
    <row r="416" spans="1:1">
      <c r="A416" s="452"/>
    </row>
    <row r="417" spans="1:1">
      <c r="A417" s="452"/>
    </row>
    <row r="418" spans="1:1">
      <c r="A418" s="452"/>
    </row>
    <row r="419" spans="1:1">
      <c r="A419" s="452"/>
    </row>
    <row r="420" spans="1:1">
      <c r="A420" s="452"/>
    </row>
    <row r="421" spans="1:1">
      <c r="A421" s="452"/>
    </row>
    <row r="422" spans="1:1">
      <c r="A422" s="452"/>
    </row>
    <row r="423" spans="1:1">
      <c r="A423" s="452"/>
    </row>
    <row r="424" spans="1:1">
      <c r="A424" s="452"/>
    </row>
    <row r="425" spans="1:1">
      <c r="A425" s="452"/>
    </row>
    <row r="426" spans="1:1">
      <c r="A426" s="452"/>
    </row>
    <row r="427" spans="1:1">
      <c r="A427" s="452"/>
    </row>
    <row r="428" spans="1:1">
      <c r="A428" s="452"/>
    </row>
    <row r="429" spans="1:1">
      <c r="A429" s="452"/>
    </row>
    <row r="430" spans="1:1">
      <c r="A430" s="452"/>
    </row>
    <row r="431" spans="1:1">
      <c r="A431" s="452"/>
    </row>
    <row r="432" spans="1:1">
      <c r="A432" s="452"/>
    </row>
    <row r="433" spans="1:1">
      <c r="A433" s="452"/>
    </row>
    <row r="434" spans="1:1">
      <c r="A434" s="452"/>
    </row>
    <row r="435" spans="1:1">
      <c r="A435" s="452"/>
    </row>
    <row r="436" spans="1:1">
      <c r="A436" s="452"/>
    </row>
    <row r="437" spans="1:1">
      <c r="A437" s="452"/>
    </row>
    <row r="438" spans="1:1">
      <c r="A438" s="452"/>
    </row>
    <row r="439" spans="1:1">
      <c r="A439" s="452"/>
    </row>
    <row r="440" spans="1:1">
      <c r="A440" s="452"/>
    </row>
    <row r="441" spans="1:1">
      <c r="A441" s="452"/>
    </row>
    <row r="442" spans="1:1">
      <c r="A442" s="452"/>
    </row>
    <row r="443" spans="1:1">
      <c r="A443" s="452"/>
    </row>
    <row r="444" spans="1:1">
      <c r="A444" s="452"/>
    </row>
    <row r="445" spans="1:1">
      <c r="A445" s="452"/>
    </row>
    <row r="446" spans="1:1">
      <c r="A446" s="452"/>
    </row>
    <row r="447" spans="1:1">
      <c r="A447" s="452"/>
    </row>
    <row r="448" spans="1:1">
      <c r="A448" s="452"/>
    </row>
    <row r="449" spans="1:1">
      <c r="A449" s="452"/>
    </row>
    <row r="450" spans="1:1">
      <c r="A450" s="452"/>
    </row>
    <row r="451" spans="1:1">
      <c r="A451" s="452"/>
    </row>
    <row r="452" spans="1:1">
      <c r="A452" s="452"/>
    </row>
    <row r="453" spans="1:1">
      <c r="A453" s="452"/>
    </row>
    <row r="454" spans="1:1">
      <c r="A454" s="452"/>
    </row>
    <row r="455" spans="1:1">
      <c r="A455" s="452"/>
    </row>
    <row r="456" spans="1:1">
      <c r="A456" s="452"/>
    </row>
    <row r="457" spans="1:1">
      <c r="A457" s="452"/>
    </row>
    <row r="458" spans="1:1">
      <c r="A458" s="452"/>
    </row>
    <row r="459" spans="1:1">
      <c r="A459" s="452"/>
    </row>
    <row r="460" spans="1:1">
      <c r="A460" s="452"/>
    </row>
    <row r="461" spans="1:1">
      <c r="A461" s="452"/>
    </row>
    <row r="462" spans="1:1">
      <c r="A462" s="452"/>
    </row>
    <row r="463" spans="1:1">
      <c r="A463" s="452"/>
    </row>
    <row r="464" spans="1:1">
      <c r="A464" s="452"/>
    </row>
    <row r="465" spans="1:1">
      <c r="A465" s="452"/>
    </row>
    <row r="466" spans="1:1">
      <c r="A466" s="452"/>
    </row>
    <row r="467" spans="1:1">
      <c r="A467" s="452"/>
    </row>
    <row r="468" spans="1:1">
      <c r="A468" s="452"/>
    </row>
    <row r="469" spans="1:1">
      <c r="A469" s="452"/>
    </row>
    <row r="470" spans="1:1">
      <c r="A470" s="452"/>
    </row>
    <row r="471" spans="1:1">
      <c r="A471" s="452"/>
    </row>
    <row r="472" spans="1:1">
      <c r="A472" s="452"/>
    </row>
    <row r="473" spans="1:1">
      <c r="A473" s="452"/>
    </row>
    <row r="474" spans="1:1">
      <c r="A474" s="452"/>
    </row>
    <row r="475" spans="1:1">
      <c r="A475" s="452"/>
    </row>
    <row r="476" spans="1:1">
      <c r="A476" s="452"/>
    </row>
    <row r="477" spans="1:1">
      <c r="A477" s="452"/>
    </row>
    <row r="478" spans="1:1">
      <c r="A478" s="452"/>
    </row>
    <row r="479" spans="1:1">
      <c r="A479" s="452"/>
    </row>
    <row r="480" spans="1:1">
      <c r="A480" s="452"/>
    </row>
    <row r="481" spans="1:1">
      <c r="A481" s="452"/>
    </row>
    <row r="482" spans="1:1">
      <c r="A482" s="452"/>
    </row>
    <row r="483" spans="1:1">
      <c r="A483" s="452"/>
    </row>
    <row r="484" spans="1:1">
      <c r="A484" s="452"/>
    </row>
    <row r="485" spans="1:1">
      <c r="A485" s="452"/>
    </row>
    <row r="486" spans="1:1">
      <c r="A486" s="452"/>
    </row>
    <row r="487" spans="1:1">
      <c r="A487" s="452"/>
    </row>
    <row r="488" spans="1:1">
      <c r="A488" s="452"/>
    </row>
    <row r="489" spans="1:1">
      <c r="A489" s="452"/>
    </row>
    <row r="490" spans="1:1">
      <c r="A490" s="452"/>
    </row>
    <row r="491" spans="1:1">
      <c r="A491" s="452"/>
    </row>
    <row r="492" spans="1:1">
      <c r="A492" s="452"/>
    </row>
    <row r="493" spans="1:1">
      <c r="A493" s="452"/>
    </row>
    <row r="494" spans="1:1">
      <c r="A494" s="452"/>
    </row>
    <row r="495" spans="1:1">
      <c r="A495" s="452"/>
    </row>
    <row r="496" spans="1:1">
      <c r="A496" s="452"/>
    </row>
    <row r="497" spans="1:1">
      <c r="A497" s="452"/>
    </row>
    <row r="498" spans="1:1">
      <c r="A498" s="452"/>
    </row>
    <row r="499" spans="1:1">
      <c r="A499" s="452"/>
    </row>
    <row r="500" spans="1:1">
      <c r="A500" s="452"/>
    </row>
    <row r="501" spans="1:1">
      <c r="A501" s="452"/>
    </row>
    <row r="502" spans="1:1">
      <c r="A502" s="452"/>
    </row>
    <row r="503" spans="1:1">
      <c r="A503" s="452"/>
    </row>
    <row r="504" spans="1:1">
      <c r="A504" s="452"/>
    </row>
    <row r="505" spans="1:1">
      <c r="A505" s="452"/>
    </row>
    <row r="506" spans="1:1">
      <c r="A506" s="452"/>
    </row>
    <row r="507" spans="1:1">
      <c r="A507" s="452"/>
    </row>
    <row r="508" spans="1:1">
      <c r="A508" s="452"/>
    </row>
    <row r="509" spans="1:1">
      <c r="A509" s="452"/>
    </row>
    <row r="510" spans="1:1">
      <c r="A510" s="452"/>
    </row>
    <row r="511" spans="1:1">
      <c r="A511" s="452"/>
    </row>
    <row r="512" spans="1:1">
      <c r="A512" s="452"/>
    </row>
    <row r="513" spans="1:1">
      <c r="A513" s="452"/>
    </row>
    <row r="514" spans="1:1">
      <c r="A514" s="452"/>
    </row>
    <row r="515" spans="1:1">
      <c r="A515" s="452"/>
    </row>
    <row r="516" spans="1:1">
      <c r="A516" s="452"/>
    </row>
    <row r="517" spans="1:1">
      <c r="A517" s="452"/>
    </row>
    <row r="518" spans="1:1">
      <c r="A518" s="452"/>
    </row>
    <row r="519" spans="1:1">
      <c r="A519" s="452"/>
    </row>
    <row r="520" spans="1:1">
      <c r="A520" s="452"/>
    </row>
    <row r="521" spans="1:1">
      <c r="A521" s="452"/>
    </row>
    <row r="522" spans="1:1">
      <c r="A522" s="452"/>
    </row>
    <row r="523" spans="1:1">
      <c r="A523" s="452"/>
    </row>
    <row r="524" spans="1:1">
      <c r="A524" s="452"/>
    </row>
    <row r="525" spans="1:1">
      <c r="A525" s="452"/>
    </row>
    <row r="526" spans="1:1">
      <c r="A526" s="452"/>
    </row>
    <row r="527" spans="1:1">
      <c r="A527" s="452"/>
    </row>
    <row r="528" spans="1:1">
      <c r="A528" s="452"/>
    </row>
    <row r="529" spans="1:1">
      <c r="A529" s="452"/>
    </row>
    <row r="530" spans="1:1">
      <c r="A530" s="452"/>
    </row>
    <row r="531" spans="1:1">
      <c r="A531" s="452"/>
    </row>
    <row r="532" spans="1:1">
      <c r="A532" s="452"/>
    </row>
    <row r="533" spans="1:1">
      <c r="A533" s="452"/>
    </row>
    <row r="534" spans="1:1">
      <c r="A534" s="452"/>
    </row>
    <row r="535" spans="1:1">
      <c r="A535" s="452"/>
    </row>
    <row r="536" spans="1:1">
      <c r="A536" s="452"/>
    </row>
    <row r="537" spans="1:1">
      <c r="A537" s="452"/>
    </row>
    <row r="538" spans="1:1">
      <c r="A538" s="452"/>
    </row>
    <row r="539" spans="1:1">
      <c r="A539" s="452"/>
    </row>
    <row r="540" spans="1:1">
      <c r="A540" s="452"/>
    </row>
    <row r="541" spans="1:1">
      <c r="A541" s="452"/>
    </row>
    <row r="542" spans="1:1">
      <c r="A542" s="452"/>
    </row>
    <row r="543" spans="1:1">
      <c r="A543" s="452"/>
    </row>
    <row r="544" spans="1:1">
      <c r="A544" s="452"/>
    </row>
    <row r="545" spans="1:1">
      <c r="A545" s="452"/>
    </row>
    <row r="546" spans="1:1">
      <c r="A546" s="452"/>
    </row>
    <row r="547" spans="1:1">
      <c r="A547" s="452"/>
    </row>
    <row r="548" spans="1:1">
      <c r="A548" s="452"/>
    </row>
    <row r="549" spans="1:1">
      <c r="A549" s="452"/>
    </row>
    <row r="550" spans="1:1">
      <c r="A550" s="452"/>
    </row>
    <row r="551" spans="1:1">
      <c r="A551" s="452"/>
    </row>
    <row r="552" spans="1:1">
      <c r="A552" s="452"/>
    </row>
    <row r="553" spans="1:1">
      <c r="A553" s="452"/>
    </row>
    <row r="554" spans="1:1">
      <c r="A554" s="452"/>
    </row>
    <row r="555" spans="1:1">
      <c r="A555" s="452"/>
    </row>
    <row r="556" spans="1:1">
      <c r="A556" s="452"/>
    </row>
    <row r="557" spans="1:1">
      <c r="A557" s="452"/>
    </row>
    <row r="558" spans="1:1">
      <c r="A558" s="452"/>
    </row>
    <row r="559" spans="1:1">
      <c r="A559" s="452"/>
    </row>
    <row r="560" spans="1:1">
      <c r="A560" s="452"/>
    </row>
    <row r="561" spans="1:1">
      <c r="A561" s="452"/>
    </row>
    <row r="562" spans="1:1">
      <c r="A562" s="452"/>
    </row>
    <row r="563" spans="1:1">
      <c r="A563" s="452"/>
    </row>
    <row r="564" spans="1:1">
      <c r="A564" s="452"/>
    </row>
    <row r="565" spans="1:1">
      <c r="A565" s="452"/>
    </row>
    <row r="566" spans="1:1">
      <c r="A566" s="452"/>
    </row>
    <row r="567" spans="1:1">
      <c r="A567" s="452"/>
    </row>
    <row r="568" spans="1:1">
      <c r="A568" s="452"/>
    </row>
    <row r="569" spans="1:1">
      <c r="A569" s="452"/>
    </row>
    <row r="570" spans="1:1">
      <c r="A570" s="452"/>
    </row>
    <row r="571" spans="1:1">
      <c r="A571" s="452"/>
    </row>
    <row r="572" spans="1:1">
      <c r="A572" s="452"/>
    </row>
    <row r="573" spans="1:1">
      <c r="A573" s="452"/>
    </row>
    <row r="574" spans="1:1">
      <c r="A574" s="452"/>
    </row>
    <row r="575" spans="1:1">
      <c r="A575" s="452"/>
    </row>
    <row r="576" spans="1:1">
      <c r="A576" s="452"/>
    </row>
    <row r="577" spans="1:1">
      <c r="A577" s="452"/>
    </row>
    <row r="578" spans="1:1">
      <c r="A578" s="452"/>
    </row>
    <row r="579" spans="1:1">
      <c r="A579" s="452"/>
    </row>
    <row r="580" spans="1:1">
      <c r="A580" s="452"/>
    </row>
    <row r="581" spans="1:1">
      <c r="A581" s="452"/>
    </row>
    <row r="582" spans="1:1">
      <c r="A582" s="452"/>
    </row>
    <row r="583" spans="1:1">
      <c r="A583" s="452"/>
    </row>
    <row r="584" spans="1:1">
      <c r="A584" s="452"/>
    </row>
    <row r="585" spans="1:1">
      <c r="A585" s="452"/>
    </row>
    <row r="586" spans="1:1">
      <c r="A586" s="452"/>
    </row>
    <row r="587" spans="1:1">
      <c r="A587" s="452"/>
    </row>
    <row r="588" spans="1:1">
      <c r="A588" s="452"/>
    </row>
    <row r="589" spans="1:1">
      <c r="A589" s="452"/>
    </row>
    <row r="590" spans="1:1">
      <c r="A590" s="452"/>
    </row>
    <row r="591" spans="1:1">
      <c r="A591" s="452"/>
    </row>
    <row r="592" spans="1:1">
      <c r="A592" s="452"/>
    </row>
    <row r="593" spans="1:1">
      <c r="A593" s="452"/>
    </row>
    <row r="594" spans="1:1">
      <c r="A594" s="452"/>
    </row>
    <row r="595" spans="1:1">
      <c r="A595" s="452"/>
    </row>
    <row r="596" spans="1:1">
      <c r="A596" s="452"/>
    </row>
    <row r="597" spans="1:1">
      <c r="A597" s="452"/>
    </row>
    <row r="598" spans="1:1">
      <c r="A598" s="452"/>
    </row>
    <row r="599" spans="1:1">
      <c r="A599" s="452"/>
    </row>
    <row r="600" spans="1:1">
      <c r="A600" s="452"/>
    </row>
    <row r="601" spans="1:1">
      <c r="A601" s="452"/>
    </row>
    <row r="602" spans="1:1">
      <c r="A602" s="452"/>
    </row>
    <row r="603" spans="1:1">
      <c r="A603" s="452"/>
    </row>
    <row r="604" spans="1:1">
      <c r="A604" s="452"/>
    </row>
    <row r="605" spans="1:1">
      <c r="A605" s="452"/>
    </row>
    <row r="606" spans="1:1">
      <c r="A606" s="452"/>
    </row>
    <row r="607" spans="1:1">
      <c r="A607" s="452"/>
    </row>
    <row r="608" spans="1:1">
      <c r="A608" s="452"/>
    </row>
    <row r="609" spans="1:1">
      <c r="A609" s="452"/>
    </row>
    <row r="610" spans="1:1">
      <c r="A610" s="452"/>
    </row>
    <row r="611" spans="1:1">
      <c r="A611" s="452"/>
    </row>
    <row r="612" spans="1:1">
      <c r="A612" s="452"/>
    </row>
    <row r="613" spans="1:1">
      <c r="A613" s="452"/>
    </row>
    <row r="614" spans="1:1">
      <c r="A614" s="452"/>
    </row>
    <row r="615" spans="1:1">
      <c r="A615" s="452"/>
    </row>
    <row r="616" spans="1:1">
      <c r="A616" s="452"/>
    </row>
    <row r="617" spans="1:1">
      <c r="A617" s="452"/>
    </row>
    <row r="618" spans="1:1">
      <c r="A618" s="452"/>
    </row>
    <row r="619" spans="1:1">
      <c r="A619" s="452"/>
    </row>
    <row r="620" spans="1:1">
      <c r="A620" s="452"/>
    </row>
    <row r="621" spans="1:1">
      <c r="A621" s="452"/>
    </row>
    <row r="622" spans="1:1">
      <c r="A622" s="452"/>
    </row>
    <row r="623" spans="1:1">
      <c r="A623" s="452"/>
    </row>
    <row r="624" spans="1:1">
      <c r="A624" s="452"/>
    </row>
    <row r="625" spans="1:1">
      <c r="A625" s="452"/>
    </row>
    <row r="626" spans="1:1">
      <c r="A626" s="452"/>
    </row>
    <row r="627" spans="1:1">
      <c r="A627" s="452"/>
    </row>
    <row r="628" spans="1:1">
      <c r="A628" s="452"/>
    </row>
    <row r="629" spans="1:1">
      <c r="A629" s="452"/>
    </row>
    <row r="630" spans="1:1">
      <c r="A630" s="452"/>
    </row>
    <row r="631" spans="1:1">
      <c r="A631" s="452"/>
    </row>
    <row r="632" spans="1:1">
      <c r="A632" s="452"/>
    </row>
    <row r="633" spans="1:1">
      <c r="A633" s="452"/>
    </row>
    <row r="634" spans="1:1">
      <c r="A634" s="452"/>
    </row>
    <row r="635" spans="1:1">
      <c r="A635" s="452"/>
    </row>
    <row r="636" spans="1:1">
      <c r="A636" s="452"/>
    </row>
    <row r="637" spans="1:1">
      <c r="A637" s="452"/>
    </row>
    <row r="638" spans="1:1">
      <c r="A638" s="452"/>
    </row>
    <row r="639" spans="1:1">
      <c r="A639" s="452"/>
    </row>
    <row r="640" spans="1:1">
      <c r="A640" s="452"/>
    </row>
    <row r="641" spans="1:1">
      <c r="A641" s="452"/>
    </row>
    <row r="642" spans="1:1">
      <c r="A642" s="452"/>
    </row>
    <row r="643" spans="1:1">
      <c r="A643" s="452"/>
    </row>
    <row r="644" spans="1:1">
      <c r="A644" s="452"/>
    </row>
    <row r="645" spans="1:1">
      <c r="A645" s="452"/>
    </row>
    <row r="646" spans="1:1">
      <c r="A646" s="452"/>
    </row>
    <row r="647" spans="1:1">
      <c r="A647" s="452"/>
    </row>
    <row r="648" spans="1:1">
      <c r="A648" s="452"/>
    </row>
    <row r="649" spans="1:1">
      <c r="A649" s="452"/>
    </row>
    <row r="650" spans="1:1">
      <c r="A650" s="452"/>
    </row>
    <row r="651" spans="1:1">
      <c r="A651" s="452"/>
    </row>
    <row r="652" spans="1:1">
      <c r="A652" s="452"/>
    </row>
    <row r="653" spans="1:1">
      <c r="A653" s="452"/>
    </row>
    <row r="654" spans="1:1">
      <c r="A654" s="452"/>
    </row>
    <row r="655" spans="1:1">
      <c r="A655" s="452"/>
    </row>
    <row r="656" spans="1:1">
      <c r="A656" s="452"/>
    </row>
    <row r="657" spans="1:1">
      <c r="A657" s="452"/>
    </row>
    <row r="658" spans="1:1">
      <c r="A658" s="452"/>
    </row>
    <row r="659" spans="1:1">
      <c r="A659" s="452"/>
    </row>
    <row r="660" spans="1:1">
      <c r="A660" s="452"/>
    </row>
    <row r="661" spans="1:1">
      <c r="A661" s="452"/>
    </row>
    <row r="662" spans="1:1">
      <c r="A662" s="452"/>
    </row>
    <row r="663" spans="1:1">
      <c r="A663" s="452"/>
    </row>
    <row r="664" spans="1:1">
      <c r="A664" s="452"/>
    </row>
    <row r="665" spans="1:1">
      <c r="A665" s="452"/>
    </row>
    <row r="666" spans="1:1">
      <c r="A666" s="452"/>
    </row>
    <row r="667" spans="1:1">
      <c r="A667" s="452"/>
    </row>
    <row r="668" spans="1:1">
      <c r="A668" s="452"/>
    </row>
    <row r="669" spans="1:1">
      <c r="A669" s="452"/>
    </row>
    <row r="670" spans="1:1">
      <c r="A670" s="452"/>
    </row>
    <row r="671" spans="1:1">
      <c r="A671" s="452"/>
    </row>
    <row r="672" spans="1:1">
      <c r="A672" s="452"/>
    </row>
    <row r="673" spans="1:1">
      <c r="A673" s="452"/>
    </row>
    <row r="674" spans="1:1">
      <c r="A674" s="452"/>
    </row>
    <row r="675" spans="1:1">
      <c r="A675" s="452"/>
    </row>
    <row r="676" spans="1:1">
      <c r="A676" s="452"/>
    </row>
    <row r="677" spans="1:1">
      <c r="A677" s="452"/>
    </row>
    <row r="678" spans="1:1">
      <c r="A678" s="452"/>
    </row>
    <row r="679" spans="1:1">
      <c r="A679" s="452"/>
    </row>
    <row r="680" spans="1:1">
      <c r="A680" s="452"/>
    </row>
    <row r="681" spans="1:1">
      <c r="A681" s="452"/>
    </row>
    <row r="682" spans="1:1">
      <c r="A682" s="452"/>
    </row>
    <row r="683" spans="1:1">
      <c r="A683" s="452"/>
    </row>
    <row r="684" spans="1:1">
      <c r="A684" s="452"/>
    </row>
    <row r="685" spans="1:1">
      <c r="A685" s="452"/>
    </row>
    <row r="686" spans="1:1">
      <c r="A686" s="452"/>
    </row>
    <row r="687" spans="1:1">
      <c r="A687" s="452"/>
    </row>
    <row r="688" spans="1:1">
      <c r="A688" s="452"/>
    </row>
    <row r="689" spans="1:1">
      <c r="A689" s="452"/>
    </row>
    <row r="690" spans="1:1">
      <c r="A690" s="452"/>
    </row>
    <row r="691" spans="1:1">
      <c r="A691" s="452"/>
    </row>
    <row r="692" spans="1:1">
      <c r="A692" s="452"/>
    </row>
    <row r="693" spans="1:1">
      <c r="A693" s="452"/>
    </row>
    <row r="694" spans="1:1">
      <c r="A694" s="452"/>
    </row>
    <row r="695" spans="1:1">
      <c r="A695" s="452"/>
    </row>
    <row r="696" spans="1:1">
      <c r="A696" s="452"/>
    </row>
    <row r="697" spans="1:1">
      <c r="A697" s="452"/>
    </row>
    <row r="698" spans="1:1">
      <c r="A698" s="452"/>
    </row>
    <row r="699" spans="1:1">
      <c r="A699" s="452"/>
    </row>
    <row r="700" spans="1:1">
      <c r="A700" s="452"/>
    </row>
    <row r="701" spans="1:1">
      <c r="A701" s="452"/>
    </row>
    <row r="702" spans="1:1">
      <c r="A702" s="452"/>
    </row>
    <row r="703" spans="1:1">
      <c r="A703" s="452"/>
    </row>
    <row r="704" spans="1:1">
      <c r="A704" s="452"/>
    </row>
    <row r="705" spans="1:1">
      <c r="A705" s="452"/>
    </row>
    <row r="706" spans="1:1">
      <c r="A706" s="452"/>
    </row>
    <row r="707" spans="1:1">
      <c r="A707" s="452"/>
    </row>
    <row r="708" spans="1:1">
      <c r="A708" s="452"/>
    </row>
    <row r="709" spans="1:1">
      <c r="A709" s="452"/>
    </row>
    <row r="710" spans="1:1">
      <c r="A710" s="452"/>
    </row>
    <row r="711" spans="1:1">
      <c r="A711" s="452"/>
    </row>
    <row r="712" spans="1:1">
      <c r="A712" s="452"/>
    </row>
    <row r="713" spans="1:1">
      <c r="A713" s="452"/>
    </row>
    <row r="714" spans="1:1">
      <c r="A714" s="452"/>
    </row>
    <row r="715" spans="1:1">
      <c r="A715" s="452"/>
    </row>
    <row r="716" spans="1:1">
      <c r="A716" s="452"/>
    </row>
    <row r="717" spans="1:1">
      <c r="A717" s="452"/>
    </row>
    <row r="718" spans="1:1">
      <c r="A718" s="452"/>
    </row>
    <row r="719" spans="1:1">
      <c r="A719" s="452"/>
    </row>
    <row r="720" spans="1:1">
      <c r="A720" s="452"/>
    </row>
    <row r="721" spans="1:1">
      <c r="A721" s="452"/>
    </row>
    <row r="722" spans="1:1">
      <c r="A722" s="452"/>
    </row>
    <row r="723" spans="1:1">
      <c r="A723" s="452"/>
    </row>
    <row r="724" spans="1:1">
      <c r="A724" s="452"/>
    </row>
    <row r="725" spans="1:1">
      <c r="A725" s="452"/>
    </row>
    <row r="726" spans="1:1">
      <c r="A726" s="45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OUTPUT</vt:lpstr>
      <vt:lpstr>DAILY EXTRAPOLATION</vt:lpstr>
      <vt:lpstr>3M SOFR CALCS</vt:lpstr>
      <vt:lpstr>CALENDAR INFO</vt:lpstr>
      <vt:lpstr>INPUT</vt:lpstr>
      <vt:lpstr>PYTHON</vt:lpstr>
      <vt:lpstr>FV 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Hyland</dc:creator>
  <cp:lastModifiedBy>Michael Hyland</cp:lastModifiedBy>
  <cp:lastPrinted>2024-06-06T13:05:47Z</cp:lastPrinted>
  <dcterms:created xsi:type="dcterms:W3CDTF">2019-12-28T15:29:50Z</dcterms:created>
  <dcterms:modified xsi:type="dcterms:W3CDTF">2026-08-21T18:59:19Z</dcterms:modified>
</cp:coreProperties>
</file>