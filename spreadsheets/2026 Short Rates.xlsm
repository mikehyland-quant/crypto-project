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3DBAFAC4-5275-4119-9AAB-E13EF9588753}" xr6:coauthVersionLast="47" xr6:coauthVersionMax="47" xr10:uidLastSave="{00000000-0000-0000-0000-000000000000}"/>
  <bookViews>
    <workbookView xWindow="8430" yWindow="7050" windowWidth="20265" windowHeight="829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9" i="6" l="1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4" i="6" l="1"/>
  <c r="H3" i="5" s="1"/>
  <c r="H35" i="6"/>
  <c r="H4" i="5" s="1"/>
  <c r="H36" i="6"/>
  <c r="H5" i="5" s="1"/>
  <c r="H37" i="6"/>
  <c r="H38" i="6"/>
  <c r="H7" i="5" s="1"/>
  <c r="H39" i="6"/>
  <c r="H8" i="5" s="1"/>
  <c r="H18" i="6"/>
  <c r="H19" i="6"/>
  <c r="E7" i="5" s="1"/>
  <c r="F7" i="5" s="1"/>
  <c r="L2509" i="1" s="1"/>
  <c r="H20" i="6"/>
  <c r="E8" i="5" s="1"/>
  <c r="F8" i="5" s="1"/>
  <c r="L2540" i="1" s="1"/>
  <c r="H2" i="6"/>
  <c r="H3" i="6"/>
  <c r="B7" i="5" s="1"/>
  <c r="H4" i="6"/>
  <c r="B8" i="5" s="1"/>
  <c r="H5" i="6"/>
  <c r="I5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18" i="6"/>
  <c r="E6" i="5"/>
  <c r="F6" i="5" s="1"/>
  <c r="L2479" i="1" s="1"/>
  <c r="L2236" i="1"/>
  <c r="B9" i="5"/>
  <c r="E9" i="5"/>
  <c r="F9" i="5" s="1"/>
  <c r="L2570" i="1" s="1"/>
  <c r="L2448" i="1"/>
  <c r="L2326" i="1"/>
  <c r="I39" i="6"/>
  <c r="I35" i="6"/>
  <c r="I3" i="6"/>
  <c r="I19" i="6"/>
  <c r="I2" i="6"/>
  <c r="B6" i="5"/>
  <c r="L2356" i="1"/>
  <c r="I36" i="6"/>
  <c r="I4" i="6"/>
  <c r="I20" i="6"/>
  <c r="L2417" i="1"/>
  <c r="L2295" i="1"/>
  <c r="I38" i="6"/>
  <c r="I34" i="6"/>
  <c r="L2387" i="1"/>
  <c r="L2267" i="1"/>
  <c r="I37" i="6"/>
  <c r="H6" i="5"/>
  <c r="I6" i="5" s="1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K2448" i="1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N2469" i="1"/>
  <c r="C95" i="10" s="1"/>
  <c r="N2468" i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S6" i="5" s="1"/>
  <c r="A2480" i="1" l="1"/>
  <c r="A2476" i="1"/>
  <c r="A2472" i="1"/>
  <c r="A2483" i="1"/>
  <c r="A2481" i="1"/>
  <c r="A2479" i="1"/>
  <c r="A2477" i="1"/>
  <c r="A2475" i="1"/>
  <c r="A2473" i="1"/>
  <c r="A2471" i="1"/>
  <c r="A2482" i="1"/>
  <c r="A2478" i="1"/>
  <c r="A2474" i="1"/>
  <c r="A2470" i="1"/>
  <c r="V4" i="5" l="1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<sst xmlns="http://schemas.openxmlformats.org/spreadsheetml/2006/main" count="2462" uniqueCount="260">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</sst>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2">
                  <c:v>3.6292857142857238</c:v>
                </c:pt>
                <c:pt idx="3">
                  <c:v>3.6292857142857238</c:v>
                </c:pt>
                <c:pt idx="4">
                  <c:v>3.6292857142857238</c:v>
                </c:pt>
                <c:pt idx="5">
                  <c:v>3.6292857142857238</c:v>
                </c:pt>
                <c:pt idx="6">
                  <c:v>3.6292857142857238</c:v>
                </c:pt>
                <c:pt idx="7">
                  <c:v>3.6292857142857238</c:v>
                </c:pt>
                <c:pt idx="8">
                  <c:v>3.6292857142857238</c:v>
                </c:pt>
                <c:pt idx="9">
                  <c:v>3.6292857142857238</c:v>
                </c:pt>
                <c:pt idx="10">
                  <c:v>3.6292857142857238</c:v>
                </c:pt>
                <c:pt idx="11">
                  <c:v>3.6292857142857238</c:v>
                </c:pt>
                <c:pt idx="12">
                  <c:v>3.6292857142857238</c:v>
                </c:pt>
                <c:pt idx="13">
                  <c:v>3.6292857142857238</c:v>
                </c:pt>
                <c:pt idx="14">
                  <c:v>3.6292857142857238</c:v>
                </c:pt>
                <c:pt idx="15">
                  <c:v>3.6292857142857238</c:v>
                </c:pt>
                <c:pt idx="16">
                  <c:v>3.7485714285714238</c:v>
                </c:pt>
                <c:pt idx="17">
                  <c:v>3.7485714285714238</c:v>
                </c:pt>
                <c:pt idx="18">
                  <c:v>3.7485714285714238</c:v>
                </c:pt>
                <c:pt idx="19">
                  <c:v>3.7485714285714238</c:v>
                </c:pt>
                <c:pt idx="20">
                  <c:v>3.7485714285714238</c:v>
                </c:pt>
                <c:pt idx="21">
                  <c:v>3.7485714285714238</c:v>
                </c:pt>
                <c:pt idx="22">
                  <c:v>3.7485714285714238</c:v>
                </c:pt>
                <c:pt idx="23">
                  <c:v>3.7485714285714238</c:v>
                </c:pt>
                <c:pt idx="24">
                  <c:v>3.7485714285714238</c:v>
                </c:pt>
                <c:pt idx="25">
                  <c:v>3.7485714285714238</c:v>
                </c:pt>
                <c:pt idx="26">
                  <c:v>3.7485714285714238</c:v>
                </c:pt>
                <c:pt idx="27">
                  <c:v>3.7485714285714238</c:v>
                </c:pt>
                <c:pt idx="28">
                  <c:v>3.7485714285714238</c:v>
                </c:pt>
                <c:pt idx="29">
                  <c:v>3.7485714285714238</c:v>
                </c:pt>
                <c:pt idx="30">
                  <c:v>3.7485714285714238</c:v>
                </c:pt>
                <c:pt idx="31">
                  <c:v>3.7485714285714238</c:v>
                </c:pt>
                <c:pt idx="32">
                  <c:v>3.7485714285714238</c:v>
                </c:pt>
                <c:pt idx="33">
                  <c:v>3.7485714285714238</c:v>
                </c:pt>
                <c:pt idx="34">
                  <c:v>3.7485714285714238</c:v>
                </c:pt>
                <c:pt idx="35">
                  <c:v>3.7485714285714238</c:v>
                </c:pt>
                <c:pt idx="36">
                  <c:v>3.7485714285714238</c:v>
                </c:pt>
                <c:pt idx="37">
                  <c:v>3.7485714285714238</c:v>
                </c:pt>
                <c:pt idx="38">
                  <c:v>3.7485714285714238</c:v>
                </c:pt>
                <c:pt idx="39">
                  <c:v>3.7485714285714238</c:v>
                </c:pt>
                <c:pt idx="40">
                  <c:v>3.7485714285714238</c:v>
                </c:pt>
                <c:pt idx="41">
                  <c:v>3.7485714285714238</c:v>
                </c:pt>
                <c:pt idx="42">
                  <c:v>3.7485714285714238</c:v>
                </c:pt>
                <c:pt idx="43">
                  <c:v>3.7485714285714238</c:v>
                </c:pt>
                <c:pt idx="44">
                  <c:v>3.7485714285714238</c:v>
                </c:pt>
                <c:pt idx="45">
                  <c:v>3.7485714285714238</c:v>
                </c:pt>
                <c:pt idx="46">
                  <c:v>3.7485714285714238</c:v>
                </c:pt>
                <c:pt idx="47">
                  <c:v>3.7485714285714238</c:v>
                </c:pt>
                <c:pt idx="48">
                  <c:v>3.7485714285714238</c:v>
                </c:pt>
                <c:pt idx="49">
                  <c:v>3.7485714285714238</c:v>
                </c:pt>
                <c:pt idx="50">
                  <c:v>3.7485714285714238</c:v>
                </c:pt>
                <c:pt idx="51">
                  <c:v>3.7485714285714238</c:v>
                </c:pt>
                <c:pt idx="52">
                  <c:v>3.7485714285714238</c:v>
                </c:pt>
                <c:pt idx="53">
                  <c:v>3.7485714285714238</c:v>
                </c:pt>
                <c:pt idx="54">
                  <c:v>3.7485714285714238</c:v>
                </c:pt>
                <c:pt idx="55">
                  <c:v>3.7485714285714238</c:v>
                </c:pt>
                <c:pt idx="56">
                  <c:v>3.7485714285714238</c:v>
                </c:pt>
                <c:pt idx="57">
                  <c:v>3.7485714285714238</c:v>
                </c:pt>
                <c:pt idx="58">
                  <c:v>3.8149999999999977</c:v>
                </c:pt>
                <c:pt idx="59">
                  <c:v>3.8149999999999977</c:v>
                </c:pt>
                <c:pt idx="60">
                  <c:v>3.8149999999999977</c:v>
                </c:pt>
                <c:pt idx="61">
                  <c:v>3.8149999999999977</c:v>
                </c:pt>
                <c:pt idx="62">
                  <c:v>3.8149999999999977</c:v>
                </c:pt>
                <c:pt idx="63">
                  <c:v>3.8149999999999977</c:v>
                </c:pt>
                <c:pt idx="64">
                  <c:v>3.8149999999999977</c:v>
                </c:pt>
                <c:pt idx="65">
                  <c:v>3.8149999999999977</c:v>
                </c:pt>
                <c:pt idx="66">
                  <c:v>3.8149999999999977</c:v>
                </c:pt>
                <c:pt idx="67">
                  <c:v>3.8149999999999977</c:v>
                </c:pt>
                <c:pt idx="68">
                  <c:v>3.8149999999999977</c:v>
                </c:pt>
                <c:pt idx="69">
                  <c:v>3.8149999999999977</c:v>
                </c:pt>
                <c:pt idx="70">
                  <c:v>3.8149999999999977</c:v>
                </c:pt>
                <c:pt idx="71">
                  <c:v>3.8149999999999977</c:v>
                </c:pt>
                <c:pt idx="72">
                  <c:v>3.8149999999999977</c:v>
                </c:pt>
                <c:pt idx="73">
                  <c:v>3.8149999999999977</c:v>
                </c:pt>
                <c:pt idx="74">
                  <c:v>3.8149999999999977</c:v>
                </c:pt>
                <c:pt idx="75">
                  <c:v>3.8149999999999977</c:v>
                </c:pt>
                <c:pt idx="76">
                  <c:v>3.8149999999999977</c:v>
                </c:pt>
                <c:pt idx="77">
                  <c:v>3.8149999999999977</c:v>
                </c:pt>
                <c:pt idx="78">
                  <c:v>3.8149999999999977</c:v>
                </c:pt>
                <c:pt idx="79">
                  <c:v>3.8149999999999977</c:v>
                </c:pt>
                <c:pt idx="80">
                  <c:v>3.8149999999999977</c:v>
                </c:pt>
                <c:pt idx="81">
                  <c:v>3.8149999999999977</c:v>
                </c:pt>
                <c:pt idx="82">
                  <c:v>3.8149999999999977</c:v>
                </c:pt>
                <c:pt idx="83">
                  <c:v>3.8149999999999977</c:v>
                </c:pt>
                <c:pt idx="84">
                  <c:v>3.8149999999999977</c:v>
                </c:pt>
                <c:pt idx="85">
                  <c:v>3.8149999999999977</c:v>
                </c:pt>
                <c:pt idx="86">
                  <c:v>3.8149999999999977</c:v>
                </c:pt>
                <c:pt idx="87">
                  <c:v>3.8149999999999977</c:v>
                </c:pt>
                <c:pt idx="88">
                  <c:v>3.8149999999999977</c:v>
                </c:pt>
                <c:pt idx="89">
                  <c:v>3.8149999999999977</c:v>
                </c:pt>
                <c:pt idx="90">
                  <c:v>3.8149999999999977</c:v>
                </c:pt>
                <c:pt idx="91">
                  <c:v>3.8149999999999977</c:v>
                </c:pt>
                <c:pt idx="92">
                  <c:v>3.8149999999999977</c:v>
                </c:pt>
                <c:pt idx="93">
                  <c:v>3.8149999999999977</c:v>
                </c:pt>
                <c:pt idx="94">
                  <c:v>3.8149999999999977</c:v>
                </c:pt>
                <c:pt idx="95">
                  <c:v>3.8149999999999977</c:v>
                </c:pt>
                <c:pt idx="96">
                  <c:v>3.8149999999999977</c:v>
                </c:pt>
                <c:pt idx="97">
                  <c:v>3.8149999999999977</c:v>
                </c:pt>
                <c:pt idx="98">
                  <c:v>3.8149999999999977</c:v>
                </c:pt>
                <c:pt idx="99">
                  <c:v>3.8149999999999977</c:v>
                </c:pt>
                <c:pt idx="100">
                  <c:v>3.9488636363636327</c:v>
                </c:pt>
                <c:pt idx="101">
                  <c:v>3.9488636363636327</c:v>
                </c:pt>
                <c:pt idx="102">
                  <c:v>3.9488636363636327</c:v>
                </c:pt>
                <c:pt idx="103">
                  <c:v>3.9488636363636327</c:v>
                </c:pt>
                <c:pt idx="104">
                  <c:v>3.9488636363636327</c:v>
                </c:pt>
                <c:pt idx="105">
                  <c:v>3.9488636363636327</c:v>
                </c:pt>
                <c:pt idx="106">
                  <c:v>3.9488636363636327</c:v>
                </c:pt>
                <c:pt idx="107">
                  <c:v>3.9488636363636327</c:v>
                </c:pt>
                <c:pt idx="108">
                  <c:v>3.9488636363636327</c:v>
                </c:pt>
                <c:pt idx="109">
                  <c:v>3.9488636363636327</c:v>
                </c:pt>
                <c:pt idx="110">
                  <c:v>3.9488636363636327</c:v>
                </c:pt>
                <c:pt idx="111">
                  <c:v>3.9488636363636327</c:v>
                </c:pt>
                <c:pt idx="112">
                  <c:v>3.9488636363636327</c:v>
                </c:pt>
                <c:pt idx="113">
                  <c:v>3.9488636363636327</c:v>
                </c:pt>
                <c:pt idx="114">
                  <c:v>3.9488636363636327</c:v>
                </c:pt>
                <c:pt idx="115">
                  <c:v>3.9488636363636327</c:v>
                </c:pt>
                <c:pt idx="116">
                  <c:v>3.9488636363636327</c:v>
                </c:pt>
                <c:pt idx="117">
                  <c:v>3.9488636363636327</c:v>
                </c:pt>
                <c:pt idx="118">
                  <c:v>3.9488636363636327</c:v>
                </c:pt>
                <c:pt idx="119">
                  <c:v>3.9488636363636327</c:v>
                </c:pt>
                <c:pt idx="120">
                  <c:v>3.9488636363636327</c:v>
                </c:pt>
                <c:pt idx="121">
                  <c:v>3.9488636363636327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2">
                  <c:v>3.6276785714285498</c:v>
                </c:pt>
                <c:pt idx="3">
                  <c:v>3.6276785714285498</c:v>
                </c:pt>
                <c:pt idx="4">
                  <c:v>3.6276785714285498</c:v>
                </c:pt>
                <c:pt idx="5">
                  <c:v>3.6276785714285498</c:v>
                </c:pt>
                <c:pt idx="6">
                  <c:v>3.6276785714285498</c:v>
                </c:pt>
                <c:pt idx="7">
                  <c:v>3.6276785714285498</c:v>
                </c:pt>
                <c:pt idx="8">
                  <c:v>3.6276785714285498</c:v>
                </c:pt>
                <c:pt idx="9">
                  <c:v>3.6276785714285498</c:v>
                </c:pt>
                <c:pt idx="10">
                  <c:v>3.6276785714285498</c:v>
                </c:pt>
                <c:pt idx="11">
                  <c:v>3.6276785714285498</c:v>
                </c:pt>
                <c:pt idx="12">
                  <c:v>3.6276785714285498</c:v>
                </c:pt>
                <c:pt idx="13">
                  <c:v>3.6276785714285498</c:v>
                </c:pt>
                <c:pt idx="14">
                  <c:v>3.6276785714285498</c:v>
                </c:pt>
                <c:pt idx="15">
                  <c:v>3.6276785714285498</c:v>
                </c:pt>
                <c:pt idx="16">
                  <c:v>3.7680357142857202</c:v>
                </c:pt>
                <c:pt idx="17">
                  <c:v>3.7680357142857202</c:v>
                </c:pt>
                <c:pt idx="18">
                  <c:v>3.7680357142857202</c:v>
                </c:pt>
                <c:pt idx="19">
                  <c:v>3.7680357142857202</c:v>
                </c:pt>
                <c:pt idx="20">
                  <c:v>3.7680357142857202</c:v>
                </c:pt>
                <c:pt idx="21">
                  <c:v>3.7680357142857202</c:v>
                </c:pt>
                <c:pt idx="22">
                  <c:v>3.7680357142857202</c:v>
                </c:pt>
                <c:pt idx="23">
                  <c:v>3.7680357142857202</c:v>
                </c:pt>
                <c:pt idx="24">
                  <c:v>3.7680357142857202</c:v>
                </c:pt>
                <c:pt idx="25">
                  <c:v>3.7680357142857202</c:v>
                </c:pt>
                <c:pt idx="26">
                  <c:v>3.7680357142857202</c:v>
                </c:pt>
                <c:pt idx="27">
                  <c:v>3.7680357142857202</c:v>
                </c:pt>
                <c:pt idx="28">
                  <c:v>3.7680357142857202</c:v>
                </c:pt>
                <c:pt idx="29">
                  <c:v>3.7680357142857202</c:v>
                </c:pt>
                <c:pt idx="30">
                  <c:v>3.7680357142857202</c:v>
                </c:pt>
                <c:pt idx="31">
                  <c:v>3.7680357142857202</c:v>
                </c:pt>
                <c:pt idx="32">
                  <c:v>3.7680357142857202</c:v>
                </c:pt>
                <c:pt idx="33">
                  <c:v>3.7680357142857202</c:v>
                </c:pt>
                <c:pt idx="34">
                  <c:v>3.7680357142857202</c:v>
                </c:pt>
                <c:pt idx="35">
                  <c:v>3.7680357142857202</c:v>
                </c:pt>
                <c:pt idx="36">
                  <c:v>3.7680357142857202</c:v>
                </c:pt>
                <c:pt idx="37">
                  <c:v>3.7680357142857202</c:v>
                </c:pt>
                <c:pt idx="38">
                  <c:v>3.7680357142857202</c:v>
                </c:pt>
                <c:pt idx="39">
                  <c:v>3.7680357142857202</c:v>
                </c:pt>
                <c:pt idx="40">
                  <c:v>3.7680357142857202</c:v>
                </c:pt>
                <c:pt idx="41">
                  <c:v>3.7680357142857202</c:v>
                </c:pt>
                <c:pt idx="42">
                  <c:v>3.7680357142857202</c:v>
                </c:pt>
                <c:pt idx="43">
                  <c:v>3.7680357142857202</c:v>
                </c:pt>
                <c:pt idx="44">
                  <c:v>3.7680357142857202</c:v>
                </c:pt>
                <c:pt idx="45">
                  <c:v>3.7680357142857202</c:v>
                </c:pt>
                <c:pt idx="46">
                  <c:v>3.7680357142857202</c:v>
                </c:pt>
                <c:pt idx="47">
                  <c:v>3.7680357142857202</c:v>
                </c:pt>
                <c:pt idx="48">
                  <c:v>3.7680357142857202</c:v>
                </c:pt>
                <c:pt idx="49">
                  <c:v>3.7680357142857202</c:v>
                </c:pt>
                <c:pt idx="50">
                  <c:v>3.7680357142857202</c:v>
                </c:pt>
                <c:pt idx="51">
                  <c:v>3.7680357142857202</c:v>
                </c:pt>
                <c:pt idx="52">
                  <c:v>3.7680357142857202</c:v>
                </c:pt>
                <c:pt idx="53">
                  <c:v>3.7680357142857202</c:v>
                </c:pt>
                <c:pt idx="54">
                  <c:v>3.7680357142857202</c:v>
                </c:pt>
                <c:pt idx="55">
                  <c:v>3.7680357142857202</c:v>
                </c:pt>
                <c:pt idx="56">
                  <c:v>3.7680357142857202</c:v>
                </c:pt>
                <c:pt idx="57">
                  <c:v>3.7680357142857202</c:v>
                </c:pt>
                <c:pt idx="58">
                  <c:v>3.8400000000000034</c:v>
                </c:pt>
                <c:pt idx="59">
                  <c:v>3.8400000000000034</c:v>
                </c:pt>
                <c:pt idx="60">
                  <c:v>3.8400000000000034</c:v>
                </c:pt>
                <c:pt idx="61">
                  <c:v>3.8400000000000034</c:v>
                </c:pt>
                <c:pt idx="62">
                  <c:v>3.8400000000000034</c:v>
                </c:pt>
                <c:pt idx="63">
                  <c:v>3.8400000000000034</c:v>
                </c:pt>
                <c:pt idx="64">
                  <c:v>3.8400000000000034</c:v>
                </c:pt>
                <c:pt idx="65">
                  <c:v>3.8400000000000034</c:v>
                </c:pt>
                <c:pt idx="66">
                  <c:v>3.8400000000000034</c:v>
                </c:pt>
                <c:pt idx="67">
                  <c:v>3.8400000000000034</c:v>
                </c:pt>
                <c:pt idx="68">
                  <c:v>3.8400000000000034</c:v>
                </c:pt>
                <c:pt idx="69">
                  <c:v>3.8400000000000034</c:v>
                </c:pt>
                <c:pt idx="70">
                  <c:v>3.8400000000000034</c:v>
                </c:pt>
                <c:pt idx="71">
                  <c:v>3.8400000000000034</c:v>
                </c:pt>
                <c:pt idx="72">
                  <c:v>3.8400000000000034</c:v>
                </c:pt>
                <c:pt idx="73">
                  <c:v>3.8400000000000034</c:v>
                </c:pt>
                <c:pt idx="74">
                  <c:v>3.8400000000000034</c:v>
                </c:pt>
                <c:pt idx="75">
                  <c:v>3.8400000000000034</c:v>
                </c:pt>
                <c:pt idx="76">
                  <c:v>3.8400000000000034</c:v>
                </c:pt>
                <c:pt idx="77">
                  <c:v>3.8400000000000034</c:v>
                </c:pt>
                <c:pt idx="78">
                  <c:v>3.8400000000000034</c:v>
                </c:pt>
                <c:pt idx="79">
                  <c:v>3.8400000000000034</c:v>
                </c:pt>
                <c:pt idx="80">
                  <c:v>3.8400000000000034</c:v>
                </c:pt>
                <c:pt idx="81">
                  <c:v>3.8400000000000034</c:v>
                </c:pt>
                <c:pt idx="82">
                  <c:v>3.8400000000000034</c:v>
                </c:pt>
                <c:pt idx="83">
                  <c:v>3.8400000000000034</c:v>
                </c:pt>
                <c:pt idx="84">
                  <c:v>3.8400000000000034</c:v>
                </c:pt>
                <c:pt idx="85">
                  <c:v>3.8400000000000034</c:v>
                </c:pt>
                <c:pt idx="86">
                  <c:v>3.8400000000000034</c:v>
                </c:pt>
                <c:pt idx="87">
                  <c:v>3.8400000000000034</c:v>
                </c:pt>
                <c:pt idx="88">
                  <c:v>3.8400000000000034</c:v>
                </c:pt>
                <c:pt idx="89">
                  <c:v>3.8400000000000034</c:v>
                </c:pt>
                <c:pt idx="90">
                  <c:v>3.8400000000000034</c:v>
                </c:pt>
                <c:pt idx="91">
                  <c:v>3.8400000000000034</c:v>
                </c:pt>
                <c:pt idx="92">
                  <c:v>3.8400000000000034</c:v>
                </c:pt>
                <c:pt idx="93">
                  <c:v>3.8400000000000034</c:v>
                </c:pt>
                <c:pt idx="94">
                  <c:v>3.8400000000000034</c:v>
                </c:pt>
                <c:pt idx="95">
                  <c:v>3.8400000000000034</c:v>
                </c:pt>
                <c:pt idx="96">
                  <c:v>3.8400000000000034</c:v>
                </c:pt>
                <c:pt idx="97">
                  <c:v>3.8400000000000034</c:v>
                </c:pt>
                <c:pt idx="98">
                  <c:v>3.8400000000000034</c:v>
                </c:pt>
                <c:pt idx="99">
                  <c:v>3.8400000000000034</c:v>
                </c:pt>
                <c:pt idx="100">
                  <c:v>3.9950000000000028</c:v>
                </c:pt>
                <c:pt idx="101">
                  <c:v>3.9950000000000028</c:v>
                </c:pt>
                <c:pt idx="102">
                  <c:v>3.9950000000000028</c:v>
                </c:pt>
                <c:pt idx="103">
                  <c:v>3.9950000000000028</c:v>
                </c:pt>
                <c:pt idx="104">
                  <c:v>3.9950000000000028</c:v>
                </c:pt>
                <c:pt idx="105">
                  <c:v>3.9950000000000028</c:v>
                </c:pt>
                <c:pt idx="106">
                  <c:v>3.9950000000000028</c:v>
                </c:pt>
                <c:pt idx="107">
                  <c:v>3.9950000000000028</c:v>
                </c:pt>
                <c:pt idx="108">
                  <c:v>3.9950000000000028</c:v>
                </c:pt>
                <c:pt idx="109">
                  <c:v>3.9950000000000028</c:v>
                </c:pt>
                <c:pt idx="110">
                  <c:v>3.9950000000000028</c:v>
                </c:pt>
                <c:pt idx="111">
                  <c:v>3.9950000000000028</c:v>
                </c:pt>
                <c:pt idx="112">
                  <c:v>3.9950000000000028</c:v>
                </c:pt>
                <c:pt idx="113">
                  <c:v>3.9950000000000028</c:v>
                </c:pt>
                <c:pt idx="114">
                  <c:v>3.9950000000000028</c:v>
                </c:pt>
                <c:pt idx="115">
                  <c:v>3.9950000000000028</c:v>
                </c:pt>
                <c:pt idx="116">
                  <c:v>3.9950000000000028</c:v>
                </c:pt>
                <c:pt idx="117">
                  <c:v>3.9950000000000028</c:v>
                </c:pt>
                <c:pt idx="118">
                  <c:v>3.9950000000000028</c:v>
                </c:pt>
                <c:pt idx="119">
                  <c:v>3.9950000000000028</c:v>
                </c:pt>
                <c:pt idx="120">
                  <c:v>3.9950000000000028</c:v>
                </c:pt>
                <c:pt idx="121">
                  <c:v>3.9950000000000028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3.6462075845089398E-2</c:v>
                </c:pt>
                <c:pt idx="94">
                  <c:v>3.7608339165428883E-2</c:v>
                </c:pt>
                <c:pt idx="95">
                  <c:v>3.7220624328671882E-2</c:v>
                </c:pt>
                <c:pt idx="96">
                  <c:v>3.6840822039603802E-2</c:v>
                </c:pt>
                <c:pt idx="97">
                  <c:v>3.646869252405225E-2</c:v>
                </c:pt>
                <c:pt idx="98">
                  <c:v>3.6470411615049957E-2</c:v>
                </c:pt>
                <c:pt idx="99">
                  <c:v>3.6472133221387516E-2</c:v>
                </c:pt>
                <c:pt idx="100">
                  <c:v>3.6473857272730843E-2</c:v>
                </c:pt>
                <c:pt idx="101">
                  <c:v>3.7187266797283333E-2</c:v>
                </c:pt>
                <c:pt idx="102">
                  <c:v>3.6829696924232533E-2</c:v>
                </c:pt>
                <c:pt idx="103">
                  <c:v>3.6478937905906506E-2</c:v>
                </c:pt>
                <c:pt idx="104">
                  <c:v>3.6480672071666782E-2</c:v>
                </c:pt>
                <c:pt idx="105">
                  <c:v>3.64824083508156E-2</c:v>
                </c:pt>
                <c:pt idx="106">
                  <c:v>3.6484146688094597E-2</c:v>
                </c:pt>
                <c:pt idx="107">
                  <c:v>3.6498904772112581E-2</c:v>
                </c:pt>
                <c:pt idx="108">
                  <c:v>3.7206099226763906E-2</c:v>
                </c:pt>
                <c:pt idx="109">
                  <c:v>3.6870909143639906E-2</c:v>
                </c:pt>
                <c:pt idx="110">
                  <c:v>3.6541704597714553E-2</c:v>
                </c:pt>
                <c:pt idx="111">
                  <c:v>3.6555572056367273E-2</c:v>
                </c:pt>
                <c:pt idx="112">
                  <c:v>3.6569231215318451E-2</c:v>
                </c:pt>
                <c:pt idx="113">
                  <c:v>3.6582687512103133E-2</c:v>
                </c:pt>
                <c:pt idx="114">
                  <c:v>3.6595946196755845E-2</c:v>
                </c:pt>
                <c:pt idx="115">
                  <c:v>3.7260716355819096E-2</c:v>
                </c:pt>
                <c:pt idx="116">
                  <c:v>3.6944947573142657E-2</c:v>
                </c:pt>
                <c:pt idx="117">
                  <c:v>3.663448582883054E-2</c:v>
                </c:pt>
                <c:pt idx="118">
                  <c:v>3.6647003915259324E-2</c:v>
                </c:pt>
                <c:pt idx="119">
                  <c:v>3.665934808021417E-2</c:v>
                </c:pt>
                <c:pt idx="120">
                  <c:v>3.6671522603877439E-2</c:v>
                </c:pt>
                <c:pt idx="121">
                  <c:v>3.6683531627237906E-2</c:v>
                </c:pt>
                <c:pt idx="122">
                  <c:v>3.7310744083598323E-2</c:v>
                </c:pt>
                <c:pt idx="123">
                  <c:v>3.7012258130929537E-2</c:v>
                </c:pt>
                <c:pt idx="124">
                  <c:v>3.6718510050525337E-2</c:v>
                </c:pt>
                <c:pt idx="125">
                  <c:v>3.6729896628420453E-2</c:v>
                </c:pt>
                <c:pt idx="126">
                  <c:v>3.6741136498847915E-2</c:v>
                </c:pt>
                <c:pt idx="127">
                  <c:v>3.6752233076850119E-2</c:v>
                </c:pt>
                <c:pt idx="128">
                  <c:v>3.6763189672391845E-2</c:v>
                </c:pt>
                <c:pt idx="129">
                  <c:v>3.7648374067308595E-2</c:v>
                </c:pt>
                <c:pt idx="130">
                  <c:v>3.7363159112253228E-2</c:v>
                </c:pt>
                <c:pt idx="131">
                  <c:v>3.7082233103890423E-2</c:v>
                </c:pt>
                <c:pt idx="132">
                  <c:v>3.6805500021025568E-2</c:v>
                </c:pt>
                <c:pt idx="133">
                  <c:v>3.6815804253773031E-2</c:v>
                </c:pt>
                <c:pt idx="134">
                  <c:v>3.6825986350345785E-2</c:v>
                </c:pt>
                <c:pt idx="135">
                  <c:v>3.6836048988312511E-2</c:v>
                </c:pt>
                <c:pt idx="136">
                  <c:v>3.7399742108711956E-2</c:v>
                </c:pt>
                <c:pt idx="137">
                  <c:v>3.713067921584353E-2</c:v>
                </c:pt>
                <c:pt idx="138">
                  <c:v>3.68654600785875E-2</c:v>
                </c:pt>
                <c:pt idx="139">
                  <c:v>3.6875070745676121E-2</c:v>
                </c:pt>
                <c:pt idx="140">
                  <c:v>3.6884574223488883E-2</c:v>
                </c:pt>
                <c:pt idx="141">
                  <c:v>3.6893972763679304E-2</c:v>
                </c:pt>
                <c:pt idx="142">
                  <c:v>3.6903268555356639E-2</c:v>
                </c:pt>
                <c:pt idx="143">
                  <c:v>3.7439864671769678E-2</c:v>
                </c:pt>
                <c:pt idx="144">
                  <c:v>3.7183427242510982E-2</c:v>
                </c:pt>
                <c:pt idx="145">
                  <c:v>3.6930478757868049E-2</c:v>
                </c:pt>
                <c:pt idx="146">
                  <c:v>3.6939384812711459E-2</c:v>
                </c:pt>
                <c:pt idx="147">
                  <c:v>3.6948198191575903E-2</c:v>
                </c:pt>
                <c:pt idx="148">
                  <c:v>3.6956920750774461E-2</c:v>
                </c:pt>
                <c:pt idx="149">
                  <c:v>3.6970393532107015E-2</c:v>
                </c:pt>
                <c:pt idx="150">
                  <c:v>3.7496814689234402E-2</c:v>
                </c:pt>
                <c:pt idx="151">
                  <c:v>3.7251737469043325E-2</c:v>
                </c:pt>
                <c:pt idx="152">
                  <c:v>3.7009843069893696E-2</c:v>
                </c:pt>
                <c:pt idx="153">
                  <c:v>3.7022734071736375E-2</c:v>
                </c:pt>
                <c:pt idx="154">
                  <c:v>3.7035486476426113E-2</c:v>
                </c:pt>
                <c:pt idx="155">
                  <c:v>3.7048102935142935E-2</c:v>
                </c:pt>
                <c:pt idx="156">
                  <c:v>3.7060586031948888E-2</c:v>
                </c:pt>
                <c:pt idx="157">
                  <c:v>3.7563813687281365E-2</c:v>
                </c:pt>
                <c:pt idx="158">
                  <c:v>3.7329039851735857E-2</c:v>
                </c:pt>
                <c:pt idx="159">
                  <c:v>3.7097182461352407E-2</c:v>
                </c:pt>
                <c:pt idx="160">
                  <c:v>3.7109157151591847E-2</c:v>
                </c:pt>
                <c:pt idx="161">
                  <c:v>3.7360527306926898E-2</c:v>
                </c:pt>
                <c:pt idx="162">
                  <c:v>3.7132719213591979E-2</c:v>
                </c:pt>
                <c:pt idx="163">
                  <c:v>3.7144336521599382E-2</c:v>
                </c:pt>
                <c:pt idx="164">
                  <c:v>3.762636594597759E-2</c:v>
                </c:pt>
                <c:pt idx="165">
                  <c:v>3.7401058365462758E-2</c:v>
                </c:pt>
                <c:pt idx="166">
                  <c:v>3.7178433018049288E-2</c:v>
                </c:pt>
                <c:pt idx="167">
                  <c:v>3.7189603458887603E-2</c:v>
                </c:pt>
                <c:pt idx="168">
                  <c:v>3.72006669949239E-2</c:v>
                </c:pt>
                <c:pt idx="169">
                  <c:v>3.7211625504280102E-2</c:v>
                </c:pt>
                <c:pt idx="170">
                  <c:v>3.7222480821401824E-2</c:v>
                </c:pt>
                <c:pt idx="171">
                  <c:v>3.7685060269511919E-2</c:v>
                </c:pt>
                <c:pt idx="172">
                  <c:v>3.7468479463365297E-2</c:v>
                </c:pt>
                <c:pt idx="173">
                  <c:v>3.7254373866431781E-2</c:v>
                </c:pt>
                <c:pt idx="174">
                  <c:v>3.7264834327297588E-2</c:v>
                </c:pt>
                <c:pt idx="175">
                  <c:v>3.7275200151191144E-2</c:v>
                </c:pt>
                <c:pt idx="176">
                  <c:v>3.7505156956845843E-2</c:v>
                </c:pt>
                <c:pt idx="177">
                  <c:v>3.7295630940327153E-2</c:v>
                </c:pt>
                <c:pt idx="178">
                  <c:v>3.7740301289215683E-2</c:v>
                </c:pt>
                <c:pt idx="179">
                  <c:v>3.7531791337341566E-2</c:v>
                </c:pt>
                <c:pt idx="180">
                  <c:v>3.7325572703619907E-2</c:v>
                </c:pt>
                <c:pt idx="181">
                  <c:v>3.7335403529199833E-2</c:v>
                </c:pt>
                <c:pt idx="182">
                  <c:v>3.7345150178915806E-2</c:v>
                </c:pt>
                <c:pt idx="183">
                  <c:v>3.7354814020187692E-2</c:v>
                </c:pt>
                <c:pt idx="184">
                  <c:v>3.7364396391028905E-2</c:v>
                </c:pt>
                <c:pt idx="185">
                  <c:v>3.7792522233179839E-2</c:v>
                </c:pt>
                <c:pt idx="186">
                  <c:v>3.7591498178748031E-2</c:v>
                </c:pt>
                <c:pt idx="187">
                  <c:v>3.7392601362987457E-2</c:v>
                </c:pt>
                <c:pt idx="188">
                  <c:v>3.7401871012884995E-2</c:v>
                </c:pt>
                <c:pt idx="189">
                  <c:v>3.7411065464401712E-2</c:v>
                </c:pt>
                <c:pt idx="190">
                  <c:v>3.742018589483212E-2</c:v>
                </c:pt>
                <c:pt idx="191">
                  <c:v>3.743742482505269E-2</c:v>
                </c:pt>
                <c:pt idx="192">
                  <c:v>3.7874631211199036E-2</c:v>
                </c:pt>
                <c:pt idx="193">
                  <c:v>3.7680402333192885E-2</c:v>
                </c:pt>
                <c:pt idx="194">
                  <c:v>3.7488155382513329E-2</c:v>
                </c:pt>
                <c:pt idx="195">
                  <c:v>3.7504791082126343E-2</c:v>
                </c:pt>
                <c:pt idx="196">
                  <c:v>3.752128159197414E-2</c:v>
                </c:pt>
                <c:pt idx="197">
                  <c:v>3.753762910336976E-2</c:v>
                </c:pt>
                <c:pt idx="198">
                  <c:v>3.755383576380078E-2</c:v>
                </c:pt>
                <c:pt idx="199">
                  <c:v>3.7975709514053359E-2</c:v>
                </c:pt>
                <c:pt idx="200">
                  <c:v>3.77877109521026E-2</c:v>
                </c:pt>
                <c:pt idx="201">
                  <c:v>3.7601564592732631E-2</c:v>
                </c:pt>
                <c:pt idx="202">
                  <c:v>3.7617228805630246E-2</c:v>
                </c:pt>
                <c:pt idx="203">
                  <c:v>3.7632762281528377E-2</c:v>
                </c:pt>
                <c:pt idx="204">
                  <c:v>3.7648166926802354E-2</c:v>
                </c:pt>
                <c:pt idx="205">
                  <c:v>3.8254903271190098E-2</c:v>
                </c:pt>
                <c:pt idx="206">
                  <c:v>3.8070985467001682E-2</c:v>
                </c:pt>
                <c:pt idx="207">
                  <c:v>3.7888827641800717E-2</c:v>
                </c:pt>
                <c:pt idx="208">
                  <c:v>3.7708404653030235E-2</c:v>
                </c:pt>
                <c:pt idx="209">
                  <c:v>3.7723193080962281E-2</c:v>
                </c:pt>
                <c:pt idx="210">
                  <c:v>3.773786336739765E-2</c:v>
                </c:pt>
                <c:pt idx="211">
                  <c:v>3.7752417178661637E-2</c:v>
                </c:pt>
                <c:pt idx="212">
                  <c:v>3.8339412556908828E-2</c:v>
                </c:pt>
                <c:pt idx="213">
                  <c:v>3.8161089707806926E-2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683" tableBorderDxfId="682">
  <autoFilter ref="A1:G49" xr:uid="{437436B3-707B-4C86-96EA-D911A30B7555}"/>
  <tableColumns count="7">
    <tableColumn id="1" xr3:uid="{05B0BC80-930A-4DFE-90A2-1EED146C279B}" name="SYMBOL" dataDxfId="681"/>
    <tableColumn id="2" xr3:uid="{7C145D74-5476-492A-BA32-F8CD1234BA55}" name="TYPE" dataDxfId="680"/>
    <tableColumn id="3" xr3:uid="{F07E2AC5-2C7B-4707-BEED-0635F95059B3}" name="EXCHANGE" dataDxfId="679"/>
    <tableColumn id="4" xr3:uid="{A79C72F6-2255-4A14-B621-B5B85AE3F49D}" name="MONTH" dataDxfId="678"/>
    <tableColumn id="5" xr3:uid="{02B013FC-3670-47C1-ABA2-1583C3275EC6}" name="BID PRICE" dataDxfId="677" dataCellStyle="Comma"/>
    <tableColumn id="6" xr3:uid="{3F831938-B03F-4EFB-A4A2-EF246F46EB2C}" name="ASK PRICE" dataDxfId="676" dataCellStyle="Comma"/>
    <tableColumn id="7" xr3:uid="{42EBB0D6-41B1-4DD2-91A1-A0CDAF337621}" name="LAST PRICE" dataDxfId="675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674" tableBorderDxfId="673">
  <autoFilter ref="A1:B11" xr:uid="{B2F3C1CD-89BC-497B-9FED-0ACB23903403}"/>
  <tableColumns count="2">
    <tableColumn id="1" xr3:uid="{8D11F31F-01C5-45B8-A060-0690FE53F813}" name="Keys" dataDxfId="672"/>
    <tableColumn id="2" xr3:uid="{24603D73-1E05-4ACA-9CB6-F78DEE1FFAE1}" name="Values" dataDxfId="67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S7" sqref="S7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46268.387443749998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46268.387443749998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/>
      <c r="H3" s="33">
        <f>INPUT!H34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/>
      <c r="H4" s="44">
        <f>INPUT!H35</f>
        <v>96.3</v>
      </c>
      <c r="I4" s="45">
        <f t="shared" si="0"/>
        <v>3.7000000000000028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/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/>
      <c r="C5" s="45"/>
      <c r="D5" s="145"/>
      <c r="E5" s="44"/>
      <c r="F5" s="45"/>
      <c r="G5" s="326"/>
      <c r="H5" s="44">
        <f>INPUT!H36</f>
        <v>96.237499999999997</v>
      </c>
      <c r="I5" s="45">
        <f>100-H5</f>
        <v>3.7625000000000028</v>
      </c>
      <c r="J5" s="38">
        <f t="shared" si="1"/>
        <v>46235</v>
      </c>
      <c r="K5" s="39"/>
      <c r="L5" s="40"/>
      <c r="M5" s="295"/>
      <c r="N5" s="40"/>
      <c r="O5" s="41"/>
      <c r="P5" s="411"/>
      <c r="Q5" s="412"/>
      <c r="R5" s="40"/>
      <c r="S5" s="40"/>
      <c r="T5" s="41"/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INPUT!H2</f>
        <v>96.314999999999998</v>
      </c>
      <c r="C6" s="34">
        <f t="shared" ref="C6:C9" si="3">100-B6</f>
        <v>3.6850000000000023</v>
      </c>
      <c r="D6" s="286">
        <f t="shared" ref="D6:D9" si="4">B6-E6</f>
        <v>9.9999999999909051E-3</v>
      </c>
      <c r="E6" s="33">
        <f>INPUT!H18</f>
        <v>96.305000000000007</v>
      </c>
      <c r="F6" s="34">
        <f t="shared" ref="F6:F9" si="5">100-E6</f>
        <v>3.6949999999999932</v>
      </c>
      <c r="G6" s="325">
        <f ca="1">'3M SOFR CALCS'!F39</f>
        <v>-2.2171890925903881E-4</v>
      </c>
      <c r="H6" s="33">
        <f>INPUT!H37</f>
        <v>96.167500000000004</v>
      </c>
      <c r="I6" s="34">
        <f>100-H6</f>
        <v>3.832499999999996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3.6292857142857238</v>
      </c>
      <c r="Q6" s="414"/>
      <c r="R6" s="409">
        <f ca="1">'DAILY EXTRAPOLATION'!K2477</f>
        <v>3.7485714285714238</v>
      </c>
      <c r="S6" s="36">
        <f ca="1">R6-P6</f>
        <v>0.11928571428570001</v>
      </c>
      <c r="T6" s="37">
        <f t="shared" ref="T5:T9" ca="1" si="6">T5+S6</f>
        <v>0.11928571428570001</v>
      </c>
      <c r="U6" s="40">
        <v>0.21196428571408532</v>
      </c>
      <c r="V6" s="40">
        <f t="shared" ca="1" si="2"/>
        <v>9.2678571428385315E-2</v>
      </c>
      <c r="W6" s="18"/>
    </row>
    <row r="7" spans="1:24">
      <c r="A7" s="38">
        <v>46296</v>
      </c>
      <c r="B7" s="44">
        <f>INPUT!H3</f>
        <v>96.245000000000005</v>
      </c>
      <c r="C7" s="45">
        <f>100-B7</f>
        <v>3.7549999999999955</v>
      </c>
      <c r="D7" s="145">
        <f>B7-E7</f>
        <v>2.0000000000010232E-2</v>
      </c>
      <c r="E7" s="44">
        <f>INPUT!H19</f>
        <v>96.224999999999994</v>
      </c>
      <c r="F7" s="45">
        <f>100-E7</f>
        <v>3.7750000000000057</v>
      </c>
      <c r="G7" s="391">
        <v>2027</v>
      </c>
      <c r="H7" s="44">
        <f>INPUT!H38</f>
        <v>96.09</v>
      </c>
      <c r="I7" s="45">
        <f t="shared" si="0"/>
        <v>3.9099999999999966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3.7485714285714238</v>
      </c>
      <c r="Q7" s="40"/>
      <c r="R7" s="372">
        <f>'DAILY EXTRAPOLATION'!K2507</f>
        <v>3.8149999999999977</v>
      </c>
      <c r="S7" s="40">
        <f ca="1">R7-P7</f>
        <v>6.6428571428573946E-2</v>
      </c>
      <c r="T7" s="41">
        <f t="shared" ca="1" si="6"/>
        <v>0.18571428571427395</v>
      </c>
      <c r="U7" s="40">
        <v>0.29499999999980275</v>
      </c>
      <c r="V7" s="40">
        <f t="shared" ca="1" si="2"/>
        <v>0.1092857142855288</v>
      </c>
      <c r="W7" s="18"/>
    </row>
    <row r="8" spans="1:24">
      <c r="A8" s="38">
        <v>46327</v>
      </c>
      <c r="B8" s="44">
        <f>INPUT!H4</f>
        <v>96.185000000000002</v>
      </c>
      <c r="C8" s="45">
        <f>100-B8</f>
        <v>3.8149999999999977</v>
      </c>
      <c r="D8" s="145">
        <f>B8-E8</f>
        <v>2.5000000000005684E-2</v>
      </c>
      <c r="E8" s="44">
        <f>INPUT!H20</f>
        <v>96.16</v>
      </c>
      <c r="F8" s="45">
        <f>100-E8</f>
        <v>3.8400000000000034</v>
      </c>
      <c r="G8" s="391">
        <v>2027</v>
      </c>
      <c r="H8" s="44">
        <f>INPUT!H39</f>
        <v>96.025000000000006</v>
      </c>
      <c r="I8" s="45">
        <f t="shared" ref="I8" si="7">100-H8</f>
        <v>3.9749999999999943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3.8149999999999977</v>
      </c>
      <c r="R8" s="40"/>
      <c r="S8" s="40"/>
      <c r="T8" s="41">
        <f t="shared" ca="1" si="6"/>
        <v>0.18571428571427395</v>
      </c>
      <c r="U8" s="40">
        <v>0.29499999999980275</v>
      </c>
      <c r="V8" s="40">
        <f t="shared" ca="1" si="2"/>
        <v>0.1092857142855288</v>
      </c>
    </row>
    <row r="9" spans="1:24" ht="15.75" thickBot="1">
      <c r="A9" s="43">
        <v>46357</v>
      </c>
      <c r="B9" s="50">
        <f>INPUT!H5</f>
        <v>96.09</v>
      </c>
      <c r="C9" s="51">
        <f t="shared" si="3"/>
        <v>3.9099999999999966</v>
      </c>
      <c r="D9" s="399">
        <f t="shared" si="4"/>
        <v>4.0000000000006253E-2</v>
      </c>
      <c r="E9" s="50">
        <f>INPUT!H21</f>
        <v>96.05</v>
      </c>
      <c r="F9" s="51">
        <f t="shared" si="5"/>
        <v>3.9500000000000028</v>
      </c>
      <c r="G9" s="392">
        <v>2027</v>
      </c>
      <c r="H9" s="50">
        <f>INPUT!H40</f>
        <v>95.97</v>
      </c>
      <c r="I9" s="51">
        <f t="shared" si="0"/>
        <v>4.0300000000000011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3.8149999999999977</v>
      </c>
      <c r="Q9" s="410"/>
      <c r="R9" s="410">
        <f ca="1">'DAILY EXTRAPOLATION'!K2586</f>
        <v>3.9488636363636327</v>
      </c>
      <c r="S9" s="47">
        <f ca="1">R9-P9</f>
        <v>0.13386363636363496</v>
      </c>
      <c r="T9" s="48">
        <f t="shared" ca="1" si="6"/>
        <v>0.31957792207790892</v>
      </c>
      <c r="U9" s="40">
        <v>0.38659090909070848</v>
      </c>
      <c r="V9" s="40">
        <f t="shared" ca="1" si="2"/>
        <v>6.7012987012799563E-2</v>
      </c>
    </row>
    <row r="10" spans="1:24">
      <c r="R10" s="177" t="s">
        <v>246</v>
      </c>
      <c r="S10" s="420">
        <v>0.25</v>
      </c>
      <c r="T10" s="423">
        <f ca="1">T9/S10</f>
        <v>1.2783116883116357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70" priority="3249" bottom="1" rank="1"/>
    <cfRule type="top10" dxfId="669" priority="3250" rank="1"/>
  </conditionalFormatting>
  <conditionalFormatting sqref="F3:F9">
    <cfRule type="top10" dxfId="668" priority="3251" bottom="1" rank="1"/>
    <cfRule type="top10" dxfId="667" priority="3252" rank="1"/>
  </conditionalFormatting>
  <conditionalFormatting sqref="O3:O9">
    <cfRule type="top10" dxfId="666" priority="3253" bottom="1" rank="1"/>
    <cfRule type="top10" dxfId="665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1" activePane="bottomLeft" state="frozen"/>
      <selection pane="bottomLeft" activeCell="B2458" sqref="B2458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46260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0</v>
      </c>
      <c r="L2448" s="180">
        <f>OUTPUT!F5</f>
        <v>0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46260</v>
      </c>
      <c r="R2448" s="466">
        <v>3.64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5">
        <v>3.64</v>
      </c>
      <c r="I2463" s="457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5">
        <v>3.65</v>
      </c>
      <c r="I2464" s="457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5">
        <v>3.65</v>
      </c>
      <c r="I2465" s="457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5">
        <v>3.65</v>
      </c>
      <c r="I2466" s="457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7"/>
      <c r="B2467" s="408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6">
        <v>3.68</v>
      </c>
      <c r="I2467" s="458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5">
        <v>3.66</v>
      </c>
      <c r="I2468" s="457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5">
        <v>3.65</v>
      </c>
      <c r="I2469" s="457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A2470" s="39">
        <f t="shared" ref="A2469:A2483" ca="1" si="227">K$2495</f>
        <v>3.6292857142857238</v>
      </c>
      <c r="B2470" s="41">
        <f t="shared" ref="B2468:B2483" ca="1" si="228">L$2495</f>
        <v>3.6276785714285498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1.0001007688492063</v>
      </c>
    </row>
    <row r="2471" spans="1:14">
      <c r="A2471" s="39">
        <f t="shared" ca="1" si="227"/>
        <v>3.6292857142857238</v>
      </c>
      <c r="B2471" s="41">
        <f t="shared" ca="1" si="228"/>
        <v>3.6276785714285498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1.0004030753968254</v>
      </c>
    </row>
    <row r="2472" spans="1:14">
      <c r="A2472" s="39">
        <f t="shared" ca="1" si="227"/>
        <v>3.6292857142857238</v>
      </c>
      <c r="B2472" s="41">
        <f t="shared" ca="1" si="228"/>
        <v>3.6276785714285498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27"/>
        <v>3.6292857142857238</v>
      </c>
      <c r="B2473" s="41">
        <f t="shared" ca="1" si="228"/>
        <v>3.6276785714285498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27"/>
        <v>3.6292857142857238</v>
      </c>
      <c r="B2474" s="41">
        <f t="shared" ca="1" si="228"/>
        <v>3.6276785714285498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27"/>
        <v>3.6292857142857238</v>
      </c>
      <c r="B2475" s="41">
        <f t="shared" ca="1" si="228"/>
        <v>3.6276785714285498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9">IF(MOD(C2475,7)&lt;2,0,IF(MOD(C2475,7)=6,3,1))</f>
        <v>1</v>
      </c>
      <c r="N2475" s="64">
        <f t="shared" ca="1" si="226"/>
        <v>1.0001007688492063</v>
      </c>
    </row>
    <row r="2476" spans="1:14">
      <c r="A2476" s="39">
        <f t="shared" ca="1" si="227"/>
        <v>3.6292857142857238</v>
      </c>
      <c r="B2476" s="41">
        <f t="shared" ca="1" si="228"/>
        <v>3.6276785714285498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29"/>
        <v>1</v>
      </c>
      <c r="N2476" s="64">
        <f t="shared" ca="1" si="226"/>
        <v>1.0001007688492063</v>
      </c>
    </row>
    <row r="2477" spans="1:14">
      <c r="A2477" s="39">
        <f t="shared" ca="1" si="227"/>
        <v>3.6292857142857238</v>
      </c>
      <c r="B2477" s="41">
        <f t="shared" ca="1" si="228"/>
        <v>3.6276785714285498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3.7485714285714238</v>
      </c>
      <c r="L2477" s="194">
        <f ca="1">B2499+H2499</f>
        <v>3.7680357142857202</v>
      </c>
      <c r="M2477" s="113">
        <f t="shared" si="229"/>
        <v>1</v>
      </c>
      <c r="N2477" s="64">
        <f t="shared" ca="1" si="226"/>
        <v>1.0001007688492063</v>
      </c>
    </row>
    <row r="2478" spans="1:14">
      <c r="A2478" s="39">
        <f t="shared" ca="1" si="227"/>
        <v>3.6292857142857238</v>
      </c>
      <c r="B2478" s="41">
        <f t="shared" ca="1" si="228"/>
        <v>3.6276785714285498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29"/>
        <v>3</v>
      </c>
      <c r="N2478" s="64">
        <f t="shared" ca="1" si="226"/>
        <v>1.0003023065476191</v>
      </c>
    </row>
    <row r="2479" spans="1:14">
      <c r="A2479" s="39">
        <f t="shared" ca="1" si="227"/>
        <v>3.6292857142857238</v>
      </c>
      <c r="B2479" s="41">
        <f t="shared" ca="1" si="228"/>
        <v>3.6276785714285498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3.6850000000000023</v>
      </c>
      <c r="L2479" s="193">
        <f>OUTPUT!F6</f>
        <v>3.6949999999999932</v>
      </c>
      <c r="M2479" s="113">
        <f t="shared" si="229"/>
        <v>0</v>
      </c>
      <c r="N2479" s="64">
        <f t="shared" ca="1" si="226"/>
        <v>1</v>
      </c>
    </row>
    <row r="2480" spans="1:14">
      <c r="A2480" s="39">
        <f t="shared" ca="1" si="227"/>
        <v>3.6292857142857238</v>
      </c>
      <c r="B2480" s="41">
        <f t="shared" ca="1" si="228"/>
        <v>3.6276785714285498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9"/>
        <v>0</v>
      </c>
      <c r="N2480" s="64">
        <f t="shared" ca="1" si="226"/>
        <v>1</v>
      </c>
    </row>
    <row r="2481" spans="1:14">
      <c r="A2481" s="39">
        <f t="shared" ca="1" si="227"/>
        <v>3.6292857142857238</v>
      </c>
      <c r="B2481" s="41">
        <f t="shared" ca="1" si="228"/>
        <v>3.6276785714285498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110.55000000000007</v>
      </c>
      <c r="L2481" s="192">
        <f>L2479*L2469</f>
        <v>110.8499999999998</v>
      </c>
      <c r="M2481" s="113">
        <f t="shared" si="229"/>
        <v>1</v>
      </c>
      <c r="N2481" s="64">
        <f t="shared" ca="1" si="226"/>
        <v>1.0001007688492063</v>
      </c>
    </row>
    <row r="2482" spans="1:14">
      <c r="A2482" s="39">
        <f t="shared" ca="1" si="227"/>
        <v>3.6292857142857238</v>
      </c>
      <c r="B2482" s="41">
        <f t="shared" ca="1" si="228"/>
        <v>3.6276785714285498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29"/>
        <v>1</v>
      </c>
      <c r="N2482" s="64">
        <f t="shared" ca="1" si="226"/>
        <v>1.0001007688492063</v>
      </c>
    </row>
    <row r="2483" spans="1:14">
      <c r="A2483" s="39">
        <f t="shared" ca="1" si="227"/>
        <v>3.6292857142857238</v>
      </c>
      <c r="B2483" s="41">
        <f t="shared" ca="1" si="228"/>
        <v>3.6276785714285498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110.55000000000007</v>
      </c>
      <c r="L2483" s="192">
        <f>L2481</f>
        <v>110.8499999999998</v>
      </c>
      <c r="M2483" s="113">
        <f t="shared" si="229"/>
        <v>1</v>
      </c>
      <c r="N2483" s="64">
        <f t="shared" ca="1" si="226"/>
        <v>1.0001007688492063</v>
      </c>
    </row>
    <row r="2484" spans="1:14">
      <c r="A2484" s="304">
        <f ca="1">K$2477</f>
        <v>3.7485714285714238</v>
      </c>
      <c r="B2484" s="305">
        <f t="shared" ref="B2484:B2497" ca="1" si="230">L$2477</f>
        <v>3.7680357142857202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7.26</v>
      </c>
      <c r="L2484" s="192">
        <f ca="1">SUM(INDIRECT(L2473))</f>
        <v>7.3100000000000005</v>
      </c>
      <c r="M2484" s="113">
        <f t="shared" si="229"/>
        <v>1</v>
      </c>
      <c r="N2484" s="64">
        <f t="shared" ca="1" si="226"/>
        <v>1.0001046676587302</v>
      </c>
    </row>
    <row r="2485" spans="1:14">
      <c r="A2485" s="304">
        <f t="shared" ref="A2485:A2497" ca="1" si="231">K$2477</f>
        <v>3.7485714285714238</v>
      </c>
      <c r="B2485" s="305">
        <f t="shared" ca="1" si="230"/>
        <v>3.7680357142857202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52.479999999999933</v>
      </c>
      <c r="L2485" s="401">
        <f ca="1">SUM(INDIRECT(L2475))</f>
        <v>52.752500000000097</v>
      </c>
      <c r="M2485" s="113">
        <f t="shared" si="229"/>
        <v>3</v>
      </c>
      <c r="N2485" s="64">
        <f t="shared" ca="1" si="226"/>
        <v>1.0003140029761906</v>
      </c>
    </row>
    <row r="2486" spans="1:14">
      <c r="A2486" s="304">
        <f t="shared" ca="1" si="231"/>
        <v>3.7485714285714238</v>
      </c>
      <c r="B2486" s="305">
        <f t="shared" ca="1" si="230"/>
        <v>3.7680357142857202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50.81000000000013</v>
      </c>
      <c r="L2486" s="201">
        <f ca="1">L2481-L2484-L2485</f>
        <v>50.787499999999696</v>
      </c>
      <c r="M2486" s="113">
        <f t="shared" si="229"/>
        <v>0</v>
      </c>
      <c r="N2486" s="64">
        <f t="shared" ca="1" si="226"/>
        <v>1</v>
      </c>
    </row>
    <row r="2487" spans="1:14">
      <c r="A2487" s="304">
        <f t="shared" ca="1" si="231"/>
        <v>3.7485714285714238</v>
      </c>
      <c r="B2487" s="305">
        <f t="shared" ca="1" si="230"/>
        <v>3.7680357142857202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29"/>
        <v>0</v>
      </c>
      <c r="N2487" s="64">
        <f t="shared" ca="1" si="226"/>
        <v>1</v>
      </c>
    </row>
    <row r="2488" spans="1:14">
      <c r="A2488" s="304">
        <f t="shared" ca="1" si="231"/>
        <v>3.7485714285714238</v>
      </c>
      <c r="B2488" s="305">
        <f t="shared" ca="1" si="230"/>
        <v>3.7680357142857202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9"/>
        <v>1</v>
      </c>
      <c r="N2488" s="64">
        <f t="shared" ca="1" si="226"/>
        <v>1.0001046676587302</v>
      </c>
    </row>
    <row r="2489" spans="1:14">
      <c r="A2489" s="304">
        <f t="shared" ca="1" si="231"/>
        <v>3.7485714285714238</v>
      </c>
      <c r="B2489" s="305">
        <f t="shared" ca="1" si="230"/>
        <v>3.7680357142857202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2</v>
      </c>
      <c r="L2489" s="179">
        <f ca="1">COUNTA(INDIRECT(L2473))</f>
        <v>2</v>
      </c>
      <c r="M2489" s="113">
        <f t="shared" si="229"/>
        <v>1</v>
      </c>
      <c r="N2489" s="64">
        <f t="shared" ca="1" si="226"/>
        <v>1.0001046676587302</v>
      </c>
    </row>
    <row r="2490" spans="1:14">
      <c r="A2490" s="304">
        <f t="shared" ca="1" si="231"/>
        <v>3.7485714285714238</v>
      </c>
      <c r="B2490" s="305">
        <f t="shared" ca="1" si="230"/>
        <v>3.7680357142857202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29"/>
        <v>1</v>
      </c>
      <c r="N2490" s="64">
        <f t="shared" ca="1" si="226"/>
        <v>1.0001046676587302</v>
      </c>
    </row>
    <row r="2491" spans="1:14">
      <c r="A2491" s="304">
        <f t="shared" ca="1" si="231"/>
        <v>3.7485714285714238</v>
      </c>
      <c r="B2491" s="305">
        <f t="shared" ca="1" si="230"/>
        <v>3.7680357142857202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14</v>
      </c>
      <c r="L2491" s="202">
        <f ca="1">L2488-L2489-L2490</f>
        <v>14</v>
      </c>
      <c r="M2491" s="113">
        <f t="shared" si="229"/>
        <v>1</v>
      </c>
      <c r="N2491" s="64">
        <f t="shared" ca="1" si="226"/>
        <v>1.0001046676587302</v>
      </c>
    </row>
    <row r="2492" spans="1:14">
      <c r="A2492" s="304">
        <f t="shared" ca="1" si="231"/>
        <v>3.7485714285714238</v>
      </c>
      <c r="B2492" s="305">
        <f t="shared" ca="1" si="230"/>
        <v>3.7680357142857202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29"/>
        <v>3</v>
      </c>
      <c r="N2492" s="64">
        <f t="shared" ca="1" si="226"/>
        <v>1.0003140029761906</v>
      </c>
    </row>
    <row r="2493" spans="1:14">
      <c r="A2493" s="304">
        <f t="shared" ca="1" si="231"/>
        <v>3.7485714285714238</v>
      </c>
      <c r="B2493" s="305">
        <f t="shared" ca="1" si="230"/>
        <v>3.7680357142857202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50.81000000000013</v>
      </c>
      <c r="L2493" s="192">
        <f ca="1">L2486</f>
        <v>50.787499999999696</v>
      </c>
      <c r="M2493" s="113">
        <f t="shared" si="229"/>
        <v>0</v>
      </c>
      <c r="N2493" s="64">
        <f t="shared" ca="1" si="226"/>
        <v>1</v>
      </c>
    </row>
    <row r="2494" spans="1:14">
      <c r="A2494" s="304">
        <f t="shared" ca="1" si="231"/>
        <v>3.7485714285714238</v>
      </c>
      <c r="B2494" s="305">
        <f t="shared" ca="1" si="230"/>
        <v>3.7680357142857202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14</v>
      </c>
      <c r="L2494" s="223">
        <f ca="1">L2491</f>
        <v>14</v>
      </c>
      <c r="M2494" s="113">
        <f t="shared" si="229"/>
        <v>0</v>
      </c>
      <c r="N2494" s="64">
        <f t="shared" ca="1" si="226"/>
        <v>1</v>
      </c>
    </row>
    <row r="2495" spans="1:14">
      <c r="A2495" s="304">
        <f t="shared" ca="1" si="231"/>
        <v>3.7485714285714238</v>
      </c>
      <c r="B2495" s="305">
        <f t="shared" ca="1" si="230"/>
        <v>3.7680357142857202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3.6292857142857238</v>
      </c>
      <c r="L2495" s="192">
        <f ca="1">L2493/L2494</f>
        <v>3.6276785714285498</v>
      </c>
      <c r="M2495" s="113">
        <f t="shared" si="229"/>
        <v>1</v>
      </c>
      <c r="N2495" s="64">
        <f t="shared" ca="1" si="226"/>
        <v>1.0001046676587302</v>
      </c>
    </row>
    <row r="2496" spans="1:14">
      <c r="A2496" s="304">
        <f t="shared" ca="1" si="231"/>
        <v>3.7485714285714238</v>
      </c>
      <c r="B2496" s="305">
        <f t="shared" ca="1" si="230"/>
        <v>3.7680357142857202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29"/>
        <v>1</v>
      </c>
      <c r="N2496" s="64">
        <f t="shared" ca="1" si="226"/>
        <v>1.0001046676587302</v>
      </c>
    </row>
    <row r="2497" spans="1:14" ht="15.75" thickBot="1">
      <c r="A2497" s="405">
        <f t="shared" ca="1" si="231"/>
        <v>3.7485714285714238</v>
      </c>
      <c r="B2497" s="406">
        <f t="shared" ca="1" si="230"/>
        <v>3.7680357142857202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29"/>
        <v>1</v>
      </c>
      <c r="N2497" s="292">
        <f t="shared" ca="1" si="226"/>
        <v>1.0001046676587302</v>
      </c>
    </row>
    <row r="2498" spans="1:14">
      <c r="A2498" s="39">
        <f t="shared" ref="A2498:A2524" ca="1" si="232">K$2525</f>
        <v>3.7485714285714238</v>
      </c>
      <c r="B2498" s="41">
        <f t="shared" ref="B2498:B2525" ca="1" si="233">L$2525</f>
        <v>3.7680357142857202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9"/>
        <v>1</v>
      </c>
      <c r="N2498" s="64">
        <f t="shared" ca="1" si="226"/>
        <v>1.0001046676587302</v>
      </c>
    </row>
    <row r="2499" spans="1:14">
      <c r="A2499" s="39">
        <f t="shared" ca="1" si="232"/>
        <v>3.7485714285714238</v>
      </c>
      <c r="B2499" s="41">
        <f t="shared" ca="1" si="233"/>
        <v>3.7680357142857202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4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9"/>
        <v>3</v>
      </c>
      <c r="N2499" s="64">
        <f t="shared" ca="1" si="226"/>
        <v>1.0003140029761906</v>
      </c>
    </row>
    <row r="2500" spans="1:14">
      <c r="A2500" s="39">
        <f t="shared" ca="1" si="232"/>
        <v>3.7485714285714238</v>
      </c>
      <c r="B2500" s="41">
        <f t="shared" ca="1" si="233"/>
        <v>3.7680357142857202</v>
      </c>
      <c r="C2500" s="103">
        <f t="shared" ref="C2500:C2563" si="235">C2499+1</f>
        <v>46298</v>
      </c>
      <c r="E2500" s="167"/>
      <c r="F2500" s="58" t="str">
        <f>VLOOKUP(MOD(C2500,7),'CALENDAR INFO'!$I$2:$J$8,2)</f>
        <v>SAT</v>
      </c>
      <c r="I2500" s="457">
        <f t="shared" si="234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9"/>
        <v>0</v>
      </c>
      <c r="N2500" s="64">
        <f t="shared" ca="1" si="226"/>
        <v>1</v>
      </c>
    </row>
    <row r="2501" spans="1:14">
      <c r="A2501" s="39">
        <f t="shared" ca="1" si="232"/>
        <v>3.7485714285714238</v>
      </c>
      <c r="B2501" s="41">
        <f t="shared" ca="1" si="233"/>
        <v>3.7680357142857202</v>
      </c>
      <c r="C2501" s="103">
        <f t="shared" si="235"/>
        <v>46299</v>
      </c>
      <c r="E2501" s="167"/>
      <c r="F2501" s="58" t="str">
        <f>VLOOKUP(MOD(C2501,7),'CALENDAR INFO'!$I$2:$J$8,2)</f>
        <v>SUN</v>
      </c>
      <c r="I2501" s="457">
        <f t="shared" si="234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9"/>
        <v>0</v>
      </c>
      <c r="N2501" s="64">
        <f t="shared" ca="1" si="226"/>
        <v>1</v>
      </c>
    </row>
    <row r="2502" spans="1:14">
      <c r="A2502" s="39">
        <f t="shared" ca="1" si="232"/>
        <v>3.7485714285714238</v>
      </c>
      <c r="B2502" s="41">
        <f t="shared" ca="1" si="233"/>
        <v>3.7680357142857202</v>
      </c>
      <c r="C2502" s="103">
        <f t="shared" si="235"/>
        <v>46300</v>
      </c>
      <c r="E2502" s="167"/>
      <c r="F2502" s="58" t="str">
        <f>VLOOKUP(MOD(C2502,7),'CALENDAR INFO'!$I$2:$J$8,2)</f>
        <v>MON</v>
      </c>
      <c r="I2502" s="457">
        <f t="shared" si="234"/>
        <v>0</v>
      </c>
      <c r="K2502" s="311"/>
      <c r="L2502" s="15"/>
      <c r="M2502" s="113">
        <f t="shared" si="229"/>
        <v>1</v>
      </c>
      <c r="N2502" s="64">
        <f t="shared" ca="1" si="226"/>
        <v>1.0001046676587302</v>
      </c>
    </row>
    <row r="2503" spans="1:14">
      <c r="A2503" s="39">
        <f t="shared" ca="1" si="232"/>
        <v>3.7485714285714238</v>
      </c>
      <c r="B2503" s="41">
        <f t="shared" ca="1" si="233"/>
        <v>3.7680357142857202</v>
      </c>
      <c r="C2503" s="103">
        <f t="shared" si="235"/>
        <v>46301</v>
      </c>
      <c r="E2503" s="167"/>
      <c r="F2503" s="58" t="str">
        <f>VLOOKUP(MOD(C2503,7),'CALENDAR INFO'!$I$2:$J$8,2)</f>
        <v>TUE</v>
      </c>
      <c r="I2503" s="457">
        <f t="shared" si="234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9"/>
        <v>1</v>
      </c>
      <c r="N2503" s="64">
        <f t="shared" ca="1" si="226"/>
        <v>1.0001046676587302</v>
      </c>
    </row>
    <row r="2504" spans="1:14">
      <c r="A2504" s="39">
        <f t="shared" ca="1" si="232"/>
        <v>3.7485714285714238</v>
      </c>
      <c r="B2504" s="41">
        <f t="shared" ca="1" si="233"/>
        <v>3.7680357142857202</v>
      </c>
      <c r="C2504" s="103">
        <f t="shared" si="235"/>
        <v>46302</v>
      </c>
      <c r="E2504" s="167"/>
      <c r="F2504" s="58" t="str">
        <f>VLOOKUP(MOD(C2504,7),'CALENDAR INFO'!$I$2:$J$8,2)</f>
        <v>WED</v>
      </c>
      <c r="I2504" s="457">
        <f t="shared" si="234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9"/>
        <v>1</v>
      </c>
      <c r="N2504" s="64">
        <f t="shared" ca="1" si="226"/>
        <v>1.0001046676587302</v>
      </c>
    </row>
    <row r="2505" spans="1:14">
      <c r="A2505" s="39">
        <f t="shared" ca="1" si="232"/>
        <v>3.7485714285714238</v>
      </c>
      <c r="B2505" s="41">
        <f t="shared" ca="1" si="233"/>
        <v>3.7680357142857202</v>
      </c>
      <c r="C2505" s="103">
        <f t="shared" si="235"/>
        <v>46303</v>
      </c>
      <c r="E2505" s="167"/>
      <c r="F2505" s="58" t="str">
        <f>VLOOKUP(MOD(C2505,7),'CALENDAR INFO'!$I$2:$J$8,2)</f>
        <v>THU</v>
      </c>
      <c r="I2505" s="457">
        <f t="shared" si="234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9"/>
        <v>1</v>
      </c>
      <c r="N2505" s="64">
        <f t="shared" ca="1" si="226"/>
        <v>1.0001046676587302</v>
      </c>
    </row>
    <row r="2506" spans="1:14">
      <c r="A2506" s="39">
        <f t="shared" ca="1" si="232"/>
        <v>3.7485714285714238</v>
      </c>
      <c r="B2506" s="41">
        <f t="shared" ca="1" si="233"/>
        <v>3.7680357142857202</v>
      </c>
      <c r="C2506" s="103">
        <f t="shared" si="235"/>
        <v>46304</v>
      </c>
      <c r="E2506" s="167"/>
      <c r="F2506" s="58" t="str">
        <f>VLOOKUP(MOD(C2506,7),'CALENDAR INFO'!$I$2:$J$8,2)</f>
        <v>FRI</v>
      </c>
      <c r="I2506" s="457">
        <f t="shared" si="234"/>
        <v>0</v>
      </c>
      <c r="M2506" s="117">
        <v>4</v>
      </c>
      <c r="N2506" s="64">
        <f t="shared" ca="1" si="226"/>
        <v>1.0004186706349207</v>
      </c>
    </row>
    <row r="2507" spans="1:14">
      <c r="A2507" s="39">
        <f t="shared" ca="1" si="232"/>
        <v>3.7485714285714238</v>
      </c>
      <c r="B2507" s="41">
        <f t="shared" ca="1" si="233"/>
        <v>3.7680357142857202</v>
      </c>
      <c r="C2507" s="103">
        <f t="shared" si="235"/>
        <v>46305</v>
      </c>
      <c r="E2507" s="167"/>
      <c r="F2507" s="58" t="str">
        <f>VLOOKUP(MOD(C2507,7),'CALENDAR INFO'!$I$2:$J$8,2)</f>
        <v>SAT</v>
      </c>
      <c r="I2507" s="457">
        <f t="shared" si="234"/>
        <v>0</v>
      </c>
      <c r="J2507" s="15" t="s">
        <v>241</v>
      </c>
      <c r="K2507" s="186">
        <f>A2529+G2529</f>
        <v>3.8149999999999977</v>
      </c>
      <c r="L2507" s="194">
        <f>B2529+H2529</f>
        <v>3.8400000000000034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2"/>
        <v>3.7485714285714238</v>
      </c>
      <c r="B2508" s="41">
        <f t="shared" ca="1" si="233"/>
        <v>3.7680357142857202</v>
      </c>
      <c r="C2508" s="103">
        <f t="shared" si="235"/>
        <v>46306</v>
      </c>
      <c r="E2508" s="167"/>
      <c r="F2508" s="58" t="str">
        <f>VLOOKUP(MOD(C2508,7),'CALENDAR INFO'!$I$2:$J$8,2)</f>
        <v>SUN</v>
      </c>
      <c r="I2508" s="457">
        <f t="shared" si="234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2"/>
        <v>3.7485714285714238</v>
      </c>
      <c r="B2509" s="41">
        <f t="shared" ca="1" si="233"/>
        <v>3.7680357142857202</v>
      </c>
      <c r="C2509" s="103">
        <f t="shared" si="235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4"/>
        <v>0</v>
      </c>
      <c r="J2509" s="15" t="s">
        <v>197</v>
      </c>
      <c r="K2509" s="180">
        <f>OUTPUT!C7</f>
        <v>3.7549999999999955</v>
      </c>
      <c r="L2509" s="180">
        <f>OUTPUT!F7</f>
        <v>3.7750000000000057</v>
      </c>
      <c r="M2509" s="117">
        <v>0</v>
      </c>
      <c r="N2509" s="64">
        <f t="shared" ca="1" si="226"/>
        <v>1</v>
      </c>
    </row>
    <row r="2510" spans="1:14">
      <c r="A2510" s="39">
        <f t="shared" ca="1" si="232"/>
        <v>3.7485714285714238</v>
      </c>
      <c r="B2510" s="41">
        <f t="shared" ca="1" si="233"/>
        <v>3.7680357142857202</v>
      </c>
      <c r="C2510" s="103">
        <f t="shared" si="235"/>
        <v>46308</v>
      </c>
      <c r="E2510" s="167"/>
      <c r="F2510" s="58" t="str">
        <f>VLOOKUP(MOD(C2510,7),'CALENDAR INFO'!$I$2:$J$8,2)</f>
        <v>TUE</v>
      </c>
      <c r="I2510" s="457">
        <f t="shared" si="234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6">IF(MOD(C2510,7)&lt;2,0,IF(MOD(C2510,7)=6,3,1))</f>
        <v>1</v>
      </c>
      <c r="N2510" s="64">
        <f t="shared" ca="1" si="226"/>
        <v>1.0001046676587302</v>
      </c>
    </row>
    <row r="2511" spans="1:14">
      <c r="A2511" s="39">
        <f t="shared" ca="1" si="232"/>
        <v>3.7485714285714238</v>
      </c>
      <c r="B2511" s="41">
        <f t="shared" ca="1" si="233"/>
        <v>3.7680357142857202</v>
      </c>
      <c r="C2511" s="103">
        <f t="shared" si="235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4"/>
        <v>0</v>
      </c>
      <c r="J2511" s="15" t="s">
        <v>234</v>
      </c>
      <c r="K2511" s="178">
        <f>K2509*K2499</f>
        <v>116.40499999999986</v>
      </c>
      <c r="L2511" s="178">
        <f>L2509*L2499</f>
        <v>117.02500000000018</v>
      </c>
      <c r="M2511" s="113">
        <f t="shared" si="236"/>
        <v>1</v>
      </c>
      <c r="N2511" s="64">
        <f t="shared" ca="1" si="226"/>
        <v>1.0001046676587302</v>
      </c>
    </row>
    <row r="2512" spans="1:14">
      <c r="A2512" s="39">
        <f t="shared" ca="1" si="232"/>
        <v>3.7485714285714238</v>
      </c>
      <c r="B2512" s="41">
        <f t="shared" ca="1" si="233"/>
        <v>3.7680357142857202</v>
      </c>
      <c r="C2512" s="103">
        <f t="shared" si="235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4"/>
        <v>0</v>
      </c>
      <c r="K2512" s="178"/>
      <c r="L2512" s="192"/>
      <c r="M2512" s="113">
        <f t="shared" si="236"/>
        <v>1</v>
      </c>
      <c r="N2512" s="64">
        <f t="shared" ca="1" si="226"/>
        <v>1.0001046676587302</v>
      </c>
    </row>
    <row r="2513" spans="1:14">
      <c r="A2513" s="39">
        <f t="shared" ca="1" si="232"/>
        <v>3.7485714285714238</v>
      </c>
      <c r="B2513" s="41">
        <f t="shared" ca="1" si="233"/>
        <v>3.7680357142857202</v>
      </c>
      <c r="C2513" s="103">
        <f t="shared" si="235"/>
        <v>46311</v>
      </c>
      <c r="E2513" s="170"/>
      <c r="F2513" s="58" t="str">
        <f>VLOOKUP(MOD(C2513,7),'CALENDAR INFO'!$I$2:$J$8,2)</f>
        <v>FRI</v>
      </c>
      <c r="I2513" s="457">
        <f t="shared" si="234"/>
        <v>0</v>
      </c>
      <c r="J2513" s="15" t="str">
        <f>J2511</f>
        <v>monthly target</v>
      </c>
      <c r="K2513" s="178">
        <f>K2511</f>
        <v>116.40499999999986</v>
      </c>
      <c r="L2513" s="192">
        <f>L2511</f>
        <v>117.02500000000018</v>
      </c>
      <c r="M2513" s="113">
        <f t="shared" si="236"/>
        <v>3</v>
      </c>
      <c r="N2513" s="64">
        <f t="shared" ca="1" si="226"/>
        <v>1.0003140029761906</v>
      </c>
    </row>
    <row r="2514" spans="1:14">
      <c r="A2514" s="39">
        <f t="shared" ca="1" si="232"/>
        <v>3.7485714285714238</v>
      </c>
      <c r="B2514" s="41">
        <f t="shared" ca="1" si="233"/>
        <v>3.7680357142857202</v>
      </c>
      <c r="C2514" s="103">
        <f t="shared" si="235"/>
        <v>46312</v>
      </c>
      <c r="E2514" s="170"/>
      <c r="F2514" s="58" t="str">
        <f>VLOOKUP(MOD(C2514,7),'CALENDAR INFO'!$I$2:$J$8,2)</f>
        <v>SAT</v>
      </c>
      <c r="I2514" s="457">
        <f t="shared" si="234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6"/>
        <v>0</v>
      </c>
      <c r="N2514" s="64">
        <f t="shared" ca="1" si="226"/>
        <v>1</v>
      </c>
    </row>
    <row r="2515" spans="1:14">
      <c r="A2515" s="39">
        <f t="shared" ca="1" si="232"/>
        <v>3.7485714285714238</v>
      </c>
      <c r="B2515" s="41">
        <f t="shared" ca="1" si="233"/>
        <v>3.7680357142857202</v>
      </c>
      <c r="C2515" s="103">
        <f t="shared" si="235"/>
        <v>46313</v>
      </c>
      <c r="E2515" s="170"/>
      <c r="F2515" s="58" t="str">
        <f>VLOOKUP(MOD(C2515,7),'CALENDAR INFO'!$I$2:$J$8,2)</f>
        <v>SUN</v>
      </c>
      <c r="I2515" s="457">
        <f t="shared" si="234"/>
        <v>0</v>
      </c>
      <c r="J2515" s="15" t="s">
        <v>237</v>
      </c>
      <c r="K2515" s="400">
        <f ca="1">SUM(INDIRECT(K2505))</f>
        <v>11.444999999999993</v>
      </c>
      <c r="L2515" s="401">
        <f ca="1">SUM(INDIRECT(L2505))</f>
        <v>11.52000000000001</v>
      </c>
      <c r="M2515" s="113">
        <f t="shared" si="236"/>
        <v>0</v>
      </c>
      <c r="N2515" s="64">
        <f t="shared" ref="N2515:N2578" ca="1" si="237">1+(M2515/360)*(MAX(H2515,B2515)/100)</f>
        <v>1</v>
      </c>
    </row>
    <row r="2516" spans="1:14">
      <c r="A2516" s="39">
        <f t="shared" ca="1" si="232"/>
        <v>3.7485714285714238</v>
      </c>
      <c r="B2516" s="41">
        <f t="shared" ca="1" si="233"/>
        <v>3.7680357142857202</v>
      </c>
      <c r="C2516" s="103">
        <f t="shared" si="235"/>
        <v>46314</v>
      </c>
      <c r="E2516" s="170"/>
      <c r="F2516" s="58" t="str">
        <f>VLOOKUP(MOD(C2516,7),'CALENDAR INFO'!$I$2:$J$8,2)</f>
        <v>MON</v>
      </c>
      <c r="I2516" s="457">
        <f t="shared" si="234"/>
        <v>0</v>
      </c>
      <c r="J2516" s="15" t="s">
        <v>238</v>
      </c>
      <c r="K2516" s="182">
        <f ca="1">K2511-K2514-K2515</f>
        <v>104.95999999999987</v>
      </c>
      <c r="L2516" s="201">
        <f ca="1">L2511-L2514-L2515</f>
        <v>105.50500000000017</v>
      </c>
      <c r="M2516" s="113">
        <f t="shared" si="236"/>
        <v>1</v>
      </c>
      <c r="N2516" s="64">
        <f t="shared" ca="1" si="237"/>
        <v>1.0001046676587302</v>
      </c>
    </row>
    <row r="2517" spans="1:14">
      <c r="A2517" s="39">
        <f t="shared" ca="1" si="232"/>
        <v>3.7485714285714238</v>
      </c>
      <c r="B2517" s="41">
        <f t="shared" ca="1" si="233"/>
        <v>3.7680357142857202</v>
      </c>
      <c r="C2517" s="103">
        <f t="shared" si="235"/>
        <v>46315</v>
      </c>
      <c r="E2517" s="170"/>
      <c r="F2517" s="58" t="str">
        <f>VLOOKUP(MOD(C2517,7),'CALENDAR INFO'!$I$2:$J$8,2)</f>
        <v>TUE</v>
      </c>
      <c r="I2517" s="457">
        <f t="shared" si="234"/>
        <v>0</v>
      </c>
      <c r="M2517" s="113">
        <f t="shared" si="236"/>
        <v>1</v>
      </c>
      <c r="N2517" s="64">
        <f t="shared" ca="1" si="237"/>
        <v>1.0001046676587302</v>
      </c>
    </row>
    <row r="2518" spans="1:14">
      <c r="A2518" s="39">
        <f t="shared" ca="1" si="232"/>
        <v>3.7485714285714238</v>
      </c>
      <c r="B2518" s="41">
        <f t="shared" ca="1" si="233"/>
        <v>3.7680357142857202</v>
      </c>
      <c r="C2518" s="103">
        <f t="shared" si="235"/>
        <v>46316</v>
      </c>
      <c r="E2518" s="170"/>
      <c r="F2518" s="58" t="str">
        <f>VLOOKUP(MOD(C2518,7),'CALENDAR INFO'!$I$2:$J$8,2)</f>
        <v>WED</v>
      </c>
      <c r="I2518" s="457">
        <f t="shared" si="234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6"/>
        <v>1</v>
      </c>
      <c r="N2518" s="64">
        <f t="shared" ca="1" si="237"/>
        <v>1.0001046676587302</v>
      </c>
    </row>
    <row r="2519" spans="1:14">
      <c r="A2519" s="39">
        <f t="shared" ca="1" si="232"/>
        <v>3.7485714285714238</v>
      </c>
      <c r="B2519" s="41">
        <f t="shared" ca="1" si="233"/>
        <v>3.7680357142857202</v>
      </c>
      <c r="C2519" s="103">
        <f t="shared" si="235"/>
        <v>46317</v>
      </c>
      <c r="E2519" s="170"/>
      <c r="F2519" s="58" t="str">
        <f>VLOOKUP(MOD(C2519,7),'CALENDAR INFO'!$I$2:$J$8,2)</f>
        <v>THU</v>
      </c>
      <c r="I2519" s="457">
        <f t="shared" si="234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6"/>
        <v>1</v>
      </c>
      <c r="N2519" s="64">
        <f t="shared" ca="1" si="237"/>
        <v>1.0001046676587302</v>
      </c>
    </row>
    <row r="2520" spans="1:14">
      <c r="A2520" s="39">
        <f t="shared" ca="1" si="232"/>
        <v>3.7485714285714238</v>
      </c>
      <c r="B2520" s="41">
        <f t="shared" ca="1" si="233"/>
        <v>3.7680357142857202</v>
      </c>
      <c r="C2520" s="103">
        <f t="shared" si="235"/>
        <v>46318</v>
      </c>
      <c r="E2520" s="170"/>
      <c r="F2520" s="58" t="str">
        <f>VLOOKUP(MOD(C2520,7),'CALENDAR INFO'!$I$2:$J$8,2)</f>
        <v>FRI</v>
      </c>
      <c r="I2520" s="457">
        <f t="shared" si="234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6"/>
        <v>3</v>
      </c>
      <c r="N2520" s="64">
        <f t="shared" ca="1" si="237"/>
        <v>1.0003140029761906</v>
      </c>
    </row>
    <row r="2521" spans="1:14">
      <c r="A2521" s="39">
        <f t="shared" ca="1" si="232"/>
        <v>3.7485714285714238</v>
      </c>
      <c r="B2521" s="41">
        <f t="shared" ca="1" si="233"/>
        <v>3.7680357142857202</v>
      </c>
      <c r="C2521" s="103">
        <f t="shared" si="235"/>
        <v>46319</v>
      </c>
      <c r="E2521" s="170"/>
      <c r="F2521" s="58" t="str">
        <f>VLOOKUP(MOD(C2521,7),'CALENDAR INFO'!$I$2:$J$8,2)</f>
        <v>SAT</v>
      </c>
      <c r="I2521" s="457">
        <f t="shared" si="234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6"/>
        <v>0</v>
      </c>
      <c r="N2521" s="64">
        <f t="shared" ca="1" si="237"/>
        <v>1</v>
      </c>
    </row>
    <row r="2522" spans="1:14">
      <c r="A2522" s="39">
        <f t="shared" ca="1" si="232"/>
        <v>3.7485714285714238</v>
      </c>
      <c r="B2522" s="41">
        <f t="shared" ca="1" si="233"/>
        <v>3.7680357142857202</v>
      </c>
      <c r="C2522" s="103">
        <f t="shared" si="235"/>
        <v>46320</v>
      </c>
      <c r="E2522" s="170"/>
      <c r="F2522" s="58" t="str">
        <f>VLOOKUP(MOD(C2522,7),'CALENDAR INFO'!$I$2:$J$8,2)</f>
        <v>SUN</v>
      </c>
      <c r="I2522" s="457">
        <f t="shared" si="234"/>
        <v>0</v>
      </c>
      <c r="K2522" s="178"/>
      <c r="L2522" s="192"/>
      <c r="M2522" s="113">
        <f t="shared" si="236"/>
        <v>0</v>
      </c>
      <c r="N2522" s="64">
        <f t="shared" ca="1" si="237"/>
        <v>1</v>
      </c>
    </row>
    <row r="2523" spans="1:14">
      <c r="A2523" s="39">
        <f t="shared" ca="1" si="232"/>
        <v>3.7485714285714238</v>
      </c>
      <c r="B2523" s="41">
        <f t="shared" ca="1" si="233"/>
        <v>3.7680357142857202</v>
      </c>
      <c r="C2523" s="103">
        <f t="shared" si="235"/>
        <v>46321</v>
      </c>
      <c r="E2523" s="170"/>
      <c r="F2523" s="58" t="str">
        <f>VLOOKUP(MOD(C2523,7),'CALENDAR INFO'!$I$2:$J$8,2)</f>
        <v>MON</v>
      </c>
      <c r="I2523" s="457">
        <f t="shared" si="234"/>
        <v>0</v>
      </c>
      <c r="J2523" s="15" t="s">
        <v>238</v>
      </c>
      <c r="K2523" s="178">
        <f ca="1">K2516</f>
        <v>104.95999999999987</v>
      </c>
      <c r="L2523" s="192">
        <f ca="1">L2516</f>
        <v>105.50500000000017</v>
      </c>
      <c r="M2523" s="113">
        <f t="shared" si="236"/>
        <v>1</v>
      </c>
      <c r="N2523" s="64">
        <f t="shared" ca="1" si="237"/>
        <v>1.0001046676587302</v>
      </c>
    </row>
    <row r="2524" spans="1:14">
      <c r="A2524" s="39">
        <f t="shared" ca="1" si="232"/>
        <v>3.7485714285714238</v>
      </c>
      <c r="B2524" s="41">
        <f t="shared" ca="1" si="233"/>
        <v>3.7680357142857202</v>
      </c>
      <c r="C2524" s="103">
        <f t="shared" si="235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4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6"/>
        <v>1</v>
      </c>
      <c r="N2524" s="64">
        <f t="shared" ca="1" si="237"/>
        <v>1.0001046676587302</v>
      </c>
    </row>
    <row r="2525" spans="1:14">
      <c r="A2525" s="39">
        <f ca="1">K$2525</f>
        <v>3.7485714285714238</v>
      </c>
      <c r="B2525" s="41">
        <f t="shared" ca="1" si="233"/>
        <v>3.7680357142857202</v>
      </c>
      <c r="C2525" s="103">
        <f t="shared" si="235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4"/>
        <v>0</v>
      </c>
      <c r="J2525" s="15" t="s">
        <v>240</v>
      </c>
      <c r="K2525" s="178">
        <f ca="1">K2523/K2524</f>
        <v>3.7485714285714238</v>
      </c>
      <c r="L2525" s="192">
        <f ca="1">L2523/L2524</f>
        <v>3.7680357142857202</v>
      </c>
      <c r="M2525" s="113">
        <f t="shared" si="236"/>
        <v>1</v>
      </c>
      <c r="N2525" s="64">
        <f t="shared" ca="1" si="237"/>
        <v>1.0001046676587302</v>
      </c>
    </row>
    <row r="2526" spans="1:14">
      <c r="A2526" s="304">
        <f t="shared" ref="A2526:B2528" si="238">K$2507</f>
        <v>3.8149999999999977</v>
      </c>
      <c r="B2526" s="305">
        <f t="shared" si="238"/>
        <v>3.8400000000000034</v>
      </c>
      <c r="C2526" s="103">
        <f t="shared" si="235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4"/>
        <v>0</v>
      </c>
      <c r="M2526" s="113">
        <f t="shared" si="236"/>
        <v>1</v>
      </c>
      <c r="N2526" s="64">
        <f t="shared" si="237"/>
        <v>1.0001066666666667</v>
      </c>
    </row>
    <row r="2527" spans="1:14">
      <c r="A2527" s="304">
        <f t="shared" si="238"/>
        <v>3.8149999999999977</v>
      </c>
      <c r="B2527" s="305">
        <f t="shared" si="238"/>
        <v>3.8400000000000034</v>
      </c>
      <c r="C2527" s="103">
        <f t="shared" si="235"/>
        <v>46325</v>
      </c>
      <c r="E2527" s="167"/>
      <c r="F2527" s="58" t="str">
        <f>VLOOKUP(MOD(C2527,7),'CALENDAR INFO'!$I$2:$J$8,2)</f>
        <v>FRI</v>
      </c>
      <c r="I2527" s="457">
        <f t="shared" si="234"/>
        <v>0</v>
      </c>
      <c r="M2527" s="113">
        <f t="shared" si="236"/>
        <v>3</v>
      </c>
      <c r="N2527" s="64">
        <f t="shared" si="237"/>
        <v>1.0003200000000001</v>
      </c>
    </row>
    <row r="2528" spans="1:14" ht="15.75" thickBot="1">
      <c r="A2528" s="405">
        <f t="shared" si="238"/>
        <v>3.8149999999999977</v>
      </c>
      <c r="B2528" s="406">
        <f t="shared" si="238"/>
        <v>3.8400000000000034</v>
      </c>
      <c r="C2528" s="104">
        <f t="shared" si="235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4"/>
        <v>0</v>
      </c>
      <c r="J2528" s="348"/>
      <c r="K2528" s="348"/>
      <c r="L2528" s="349"/>
      <c r="M2528" s="114">
        <f t="shared" si="236"/>
        <v>0</v>
      </c>
      <c r="N2528" s="292">
        <f t="shared" si="237"/>
        <v>1</v>
      </c>
    </row>
    <row r="2529" spans="1:14">
      <c r="A2529" s="304">
        <f>K2538</f>
        <v>3.8149999999999977</v>
      </c>
      <c r="B2529" s="305">
        <f>L2538</f>
        <v>3.8400000000000034</v>
      </c>
      <c r="C2529" s="103">
        <f t="shared" si="235"/>
        <v>46327</v>
      </c>
      <c r="E2529" s="167"/>
      <c r="F2529" s="58" t="str">
        <f>VLOOKUP(MOD(C2529,7),'CALENDAR INFO'!$I$2:$J$8,2)</f>
        <v>SUN</v>
      </c>
      <c r="I2529" s="457">
        <f t="shared" si="234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6"/>
        <v>0</v>
      </c>
      <c r="N2529" s="64">
        <f t="shared" si="237"/>
        <v>1</v>
      </c>
    </row>
    <row r="2530" spans="1:14">
      <c r="A2530" s="39">
        <f ca="1">K$2556</f>
        <v>3.8149999999999977</v>
      </c>
      <c r="B2530" s="41">
        <f t="shared" ref="B2530:B2558" ca="1" si="239">L$2556</f>
        <v>3.8400000000000034</v>
      </c>
      <c r="C2530" s="103">
        <f t="shared" si="235"/>
        <v>46328</v>
      </c>
      <c r="E2530" s="167"/>
      <c r="F2530" s="58" t="str">
        <f>VLOOKUP(MOD(C2530,7),'CALENDAR INFO'!$I$2:$J$8,2)</f>
        <v>MON</v>
      </c>
      <c r="I2530" s="457">
        <f t="shared" si="234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6"/>
        <v>1</v>
      </c>
      <c r="N2530" s="64">
        <f t="shared" ca="1" si="237"/>
        <v>1.0001066666666667</v>
      </c>
    </row>
    <row r="2531" spans="1:14">
      <c r="A2531" s="39">
        <f t="shared" ref="A2531:A2558" ca="1" si="240">K$2556</f>
        <v>3.8149999999999977</v>
      </c>
      <c r="B2531" s="41">
        <f t="shared" ca="1" si="239"/>
        <v>3.8400000000000034</v>
      </c>
      <c r="C2531" s="103">
        <f t="shared" si="235"/>
        <v>46329</v>
      </c>
      <c r="E2531" s="167"/>
      <c r="F2531" s="58" t="str">
        <f>VLOOKUP(MOD(C2531,7),'CALENDAR INFO'!$I$2:$J$8,2)</f>
        <v>TUE</v>
      </c>
      <c r="I2531" s="457">
        <f t="shared" si="234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6"/>
        <v>1</v>
      </c>
      <c r="N2531" s="64">
        <f t="shared" ca="1" si="237"/>
        <v>1.0001066666666667</v>
      </c>
    </row>
    <row r="2532" spans="1:14">
      <c r="A2532" s="39">
        <f t="shared" ca="1" si="240"/>
        <v>3.8149999999999977</v>
      </c>
      <c r="B2532" s="41">
        <f t="shared" ca="1" si="239"/>
        <v>3.8400000000000034</v>
      </c>
      <c r="C2532" s="103">
        <f t="shared" si="235"/>
        <v>46330</v>
      </c>
      <c r="E2532" s="167"/>
      <c r="F2532" s="58" t="str">
        <f>VLOOKUP(MOD(C2532,7),'CALENDAR INFO'!$I$2:$J$8,2)</f>
        <v>WED</v>
      </c>
      <c r="I2532" s="457">
        <f t="shared" si="234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6"/>
        <v>1</v>
      </c>
      <c r="N2532" s="64">
        <f t="shared" ca="1" si="237"/>
        <v>1.0001066666666667</v>
      </c>
    </row>
    <row r="2533" spans="1:14">
      <c r="A2533" s="39">
        <f t="shared" ca="1" si="240"/>
        <v>3.8149999999999977</v>
      </c>
      <c r="B2533" s="41">
        <f t="shared" ca="1" si="239"/>
        <v>3.8400000000000034</v>
      </c>
      <c r="C2533" s="103">
        <f t="shared" si="235"/>
        <v>46331</v>
      </c>
      <c r="E2533" s="167"/>
      <c r="F2533" s="58" t="str">
        <f>VLOOKUP(MOD(C2533,7),'CALENDAR INFO'!$I$2:$J$8,2)</f>
        <v>THU</v>
      </c>
      <c r="I2533" s="457">
        <f t="shared" si="234"/>
        <v>0</v>
      </c>
      <c r="K2533" s="176"/>
      <c r="M2533" s="113">
        <f t="shared" si="236"/>
        <v>1</v>
      </c>
      <c r="N2533" s="64">
        <f t="shared" ca="1" si="237"/>
        <v>1.0001066666666667</v>
      </c>
    </row>
    <row r="2534" spans="1:14">
      <c r="A2534" s="39">
        <f t="shared" ca="1" si="240"/>
        <v>3.8149999999999977</v>
      </c>
      <c r="B2534" s="41">
        <f t="shared" ca="1" si="239"/>
        <v>3.8400000000000034</v>
      </c>
      <c r="C2534" s="103">
        <f t="shared" si="235"/>
        <v>46332</v>
      </c>
      <c r="E2534" s="167"/>
      <c r="F2534" s="58" t="str">
        <f>VLOOKUP(MOD(C2534,7),'CALENDAR INFO'!$I$2:$J$8,2)</f>
        <v>FRI</v>
      </c>
      <c r="I2534" s="457">
        <f t="shared" si="234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6"/>
        <v>3</v>
      </c>
      <c r="N2534" s="64">
        <f t="shared" ca="1" si="237"/>
        <v>1.0003200000000001</v>
      </c>
    </row>
    <row r="2535" spans="1:14">
      <c r="A2535" s="39">
        <f t="shared" ca="1" si="240"/>
        <v>3.8149999999999977</v>
      </c>
      <c r="B2535" s="41">
        <f t="shared" ca="1" si="239"/>
        <v>3.8400000000000034</v>
      </c>
      <c r="C2535" s="103">
        <f t="shared" si="235"/>
        <v>46333</v>
      </c>
      <c r="E2535" s="167"/>
      <c r="F2535" s="58" t="str">
        <f>VLOOKUP(MOD(C2535,7),'CALENDAR INFO'!$I$2:$J$8,2)</f>
        <v>SAT</v>
      </c>
      <c r="I2535" s="457">
        <f t="shared" si="234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6"/>
        <v>0</v>
      </c>
      <c r="N2535" s="64">
        <f t="shared" ca="1" si="237"/>
        <v>1</v>
      </c>
    </row>
    <row r="2536" spans="1:14">
      <c r="A2536" s="39">
        <f t="shared" ca="1" si="240"/>
        <v>3.8149999999999977</v>
      </c>
      <c r="B2536" s="41">
        <f t="shared" ca="1" si="239"/>
        <v>3.8400000000000034</v>
      </c>
      <c r="C2536" s="103">
        <f t="shared" si="235"/>
        <v>46334</v>
      </c>
      <c r="E2536" s="167"/>
      <c r="F2536" s="58" t="str">
        <f>VLOOKUP(MOD(C2536,7),'CALENDAR INFO'!$I$2:$J$8,2)</f>
        <v>SUN</v>
      </c>
      <c r="I2536" s="457">
        <f t="shared" si="234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6"/>
        <v>0</v>
      </c>
      <c r="N2536" s="64">
        <f t="shared" ca="1" si="237"/>
        <v>1</v>
      </c>
    </row>
    <row r="2537" spans="1:14">
      <c r="A2537" s="39">
        <f t="shared" ca="1" si="240"/>
        <v>3.8149999999999977</v>
      </c>
      <c r="B2537" s="41">
        <f t="shared" ca="1" si="239"/>
        <v>3.8400000000000034</v>
      </c>
      <c r="C2537" s="103">
        <f t="shared" si="235"/>
        <v>46335</v>
      </c>
      <c r="E2537" s="167"/>
      <c r="F2537" s="58" t="str">
        <f>VLOOKUP(MOD(C2537,7),'CALENDAR INFO'!$I$2:$J$8,2)</f>
        <v>MON</v>
      </c>
      <c r="I2537" s="457">
        <f t="shared" si="234"/>
        <v>0</v>
      </c>
      <c r="M2537" s="113">
        <f t="shared" si="236"/>
        <v>1</v>
      </c>
      <c r="N2537" s="64">
        <f t="shared" ca="1" si="237"/>
        <v>1.0001066666666667</v>
      </c>
    </row>
    <row r="2538" spans="1:14">
      <c r="A2538" s="39">
        <f t="shared" ca="1" si="240"/>
        <v>3.8149999999999977</v>
      </c>
      <c r="B2538" s="41">
        <f t="shared" ca="1" si="239"/>
        <v>3.8400000000000034</v>
      </c>
      <c r="C2538" s="103">
        <f t="shared" si="235"/>
        <v>46336</v>
      </c>
      <c r="E2538" s="167"/>
      <c r="F2538" s="58" t="str">
        <f>VLOOKUP(MOD(C2538,7),'CALENDAR INFO'!$I$2:$J$8,2)</f>
        <v>TUE</v>
      </c>
      <c r="I2538" s="457">
        <f t="shared" si="234"/>
        <v>0</v>
      </c>
      <c r="J2538" s="15" t="s">
        <v>241</v>
      </c>
      <c r="K2538" s="186">
        <f>K2540</f>
        <v>3.8149999999999977</v>
      </c>
      <c r="L2538" s="194">
        <f>L2540</f>
        <v>3.8400000000000034</v>
      </c>
      <c r="M2538" s="117">
        <v>2</v>
      </c>
      <c r="N2538" s="64">
        <f t="shared" ca="1" si="237"/>
        <v>1.0002133333333334</v>
      </c>
    </row>
    <row r="2539" spans="1:14">
      <c r="A2539" s="39">
        <f t="shared" ca="1" si="240"/>
        <v>3.8149999999999977</v>
      </c>
      <c r="B2539" s="41">
        <f t="shared" ca="1" si="239"/>
        <v>3.8400000000000034</v>
      </c>
      <c r="C2539" s="103">
        <f t="shared" si="235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4"/>
        <v>0</v>
      </c>
      <c r="M2539" s="117">
        <v>0</v>
      </c>
      <c r="N2539" s="64">
        <f t="shared" ca="1" si="237"/>
        <v>1</v>
      </c>
    </row>
    <row r="2540" spans="1:14">
      <c r="A2540" s="39">
        <f t="shared" ca="1" si="240"/>
        <v>3.8149999999999977</v>
      </c>
      <c r="B2540" s="41">
        <f t="shared" ca="1" si="239"/>
        <v>3.8400000000000034</v>
      </c>
      <c r="C2540" s="103">
        <f t="shared" si="235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4"/>
        <v>0</v>
      </c>
      <c r="J2540" s="15" t="s">
        <v>197</v>
      </c>
      <c r="K2540" s="180">
        <f>OUTPUT!C8</f>
        <v>3.8149999999999977</v>
      </c>
      <c r="L2540" s="193">
        <f>OUTPUT!F8</f>
        <v>3.8400000000000034</v>
      </c>
      <c r="M2540" s="113">
        <f t="shared" ref="M2540:M2552" si="241">IF(MOD(C2540,7)&lt;2,0,IF(MOD(C2540,7)=6,3,1))</f>
        <v>1</v>
      </c>
      <c r="N2540" s="64">
        <f t="shared" ca="1" si="237"/>
        <v>1.0001066666666667</v>
      </c>
    </row>
    <row r="2541" spans="1:14">
      <c r="A2541" s="39">
        <f t="shared" ca="1" si="240"/>
        <v>3.8149999999999977</v>
      </c>
      <c r="B2541" s="41">
        <f t="shared" ca="1" si="239"/>
        <v>3.8400000000000034</v>
      </c>
      <c r="C2541" s="103">
        <f t="shared" si="235"/>
        <v>46339</v>
      </c>
      <c r="E2541" s="170"/>
      <c r="F2541" s="58" t="str">
        <f>VLOOKUP(MOD(C2541,7),'CALENDAR INFO'!$I$2:$J$8,2)</f>
        <v>FRI</v>
      </c>
      <c r="I2541" s="457">
        <f t="shared" si="234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37"/>
        <v>1.0003200000000001</v>
      </c>
    </row>
    <row r="2542" spans="1:14">
      <c r="A2542" s="39">
        <f t="shared" ca="1" si="240"/>
        <v>3.8149999999999977</v>
      </c>
      <c r="B2542" s="41">
        <f t="shared" ca="1" si="239"/>
        <v>3.8400000000000034</v>
      </c>
      <c r="C2542" s="103">
        <f t="shared" si="235"/>
        <v>46340</v>
      </c>
      <c r="E2542" s="170"/>
      <c r="F2542" s="58" t="str">
        <f>VLOOKUP(MOD(C2542,7),'CALENDAR INFO'!$I$2:$J$8,2)</f>
        <v>SAT</v>
      </c>
      <c r="I2542" s="457">
        <f t="shared" si="234"/>
        <v>0</v>
      </c>
      <c r="J2542" s="15" t="s">
        <v>234</v>
      </c>
      <c r="K2542" s="178">
        <f>K2540*K2530</f>
        <v>114.44999999999993</v>
      </c>
      <c r="L2542" s="192">
        <f>L2540*L2530</f>
        <v>115.2000000000001</v>
      </c>
      <c r="M2542" s="113">
        <f t="shared" si="241"/>
        <v>0</v>
      </c>
      <c r="N2542" s="64">
        <f t="shared" ca="1" si="237"/>
        <v>1</v>
      </c>
    </row>
    <row r="2543" spans="1:14">
      <c r="A2543" s="39">
        <f t="shared" ca="1" si="240"/>
        <v>3.8149999999999977</v>
      </c>
      <c r="B2543" s="41">
        <f t="shared" ca="1" si="239"/>
        <v>3.8400000000000034</v>
      </c>
      <c r="C2543" s="103">
        <f t="shared" si="235"/>
        <v>46341</v>
      </c>
      <c r="E2543" s="170"/>
      <c r="F2543" s="58" t="str">
        <f>VLOOKUP(MOD(C2543,7),'CALENDAR INFO'!$I$2:$J$8,2)</f>
        <v>SUN</v>
      </c>
      <c r="I2543" s="457">
        <f t="shared" si="234"/>
        <v>0</v>
      </c>
      <c r="M2543" s="113">
        <f t="shared" si="241"/>
        <v>0</v>
      </c>
      <c r="N2543" s="64">
        <f t="shared" ca="1" si="237"/>
        <v>1</v>
      </c>
    </row>
    <row r="2544" spans="1:14">
      <c r="A2544" s="39">
        <f t="shared" ca="1" si="240"/>
        <v>3.8149999999999977</v>
      </c>
      <c r="B2544" s="41">
        <f t="shared" ca="1" si="239"/>
        <v>3.8400000000000034</v>
      </c>
      <c r="C2544" s="103">
        <f t="shared" si="235"/>
        <v>46342</v>
      </c>
      <c r="E2544" s="170"/>
      <c r="F2544" s="58" t="str">
        <f>VLOOKUP(MOD(C2544,7),'CALENDAR INFO'!$I$2:$J$8,2)</f>
        <v>MON</v>
      </c>
      <c r="I2544" s="457">
        <f t="shared" si="234"/>
        <v>0</v>
      </c>
      <c r="J2544" s="15" t="str">
        <f>J2542</f>
        <v>monthly target</v>
      </c>
      <c r="K2544" s="178">
        <f>K2542</f>
        <v>114.44999999999993</v>
      </c>
      <c r="L2544" s="192">
        <f>L2542</f>
        <v>115.2000000000001</v>
      </c>
      <c r="M2544" s="113">
        <f t="shared" si="241"/>
        <v>1</v>
      </c>
      <c r="N2544" s="64">
        <f t="shared" ca="1" si="237"/>
        <v>1.0001066666666667</v>
      </c>
    </row>
    <row r="2545" spans="1:14">
      <c r="A2545" s="39">
        <f t="shared" ca="1" si="240"/>
        <v>3.8149999999999977</v>
      </c>
      <c r="B2545" s="41">
        <f t="shared" ca="1" si="239"/>
        <v>3.8400000000000034</v>
      </c>
      <c r="C2545" s="103">
        <f t="shared" si="235"/>
        <v>46343</v>
      </c>
      <c r="E2545" s="170"/>
      <c r="F2545" s="58" t="str">
        <f>VLOOKUP(MOD(C2545,7),'CALENDAR INFO'!$I$2:$J$8,2)</f>
        <v>TUE</v>
      </c>
      <c r="I2545" s="457">
        <f t="shared" si="234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37"/>
        <v>1.0001066666666667</v>
      </c>
    </row>
    <row r="2546" spans="1:14">
      <c r="A2546" s="39">
        <f t="shared" ca="1" si="240"/>
        <v>3.8149999999999977</v>
      </c>
      <c r="B2546" s="41">
        <f t="shared" ca="1" si="239"/>
        <v>3.8400000000000034</v>
      </c>
      <c r="C2546" s="103">
        <f t="shared" si="235"/>
        <v>46344</v>
      </c>
      <c r="E2546" s="170"/>
      <c r="F2546" s="58" t="str">
        <f>VLOOKUP(MOD(C2546,7),'CALENDAR INFO'!$I$2:$J$8,2)</f>
        <v>WED</v>
      </c>
      <c r="I2546" s="457">
        <f t="shared" si="234"/>
        <v>0</v>
      </c>
      <c r="J2546" s="15" t="s">
        <v>237</v>
      </c>
      <c r="K2546" s="400">
        <f ca="1">SUM(INDIRECT(K2535))</f>
        <v>3.8149999999999977</v>
      </c>
      <c r="L2546" s="401">
        <f ca="1">SUM(INDIRECT(L2535))</f>
        <v>3.8400000000000034</v>
      </c>
      <c r="M2546" s="113">
        <f t="shared" si="241"/>
        <v>1</v>
      </c>
      <c r="N2546" s="64">
        <f t="shared" ca="1" si="237"/>
        <v>1.0001066666666667</v>
      </c>
    </row>
    <row r="2547" spans="1:14">
      <c r="A2547" s="39">
        <f t="shared" ca="1" si="240"/>
        <v>3.8149999999999977</v>
      </c>
      <c r="B2547" s="41">
        <f t="shared" ca="1" si="239"/>
        <v>3.8400000000000034</v>
      </c>
      <c r="C2547" s="103">
        <f t="shared" si="235"/>
        <v>46345</v>
      </c>
      <c r="E2547" s="170"/>
      <c r="F2547" s="58" t="str">
        <f>VLOOKUP(MOD(C2547,7),'CALENDAR INFO'!$I$2:$J$8,2)</f>
        <v>THU</v>
      </c>
      <c r="I2547" s="457">
        <f t="shared" si="234"/>
        <v>0</v>
      </c>
      <c r="J2547" s="15" t="s">
        <v>238</v>
      </c>
      <c r="K2547" s="182">
        <f ca="1">K2542-K2545-K2546</f>
        <v>110.63499999999993</v>
      </c>
      <c r="L2547" s="201">
        <f ca="1">L2542-L2545-L2546</f>
        <v>111.3600000000001</v>
      </c>
      <c r="M2547" s="113">
        <f t="shared" si="241"/>
        <v>1</v>
      </c>
      <c r="N2547" s="64">
        <f t="shared" ca="1" si="237"/>
        <v>1.0001066666666667</v>
      </c>
    </row>
    <row r="2548" spans="1:14">
      <c r="A2548" s="39">
        <f t="shared" ca="1" si="240"/>
        <v>3.8149999999999977</v>
      </c>
      <c r="B2548" s="41">
        <f t="shared" ca="1" si="239"/>
        <v>3.8400000000000034</v>
      </c>
      <c r="C2548" s="103">
        <f t="shared" si="235"/>
        <v>46346</v>
      </c>
      <c r="E2548" s="170"/>
      <c r="F2548" s="58" t="str">
        <f>VLOOKUP(MOD(C2548,7),'CALENDAR INFO'!$I$2:$J$8,2)</f>
        <v>FRI</v>
      </c>
      <c r="I2548" s="457">
        <f t="shared" si="234"/>
        <v>0</v>
      </c>
      <c r="K2548" s="178"/>
      <c r="L2548" s="192"/>
      <c r="M2548" s="113">
        <f t="shared" si="241"/>
        <v>3</v>
      </c>
      <c r="N2548" s="64">
        <f t="shared" ca="1" si="237"/>
        <v>1.0003200000000001</v>
      </c>
    </row>
    <row r="2549" spans="1:14">
      <c r="A2549" s="39">
        <f t="shared" ca="1" si="240"/>
        <v>3.8149999999999977</v>
      </c>
      <c r="B2549" s="41">
        <f t="shared" ca="1" si="239"/>
        <v>3.8400000000000034</v>
      </c>
      <c r="C2549" s="103">
        <f t="shared" si="235"/>
        <v>46347</v>
      </c>
      <c r="E2549" s="170"/>
      <c r="F2549" s="58" t="str">
        <f>VLOOKUP(MOD(C2549,7),'CALENDAR INFO'!$I$2:$J$8,2)</f>
        <v>SAT</v>
      </c>
      <c r="I2549" s="457">
        <f t="shared" si="234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37"/>
        <v>1</v>
      </c>
    </row>
    <row r="2550" spans="1:14">
      <c r="A2550" s="39">
        <f t="shared" ca="1" si="240"/>
        <v>3.8149999999999977</v>
      </c>
      <c r="B2550" s="41">
        <f t="shared" ca="1" si="239"/>
        <v>3.8400000000000034</v>
      </c>
      <c r="C2550" s="103">
        <f t="shared" si="235"/>
        <v>46348</v>
      </c>
      <c r="E2550" s="170"/>
      <c r="F2550" s="58" t="str">
        <f>VLOOKUP(MOD(C2550,7),'CALENDAR INFO'!$I$2:$J$8,2)</f>
        <v>SUN</v>
      </c>
      <c r="I2550" s="457">
        <f t="shared" si="234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37"/>
        <v>1</v>
      </c>
    </row>
    <row r="2551" spans="1:14">
      <c r="A2551" s="39">
        <f t="shared" ca="1" si="240"/>
        <v>3.8149999999999977</v>
      </c>
      <c r="B2551" s="41">
        <f t="shared" ca="1" si="239"/>
        <v>3.8400000000000034</v>
      </c>
      <c r="C2551" s="103">
        <f t="shared" si="235"/>
        <v>46349</v>
      </c>
      <c r="E2551" s="170"/>
      <c r="F2551" s="58" t="str">
        <f>VLOOKUP(MOD(C2551,7),'CALENDAR INFO'!$I$2:$J$8,2)</f>
        <v>MON</v>
      </c>
      <c r="I2551" s="457">
        <f t="shared" si="234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1"/>
        <v>1</v>
      </c>
      <c r="N2551" s="64">
        <f t="shared" ca="1" si="237"/>
        <v>1.0001066666666667</v>
      </c>
    </row>
    <row r="2552" spans="1:14">
      <c r="A2552" s="39">
        <f t="shared" ca="1" si="240"/>
        <v>3.8149999999999977</v>
      </c>
      <c r="B2552" s="41">
        <f t="shared" ca="1" si="239"/>
        <v>3.8400000000000034</v>
      </c>
      <c r="C2552" s="103">
        <f t="shared" si="235"/>
        <v>46350</v>
      </c>
      <c r="E2552" s="170"/>
      <c r="F2552" s="58" t="str">
        <f>VLOOKUP(MOD(C2552,7),'CALENDAR INFO'!$I$2:$J$8,2)</f>
        <v>TUE</v>
      </c>
      <c r="I2552" s="457">
        <f t="shared" si="234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37"/>
        <v>1.0001066666666667</v>
      </c>
    </row>
    <row r="2553" spans="1:14">
      <c r="A2553" s="39">
        <f t="shared" ca="1" si="240"/>
        <v>3.8149999999999977</v>
      </c>
      <c r="B2553" s="41">
        <f t="shared" ca="1" si="239"/>
        <v>3.8400000000000034</v>
      </c>
      <c r="C2553" s="103">
        <f t="shared" si="235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4"/>
        <v>0</v>
      </c>
      <c r="K2553" s="178"/>
      <c r="L2553" s="192"/>
      <c r="M2553" s="117">
        <v>2</v>
      </c>
      <c r="N2553" s="64">
        <f t="shared" ca="1" si="237"/>
        <v>1.0002133333333334</v>
      </c>
    </row>
    <row r="2554" spans="1:14">
      <c r="A2554" s="39">
        <f t="shared" ca="1" si="240"/>
        <v>3.8149999999999977</v>
      </c>
      <c r="B2554" s="41">
        <f t="shared" ca="1" si="239"/>
        <v>3.8400000000000034</v>
      </c>
      <c r="C2554" s="103">
        <f t="shared" si="235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4"/>
        <v>0</v>
      </c>
      <c r="J2554" s="15" t="s">
        <v>238</v>
      </c>
      <c r="K2554" s="178">
        <f ca="1">K2547</f>
        <v>110.63499999999993</v>
      </c>
      <c r="L2554" s="192">
        <f ca="1">L2547</f>
        <v>111.3600000000001</v>
      </c>
      <c r="M2554" s="117">
        <v>0</v>
      </c>
      <c r="N2554" s="64">
        <f t="shared" ca="1" si="237"/>
        <v>1</v>
      </c>
    </row>
    <row r="2555" spans="1:14">
      <c r="A2555" s="39">
        <f t="shared" ca="1" si="240"/>
        <v>3.8149999999999977</v>
      </c>
      <c r="B2555" s="41">
        <f t="shared" ca="1" si="239"/>
        <v>3.8400000000000034</v>
      </c>
      <c r="C2555" s="103">
        <f t="shared" si="235"/>
        <v>46353</v>
      </c>
      <c r="E2555" s="167"/>
      <c r="F2555" s="58" t="str">
        <f>VLOOKUP(MOD(C2555,7),'CALENDAR INFO'!$I$2:$J$8,2)</f>
        <v>FRI</v>
      </c>
      <c r="I2555" s="457">
        <f t="shared" si="234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37"/>
        <v>1.0003200000000001</v>
      </c>
    </row>
    <row r="2556" spans="1:14">
      <c r="A2556" s="39">
        <f t="shared" ca="1" si="240"/>
        <v>3.8149999999999977</v>
      </c>
      <c r="B2556" s="41">
        <f t="shared" ca="1" si="239"/>
        <v>3.8400000000000034</v>
      </c>
      <c r="C2556" s="103">
        <f t="shared" si="235"/>
        <v>46354</v>
      </c>
      <c r="E2556" s="167"/>
      <c r="F2556" s="58" t="str">
        <f>VLOOKUP(MOD(C2556,7),'CALENDAR INFO'!$I$2:$J$8,2)</f>
        <v>SAT</v>
      </c>
      <c r="I2556" s="457">
        <f t="shared" si="234"/>
        <v>0</v>
      </c>
      <c r="J2556" s="15" t="s">
        <v>240</v>
      </c>
      <c r="K2556" s="178">
        <f ca="1">K2554/K2555</f>
        <v>3.8149999999999977</v>
      </c>
      <c r="L2556" s="192">
        <f ca="1">L2554/L2555</f>
        <v>3.8400000000000034</v>
      </c>
      <c r="M2556" s="113">
        <f t="shared" si="242"/>
        <v>0</v>
      </c>
      <c r="N2556" s="64">
        <f t="shared" ca="1" si="237"/>
        <v>1</v>
      </c>
    </row>
    <row r="2557" spans="1:14">
      <c r="A2557" s="39">
        <f t="shared" ca="1" si="240"/>
        <v>3.8149999999999977</v>
      </c>
      <c r="B2557" s="41">
        <f t="shared" ca="1" si="239"/>
        <v>3.8400000000000034</v>
      </c>
      <c r="C2557" s="103">
        <f t="shared" si="235"/>
        <v>46355</v>
      </c>
      <c r="E2557" s="167"/>
      <c r="F2557" s="58" t="str">
        <f>VLOOKUP(MOD(C2557,7),'CALENDAR INFO'!$I$2:$J$8,2)</f>
        <v>SUN</v>
      </c>
      <c r="I2557" s="457">
        <f t="shared" si="234"/>
        <v>0</v>
      </c>
      <c r="M2557" s="113">
        <f t="shared" si="242"/>
        <v>0</v>
      </c>
      <c r="N2557" s="64">
        <f t="shared" ca="1" si="237"/>
        <v>1</v>
      </c>
    </row>
    <row r="2558" spans="1:14" ht="15.75" thickBot="1">
      <c r="A2558" s="98">
        <f t="shared" ca="1" si="240"/>
        <v>3.8149999999999977</v>
      </c>
      <c r="B2558" s="230">
        <f t="shared" ca="1" si="239"/>
        <v>3.8400000000000034</v>
      </c>
      <c r="C2558" s="104">
        <f t="shared" si="235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4"/>
        <v>0</v>
      </c>
      <c r="J2558" s="348"/>
      <c r="K2558" s="348"/>
      <c r="L2558" s="349"/>
      <c r="M2558" s="114">
        <f t="shared" si="242"/>
        <v>1</v>
      </c>
      <c r="N2558" s="292">
        <f t="shared" ca="1" si="237"/>
        <v>1.0001066666666667</v>
      </c>
    </row>
    <row r="2559" spans="1:14">
      <c r="A2559" s="304">
        <f ca="1">K$2568</f>
        <v>3.8149999999999977</v>
      </c>
      <c r="B2559" s="305">
        <f t="shared" ref="B2559:B2567" ca="1" si="243">L$2568</f>
        <v>3.8400000000000034</v>
      </c>
      <c r="C2559" s="103">
        <f t="shared" si="235"/>
        <v>46357</v>
      </c>
      <c r="E2559" s="167"/>
      <c r="F2559" s="58" t="str">
        <f>VLOOKUP(MOD(C2559,7),'CALENDAR INFO'!$I$2:$J$8,2)</f>
        <v>TUE</v>
      </c>
      <c r="I2559" s="457">
        <f t="shared" si="234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37"/>
        <v>1.0001066666666667</v>
      </c>
    </row>
    <row r="2560" spans="1:14">
      <c r="A2560" s="304">
        <f t="shared" ref="A2560:A2567" ca="1" si="244">K$2568</f>
        <v>3.8149999999999977</v>
      </c>
      <c r="B2560" s="305">
        <f t="shared" ca="1" si="243"/>
        <v>3.8400000000000034</v>
      </c>
      <c r="C2560" s="103">
        <f t="shared" si="235"/>
        <v>46358</v>
      </c>
      <c r="E2560" s="167"/>
      <c r="F2560" s="58" t="str">
        <f>VLOOKUP(MOD(C2560,7),'CALENDAR INFO'!$I$2:$J$8,2)</f>
        <v>WED</v>
      </c>
      <c r="I2560" s="457">
        <f t="shared" si="234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37"/>
        <v>1.0001066666666667</v>
      </c>
    </row>
    <row r="2561" spans="1:14">
      <c r="A2561" s="304">
        <f t="shared" ca="1" si="244"/>
        <v>3.8149999999999977</v>
      </c>
      <c r="B2561" s="305">
        <f t="shared" ca="1" si="243"/>
        <v>3.8400000000000034</v>
      </c>
      <c r="C2561" s="103">
        <f t="shared" si="235"/>
        <v>46359</v>
      </c>
      <c r="E2561" s="167"/>
      <c r="F2561" s="58" t="str">
        <f>VLOOKUP(MOD(C2561,7),'CALENDAR INFO'!$I$2:$J$8,2)</f>
        <v>THU</v>
      </c>
      <c r="I2561" s="457">
        <f t="shared" si="234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37"/>
        <v>1.0001066666666667</v>
      </c>
    </row>
    <row r="2562" spans="1:14">
      <c r="A2562" s="304">
        <f t="shared" ca="1" si="244"/>
        <v>3.8149999999999977</v>
      </c>
      <c r="B2562" s="305">
        <f t="shared" ca="1" si="243"/>
        <v>3.8400000000000034</v>
      </c>
      <c r="C2562" s="103">
        <f t="shared" si="235"/>
        <v>46360</v>
      </c>
      <c r="E2562" s="167"/>
      <c r="F2562" s="58" t="str">
        <f>VLOOKUP(MOD(C2562,7),'CALENDAR INFO'!$I$2:$J$8,2)</f>
        <v>FRI</v>
      </c>
      <c r="I2562" s="457">
        <f t="shared" si="234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ca="1" si="237"/>
        <v>1.0003200000000001</v>
      </c>
    </row>
    <row r="2563" spans="1:14">
      <c r="A2563" s="304">
        <f t="shared" ca="1" si="244"/>
        <v>3.8149999999999977</v>
      </c>
      <c r="B2563" s="305">
        <f t="shared" ca="1" si="243"/>
        <v>3.8400000000000034</v>
      </c>
      <c r="C2563" s="103">
        <f t="shared" si="235"/>
        <v>46361</v>
      </c>
      <c r="E2563" s="167"/>
      <c r="F2563" s="58" t="str">
        <f>VLOOKUP(MOD(C2563,7),'CALENDAR INFO'!$I$2:$J$8,2)</f>
        <v>SAT</v>
      </c>
      <c r="I2563" s="457">
        <f t="shared" ref="I2563:I2592" si="245">H2563-G2563</f>
        <v>0</v>
      </c>
      <c r="K2563" s="311"/>
      <c r="L2563" s="15"/>
      <c r="M2563" s="113">
        <f t="shared" si="242"/>
        <v>0</v>
      </c>
      <c r="N2563" s="64">
        <f t="shared" ca="1" si="237"/>
        <v>1</v>
      </c>
    </row>
    <row r="2564" spans="1:14">
      <c r="A2564" s="304">
        <f t="shared" ca="1" si="244"/>
        <v>3.8149999999999977</v>
      </c>
      <c r="B2564" s="305">
        <f t="shared" ca="1" si="243"/>
        <v>3.8400000000000034</v>
      </c>
      <c r="C2564" s="103">
        <f t="shared" ref="C2564:C2592" si="246">C2563+1</f>
        <v>46362</v>
      </c>
      <c r="E2564" s="167"/>
      <c r="F2564" s="58" t="str">
        <f>VLOOKUP(MOD(C2564,7),'CALENDAR INFO'!$I$2:$J$8,2)</f>
        <v>SUN</v>
      </c>
      <c r="I2564" s="457">
        <f t="shared" si="245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37"/>
        <v>1</v>
      </c>
    </row>
    <row r="2565" spans="1:14">
      <c r="A2565" s="304">
        <f t="shared" ca="1" si="244"/>
        <v>3.8149999999999977</v>
      </c>
      <c r="B2565" s="305">
        <f t="shared" ca="1" si="243"/>
        <v>3.8400000000000034</v>
      </c>
      <c r="C2565" s="103">
        <f t="shared" si="246"/>
        <v>46363</v>
      </c>
      <c r="E2565" s="167"/>
      <c r="F2565" s="58" t="str">
        <f>VLOOKUP(MOD(C2565,7),'CALENDAR INFO'!$I$2:$J$8,2)</f>
        <v>MON</v>
      </c>
      <c r="I2565" s="457">
        <f t="shared" si="245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37"/>
        <v>1.0001066666666667</v>
      </c>
    </row>
    <row r="2566" spans="1:14">
      <c r="A2566" s="304">
        <f t="shared" ca="1" si="244"/>
        <v>3.8149999999999977</v>
      </c>
      <c r="B2566" s="305">
        <f t="shared" ca="1" si="243"/>
        <v>3.8400000000000034</v>
      </c>
      <c r="C2566" s="103">
        <f t="shared" si="246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5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37"/>
        <v>1.0001066666666667</v>
      </c>
    </row>
    <row r="2567" spans="1:14">
      <c r="A2567" s="304">
        <f t="shared" ca="1" si="244"/>
        <v>3.8149999999999977</v>
      </c>
      <c r="B2567" s="305">
        <f t="shared" ca="1" si="243"/>
        <v>3.8400000000000034</v>
      </c>
      <c r="C2567" s="103">
        <f t="shared" si="246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5"/>
        <v>0</v>
      </c>
      <c r="M2567" s="113">
        <f t="shared" si="242"/>
        <v>1</v>
      </c>
      <c r="N2567" s="64">
        <f t="shared" ca="1" si="237"/>
        <v>1.0001066666666667</v>
      </c>
    </row>
    <row r="2568" spans="1:14">
      <c r="A2568" s="39">
        <f ca="1">K$2586</f>
        <v>3.9488636363636327</v>
      </c>
      <c r="B2568" s="41">
        <f t="shared" ref="B2568:B2589" ca="1" si="247">L$2586</f>
        <v>3.9950000000000028</v>
      </c>
      <c r="C2568" s="103">
        <f t="shared" si="246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5"/>
        <v>0</v>
      </c>
      <c r="J2568" s="15" t="s">
        <v>241</v>
      </c>
      <c r="K2568" s="186">
        <f ca="1">A2558+G2558</f>
        <v>3.8149999999999977</v>
      </c>
      <c r="L2568" s="194">
        <f ca="1">B2558+H2558</f>
        <v>3.8400000000000034</v>
      </c>
      <c r="M2568" s="113">
        <f t="shared" si="242"/>
        <v>1</v>
      </c>
      <c r="N2568" s="64">
        <f t="shared" ca="1" si="237"/>
        <v>1.0001109722222221</v>
      </c>
    </row>
    <row r="2569" spans="1:14">
      <c r="A2569" s="39">
        <f t="shared" ref="A2569:A2589" ca="1" si="248">K$2586</f>
        <v>3.9488636363636327</v>
      </c>
      <c r="B2569" s="41">
        <f t="shared" ca="1" si="247"/>
        <v>3.9950000000000028</v>
      </c>
      <c r="C2569" s="103">
        <f t="shared" si="246"/>
        <v>46367</v>
      </c>
      <c r="E2569" s="170"/>
      <c r="F2569" s="58" t="str">
        <f>VLOOKUP(MOD(C2569,7),'CALENDAR INFO'!$I$2:$J$8,2)</f>
        <v>FRI</v>
      </c>
      <c r="I2569" s="457">
        <f t="shared" si="245"/>
        <v>0</v>
      </c>
      <c r="K2569" s="178"/>
      <c r="L2569" s="192"/>
      <c r="M2569" s="113">
        <f t="shared" si="242"/>
        <v>3</v>
      </c>
      <c r="N2569" s="64">
        <f t="shared" ca="1" si="237"/>
        <v>1.0003329166666666</v>
      </c>
    </row>
    <row r="2570" spans="1:14">
      <c r="A2570" s="39">
        <f t="shared" ca="1" si="248"/>
        <v>3.9488636363636327</v>
      </c>
      <c r="B2570" s="41">
        <f t="shared" ca="1" si="247"/>
        <v>3.9950000000000028</v>
      </c>
      <c r="C2570" s="103">
        <f t="shared" si="246"/>
        <v>46368</v>
      </c>
      <c r="E2570" s="170"/>
      <c r="F2570" s="58" t="str">
        <f>VLOOKUP(MOD(C2570,7),'CALENDAR INFO'!$I$2:$J$8,2)</f>
        <v>SAT</v>
      </c>
      <c r="I2570" s="457">
        <f t="shared" si="245"/>
        <v>0</v>
      </c>
      <c r="J2570" s="15" t="s">
        <v>197</v>
      </c>
      <c r="K2570" s="180">
        <f>OUTPUT!C9</f>
        <v>3.9099999999999966</v>
      </c>
      <c r="L2570" s="180">
        <f>OUTPUT!F9</f>
        <v>3.9500000000000028</v>
      </c>
      <c r="M2570" s="113">
        <f t="shared" si="242"/>
        <v>0</v>
      </c>
      <c r="N2570" s="64">
        <f t="shared" ca="1" si="237"/>
        <v>1</v>
      </c>
    </row>
    <row r="2571" spans="1:14">
      <c r="A2571" s="39">
        <f t="shared" ca="1" si="248"/>
        <v>3.9488636363636327</v>
      </c>
      <c r="B2571" s="41">
        <f t="shared" ca="1" si="247"/>
        <v>3.9950000000000028</v>
      </c>
      <c r="C2571" s="103">
        <f t="shared" si="246"/>
        <v>46369</v>
      </c>
      <c r="E2571" s="170"/>
      <c r="F2571" s="58" t="str">
        <f>VLOOKUP(MOD(C2571,7),'CALENDAR INFO'!$I$2:$J$8,2)</f>
        <v>SUN</v>
      </c>
      <c r="I2571" s="457">
        <f t="shared" si="245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37"/>
        <v>1</v>
      </c>
    </row>
    <row r="2572" spans="1:14">
      <c r="A2572" s="39">
        <f t="shared" ca="1" si="248"/>
        <v>3.9488636363636327</v>
      </c>
      <c r="B2572" s="41">
        <f t="shared" ca="1" si="247"/>
        <v>3.9950000000000028</v>
      </c>
      <c r="C2572" s="103">
        <f t="shared" si="246"/>
        <v>46370</v>
      </c>
      <c r="E2572" s="170"/>
      <c r="F2572" s="58" t="str">
        <f>VLOOKUP(MOD(C2572,7),'CALENDAR INFO'!$I$2:$J$8,2)</f>
        <v>MON</v>
      </c>
      <c r="I2572" s="457">
        <f t="shared" si="245"/>
        <v>0</v>
      </c>
      <c r="J2572" s="15" t="s">
        <v>234</v>
      </c>
      <c r="K2572" s="178">
        <f>K2570*K2560</f>
        <v>121.20999999999989</v>
      </c>
      <c r="L2572" s="178">
        <f>L2570*L2560</f>
        <v>122.45000000000009</v>
      </c>
      <c r="M2572" s="113">
        <f t="shared" si="242"/>
        <v>1</v>
      </c>
      <c r="N2572" s="64">
        <f t="shared" ca="1" si="237"/>
        <v>1.0001109722222221</v>
      </c>
    </row>
    <row r="2573" spans="1:14">
      <c r="A2573" s="39">
        <f t="shared" ca="1" si="248"/>
        <v>3.9488636363636327</v>
      </c>
      <c r="B2573" s="41">
        <f t="shared" ca="1" si="247"/>
        <v>3.9950000000000028</v>
      </c>
      <c r="C2573" s="103">
        <f t="shared" si="246"/>
        <v>46371</v>
      </c>
      <c r="E2573" s="170"/>
      <c r="F2573" s="58" t="str">
        <f>VLOOKUP(MOD(C2573,7),'CALENDAR INFO'!$I$2:$J$8,2)</f>
        <v>TUE</v>
      </c>
      <c r="I2573" s="457">
        <f t="shared" si="245"/>
        <v>0</v>
      </c>
      <c r="K2573" s="178"/>
      <c r="L2573" s="192"/>
      <c r="M2573" s="113">
        <f t="shared" si="242"/>
        <v>1</v>
      </c>
      <c r="N2573" s="64">
        <f t="shared" ca="1" si="237"/>
        <v>1.0001109722222221</v>
      </c>
    </row>
    <row r="2574" spans="1:14">
      <c r="A2574" s="39">
        <f t="shared" ca="1" si="248"/>
        <v>3.9488636363636327</v>
      </c>
      <c r="B2574" s="41">
        <f t="shared" ca="1" si="247"/>
        <v>3.9950000000000028</v>
      </c>
      <c r="C2574" s="103">
        <f t="shared" si="246"/>
        <v>46372</v>
      </c>
      <c r="E2574" s="170"/>
      <c r="F2574" s="58" t="str">
        <f>VLOOKUP(MOD(C2574,7),'CALENDAR INFO'!$I$2:$J$8,2)</f>
        <v>WED</v>
      </c>
      <c r="I2574" s="457">
        <f t="shared" si="245"/>
        <v>0</v>
      </c>
      <c r="J2574" s="15" t="str">
        <f>J2572</f>
        <v>monthly target</v>
      </c>
      <c r="K2574" s="178">
        <f>K2572</f>
        <v>121.20999999999989</v>
      </c>
      <c r="L2574" s="192">
        <f>L2572</f>
        <v>122.45000000000009</v>
      </c>
      <c r="M2574" s="113">
        <f t="shared" si="242"/>
        <v>1</v>
      </c>
      <c r="N2574" s="64">
        <f t="shared" ca="1" si="237"/>
        <v>1.0001109722222221</v>
      </c>
    </row>
    <row r="2575" spans="1:14">
      <c r="A2575" s="39">
        <f t="shared" ca="1" si="248"/>
        <v>3.9488636363636327</v>
      </c>
      <c r="B2575" s="41">
        <f t="shared" ca="1" si="247"/>
        <v>3.9950000000000028</v>
      </c>
      <c r="C2575" s="103">
        <f t="shared" si="246"/>
        <v>46373</v>
      </c>
      <c r="E2575" s="170"/>
      <c r="F2575" s="58" t="str">
        <f>VLOOKUP(MOD(C2575,7),'CALENDAR INFO'!$I$2:$J$8,2)</f>
        <v>THU</v>
      </c>
      <c r="I2575" s="457">
        <f t="shared" si="245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37"/>
        <v>1.0001109722222221</v>
      </c>
    </row>
    <row r="2576" spans="1:14">
      <c r="A2576" s="39">
        <f t="shared" ca="1" si="248"/>
        <v>3.9488636363636327</v>
      </c>
      <c r="B2576" s="41">
        <f t="shared" ca="1" si="247"/>
        <v>3.9950000000000028</v>
      </c>
      <c r="C2576" s="103">
        <f t="shared" si="246"/>
        <v>46374</v>
      </c>
      <c r="E2576" s="170"/>
      <c r="F2576" s="58" t="str">
        <f>VLOOKUP(MOD(C2576,7),'CALENDAR INFO'!$I$2:$J$8,2)</f>
        <v>FRI</v>
      </c>
      <c r="I2576" s="457">
        <f t="shared" si="245"/>
        <v>0</v>
      </c>
      <c r="J2576" s="15" t="s">
        <v>237</v>
      </c>
      <c r="K2576" s="400">
        <f ca="1">SUM(INDIRECT(K2565))</f>
        <v>34.33499999999998</v>
      </c>
      <c r="L2576" s="401">
        <f ca="1">SUM(INDIRECT(L2565))</f>
        <v>34.560000000000031</v>
      </c>
      <c r="M2576" s="113">
        <f t="shared" si="242"/>
        <v>3</v>
      </c>
      <c r="N2576" s="64">
        <f t="shared" ca="1" si="237"/>
        <v>1.0003329166666666</v>
      </c>
    </row>
    <row r="2577" spans="1:14">
      <c r="A2577" s="39">
        <f t="shared" ca="1" si="248"/>
        <v>3.9488636363636327</v>
      </c>
      <c r="B2577" s="41">
        <f t="shared" ca="1" si="247"/>
        <v>3.9950000000000028</v>
      </c>
      <c r="C2577" s="103">
        <f t="shared" si="246"/>
        <v>46375</v>
      </c>
      <c r="E2577" s="170"/>
      <c r="F2577" s="58" t="str">
        <f>VLOOKUP(MOD(C2577,7),'CALENDAR INFO'!$I$2:$J$8,2)</f>
        <v>SAT</v>
      </c>
      <c r="I2577" s="457">
        <f t="shared" si="245"/>
        <v>0</v>
      </c>
      <c r="J2577" s="15" t="s">
        <v>238</v>
      </c>
      <c r="K2577" s="182">
        <f ca="1">K2572-K2575-K2576</f>
        <v>86.874999999999915</v>
      </c>
      <c r="L2577" s="201">
        <f ca="1">L2572-L2575-L2576</f>
        <v>87.890000000000057</v>
      </c>
      <c r="M2577" s="113">
        <f t="shared" si="242"/>
        <v>0</v>
      </c>
      <c r="N2577" s="64">
        <f t="shared" ca="1" si="237"/>
        <v>1</v>
      </c>
    </row>
    <row r="2578" spans="1:14">
      <c r="A2578" s="39">
        <f t="shared" ca="1" si="248"/>
        <v>3.9488636363636327</v>
      </c>
      <c r="B2578" s="41">
        <f t="shared" ca="1" si="247"/>
        <v>3.9950000000000028</v>
      </c>
      <c r="C2578" s="103">
        <f t="shared" si="246"/>
        <v>46376</v>
      </c>
      <c r="E2578" s="170"/>
      <c r="F2578" s="58" t="str">
        <f>VLOOKUP(MOD(C2578,7),'CALENDAR INFO'!$I$2:$J$8,2)</f>
        <v>SUN</v>
      </c>
      <c r="I2578" s="457">
        <f t="shared" si="245"/>
        <v>0</v>
      </c>
      <c r="M2578" s="113">
        <f t="shared" si="242"/>
        <v>0</v>
      </c>
      <c r="N2578" s="64">
        <f t="shared" ca="1" si="237"/>
        <v>1</v>
      </c>
    </row>
    <row r="2579" spans="1:14">
      <c r="A2579" s="39">
        <f t="shared" ca="1" si="248"/>
        <v>3.9488636363636327</v>
      </c>
      <c r="B2579" s="41">
        <f t="shared" ca="1" si="247"/>
        <v>3.9950000000000028</v>
      </c>
      <c r="C2579" s="103">
        <f t="shared" si="246"/>
        <v>46377</v>
      </c>
      <c r="E2579" s="170"/>
      <c r="F2579" s="58" t="str">
        <f>VLOOKUP(MOD(C2579,7),'CALENDAR INFO'!$I$2:$J$8,2)</f>
        <v>MON</v>
      </c>
      <c r="I2579" s="457">
        <f t="shared" si="245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ref="N2579:N2592" ca="1" si="249">1+(M2579/360)*(MAX(H2579,B2579)/100)</f>
        <v>1.0001109722222221</v>
      </c>
    </row>
    <row r="2580" spans="1:14">
      <c r="A2580" s="39">
        <f t="shared" ca="1" si="248"/>
        <v>3.9488636363636327</v>
      </c>
      <c r="B2580" s="41">
        <f t="shared" ca="1" si="247"/>
        <v>3.9950000000000028</v>
      </c>
      <c r="C2580" s="103">
        <f t="shared" si="246"/>
        <v>46378</v>
      </c>
      <c r="E2580" s="170"/>
      <c r="F2580" s="58" t="str">
        <f>VLOOKUP(MOD(C2580,7),'CALENDAR INFO'!$I$2:$J$8,2)</f>
        <v>TUE</v>
      </c>
      <c r="I2580" s="457">
        <f t="shared" si="245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9"/>
        <v>1.0001109722222221</v>
      </c>
    </row>
    <row r="2581" spans="1:14">
      <c r="A2581" s="39">
        <f t="shared" ca="1" si="248"/>
        <v>3.9488636363636327</v>
      </c>
      <c r="B2581" s="41">
        <f t="shared" ca="1" si="247"/>
        <v>3.9950000000000028</v>
      </c>
      <c r="C2581" s="103">
        <f t="shared" si="246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5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2"/>
        <v>1</v>
      </c>
      <c r="N2581" s="64">
        <f t="shared" ca="1" si="249"/>
        <v>1.0001109722222221</v>
      </c>
    </row>
    <row r="2582" spans="1:14">
      <c r="A2582" s="39">
        <f t="shared" ca="1" si="248"/>
        <v>3.9488636363636327</v>
      </c>
      <c r="B2582" s="41">
        <f t="shared" ca="1" si="247"/>
        <v>3.9950000000000028</v>
      </c>
      <c r="C2582" s="103">
        <f t="shared" si="246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5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9"/>
        <v>1.0004438888888889</v>
      </c>
    </row>
    <row r="2583" spans="1:14">
      <c r="A2583" s="39">
        <f t="shared" ca="1" si="248"/>
        <v>3.9488636363636327</v>
      </c>
      <c r="B2583" s="41">
        <f t="shared" ca="1" si="247"/>
        <v>3.9950000000000028</v>
      </c>
      <c r="C2583" s="103">
        <f t="shared" si="246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5"/>
        <v>0</v>
      </c>
      <c r="K2583" s="178"/>
      <c r="L2583" s="192"/>
      <c r="M2583" s="117">
        <v>0</v>
      </c>
      <c r="N2583" s="64">
        <f t="shared" ca="1" si="249"/>
        <v>1</v>
      </c>
    </row>
    <row r="2584" spans="1:14">
      <c r="A2584" s="39">
        <f t="shared" ca="1" si="248"/>
        <v>3.9488636363636327</v>
      </c>
      <c r="B2584" s="41">
        <f t="shared" ca="1" si="247"/>
        <v>3.9950000000000028</v>
      </c>
      <c r="C2584" s="103">
        <f t="shared" si="246"/>
        <v>46382</v>
      </c>
      <c r="E2584" s="167"/>
      <c r="F2584" s="58" t="str">
        <f>VLOOKUP(MOD(C2584,7),'CALENDAR INFO'!$I$2:$J$8,2)</f>
        <v>SAT</v>
      </c>
      <c r="I2584" s="457">
        <f t="shared" si="245"/>
        <v>0</v>
      </c>
      <c r="J2584" s="15" t="s">
        <v>238</v>
      </c>
      <c r="K2584" s="178">
        <f ca="1">K2577</f>
        <v>86.874999999999915</v>
      </c>
      <c r="L2584" s="192">
        <f ca="1">L2577</f>
        <v>87.890000000000057</v>
      </c>
      <c r="M2584" s="113">
        <f>IF(MOD(C2584,7)&lt;2,0,IF(MOD(C2584,7)=6,3,1))</f>
        <v>0</v>
      </c>
      <c r="N2584" s="64">
        <f t="shared" ca="1" si="249"/>
        <v>1</v>
      </c>
    </row>
    <row r="2585" spans="1:14">
      <c r="A2585" s="39">
        <f t="shared" ca="1" si="248"/>
        <v>3.9488636363636327</v>
      </c>
      <c r="B2585" s="41">
        <f t="shared" ca="1" si="247"/>
        <v>3.9950000000000028</v>
      </c>
      <c r="C2585" s="103">
        <f t="shared" si="246"/>
        <v>46383</v>
      </c>
      <c r="E2585" s="167"/>
      <c r="F2585" s="58" t="str">
        <f>VLOOKUP(MOD(C2585,7),'CALENDAR INFO'!$I$2:$J$8,2)</f>
        <v>SUN</v>
      </c>
      <c r="I2585" s="457">
        <f t="shared" si="245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9"/>
        <v>1</v>
      </c>
    </row>
    <row r="2586" spans="1:14">
      <c r="A2586" s="39">
        <f t="shared" ca="1" si="248"/>
        <v>3.9488636363636327</v>
      </c>
      <c r="B2586" s="41">
        <f t="shared" ca="1" si="247"/>
        <v>3.9950000000000028</v>
      </c>
      <c r="C2586" s="103">
        <f t="shared" si="246"/>
        <v>46384</v>
      </c>
      <c r="E2586" s="167"/>
      <c r="F2586" s="58" t="str">
        <f>VLOOKUP(MOD(C2586,7),'CALENDAR INFO'!$I$2:$J$8,2)</f>
        <v>MON</v>
      </c>
      <c r="I2586" s="457">
        <f t="shared" si="245"/>
        <v>0</v>
      </c>
      <c r="J2586" s="15" t="s">
        <v>240</v>
      </c>
      <c r="K2586" s="178">
        <f ca="1">K2584/K2585</f>
        <v>3.9488636363636327</v>
      </c>
      <c r="L2586" s="192">
        <f ca="1">L2584/L2585</f>
        <v>3.9950000000000028</v>
      </c>
      <c r="M2586" s="113">
        <f>IF(MOD(C2586,7)&lt;2,0,IF(MOD(C2586,7)=6,3,1))</f>
        <v>1</v>
      </c>
      <c r="N2586" s="64">
        <f t="shared" ca="1" si="249"/>
        <v>1.0001109722222221</v>
      </c>
    </row>
    <row r="2587" spans="1:14">
      <c r="A2587" s="39">
        <f t="shared" ca="1" si="248"/>
        <v>3.9488636363636327</v>
      </c>
      <c r="B2587" s="41">
        <f t="shared" ca="1" si="247"/>
        <v>3.9950000000000028</v>
      </c>
      <c r="C2587" s="103">
        <f t="shared" si="246"/>
        <v>46385</v>
      </c>
      <c r="E2587" s="167"/>
      <c r="F2587" s="58" t="str">
        <f>VLOOKUP(MOD(C2587,7),'CALENDAR INFO'!$I$2:$J$8,2)</f>
        <v>TUE</v>
      </c>
      <c r="I2587" s="457">
        <f t="shared" si="245"/>
        <v>0</v>
      </c>
      <c r="M2587" s="113">
        <f>IF(MOD(C2587,7)&lt;2,0,IF(MOD(C2587,7)=6,3,1))</f>
        <v>1</v>
      </c>
      <c r="N2587" s="64">
        <f t="shared" ca="1" si="249"/>
        <v>1.0001109722222221</v>
      </c>
    </row>
    <row r="2588" spans="1:14">
      <c r="A2588" s="39">
        <f t="shared" ca="1" si="248"/>
        <v>3.9488636363636327</v>
      </c>
      <c r="B2588" s="41">
        <f t="shared" ca="1" si="247"/>
        <v>3.9950000000000028</v>
      </c>
      <c r="C2588" s="103">
        <f t="shared" si="246"/>
        <v>46386</v>
      </c>
      <c r="E2588" s="167"/>
      <c r="F2588" s="58" t="str">
        <f>VLOOKUP(MOD(C2588,7),'CALENDAR INFO'!$I$2:$J$8,2)</f>
        <v>WED</v>
      </c>
      <c r="I2588" s="457">
        <f t="shared" si="245"/>
        <v>0</v>
      </c>
      <c r="M2588" s="113">
        <f>IF(MOD(C2588,7)&lt;2,0,IF(MOD(C2588,7)=6,3,1))</f>
        <v>1</v>
      </c>
      <c r="N2588" s="64">
        <f t="shared" ca="1" si="249"/>
        <v>1.0001109722222221</v>
      </c>
    </row>
    <row r="2589" spans="1:14" ht="15.75" thickBot="1">
      <c r="A2589" s="98">
        <f t="shared" ca="1" si="248"/>
        <v>3.9488636363636327</v>
      </c>
      <c r="B2589" s="230">
        <f t="shared" ca="1" si="247"/>
        <v>3.9950000000000028</v>
      </c>
      <c r="C2589" s="104">
        <f t="shared" si="246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5"/>
        <v>0</v>
      </c>
      <c r="J2589" s="348"/>
      <c r="K2589" s="348"/>
      <c r="L2589" s="349"/>
      <c r="M2589" s="281">
        <v>4</v>
      </c>
      <c r="N2589" s="292">
        <f t="shared" ca="1" si="249"/>
        <v>1.0004438888888889</v>
      </c>
    </row>
    <row r="2590" spans="1:14">
      <c r="C2590" s="103">
        <f t="shared" si="246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5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49"/>
        <v>1</v>
      </c>
    </row>
    <row r="2591" spans="1:14">
      <c r="C2591" s="103">
        <f t="shared" si="246"/>
        <v>46389</v>
      </c>
      <c r="E2591" s="167"/>
      <c r="F2591" s="58" t="str">
        <f>VLOOKUP(MOD(C2591,7),'CALENDAR INFO'!$I$2:$J$8,2)</f>
        <v>SAT</v>
      </c>
      <c r="I2591" s="457">
        <f t="shared" si="245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9"/>
        <v>1</v>
      </c>
    </row>
    <row r="2592" spans="1:14">
      <c r="C2592" s="103">
        <f t="shared" si="246"/>
        <v>46390</v>
      </c>
      <c r="E2592" s="167"/>
      <c r="F2592" s="58" t="str">
        <f>VLOOKUP(MOD(C2592,7),'CALENDAR INFO'!$I$2:$J$8,2)</f>
        <v>SUN</v>
      </c>
      <c r="I2592" s="457">
        <f t="shared" si="245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9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64" priority="1511" operator="equal">
      <formula>"SUN"</formula>
    </cfRule>
    <cfRule type="cellIs" dxfId="663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62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61" priority="2211">
      <formula>ISODD(MONTH($C1))</formula>
    </cfRule>
    <cfRule type="expression" dxfId="660" priority="2212">
      <formula>ISEVEN(MONTH($C1))</formula>
    </cfRule>
  </conditionalFormatting>
  <conditionalFormatting sqref="K1409 K1470 K1532 K1592 K1653 K1714 K1778:K1780 K1839:K1841">
    <cfRule type="expression" dxfId="659" priority="2237">
      <formula>ISODD(MONTH($C1415))</formula>
    </cfRule>
    <cfRule type="expression" dxfId="658" priority="2238">
      <formula>ISEVEN(MONTH($C1415))</formula>
    </cfRule>
  </conditionalFormatting>
  <conditionalFormatting sqref="K1410:K1412 K1471:K1473 K1533:K1535 K1593:K1595 K1654:K1656 K1715:K1717">
    <cfRule type="expression" dxfId="657" priority="2241">
      <formula>ISODD(MONTH($C1418))</formula>
    </cfRule>
    <cfRule type="expression" dxfId="656" priority="2242">
      <formula>ISEVEN(MONTH($C1418))</formula>
    </cfRule>
  </conditionalFormatting>
  <conditionalFormatting sqref="K1414:K1416 K1475:K1477 K1537:K1539 K1597:K1599 K1658:K1660 K1719:K1721">
    <cfRule type="expression" dxfId="655" priority="2245">
      <formula>ISODD(MONTH($C1409))</formula>
    </cfRule>
    <cfRule type="expression" dxfId="654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53" priority="2247">
      <formula>ISODD(MONTH($C1410))</formula>
    </cfRule>
    <cfRule type="expression" dxfId="652" priority="2248">
      <formula>ISEVEN(MONTH($C1410))</formula>
    </cfRule>
  </conditionalFormatting>
  <conditionalFormatting sqref="K1434:K1438 K1495:K1499 K1555:K1559 K1616:K1620 K1677:K1681 K1739:K1743 K1800:K1804">
    <cfRule type="expression" dxfId="651" priority="2253">
      <formula>ISODD(MONTH($C1433))</formula>
    </cfRule>
    <cfRule type="expression" dxfId="650" priority="2254">
      <formula>ISEVEN(MONTH($C1433))</formula>
    </cfRule>
    <cfRule type="expression" dxfId="649" priority="2255">
      <formula>ISODD(MONTH($C1460))</formula>
    </cfRule>
    <cfRule type="expression" dxfId="648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47" priority="2257">
      <formula>ISODD(MONTH($C1433))</formula>
    </cfRule>
    <cfRule type="expression" dxfId="646" priority="2258">
      <formula>ISEVEN(MONTH($C1433))</formula>
    </cfRule>
  </conditionalFormatting>
  <conditionalFormatting sqref="K1440:K1442 K1501:K1503 K1561:K1563 K1622:K1624 K1683:K1685 K2091:K2096">
    <cfRule type="expression" dxfId="645" priority="2279">
      <formula>ISODD(MONTH($C1436))</formula>
    </cfRule>
    <cfRule type="expression" dxfId="644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43" priority="2283">
      <formula>ISODD(MONTH($C1443))</formula>
    </cfRule>
    <cfRule type="expression" dxfId="642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41" priority="2293">
      <formula>ISODD(MONTH($C1444))</formula>
    </cfRule>
    <cfRule type="expression" dxfId="640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39" priority="2409">
      <formula>ISODD(MONTH($C1733))</formula>
    </cfRule>
    <cfRule type="expression" dxfId="638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37" priority="2490">
      <formula>ISEVEN(MONTH($C1742))</formula>
    </cfRule>
  </conditionalFormatting>
  <conditionalFormatting sqref="K1758:K1762 K1819:K1823 K2087:K2090">
    <cfRule type="expression" dxfId="636" priority="2495">
      <formula>ISODD(MONTH($C1748))</formula>
    </cfRule>
    <cfRule type="expression" dxfId="635" priority="2496">
      <formula>ISEVEN(MONTH($C1748))</formula>
    </cfRule>
  </conditionalFormatting>
  <conditionalFormatting sqref="K1760:K1762 K1821:K1823">
    <cfRule type="expression" dxfId="634" priority="2497">
      <formula>ISODD(MONTH($C1749))</formula>
    </cfRule>
    <cfRule type="expression" dxfId="633" priority="2498">
      <formula>ISEVEN(MONTH($C1749))</formula>
    </cfRule>
  </conditionalFormatting>
  <conditionalFormatting sqref="K1777 K1838">
    <cfRule type="expression" dxfId="632" priority="2503">
      <formula>ISODD(MONTH($C1781))</formula>
    </cfRule>
    <cfRule type="expression" dxfId="631" priority="2504">
      <formula>ISEVEN(MONTH($C1781))</formula>
    </cfRule>
  </conditionalFormatting>
  <conditionalFormatting sqref="K1781 K1842 K1888 K2008 K2069 K2100">
    <cfRule type="expression" dxfId="630" priority="2507">
      <formula>ISODD(MONTH($C1779))</formula>
    </cfRule>
    <cfRule type="expression" dxfId="629" priority="2508">
      <formula>ISEVEN(MONTH($C1779))</formula>
    </cfRule>
  </conditionalFormatting>
  <conditionalFormatting sqref="K2072">
    <cfRule type="expression" dxfId="628" priority="599">
      <formula>ISODD(MONTH($C2072))</formula>
    </cfRule>
    <cfRule type="expression" dxfId="627" priority="600">
      <formula>ISEVEN(MONTH($C2072))</formula>
    </cfRule>
  </conditionalFormatting>
  <conditionalFormatting sqref="K2074:K2076">
    <cfRule type="expression" dxfId="626" priority="639">
      <formula>ISODD(MONTH($C2072))</formula>
    </cfRule>
    <cfRule type="expression" dxfId="625" priority="640">
      <formula>ISEVEN(MONTH($C2072))</formula>
    </cfRule>
  </conditionalFormatting>
  <conditionalFormatting sqref="K2075:K2076">
    <cfRule type="expression" dxfId="624" priority="3073">
      <formula>ISODD(MONTH($C2076))</formula>
    </cfRule>
    <cfRule type="expression" dxfId="623" priority="3074">
      <formula>ISEVEN(MONTH($C2076))</formula>
    </cfRule>
  </conditionalFormatting>
  <conditionalFormatting sqref="K2080">
    <cfRule type="expression" dxfId="622" priority="627">
      <formula>ISODD(MONTH($C2074))</formula>
    </cfRule>
    <cfRule type="expression" dxfId="621" priority="628">
      <formula>ISEVEN(MONTH($C2074))</formula>
    </cfRule>
  </conditionalFormatting>
  <conditionalFormatting sqref="K2081:K2082">
    <cfRule type="expression" dxfId="620" priority="615">
      <formula>ISODD(MONTH($C2073))</formula>
    </cfRule>
    <cfRule type="expression" dxfId="619" priority="616">
      <formula>ISEVEN(MONTH($C2073))</formula>
    </cfRule>
  </conditionalFormatting>
  <conditionalFormatting sqref="K2083">
    <cfRule type="expression" dxfId="618" priority="3055">
      <formula>ISODD(MONTH($C2086))</formula>
    </cfRule>
    <cfRule type="expression" dxfId="617" priority="3056">
      <formula>ISEVEN(MONTH($C2086))</formula>
    </cfRule>
  </conditionalFormatting>
  <conditionalFormatting sqref="K2084">
    <cfRule type="expression" dxfId="616" priority="623">
      <formula>ISODD(MONTH($C2078))</formula>
    </cfRule>
    <cfRule type="expression" dxfId="615" priority="624">
      <formula>ISEVEN(MONTH($C2078))</formula>
    </cfRule>
  </conditionalFormatting>
  <conditionalFormatting sqref="K2085">
    <cfRule type="expression" dxfId="614" priority="619">
      <formula>ISODD(MONTH($C2088))</formula>
    </cfRule>
    <cfRule type="expression" dxfId="613" priority="620">
      <formula>ISEVEN(MONTH($C2088))</formula>
    </cfRule>
  </conditionalFormatting>
  <conditionalFormatting sqref="K2086">
    <cfRule type="expression" dxfId="612" priority="603">
      <formula>ISODD(MONTH($C2078))</formula>
    </cfRule>
    <cfRule type="expression" dxfId="611" priority="604">
      <formula>ISEVEN(MONTH($C2078))</formula>
    </cfRule>
  </conditionalFormatting>
  <conditionalFormatting sqref="K2089:K2090">
    <cfRule type="expression" dxfId="610" priority="3117">
      <formula>ISODD(MONTH($C2093))</formula>
    </cfRule>
    <cfRule type="expression" dxfId="609" priority="3118">
      <formula>ISEVEN(MONTH($C2093))</formula>
    </cfRule>
  </conditionalFormatting>
  <conditionalFormatting sqref="K2097">
    <cfRule type="expression" dxfId="608" priority="613">
      <formula>ISODD(MONTH($C2087))</formula>
    </cfRule>
    <cfRule type="expression" dxfId="607" priority="614">
      <formula>ISEVEN(MONTH($C2087))</formula>
    </cfRule>
  </conditionalFormatting>
  <conditionalFormatting sqref="K2098">
    <cfRule type="expression" dxfId="606" priority="611">
      <formula>ISODD(MONTH($C2094))</formula>
    </cfRule>
    <cfRule type="expression" dxfId="605" priority="612">
      <formula>ISEVEN(MONTH($C2094))</formula>
    </cfRule>
  </conditionalFormatting>
  <conditionalFormatting sqref="K2099">
    <cfRule type="expression" dxfId="604" priority="3143">
      <formula>ISODD(MONTH($C2084))</formula>
    </cfRule>
    <cfRule type="expression" dxfId="603" priority="3144">
      <formula>ISEVEN(MONTH($C2084))</formula>
    </cfRule>
  </conditionalFormatting>
  <conditionalFormatting sqref="K2133">
    <cfRule type="expression" dxfId="602" priority="529">
      <formula>ISODD(MONTH($C2133))</formula>
    </cfRule>
    <cfRule type="expression" dxfId="601" priority="530">
      <formula>ISEVEN(MONTH($C2133))</formula>
    </cfRule>
  </conditionalFormatting>
  <conditionalFormatting sqref="K2135:K2137">
    <cfRule type="expression" dxfId="600" priority="559">
      <formula>ISODD(MONTH($C2133))</formula>
    </cfRule>
    <cfRule type="expression" dxfId="599" priority="560">
      <formula>ISEVEN(MONTH($C2133))</formula>
    </cfRule>
  </conditionalFormatting>
  <conditionalFormatting sqref="K2136:K2137">
    <cfRule type="expression" dxfId="598" priority="573">
      <formula>ISODD(MONTH($C2137))</formula>
    </cfRule>
    <cfRule type="expression" dxfId="597" priority="574">
      <formula>ISEVEN(MONTH($C2137))</formula>
    </cfRule>
  </conditionalFormatting>
  <conditionalFormatting sqref="K2141">
    <cfRule type="expression" dxfId="596" priority="555">
      <formula>ISODD(MONTH($C2135))</formula>
    </cfRule>
    <cfRule type="expression" dxfId="595" priority="556">
      <formula>ISEVEN(MONTH($C2135))</formula>
    </cfRule>
  </conditionalFormatting>
  <conditionalFormatting sqref="K2142:K2143">
    <cfRule type="expression" dxfId="594" priority="543">
      <formula>ISODD(MONTH($C2134))</formula>
    </cfRule>
    <cfRule type="expression" dxfId="593" priority="544">
      <formula>ISEVEN(MONTH($C2134))</formula>
    </cfRule>
  </conditionalFormatting>
  <conditionalFormatting sqref="K2144">
    <cfRule type="expression" dxfId="592" priority="569">
      <formula>ISODD(MONTH($C2147))</formula>
    </cfRule>
    <cfRule type="expression" dxfId="591" priority="570">
      <formula>ISEVEN(MONTH($C2147))</formula>
    </cfRule>
  </conditionalFormatting>
  <conditionalFormatting sqref="K2145">
    <cfRule type="expression" dxfId="590" priority="551">
      <formula>ISODD(MONTH($C2139))</formula>
    </cfRule>
    <cfRule type="expression" dxfId="589" priority="552">
      <formula>ISEVEN(MONTH($C2139))</formula>
    </cfRule>
  </conditionalFormatting>
  <conditionalFormatting sqref="K2146">
    <cfRule type="expression" dxfId="588" priority="547">
      <formula>ISODD(MONTH($C2149))</formula>
    </cfRule>
    <cfRule type="expression" dxfId="587" priority="548">
      <formula>ISEVEN(MONTH($C2149))</formula>
    </cfRule>
  </conditionalFormatting>
  <conditionalFormatting sqref="K2147">
    <cfRule type="expression" dxfId="586" priority="533">
      <formula>ISODD(MONTH($C2139))</formula>
    </cfRule>
    <cfRule type="expression" dxfId="585" priority="534">
      <formula>ISEVEN(MONTH($C2139))</formula>
    </cfRule>
  </conditionalFormatting>
  <conditionalFormatting sqref="K2148:K2151">
    <cfRule type="expression" dxfId="584" priority="563">
      <formula>ISODD(MONTH($C2138))</formula>
    </cfRule>
    <cfRule type="expression" dxfId="583" priority="564">
      <formula>ISEVEN(MONTH($C2138))</formula>
    </cfRule>
  </conditionalFormatting>
  <conditionalFormatting sqref="K2150:K2151">
    <cfRule type="expression" dxfId="582" priority="577">
      <formula>ISODD(MONTH($C2154))</formula>
    </cfRule>
    <cfRule type="expression" dxfId="581" priority="578">
      <formula>ISEVEN(MONTH($C2154))</formula>
    </cfRule>
  </conditionalFormatting>
  <conditionalFormatting sqref="K2152:K2157">
    <cfRule type="expression" dxfId="580" priority="561">
      <formula>ISODD(MONTH($C2148))</formula>
    </cfRule>
    <cfRule type="expression" dxfId="579" priority="562">
      <formula>ISEVEN(MONTH($C2148))</formula>
    </cfRule>
  </conditionalFormatting>
  <conditionalFormatting sqref="K2158">
    <cfRule type="expression" dxfId="578" priority="541">
      <formula>ISODD(MONTH($C2148))</formula>
    </cfRule>
    <cfRule type="expression" dxfId="577" priority="542">
      <formula>ISEVEN(MONTH($C2148))</formula>
    </cfRule>
  </conditionalFormatting>
  <conditionalFormatting sqref="K2159">
    <cfRule type="expression" dxfId="576" priority="539">
      <formula>ISODD(MONTH($C2155))</formula>
    </cfRule>
    <cfRule type="expression" dxfId="575" priority="540">
      <formula>ISEVEN(MONTH($C2155))</formula>
    </cfRule>
  </conditionalFormatting>
  <conditionalFormatting sqref="K2160">
    <cfRule type="expression" dxfId="574" priority="581">
      <formula>ISODD(MONTH($C2145))</formula>
    </cfRule>
    <cfRule type="expression" dxfId="573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72" priority="2489">
      <formula>ISODD(MONTH($C1742))</formula>
    </cfRule>
  </conditionalFormatting>
  <conditionalFormatting sqref="K2194">
    <cfRule type="expression" dxfId="571" priority="471">
      <formula>ISODD(MONTH($C2194))</formula>
    </cfRule>
    <cfRule type="expression" dxfId="570" priority="472">
      <formula>ISEVEN(MONTH($C2194))</formula>
    </cfRule>
  </conditionalFormatting>
  <conditionalFormatting sqref="K2196:K2198">
    <cfRule type="expression" dxfId="569" priority="501">
      <formula>ISODD(MONTH($C2194))</formula>
    </cfRule>
    <cfRule type="expression" dxfId="568" priority="502">
      <formula>ISEVEN(MONTH($C2194))</formula>
    </cfRule>
  </conditionalFormatting>
  <conditionalFormatting sqref="K2197:K2198">
    <cfRule type="expression" dxfId="567" priority="515">
      <formula>ISODD(MONTH($C2198))</formula>
    </cfRule>
    <cfRule type="expression" dxfId="566" priority="516">
      <formula>ISEVEN(MONTH($C2198))</formula>
    </cfRule>
  </conditionalFormatting>
  <conditionalFormatting sqref="K2202">
    <cfRule type="expression" dxfId="565" priority="497">
      <formula>ISODD(MONTH($C2196))</formula>
    </cfRule>
    <cfRule type="expression" dxfId="564" priority="498">
      <formula>ISEVEN(MONTH($C2196))</formula>
    </cfRule>
  </conditionalFormatting>
  <conditionalFormatting sqref="K2203:K2204">
    <cfRule type="expression" dxfId="563" priority="485">
      <formula>ISODD(MONTH($C2195))</formula>
    </cfRule>
    <cfRule type="expression" dxfId="562" priority="486">
      <formula>ISEVEN(MONTH($C2195))</formula>
    </cfRule>
  </conditionalFormatting>
  <conditionalFormatting sqref="K2205">
    <cfRule type="expression" dxfId="561" priority="511">
      <formula>ISODD(MONTH($C2208))</formula>
    </cfRule>
    <cfRule type="expression" dxfId="560" priority="512">
      <formula>ISEVEN(MONTH($C2208))</formula>
    </cfRule>
  </conditionalFormatting>
  <conditionalFormatting sqref="K2206">
    <cfRule type="expression" dxfId="559" priority="493">
      <formula>ISODD(MONTH($C2200))</formula>
    </cfRule>
    <cfRule type="expression" dxfId="558" priority="494">
      <formula>ISEVEN(MONTH($C2200))</formula>
    </cfRule>
  </conditionalFormatting>
  <conditionalFormatting sqref="K2207">
    <cfRule type="expression" dxfId="557" priority="489">
      <formula>ISODD(MONTH($C2210))</formula>
    </cfRule>
    <cfRule type="expression" dxfId="556" priority="490">
      <formula>ISEVEN(MONTH($C2210))</formula>
    </cfRule>
  </conditionalFormatting>
  <conditionalFormatting sqref="K2208">
    <cfRule type="expression" dxfId="555" priority="475">
      <formula>ISODD(MONTH($C2200))</formula>
    </cfRule>
    <cfRule type="expression" dxfId="554" priority="476">
      <formula>ISEVEN(MONTH($C2200))</formula>
    </cfRule>
  </conditionalFormatting>
  <conditionalFormatting sqref="K2209:K2212">
    <cfRule type="expression" dxfId="553" priority="505">
      <formula>ISODD(MONTH($C2199))</formula>
    </cfRule>
    <cfRule type="expression" dxfId="552" priority="506">
      <formula>ISEVEN(MONTH($C2199))</formula>
    </cfRule>
  </conditionalFormatting>
  <conditionalFormatting sqref="K2211:K2212">
    <cfRule type="expression" dxfId="551" priority="519">
      <formula>ISODD(MONTH($C2215))</formula>
    </cfRule>
    <cfRule type="expression" dxfId="550" priority="520">
      <formula>ISEVEN(MONTH($C2215))</formula>
    </cfRule>
  </conditionalFormatting>
  <conditionalFormatting sqref="K2213:K2218">
    <cfRule type="expression" dxfId="549" priority="503">
      <formula>ISODD(MONTH($C2209))</formula>
    </cfRule>
    <cfRule type="expression" dxfId="548" priority="504">
      <formula>ISEVEN(MONTH($C2209))</formula>
    </cfRule>
  </conditionalFormatting>
  <conditionalFormatting sqref="K2219">
    <cfRule type="expression" dxfId="547" priority="483">
      <formula>ISODD(MONTH($C2209))</formula>
    </cfRule>
    <cfRule type="expression" dxfId="546" priority="484">
      <formula>ISEVEN(MONTH($C2209))</formula>
    </cfRule>
  </conditionalFormatting>
  <conditionalFormatting sqref="K2220">
    <cfRule type="expression" dxfId="545" priority="481">
      <formula>ISODD(MONTH($C2216))</formula>
    </cfRule>
    <cfRule type="expression" dxfId="544" priority="482">
      <formula>ISEVEN(MONTH($C2216))</formula>
    </cfRule>
  </conditionalFormatting>
  <conditionalFormatting sqref="K2221">
    <cfRule type="expression" dxfId="543" priority="523">
      <formula>ISODD(MONTH($C2206))</formula>
    </cfRule>
    <cfRule type="expression" dxfId="542" priority="524">
      <formula>ISEVEN(MONTH($C2206))</formula>
    </cfRule>
  </conditionalFormatting>
  <conditionalFormatting sqref="K2232:K2252">
    <cfRule type="expression" dxfId="541" priority="467">
      <formula>ISODD(MONTH($C2229))</formula>
    </cfRule>
    <cfRule type="expression" dxfId="540" priority="468">
      <formula>ISEVEN(MONTH($C2229))</formula>
    </cfRule>
  </conditionalFormatting>
  <conditionalFormatting sqref="K2253:K2256">
    <cfRule type="expression" dxfId="539" priority="403">
      <formula>ISODD(MONTH($C2253))</formula>
    </cfRule>
    <cfRule type="expression" dxfId="538" priority="404">
      <formula>ISEVEN(MONTH($C2253))</formula>
    </cfRule>
  </conditionalFormatting>
  <conditionalFormatting sqref="K2257 K2261:K2263">
    <cfRule type="expression" dxfId="537" priority="461">
      <formula>ISODD(MONTH($C2256))</formula>
    </cfRule>
    <cfRule type="expression" dxfId="536" priority="462">
      <formula>ISEVEN(MONTH($C2256))</formula>
    </cfRule>
  </conditionalFormatting>
  <conditionalFormatting sqref="K2258:K2260">
    <cfRule type="expression" dxfId="535" priority="433">
      <formula>ISODD(MONTH($C2256))</formula>
    </cfRule>
    <cfRule type="expression" dxfId="534" priority="434">
      <formula>ISEVEN(MONTH($C2256))</formula>
    </cfRule>
  </conditionalFormatting>
  <conditionalFormatting sqref="K2259:K2260">
    <cfRule type="expression" dxfId="533" priority="447">
      <formula>ISODD(MONTH($C2260))</formula>
    </cfRule>
    <cfRule type="expression" dxfId="532" priority="448">
      <formula>ISEVEN(MONTH($C2260))</formula>
    </cfRule>
  </conditionalFormatting>
  <conditionalFormatting sqref="K2264">
    <cfRule type="expression" dxfId="531" priority="429">
      <formula>ISODD(MONTH($C2258))</formula>
    </cfRule>
    <cfRule type="expression" dxfId="530" priority="430">
      <formula>ISEVEN(MONTH($C2258))</formula>
    </cfRule>
  </conditionalFormatting>
  <conditionalFormatting sqref="K2265:K2266">
    <cfRule type="expression" dxfId="529" priority="417">
      <formula>ISODD(MONTH($C2257))</formula>
    </cfRule>
    <cfRule type="expression" dxfId="528" priority="418">
      <formula>ISEVEN(MONTH($C2257))</formula>
    </cfRule>
  </conditionalFormatting>
  <conditionalFormatting sqref="K2267">
    <cfRule type="expression" dxfId="527" priority="443">
      <formula>ISODD(MONTH($C2270))</formula>
    </cfRule>
    <cfRule type="expression" dxfId="526" priority="444">
      <formula>ISEVEN(MONTH($C2270))</formula>
    </cfRule>
  </conditionalFormatting>
  <conditionalFormatting sqref="K2268">
    <cfRule type="expression" dxfId="525" priority="425">
      <formula>ISODD(MONTH($C2262))</formula>
    </cfRule>
    <cfRule type="expression" dxfId="524" priority="426">
      <formula>ISEVEN(MONTH($C2262))</formula>
    </cfRule>
  </conditionalFormatting>
  <conditionalFormatting sqref="K2269">
    <cfRule type="expression" dxfId="523" priority="421">
      <formula>ISODD(MONTH($C2272))</formula>
    </cfRule>
    <cfRule type="expression" dxfId="522" priority="422">
      <formula>ISEVEN(MONTH($C2272))</formula>
    </cfRule>
  </conditionalFormatting>
  <conditionalFormatting sqref="K2270">
    <cfRule type="expression" dxfId="521" priority="407">
      <formula>ISODD(MONTH($C2262))</formula>
    </cfRule>
    <cfRule type="expression" dxfId="520" priority="408">
      <formula>ISEVEN(MONTH($C2262))</formula>
    </cfRule>
  </conditionalFormatting>
  <conditionalFormatting sqref="K2271:K2274">
    <cfRule type="expression" dxfId="519" priority="437">
      <formula>ISODD(MONTH($C2261))</formula>
    </cfRule>
    <cfRule type="expression" dxfId="518" priority="438">
      <formula>ISEVEN(MONTH($C2261))</formula>
    </cfRule>
  </conditionalFormatting>
  <conditionalFormatting sqref="K2273:K2274">
    <cfRule type="expression" dxfId="517" priority="451">
      <formula>ISODD(MONTH($C2277))</formula>
    </cfRule>
    <cfRule type="expression" dxfId="516" priority="452">
      <formula>ISEVEN(MONTH($C2277))</formula>
    </cfRule>
  </conditionalFormatting>
  <conditionalFormatting sqref="K2275:K2280">
    <cfRule type="expression" dxfId="515" priority="435">
      <formula>ISODD(MONTH($C2271))</formula>
    </cfRule>
    <cfRule type="expression" dxfId="514" priority="436">
      <formula>ISEVEN(MONTH($C2271))</formula>
    </cfRule>
  </conditionalFormatting>
  <conditionalFormatting sqref="K2281">
    <cfRule type="expression" dxfId="513" priority="415">
      <formula>ISODD(MONTH($C2271))</formula>
    </cfRule>
    <cfRule type="expression" dxfId="512" priority="416">
      <formula>ISEVEN(MONTH($C2271))</formula>
    </cfRule>
  </conditionalFormatting>
  <conditionalFormatting sqref="K2282">
    <cfRule type="expression" dxfId="511" priority="413">
      <formula>ISODD(MONTH($C2278))</formula>
    </cfRule>
    <cfRule type="expression" dxfId="510" priority="414">
      <formula>ISEVEN(MONTH($C2278))</formula>
    </cfRule>
  </conditionalFormatting>
  <conditionalFormatting sqref="K2283">
    <cfRule type="expression" dxfId="509" priority="455">
      <formula>ISODD(MONTH($C2268))</formula>
    </cfRule>
    <cfRule type="expression" dxfId="508" priority="456">
      <formula>ISEVEN(MONTH($C2268))</formula>
    </cfRule>
    <cfRule type="expression" dxfId="507" priority="463">
      <formula>ISODD(MONTH($C2280))</formula>
    </cfRule>
    <cfRule type="expression" dxfId="506" priority="464">
      <formula>ISEVEN(MONTH($C2280))</formula>
    </cfRule>
  </conditionalFormatting>
  <conditionalFormatting sqref="K2285:K2290">
    <cfRule type="expression" dxfId="505" priority="39">
      <formula>ISODD(MONTH($C2284))</formula>
    </cfRule>
    <cfRule type="expression" dxfId="504" priority="40">
      <formula>ISEVEN(MONTH($C2284))</formula>
    </cfRule>
  </conditionalFormatting>
  <conditionalFormatting sqref="K2291:K2311">
    <cfRule type="expression" dxfId="503" priority="35">
      <formula>ISODD(MONTH($C2288))</formula>
    </cfRule>
    <cfRule type="expression" dxfId="502" priority="36">
      <formula>ISEVEN(MONTH($C2288))</formula>
    </cfRule>
  </conditionalFormatting>
  <conditionalFormatting sqref="K2312:K2315">
    <cfRule type="expression" dxfId="501" priority="299">
      <formula>ISODD(MONTH($C2312))</formula>
    </cfRule>
    <cfRule type="expression" dxfId="500" priority="300">
      <formula>ISEVEN(MONTH($C2312))</formula>
    </cfRule>
  </conditionalFormatting>
  <conditionalFormatting sqref="K2316 K2320:K2322">
    <cfRule type="expression" dxfId="499" priority="357">
      <formula>ISODD(MONTH($C2315))</formula>
    </cfRule>
    <cfRule type="expression" dxfId="498" priority="358">
      <formula>ISEVEN(MONTH($C2315))</formula>
    </cfRule>
  </conditionalFormatting>
  <conditionalFormatting sqref="K2317:K2319">
    <cfRule type="expression" dxfId="497" priority="329">
      <formula>ISODD(MONTH($C2315))</formula>
    </cfRule>
    <cfRule type="expression" dxfId="496" priority="330">
      <formula>ISEVEN(MONTH($C2315))</formula>
    </cfRule>
  </conditionalFormatting>
  <conditionalFormatting sqref="K2318:K2319">
    <cfRule type="expression" dxfId="495" priority="343">
      <formula>ISODD(MONTH($C2319))</formula>
    </cfRule>
    <cfRule type="expression" dxfId="494" priority="344">
      <formula>ISEVEN(MONTH($C2319))</formula>
    </cfRule>
  </conditionalFormatting>
  <conditionalFormatting sqref="K2323">
    <cfRule type="expression" dxfId="493" priority="325">
      <formula>ISODD(MONTH($C2317))</formula>
    </cfRule>
    <cfRule type="expression" dxfId="492" priority="326">
      <formula>ISEVEN(MONTH($C2317))</formula>
    </cfRule>
  </conditionalFormatting>
  <conditionalFormatting sqref="K2324:K2325">
    <cfRule type="expression" dxfId="491" priority="313">
      <formula>ISODD(MONTH($C2316))</formula>
    </cfRule>
    <cfRule type="expression" dxfId="490" priority="314">
      <formula>ISEVEN(MONTH($C2316))</formula>
    </cfRule>
  </conditionalFormatting>
  <conditionalFormatting sqref="K2326">
    <cfRule type="expression" dxfId="489" priority="339">
      <formula>ISODD(MONTH($C2329))</formula>
    </cfRule>
    <cfRule type="expression" dxfId="488" priority="340">
      <formula>ISEVEN(MONTH($C2329))</formula>
    </cfRule>
  </conditionalFormatting>
  <conditionalFormatting sqref="K2327">
    <cfRule type="expression" dxfId="487" priority="321">
      <formula>ISODD(MONTH($C2321))</formula>
    </cfRule>
    <cfRule type="expression" dxfId="486" priority="322">
      <formula>ISEVEN(MONTH($C2321))</formula>
    </cfRule>
  </conditionalFormatting>
  <conditionalFormatting sqref="K2328">
    <cfRule type="expression" dxfId="485" priority="317">
      <formula>ISODD(MONTH($C2331))</formula>
    </cfRule>
    <cfRule type="expression" dxfId="484" priority="318">
      <formula>ISEVEN(MONTH($C2331))</formula>
    </cfRule>
  </conditionalFormatting>
  <conditionalFormatting sqref="K2329">
    <cfRule type="expression" dxfId="483" priority="303">
      <formula>ISODD(MONTH($C2321))</formula>
    </cfRule>
    <cfRule type="expression" dxfId="482" priority="304">
      <formula>ISEVEN(MONTH($C2321))</formula>
    </cfRule>
  </conditionalFormatting>
  <conditionalFormatting sqref="K2330:K2333">
    <cfRule type="expression" dxfId="481" priority="333">
      <formula>ISODD(MONTH($C2320))</formula>
    </cfRule>
    <cfRule type="expression" dxfId="480" priority="334">
      <formula>ISEVEN(MONTH($C2320))</formula>
    </cfRule>
  </conditionalFormatting>
  <conditionalFormatting sqref="K2332:K2333">
    <cfRule type="expression" dxfId="479" priority="347">
      <formula>ISODD(MONTH($C2336))</formula>
    </cfRule>
    <cfRule type="expression" dxfId="478" priority="348">
      <formula>ISEVEN(MONTH($C2336))</formula>
    </cfRule>
  </conditionalFormatting>
  <conditionalFormatting sqref="K2334:K2339">
    <cfRule type="expression" dxfId="477" priority="331">
      <formula>ISODD(MONTH($C2330))</formula>
    </cfRule>
    <cfRule type="expression" dxfId="476" priority="332">
      <formula>ISEVEN(MONTH($C2330))</formula>
    </cfRule>
  </conditionalFormatting>
  <conditionalFormatting sqref="K2340">
    <cfRule type="expression" dxfId="475" priority="311">
      <formula>ISODD(MONTH($C2330))</formula>
    </cfRule>
    <cfRule type="expression" dxfId="474" priority="312">
      <formula>ISEVEN(MONTH($C2330))</formula>
    </cfRule>
  </conditionalFormatting>
  <conditionalFormatting sqref="K2341">
    <cfRule type="expression" dxfId="473" priority="309">
      <formula>ISODD(MONTH($C2337))</formula>
    </cfRule>
    <cfRule type="expression" dxfId="472" priority="310">
      <formula>ISEVEN(MONTH($C2337))</formula>
    </cfRule>
  </conditionalFormatting>
  <conditionalFormatting sqref="K2342">
    <cfRule type="expression" dxfId="471" priority="351">
      <formula>ISODD(MONTH($C2327))</formula>
    </cfRule>
    <cfRule type="expression" dxfId="470" priority="352">
      <formula>ISEVEN(MONTH($C2327))</formula>
    </cfRule>
    <cfRule type="expression" dxfId="469" priority="359">
      <formula>ISODD(MONTH($C2339))</formula>
    </cfRule>
    <cfRule type="expression" dxfId="468" priority="360">
      <formula>ISEVEN(MONTH($C2339))</formula>
    </cfRule>
  </conditionalFormatting>
  <conditionalFormatting sqref="K2346:K2351">
    <cfRule type="expression" dxfId="467" priority="31">
      <formula>ISODD(MONTH($C2345))</formula>
    </cfRule>
    <cfRule type="expression" dxfId="466" priority="32">
      <formula>ISEVEN(MONTH($C2345))</formula>
    </cfRule>
  </conditionalFormatting>
  <conditionalFormatting sqref="K2352:K2372">
    <cfRule type="expression" dxfId="465" priority="27">
      <formula>ISODD(MONTH($C2349))</formula>
    </cfRule>
    <cfRule type="expression" dxfId="464" priority="28">
      <formula>ISEVEN(MONTH($C2349))</formula>
    </cfRule>
  </conditionalFormatting>
  <conditionalFormatting sqref="K2373:K2376">
    <cfRule type="expression" dxfId="463" priority="235">
      <formula>ISODD(MONTH($C2373))</formula>
    </cfRule>
    <cfRule type="expression" dxfId="462" priority="236">
      <formula>ISEVEN(MONTH($C2373))</formula>
    </cfRule>
  </conditionalFormatting>
  <conditionalFormatting sqref="K2377 K2381:K2383">
    <cfRule type="expression" dxfId="461" priority="293">
      <formula>ISODD(MONTH($C2376))</formula>
    </cfRule>
    <cfRule type="expression" dxfId="460" priority="294">
      <formula>ISEVEN(MONTH($C2376))</formula>
    </cfRule>
  </conditionalFormatting>
  <conditionalFormatting sqref="K2378:K2380">
    <cfRule type="expression" dxfId="459" priority="265">
      <formula>ISODD(MONTH($C2376))</formula>
    </cfRule>
    <cfRule type="expression" dxfId="458" priority="266">
      <formula>ISEVEN(MONTH($C2376))</formula>
    </cfRule>
  </conditionalFormatting>
  <conditionalFormatting sqref="K2379:K2380">
    <cfRule type="expression" dxfId="457" priority="279">
      <formula>ISODD(MONTH($C2380))</formula>
    </cfRule>
    <cfRule type="expression" dxfId="456" priority="280">
      <formula>ISEVEN(MONTH($C2380))</formula>
    </cfRule>
  </conditionalFormatting>
  <conditionalFormatting sqref="K2384">
    <cfRule type="expression" dxfId="455" priority="261">
      <formula>ISODD(MONTH($C2378))</formula>
    </cfRule>
    <cfRule type="expression" dxfId="454" priority="262">
      <formula>ISEVEN(MONTH($C2378))</formula>
    </cfRule>
  </conditionalFormatting>
  <conditionalFormatting sqref="K2385:K2386">
    <cfRule type="expression" dxfId="453" priority="249">
      <formula>ISODD(MONTH($C2377))</formula>
    </cfRule>
    <cfRule type="expression" dxfId="452" priority="250">
      <formula>ISEVEN(MONTH($C2377))</formula>
    </cfRule>
  </conditionalFormatting>
  <conditionalFormatting sqref="K2387">
    <cfRule type="expression" dxfId="451" priority="275">
      <formula>ISODD(MONTH($C2390))</formula>
    </cfRule>
    <cfRule type="expression" dxfId="450" priority="276">
      <formula>ISEVEN(MONTH($C2390))</formula>
    </cfRule>
  </conditionalFormatting>
  <conditionalFormatting sqref="K2388">
    <cfRule type="expression" dxfId="449" priority="257">
      <formula>ISODD(MONTH($C2382))</formula>
    </cfRule>
    <cfRule type="expression" dxfId="448" priority="258">
      <formula>ISEVEN(MONTH($C2382))</formula>
    </cfRule>
  </conditionalFormatting>
  <conditionalFormatting sqref="K2389">
    <cfRule type="expression" dxfId="447" priority="253">
      <formula>ISODD(MONTH($C2392))</formula>
    </cfRule>
    <cfRule type="expression" dxfId="446" priority="254">
      <formula>ISEVEN(MONTH($C2392))</formula>
    </cfRule>
  </conditionalFormatting>
  <conditionalFormatting sqref="K2390">
    <cfRule type="expression" dxfId="445" priority="239">
      <formula>ISODD(MONTH($C2382))</formula>
    </cfRule>
    <cfRule type="expression" dxfId="444" priority="240">
      <formula>ISEVEN(MONTH($C2382))</formula>
    </cfRule>
  </conditionalFormatting>
  <conditionalFormatting sqref="K2391:K2394">
    <cfRule type="expression" dxfId="443" priority="269">
      <formula>ISODD(MONTH($C2381))</formula>
    </cfRule>
    <cfRule type="expression" dxfId="442" priority="270">
      <formula>ISEVEN(MONTH($C2381))</formula>
    </cfRule>
  </conditionalFormatting>
  <conditionalFormatting sqref="K2393:K2394">
    <cfRule type="expression" dxfId="441" priority="283">
      <formula>ISODD(MONTH($C2397))</formula>
    </cfRule>
    <cfRule type="expression" dxfId="440" priority="284">
      <formula>ISEVEN(MONTH($C2397))</formula>
    </cfRule>
  </conditionalFormatting>
  <conditionalFormatting sqref="K2395:K2400">
    <cfRule type="expression" dxfId="439" priority="267">
      <formula>ISODD(MONTH($C2391))</formula>
    </cfRule>
    <cfRule type="expression" dxfId="438" priority="268">
      <formula>ISEVEN(MONTH($C2391))</formula>
    </cfRule>
  </conditionalFormatting>
  <conditionalFormatting sqref="K2401">
    <cfRule type="expression" dxfId="437" priority="247">
      <formula>ISODD(MONTH($C2391))</formula>
    </cfRule>
    <cfRule type="expression" dxfId="436" priority="248">
      <formula>ISEVEN(MONTH($C2391))</formula>
    </cfRule>
  </conditionalFormatting>
  <conditionalFormatting sqref="K2402">
    <cfRule type="expression" dxfId="435" priority="245">
      <formula>ISODD(MONTH($C2398))</formula>
    </cfRule>
    <cfRule type="expression" dxfId="434" priority="246">
      <formula>ISEVEN(MONTH($C2398))</formula>
    </cfRule>
  </conditionalFormatting>
  <conditionalFormatting sqref="K2403">
    <cfRule type="expression" dxfId="433" priority="287">
      <formula>ISODD(MONTH($C2388))</formula>
    </cfRule>
    <cfRule type="expression" dxfId="432" priority="288">
      <formula>ISEVEN(MONTH($C2388))</formula>
    </cfRule>
    <cfRule type="expression" dxfId="431" priority="295">
      <formula>ISODD(MONTH($C2400))</formula>
    </cfRule>
    <cfRule type="expression" dxfId="430" priority="296">
      <formula>ISEVEN(MONTH($C2400))</formula>
    </cfRule>
  </conditionalFormatting>
  <conditionalFormatting sqref="K2407:K2412">
    <cfRule type="expression" dxfId="429" priority="23">
      <formula>ISODD(MONTH($C2406))</formula>
    </cfRule>
    <cfRule type="expression" dxfId="428" priority="24">
      <formula>ISEVEN(MONTH($C2406))</formula>
    </cfRule>
  </conditionalFormatting>
  <conditionalFormatting sqref="K2413:K2433">
    <cfRule type="expression" dxfId="427" priority="19">
      <formula>ISODD(MONTH($C2410))</formula>
    </cfRule>
    <cfRule type="expression" dxfId="426" priority="20">
      <formula>ISEVEN(MONTH($C2410))</formula>
    </cfRule>
  </conditionalFormatting>
  <conditionalFormatting sqref="K2434:K2437">
    <cfRule type="expression" dxfId="425" priority="171">
      <formula>ISODD(MONTH($C2434))</formula>
    </cfRule>
    <cfRule type="expression" dxfId="424" priority="172">
      <formula>ISEVEN(MONTH($C2434))</formula>
    </cfRule>
  </conditionalFormatting>
  <conditionalFormatting sqref="K2438 K2442:K2444">
    <cfRule type="expression" dxfId="423" priority="229">
      <formula>ISODD(MONTH($C2437))</formula>
    </cfRule>
    <cfRule type="expression" dxfId="422" priority="230">
      <formula>ISEVEN(MONTH($C2437))</formula>
    </cfRule>
  </conditionalFormatting>
  <conditionalFormatting sqref="K2439:K2441">
    <cfRule type="expression" dxfId="421" priority="201">
      <formula>ISODD(MONTH($C2437))</formula>
    </cfRule>
    <cfRule type="expression" dxfId="420" priority="202">
      <formula>ISEVEN(MONTH($C2437))</formula>
    </cfRule>
  </conditionalFormatting>
  <conditionalFormatting sqref="K2440:K2441">
    <cfRule type="expression" dxfId="419" priority="215">
      <formula>ISODD(MONTH($C2441))</formula>
    </cfRule>
    <cfRule type="expression" dxfId="418" priority="216">
      <formula>ISEVEN(MONTH($C2441))</formula>
    </cfRule>
  </conditionalFormatting>
  <conditionalFormatting sqref="K2445">
    <cfRule type="expression" dxfId="417" priority="197">
      <formula>ISODD(MONTH($C2439))</formula>
    </cfRule>
    <cfRule type="expression" dxfId="416" priority="198">
      <formula>ISEVEN(MONTH($C2439))</formula>
    </cfRule>
  </conditionalFormatting>
  <conditionalFormatting sqref="K2446:K2447">
    <cfRule type="expression" dxfId="415" priority="185">
      <formula>ISODD(MONTH($C2438))</formula>
    </cfRule>
    <cfRule type="expression" dxfId="414" priority="186">
      <formula>ISEVEN(MONTH($C2438))</formula>
    </cfRule>
  </conditionalFormatting>
  <conditionalFormatting sqref="K2448">
    <cfRule type="expression" dxfId="413" priority="211">
      <formula>ISODD(MONTH($C2451))</formula>
    </cfRule>
    <cfRule type="expression" dxfId="412" priority="212">
      <formula>ISEVEN(MONTH($C2451))</formula>
    </cfRule>
  </conditionalFormatting>
  <conditionalFormatting sqref="K2449">
    <cfRule type="expression" dxfId="411" priority="193">
      <formula>ISODD(MONTH($C2443))</formula>
    </cfRule>
    <cfRule type="expression" dxfId="410" priority="194">
      <formula>ISEVEN(MONTH($C2443))</formula>
    </cfRule>
  </conditionalFormatting>
  <conditionalFormatting sqref="K2450">
    <cfRule type="expression" dxfId="409" priority="189">
      <formula>ISODD(MONTH($C2453))</formula>
    </cfRule>
    <cfRule type="expression" dxfId="408" priority="190">
      <formula>ISEVEN(MONTH($C2453))</formula>
    </cfRule>
  </conditionalFormatting>
  <conditionalFormatting sqref="K2451">
    <cfRule type="expression" dxfId="407" priority="175">
      <formula>ISODD(MONTH($C2443))</formula>
    </cfRule>
    <cfRule type="expression" dxfId="406" priority="176">
      <formula>ISEVEN(MONTH($C2443))</formula>
    </cfRule>
  </conditionalFormatting>
  <conditionalFormatting sqref="K2452:K2455">
    <cfRule type="expression" dxfId="405" priority="205">
      <formula>ISODD(MONTH($C2442))</formula>
    </cfRule>
    <cfRule type="expression" dxfId="404" priority="206">
      <formula>ISEVEN(MONTH($C2442))</formula>
    </cfRule>
  </conditionalFormatting>
  <conditionalFormatting sqref="K2454:K2455">
    <cfRule type="expression" dxfId="403" priority="219">
      <formula>ISODD(MONTH($C2458))</formula>
    </cfRule>
    <cfRule type="expression" dxfId="402" priority="220">
      <formula>ISEVEN(MONTH($C2458))</formula>
    </cfRule>
  </conditionalFormatting>
  <conditionalFormatting sqref="K2456:K2461">
    <cfRule type="expression" dxfId="401" priority="203">
      <formula>ISODD(MONTH($C2452))</formula>
    </cfRule>
    <cfRule type="expression" dxfId="400" priority="204">
      <formula>ISEVEN(MONTH($C2452))</formula>
    </cfRule>
  </conditionalFormatting>
  <conditionalFormatting sqref="K2462">
    <cfRule type="expression" dxfId="399" priority="183">
      <formula>ISODD(MONTH($C2452))</formula>
    </cfRule>
    <cfRule type="expression" dxfId="398" priority="184">
      <formula>ISEVEN(MONTH($C2452))</formula>
    </cfRule>
  </conditionalFormatting>
  <conditionalFormatting sqref="K2463">
    <cfRule type="expression" dxfId="397" priority="181">
      <formula>ISODD(MONTH($C2459))</formula>
    </cfRule>
    <cfRule type="expression" dxfId="396" priority="182">
      <formula>ISEVEN(MONTH($C2459))</formula>
    </cfRule>
  </conditionalFormatting>
  <conditionalFormatting sqref="K2464">
    <cfRule type="expression" dxfId="395" priority="223">
      <formula>ISODD(MONTH($C2449))</formula>
    </cfRule>
    <cfRule type="expression" dxfId="394" priority="224">
      <formula>ISEVEN(MONTH($C2449))</formula>
    </cfRule>
    <cfRule type="expression" dxfId="393" priority="231">
      <formula>ISODD(MONTH($C2461))</formula>
    </cfRule>
    <cfRule type="expression" dxfId="392" priority="232">
      <formula>ISEVEN(MONTH($C2461))</formula>
    </cfRule>
  </conditionalFormatting>
  <conditionalFormatting sqref="K2469:K2474">
    <cfRule type="expression" dxfId="391" priority="15">
      <formula>ISODD(MONTH($C2468))</formula>
    </cfRule>
    <cfRule type="expression" dxfId="390" priority="16">
      <formula>ISEVEN(MONTH($C2468))</formula>
    </cfRule>
  </conditionalFormatting>
  <conditionalFormatting sqref="K2475:K2495">
    <cfRule type="expression" dxfId="389" priority="11">
      <formula>ISODD(MONTH($C2472))</formula>
    </cfRule>
    <cfRule type="expression" dxfId="388" priority="12">
      <formula>ISEVEN(MONTH($C2472))</formula>
    </cfRule>
  </conditionalFormatting>
  <conditionalFormatting sqref="K2496:K2498">
    <cfRule type="expression" dxfId="387" priority="107">
      <formula>ISODD(MONTH($C2496))</formula>
    </cfRule>
    <cfRule type="expression" dxfId="386" priority="108">
      <formula>ISEVEN(MONTH($C2496))</formula>
    </cfRule>
  </conditionalFormatting>
  <conditionalFormatting sqref="K2499 K2503:K2505">
    <cfRule type="expression" dxfId="385" priority="165">
      <formula>ISODD(MONTH($C2498))</formula>
    </cfRule>
    <cfRule type="expression" dxfId="384" priority="166">
      <formula>ISEVEN(MONTH($C2498))</formula>
    </cfRule>
  </conditionalFormatting>
  <conditionalFormatting sqref="K2500:K2502">
    <cfRule type="expression" dxfId="383" priority="137">
      <formula>ISODD(MONTH($C2498))</formula>
    </cfRule>
    <cfRule type="expression" dxfId="382" priority="138">
      <formula>ISEVEN(MONTH($C2498))</formula>
    </cfRule>
  </conditionalFormatting>
  <conditionalFormatting sqref="K2501:K2502">
    <cfRule type="expression" dxfId="381" priority="151">
      <formula>ISODD(MONTH($C2502))</formula>
    </cfRule>
    <cfRule type="expression" dxfId="380" priority="152">
      <formula>ISEVEN(MONTH($C2502))</formula>
    </cfRule>
  </conditionalFormatting>
  <conditionalFormatting sqref="K2506">
    <cfRule type="expression" dxfId="379" priority="133">
      <formula>ISODD(MONTH($C2500))</formula>
    </cfRule>
    <cfRule type="expression" dxfId="378" priority="134">
      <formula>ISEVEN(MONTH($C2500))</formula>
    </cfRule>
  </conditionalFormatting>
  <conditionalFormatting sqref="K2507:K2508">
    <cfRule type="expression" dxfId="377" priority="121">
      <formula>ISODD(MONTH($C2499))</formula>
    </cfRule>
    <cfRule type="expression" dxfId="376" priority="122">
      <formula>ISEVEN(MONTH($C2499))</formula>
    </cfRule>
  </conditionalFormatting>
  <conditionalFormatting sqref="K2509">
    <cfRule type="expression" dxfId="375" priority="147">
      <formula>ISODD(MONTH($C2512))</formula>
    </cfRule>
    <cfRule type="expression" dxfId="374" priority="148">
      <formula>ISEVEN(MONTH($C2512))</formula>
    </cfRule>
  </conditionalFormatting>
  <conditionalFormatting sqref="K2510">
    <cfRule type="expression" dxfId="373" priority="129">
      <formula>ISODD(MONTH($C2504))</formula>
    </cfRule>
    <cfRule type="expression" dxfId="372" priority="130">
      <formula>ISEVEN(MONTH($C2504))</formula>
    </cfRule>
  </conditionalFormatting>
  <conditionalFormatting sqref="K2511">
    <cfRule type="expression" dxfId="371" priority="125">
      <formula>ISODD(MONTH($C2514))</formula>
    </cfRule>
    <cfRule type="expression" dxfId="370" priority="126">
      <formula>ISEVEN(MONTH($C2514))</formula>
    </cfRule>
  </conditionalFormatting>
  <conditionalFormatting sqref="K2512">
    <cfRule type="expression" dxfId="369" priority="111">
      <formula>ISODD(MONTH($C2504))</formula>
    </cfRule>
    <cfRule type="expression" dxfId="368" priority="112">
      <formula>ISEVEN(MONTH($C2504))</formula>
    </cfRule>
  </conditionalFormatting>
  <conditionalFormatting sqref="K2513:K2516">
    <cfRule type="expression" dxfId="367" priority="141">
      <formula>ISODD(MONTH($C2503))</formula>
    </cfRule>
    <cfRule type="expression" dxfId="366" priority="142">
      <formula>ISEVEN(MONTH($C2503))</formula>
    </cfRule>
  </conditionalFormatting>
  <conditionalFormatting sqref="K2515:K2516">
    <cfRule type="expression" dxfId="365" priority="155">
      <formula>ISODD(MONTH($C2519))</formula>
    </cfRule>
    <cfRule type="expression" dxfId="364" priority="156">
      <formula>ISEVEN(MONTH($C2519))</formula>
    </cfRule>
  </conditionalFormatting>
  <conditionalFormatting sqref="K2517:K2522">
    <cfRule type="expression" dxfId="363" priority="139">
      <formula>ISODD(MONTH($C2513))</formula>
    </cfRule>
    <cfRule type="expression" dxfId="362" priority="140">
      <formula>ISEVEN(MONTH($C2513))</formula>
    </cfRule>
  </conditionalFormatting>
  <conditionalFormatting sqref="K2523">
    <cfRule type="expression" dxfId="361" priority="119">
      <formula>ISODD(MONTH($C2513))</formula>
    </cfRule>
    <cfRule type="expression" dxfId="360" priority="120">
      <formula>ISEVEN(MONTH($C2513))</formula>
    </cfRule>
  </conditionalFormatting>
  <conditionalFormatting sqref="K2524">
    <cfRule type="expression" dxfId="359" priority="117">
      <formula>ISODD(MONTH($C2520))</formula>
    </cfRule>
    <cfRule type="expression" dxfId="358" priority="118">
      <formula>ISEVEN(MONTH($C2520))</formula>
    </cfRule>
  </conditionalFormatting>
  <conditionalFormatting sqref="K2525">
    <cfRule type="expression" dxfId="357" priority="159">
      <formula>ISODD(MONTH($C2510))</formula>
    </cfRule>
    <cfRule type="expression" dxfId="356" priority="160">
      <formula>ISEVEN(MONTH($C2510))</formula>
    </cfRule>
    <cfRule type="expression" dxfId="355" priority="167">
      <formula>ISODD(MONTH($C2522))</formula>
    </cfRule>
    <cfRule type="expression" dxfId="354" priority="168">
      <formula>ISEVEN(MONTH($C2522))</formula>
    </cfRule>
  </conditionalFormatting>
  <conditionalFormatting sqref="K2530:K2535">
    <cfRule type="expression" dxfId="353" priority="7">
      <formula>ISODD(MONTH($C2529))</formula>
    </cfRule>
    <cfRule type="expression" dxfId="352" priority="8">
      <formula>ISEVEN(MONTH($C2529))</formula>
    </cfRule>
  </conditionalFormatting>
  <conditionalFormatting sqref="K2536:K2556">
    <cfRule type="expression" dxfId="351" priority="3">
      <formula>ISODD(MONTH($C2533))</formula>
    </cfRule>
    <cfRule type="expression" dxfId="350" priority="4">
      <formula>ISEVEN(MONTH($C2533))</formula>
    </cfRule>
  </conditionalFormatting>
  <conditionalFormatting sqref="K2557:K2559">
    <cfRule type="expression" dxfId="349" priority="43">
      <formula>ISODD(MONTH($C2557))</formula>
    </cfRule>
    <cfRule type="expression" dxfId="348" priority="44">
      <formula>ISEVEN(MONTH($C2557))</formula>
    </cfRule>
  </conditionalFormatting>
  <conditionalFormatting sqref="K2560 K2564:K2566">
    <cfRule type="expression" dxfId="347" priority="101">
      <formula>ISODD(MONTH($C2559))</formula>
    </cfRule>
    <cfRule type="expression" dxfId="346" priority="102">
      <formula>ISEVEN(MONTH($C2559))</formula>
    </cfRule>
  </conditionalFormatting>
  <conditionalFormatting sqref="K2561:K2563">
    <cfRule type="expression" dxfId="345" priority="73">
      <formula>ISODD(MONTH($C2559))</formula>
    </cfRule>
    <cfRule type="expression" dxfId="344" priority="74">
      <formula>ISEVEN(MONTH($C2559))</formula>
    </cfRule>
  </conditionalFormatting>
  <conditionalFormatting sqref="K2562:K2563">
    <cfRule type="expression" dxfId="343" priority="87">
      <formula>ISODD(MONTH($C2563))</formula>
    </cfRule>
    <cfRule type="expression" dxfId="342" priority="88">
      <formula>ISEVEN(MONTH($C2563))</formula>
    </cfRule>
  </conditionalFormatting>
  <conditionalFormatting sqref="K2567">
    <cfRule type="expression" dxfId="341" priority="69">
      <formula>ISODD(MONTH($C2561))</formula>
    </cfRule>
    <cfRule type="expression" dxfId="340" priority="70">
      <formula>ISEVEN(MONTH($C2561))</formula>
    </cfRule>
  </conditionalFormatting>
  <conditionalFormatting sqref="K2568:K2569">
    <cfRule type="expression" dxfId="339" priority="57">
      <formula>ISODD(MONTH($C2560))</formula>
    </cfRule>
    <cfRule type="expression" dxfId="338" priority="58">
      <formula>ISEVEN(MONTH($C2560))</formula>
    </cfRule>
  </conditionalFormatting>
  <conditionalFormatting sqref="K2570">
    <cfRule type="expression" dxfId="337" priority="83">
      <formula>ISODD(MONTH($C2573))</formula>
    </cfRule>
    <cfRule type="expression" dxfId="336" priority="84">
      <formula>ISEVEN(MONTH($C2573))</formula>
    </cfRule>
  </conditionalFormatting>
  <conditionalFormatting sqref="K2571">
    <cfRule type="expression" dxfId="335" priority="65">
      <formula>ISODD(MONTH($C2565))</formula>
    </cfRule>
    <cfRule type="expression" dxfId="334" priority="66">
      <formula>ISEVEN(MONTH($C2565))</formula>
    </cfRule>
  </conditionalFormatting>
  <conditionalFormatting sqref="K2572">
    <cfRule type="expression" dxfId="333" priority="61">
      <formula>ISODD(MONTH($C2575))</formula>
    </cfRule>
    <cfRule type="expression" dxfId="332" priority="62">
      <formula>ISEVEN(MONTH($C2575))</formula>
    </cfRule>
  </conditionalFormatting>
  <conditionalFormatting sqref="K2573">
    <cfRule type="expression" dxfId="331" priority="47">
      <formula>ISODD(MONTH($C2565))</formula>
    </cfRule>
    <cfRule type="expression" dxfId="330" priority="48">
      <formula>ISEVEN(MONTH($C2565))</formula>
    </cfRule>
  </conditionalFormatting>
  <conditionalFormatting sqref="K2574:K2577">
    <cfRule type="expression" dxfId="329" priority="77">
      <formula>ISODD(MONTH($C2564))</formula>
    </cfRule>
    <cfRule type="expression" dxfId="328" priority="78">
      <formula>ISEVEN(MONTH($C2564))</formula>
    </cfRule>
  </conditionalFormatting>
  <conditionalFormatting sqref="K2576:K2577">
    <cfRule type="expression" dxfId="327" priority="91">
      <formula>ISODD(MONTH($C2580))</formula>
    </cfRule>
    <cfRule type="expression" dxfId="326" priority="92">
      <formula>ISEVEN(MONTH($C2580))</formula>
    </cfRule>
  </conditionalFormatting>
  <conditionalFormatting sqref="K2578:K2583">
    <cfRule type="expression" dxfId="325" priority="75">
      <formula>ISODD(MONTH($C2574))</formula>
    </cfRule>
    <cfRule type="expression" dxfId="324" priority="76">
      <formula>ISEVEN(MONTH($C2574))</formula>
    </cfRule>
  </conditionalFormatting>
  <conditionalFormatting sqref="K2584">
    <cfRule type="expression" dxfId="323" priority="55">
      <formula>ISODD(MONTH($C2574))</formula>
    </cfRule>
    <cfRule type="expression" dxfId="322" priority="56">
      <formula>ISEVEN(MONTH($C2574))</formula>
    </cfRule>
  </conditionalFormatting>
  <conditionalFormatting sqref="K2585">
    <cfRule type="expression" dxfId="321" priority="53">
      <formula>ISODD(MONTH($C2581))</formula>
    </cfRule>
    <cfRule type="expression" dxfId="320" priority="54">
      <formula>ISEVEN(MONTH($C2581))</formula>
    </cfRule>
  </conditionalFormatting>
  <conditionalFormatting sqref="K2586">
    <cfRule type="expression" dxfId="319" priority="95">
      <formula>ISODD(MONTH($C2571))</formula>
    </cfRule>
    <cfRule type="expression" dxfId="318" priority="96">
      <formula>ISEVEN(MONTH($C2571))</formula>
    </cfRule>
    <cfRule type="expression" dxfId="317" priority="103">
      <formula>ISODD(MONTH($C2583))</formula>
    </cfRule>
    <cfRule type="expression" dxfId="316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15" priority="2613">
      <formula>ISODD(MONTH($C1))</formula>
    </cfRule>
    <cfRule type="expression" dxfId="314" priority="2614">
      <formula>ISEVEN(MONTH($C1))</formula>
    </cfRule>
  </conditionalFormatting>
  <conditionalFormatting sqref="L1409 L1470 L1532 L1592 L1653 L1714">
    <cfRule type="expression" dxfId="313" priority="2639">
      <formula>ISODD(MONTH($C1415))</formula>
    </cfRule>
    <cfRule type="expression" dxfId="312" priority="2640">
      <formula>ISEVEN(MONTH($C1415))</formula>
    </cfRule>
  </conditionalFormatting>
  <conditionalFormatting sqref="L1410:L1412 L1473 L1535 L1595 L1656 L1717">
    <cfRule type="expression" dxfId="311" priority="2641">
      <formula>ISODD(MONTH($C1418))</formula>
    </cfRule>
    <cfRule type="expression" dxfId="310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09" priority="2645">
      <formula>ISODD(MONTH($C1409))</formula>
    </cfRule>
    <cfRule type="expression" dxfId="308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07" priority="2647">
      <formula>ISODD(MONTH($C1410))</formula>
    </cfRule>
    <cfRule type="expression" dxfId="306" priority="2648">
      <formula>ISEVEN(MONTH($C1410))</formula>
    </cfRule>
  </conditionalFormatting>
  <conditionalFormatting sqref="L1434:L1438 L1495:L1499 L1555:L1559 L1616:L1620 L1677:L1681 L1739:L1743 L1800:L1804">
    <cfRule type="expression" dxfId="305" priority="2653">
      <formula>ISODD(MONTH($C1433))</formula>
    </cfRule>
    <cfRule type="expression" dxfId="304" priority="2654">
      <formula>ISEVEN(MONTH($C1433))</formula>
    </cfRule>
    <cfRule type="expression" dxfId="303" priority="2655">
      <formula>ISODD(MONTH($C1460))</formula>
    </cfRule>
    <cfRule type="expression" dxfId="302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01" priority="2657">
      <formula>ISODD(MONTH($C1433))</formula>
    </cfRule>
    <cfRule type="expression" dxfId="300" priority="2658">
      <formula>ISEVEN(MONTH($C1433))</formula>
    </cfRule>
  </conditionalFormatting>
  <conditionalFormatting sqref="L1440 L1501 L1561 L1622 L1683 L2077:L2079 L2091:L2096 L2098:L2099">
    <cfRule type="expression" dxfId="299" priority="2659">
      <formula>ISODD(MONTH($C1436))</formula>
    </cfRule>
    <cfRule type="expression" dxfId="298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297" priority="2661">
      <formula>ISODD(MONTH($C1438))</formula>
    </cfRule>
    <cfRule type="expression" dxfId="296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295" priority="2671">
      <formula>ISODD(MONTH($C1443))</formula>
    </cfRule>
    <cfRule type="expression" dxfId="294" priority="2672">
      <formula>ISEVEN(MONTH($C1443))</formula>
    </cfRule>
  </conditionalFormatting>
  <conditionalFormatting sqref="L1453 L1514 L1574 L1635 L1696 L1755:L1757 L1785:L1795 L1816:L1818 L1846:L1856">
    <cfRule type="expression" dxfId="293" priority="2673">
      <formula>ISODD(MONTH($C1444))</formula>
    </cfRule>
    <cfRule type="expression" dxfId="292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291" priority="2841">
      <formula>ISODD(MONTH($C1733))</formula>
    </cfRule>
    <cfRule type="expression" dxfId="290" priority="2842">
      <formula>ISEVEN(MONTH($C1733))</formula>
    </cfRule>
  </conditionalFormatting>
  <conditionalFormatting sqref="L1753 L1781 L1814 L1842 L1888 L2008 L2069 L2100">
    <cfRule type="expression" dxfId="289" priority="2917">
      <formula>ISODD(MONTH($C1751))</formula>
    </cfRule>
    <cfRule type="expression" dxfId="288" priority="2918">
      <formula>ISEVEN(MONTH($C1751))</formula>
    </cfRule>
  </conditionalFormatting>
  <conditionalFormatting sqref="L1758:L1762 L1819:L1823 L2087:L2090">
    <cfRule type="expression" dxfId="287" priority="2929">
      <formula>ISODD(MONTH($C1748))</formula>
    </cfRule>
    <cfRule type="expression" dxfId="286" priority="2930">
      <formula>ISEVEN(MONTH($C1748))</formula>
    </cfRule>
  </conditionalFormatting>
  <conditionalFormatting sqref="L1760 L1821">
    <cfRule type="expression" dxfId="285" priority="2931">
      <formula>ISODD(MONTH($C1749))</formula>
    </cfRule>
    <cfRule type="expression" dxfId="284" priority="2932">
      <formula>ISEVEN(MONTH($C1749))</formula>
    </cfRule>
  </conditionalFormatting>
  <conditionalFormatting sqref="L1777 L1838">
    <cfRule type="expression" dxfId="283" priority="2939">
      <formula>ISODD(MONTH($C1781))</formula>
    </cfRule>
    <cfRule type="expression" dxfId="282" priority="2940">
      <formula>ISEVEN(MONTH($C1781))</formula>
    </cfRule>
  </conditionalFormatting>
  <conditionalFormatting sqref="L2072">
    <cfRule type="expression" dxfId="281" priority="601">
      <formula>ISODD(MONTH($C2072))</formula>
    </cfRule>
    <cfRule type="expression" dxfId="280" priority="602">
      <formula>ISEVEN(MONTH($C2072))</formula>
    </cfRule>
  </conditionalFormatting>
  <conditionalFormatting sqref="L2074">
    <cfRule type="expression" dxfId="279" priority="3083">
      <formula>ISODD(MONTH($C2076))</formula>
    </cfRule>
    <cfRule type="expression" dxfId="278" priority="3084">
      <formula>ISEVEN(MONTH($C2076))</formula>
    </cfRule>
  </conditionalFormatting>
  <conditionalFormatting sqref="L2075:L2076">
    <cfRule type="expression" dxfId="277" priority="3159">
      <formula>ISODD(MONTH($C2075))</formula>
    </cfRule>
    <cfRule type="expression" dxfId="276" priority="3160">
      <formula>ISEVEN(MONTH($C2075))</formula>
    </cfRule>
  </conditionalFormatting>
  <conditionalFormatting sqref="L2080">
    <cfRule type="expression" dxfId="275" priority="629">
      <formula>ISODD(MONTH($C2074))</formula>
    </cfRule>
    <cfRule type="expression" dxfId="274" priority="630">
      <formula>ISEVEN(MONTH($C2074))</formula>
    </cfRule>
  </conditionalFormatting>
  <conditionalFormatting sqref="L2081:L2082">
    <cfRule type="expression" dxfId="273" priority="617">
      <formula>ISODD(MONTH($C2073))</formula>
    </cfRule>
    <cfRule type="expression" dxfId="272" priority="618">
      <formula>ISEVEN(MONTH($C2073))</formula>
    </cfRule>
  </conditionalFormatting>
  <conditionalFormatting sqref="L2083">
    <cfRule type="expression" dxfId="271" priority="3065">
      <formula>ISODD(MONTH($C2086))</formula>
    </cfRule>
    <cfRule type="expression" dxfId="270" priority="3066">
      <formula>ISEVEN(MONTH($C2086))</formula>
    </cfRule>
  </conditionalFormatting>
  <conditionalFormatting sqref="L2084">
    <cfRule type="expression" dxfId="269" priority="625">
      <formula>ISODD(MONTH($C2078))</formula>
    </cfRule>
    <cfRule type="expression" dxfId="268" priority="626">
      <formula>ISEVEN(MONTH($C2078))</formula>
    </cfRule>
  </conditionalFormatting>
  <conditionalFormatting sqref="L2085">
    <cfRule type="expression" dxfId="267" priority="621">
      <formula>ISODD(MONTH($C2088))</formula>
    </cfRule>
    <cfRule type="expression" dxfId="266" priority="622">
      <formula>ISEVEN(MONTH($C2088))</formula>
    </cfRule>
  </conditionalFormatting>
  <conditionalFormatting sqref="L2086">
    <cfRule type="expression" dxfId="265" priority="605">
      <formula>ISODD(MONTH($C2078))</formula>
    </cfRule>
    <cfRule type="expression" dxfId="264" priority="606">
      <formula>ISEVEN(MONTH($C2078))</formula>
    </cfRule>
  </conditionalFormatting>
  <conditionalFormatting sqref="L2089:L2090">
    <cfRule type="expression" dxfId="263" priority="3127">
      <formula>ISODD(MONTH($C2093))</formula>
    </cfRule>
    <cfRule type="expression" dxfId="262" priority="3128">
      <formula>ISEVEN(MONTH($C2093))</formula>
    </cfRule>
  </conditionalFormatting>
  <conditionalFormatting sqref="L2097">
    <cfRule type="expression" dxfId="261" priority="609">
      <formula>ISODD(MONTH($C2087))</formula>
    </cfRule>
    <cfRule type="expression" dxfId="260" priority="610">
      <formula>ISEVEN(MONTH($C2087))</formula>
    </cfRule>
  </conditionalFormatting>
  <conditionalFormatting sqref="L2099">
    <cfRule type="expression" dxfId="259" priority="3191">
      <formula>ISODD(MONTH($C2083))</formula>
    </cfRule>
    <cfRule type="expression" dxfId="258" priority="3192">
      <formula>ISEVEN(MONTH($C2083))</formula>
    </cfRule>
  </conditionalFormatting>
  <conditionalFormatting sqref="L2133">
    <cfRule type="expression" dxfId="257" priority="531">
      <formula>ISODD(MONTH($C2133))</formula>
    </cfRule>
    <cfRule type="expression" dxfId="256" priority="532">
      <formula>ISEVEN(MONTH($C2133))</formula>
    </cfRule>
  </conditionalFormatting>
  <conditionalFormatting sqref="L2135">
    <cfRule type="expression" dxfId="255" priority="575">
      <formula>ISODD(MONTH($C2137))</formula>
    </cfRule>
    <cfRule type="expression" dxfId="254" priority="576">
      <formula>ISEVEN(MONTH($C2137))</formula>
    </cfRule>
  </conditionalFormatting>
  <conditionalFormatting sqref="L2136:L2137">
    <cfRule type="expression" dxfId="253" priority="583">
      <formula>ISODD(MONTH($C2136))</formula>
    </cfRule>
    <cfRule type="expression" dxfId="252" priority="584">
      <formula>ISEVEN(MONTH($C2136))</formula>
    </cfRule>
  </conditionalFormatting>
  <conditionalFormatting sqref="L2138:L2140 L2152:L2157 L2159:L2160">
    <cfRule type="expression" dxfId="251" priority="565">
      <formula>ISODD(MONTH($C2134))</formula>
    </cfRule>
    <cfRule type="expression" dxfId="250" priority="566">
      <formula>ISEVEN(MONTH($C2134))</formula>
    </cfRule>
  </conditionalFormatting>
  <conditionalFormatting sqref="L2141">
    <cfRule type="expression" dxfId="249" priority="557">
      <formula>ISODD(MONTH($C2135))</formula>
    </cfRule>
    <cfRule type="expression" dxfId="248" priority="558">
      <formula>ISEVEN(MONTH($C2135))</formula>
    </cfRule>
  </conditionalFormatting>
  <conditionalFormatting sqref="L2142:L2143">
    <cfRule type="expression" dxfId="247" priority="545">
      <formula>ISODD(MONTH($C2134))</formula>
    </cfRule>
    <cfRule type="expression" dxfId="246" priority="546">
      <formula>ISEVEN(MONTH($C2134))</formula>
    </cfRule>
  </conditionalFormatting>
  <conditionalFormatting sqref="L2144">
    <cfRule type="expression" dxfId="245" priority="571">
      <formula>ISODD(MONTH($C2147))</formula>
    </cfRule>
    <cfRule type="expression" dxfId="244" priority="572">
      <formula>ISEVEN(MONTH($C2147))</formula>
    </cfRule>
  </conditionalFormatting>
  <conditionalFormatting sqref="L2145">
    <cfRule type="expression" dxfId="243" priority="553">
      <formula>ISODD(MONTH($C2139))</formula>
    </cfRule>
    <cfRule type="expression" dxfId="242" priority="554">
      <formula>ISEVEN(MONTH($C2139))</formula>
    </cfRule>
  </conditionalFormatting>
  <conditionalFormatting sqref="L2146">
    <cfRule type="expression" dxfId="241" priority="549">
      <formula>ISODD(MONTH($C2149))</formula>
    </cfRule>
    <cfRule type="expression" dxfId="240" priority="550">
      <formula>ISEVEN(MONTH($C2149))</formula>
    </cfRule>
  </conditionalFormatting>
  <conditionalFormatting sqref="L2147">
    <cfRule type="expression" dxfId="239" priority="535">
      <formula>ISODD(MONTH($C2139))</formula>
    </cfRule>
    <cfRule type="expression" dxfId="238" priority="536">
      <formula>ISEVEN(MONTH($C2139))</formula>
    </cfRule>
  </conditionalFormatting>
  <conditionalFormatting sqref="L2148:L2151">
    <cfRule type="expression" dxfId="237" priority="567">
      <formula>ISODD(MONTH($C2138))</formula>
    </cfRule>
    <cfRule type="expression" dxfId="236" priority="568">
      <formula>ISEVEN(MONTH($C2138))</formula>
    </cfRule>
  </conditionalFormatting>
  <conditionalFormatting sqref="L2150:L2151">
    <cfRule type="expression" dxfId="235" priority="579">
      <formula>ISODD(MONTH($C2154))</formula>
    </cfRule>
    <cfRule type="expression" dxfId="234" priority="580">
      <formula>ISEVEN(MONTH($C2154))</formula>
    </cfRule>
  </conditionalFormatting>
  <conditionalFormatting sqref="L2158">
    <cfRule type="expression" dxfId="233" priority="537">
      <formula>ISODD(MONTH($C2148))</formula>
    </cfRule>
    <cfRule type="expression" dxfId="232" priority="538">
      <formula>ISEVEN(MONTH($C2148))</formula>
    </cfRule>
  </conditionalFormatting>
  <conditionalFormatting sqref="L2160">
    <cfRule type="expression" dxfId="231" priority="585">
      <formula>ISODD(MONTH($C2144))</formula>
    </cfRule>
    <cfRule type="expression" dxfId="230" priority="586">
      <formula>ISEVEN(MONTH($C2144))</formula>
    </cfRule>
  </conditionalFormatting>
  <conditionalFormatting sqref="L2194">
    <cfRule type="expression" dxfId="229" priority="473">
      <formula>ISODD(MONTH($C2194))</formula>
    </cfRule>
    <cfRule type="expression" dxfId="228" priority="474">
      <formula>ISEVEN(MONTH($C2194))</formula>
    </cfRule>
  </conditionalFormatting>
  <conditionalFormatting sqref="L2196">
    <cfRule type="expression" dxfId="227" priority="517">
      <formula>ISODD(MONTH($C2198))</formula>
    </cfRule>
    <cfRule type="expression" dxfId="226" priority="518">
      <formula>ISEVEN(MONTH($C2198))</formula>
    </cfRule>
  </conditionalFormatting>
  <conditionalFormatting sqref="L2197:L2198">
    <cfRule type="expression" dxfId="225" priority="525">
      <formula>ISODD(MONTH($C2197))</formula>
    </cfRule>
    <cfRule type="expression" dxfId="224" priority="526">
      <formula>ISEVEN(MONTH($C2197))</formula>
    </cfRule>
  </conditionalFormatting>
  <conditionalFormatting sqref="L2199:L2201 L2213:L2218 L2220:L2221">
    <cfRule type="expression" dxfId="223" priority="507">
      <formula>ISODD(MONTH($C2195))</formula>
    </cfRule>
    <cfRule type="expression" dxfId="222" priority="508">
      <formula>ISEVEN(MONTH($C2195))</formula>
    </cfRule>
  </conditionalFormatting>
  <conditionalFormatting sqref="L2202">
    <cfRule type="expression" dxfId="221" priority="499">
      <formula>ISODD(MONTH($C2196))</formula>
    </cfRule>
    <cfRule type="expression" dxfId="220" priority="500">
      <formula>ISEVEN(MONTH($C2196))</formula>
    </cfRule>
  </conditionalFormatting>
  <conditionalFormatting sqref="L2203:L2204">
    <cfRule type="expression" dxfId="219" priority="487">
      <formula>ISODD(MONTH($C2195))</formula>
    </cfRule>
    <cfRule type="expression" dxfId="218" priority="488">
      <formula>ISEVEN(MONTH($C2195))</formula>
    </cfRule>
  </conditionalFormatting>
  <conditionalFormatting sqref="L2205">
    <cfRule type="expression" dxfId="217" priority="513">
      <formula>ISODD(MONTH($C2208))</formula>
    </cfRule>
    <cfRule type="expression" dxfId="216" priority="514">
      <formula>ISEVEN(MONTH($C2208))</formula>
    </cfRule>
  </conditionalFormatting>
  <conditionalFormatting sqref="L2206">
    <cfRule type="expression" dxfId="215" priority="495">
      <formula>ISODD(MONTH($C2200))</formula>
    </cfRule>
    <cfRule type="expression" dxfId="214" priority="496">
      <formula>ISEVEN(MONTH($C2200))</formula>
    </cfRule>
  </conditionalFormatting>
  <conditionalFormatting sqref="L2207">
    <cfRule type="expression" dxfId="213" priority="491">
      <formula>ISODD(MONTH($C2210))</formula>
    </cfRule>
    <cfRule type="expression" dxfId="212" priority="492">
      <formula>ISEVEN(MONTH($C2210))</formula>
    </cfRule>
  </conditionalFormatting>
  <conditionalFormatting sqref="L2208">
    <cfRule type="expression" dxfId="211" priority="477">
      <formula>ISODD(MONTH($C2200))</formula>
    </cfRule>
    <cfRule type="expression" dxfId="210" priority="478">
      <formula>ISEVEN(MONTH($C2200))</formula>
    </cfRule>
  </conditionalFormatting>
  <conditionalFormatting sqref="L2209:L2212">
    <cfRule type="expression" dxfId="209" priority="509">
      <formula>ISODD(MONTH($C2199))</formula>
    </cfRule>
    <cfRule type="expression" dxfId="208" priority="510">
      <formula>ISEVEN(MONTH($C2199))</formula>
    </cfRule>
  </conditionalFormatting>
  <conditionalFormatting sqref="L2211:L2212">
    <cfRule type="expression" dxfId="207" priority="521">
      <formula>ISODD(MONTH($C2215))</formula>
    </cfRule>
    <cfRule type="expression" dxfId="206" priority="522">
      <formula>ISEVEN(MONTH($C2215))</formula>
    </cfRule>
  </conditionalFormatting>
  <conditionalFormatting sqref="L2219">
    <cfRule type="expression" dxfId="205" priority="479">
      <formula>ISODD(MONTH($C2209))</formula>
    </cfRule>
    <cfRule type="expression" dxfId="204" priority="480">
      <formula>ISEVEN(MONTH($C2209))</formula>
    </cfRule>
  </conditionalFormatting>
  <conditionalFormatting sqref="L2221">
    <cfRule type="expression" dxfId="203" priority="527">
      <formula>ISODD(MONTH($C2205))</formula>
    </cfRule>
    <cfRule type="expression" dxfId="202" priority="528">
      <formula>ISEVEN(MONTH($C2205))</formula>
    </cfRule>
  </conditionalFormatting>
  <conditionalFormatting sqref="L2232:L2252">
    <cfRule type="expression" dxfId="201" priority="469">
      <formula>ISODD(MONTH($C2229))</formula>
    </cfRule>
    <cfRule type="expression" dxfId="200" priority="470">
      <formula>ISEVEN(MONTH($C2229))</formula>
    </cfRule>
  </conditionalFormatting>
  <conditionalFormatting sqref="L2253:L2256">
    <cfRule type="expression" dxfId="199" priority="405">
      <formula>ISODD(MONTH($C2253))</formula>
    </cfRule>
    <cfRule type="expression" dxfId="198" priority="406">
      <formula>ISEVEN(MONTH($C2253))</formula>
    </cfRule>
  </conditionalFormatting>
  <conditionalFormatting sqref="L2257">
    <cfRule type="expression" dxfId="197" priority="465">
      <formula>ISODD(MONTH($C2256))</formula>
    </cfRule>
    <cfRule type="expression" dxfId="196" priority="466">
      <formula>ISEVEN(MONTH($C2256))</formula>
    </cfRule>
  </conditionalFormatting>
  <conditionalFormatting sqref="L2258">
    <cfRule type="expression" dxfId="195" priority="449">
      <formula>ISODD(MONTH($C2260))</formula>
    </cfRule>
    <cfRule type="expression" dxfId="194" priority="450">
      <formula>ISEVEN(MONTH($C2260))</formula>
    </cfRule>
  </conditionalFormatting>
  <conditionalFormatting sqref="L2259:L2260">
    <cfRule type="expression" dxfId="193" priority="457">
      <formula>ISODD(MONTH($C2259))</formula>
    </cfRule>
    <cfRule type="expression" dxfId="192" priority="458">
      <formula>ISEVEN(MONTH($C2259))</formula>
    </cfRule>
  </conditionalFormatting>
  <conditionalFormatting sqref="L2261:L2263 L2275:L2280 L2282:L2283">
    <cfRule type="expression" dxfId="191" priority="439">
      <formula>ISODD(MONTH($C2257))</formula>
    </cfRule>
    <cfRule type="expression" dxfId="190" priority="440">
      <formula>ISEVEN(MONTH($C2257))</formula>
    </cfRule>
  </conditionalFormatting>
  <conditionalFormatting sqref="L2264">
    <cfRule type="expression" dxfId="189" priority="431">
      <formula>ISODD(MONTH($C2258))</formula>
    </cfRule>
    <cfRule type="expression" dxfId="188" priority="432">
      <formula>ISEVEN(MONTH($C2258))</formula>
    </cfRule>
  </conditionalFormatting>
  <conditionalFormatting sqref="L2265:L2266">
    <cfRule type="expression" dxfId="187" priority="419">
      <formula>ISODD(MONTH($C2257))</formula>
    </cfRule>
    <cfRule type="expression" dxfId="186" priority="420">
      <formula>ISEVEN(MONTH($C2257))</formula>
    </cfRule>
  </conditionalFormatting>
  <conditionalFormatting sqref="L2267">
    <cfRule type="expression" dxfId="185" priority="445">
      <formula>ISODD(MONTH($C2270))</formula>
    </cfRule>
    <cfRule type="expression" dxfId="184" priority="446">
      <formula>ISEVEN(MONTH($C2270))</formula>
    </cfRule>
  </conditionalFormatting>
  <conditionalFormatting sqref="L2268">
    <cfRule type="expression" dxfId="183" priority="427">
      <formula>ISODD(MONTH($C2262))</formula>
    </cfRule>
    <cfRule type="expression" dxfId="182" priority="428">
      <formula>ISEVEN(MONTH($C2262))</formula>
    </cfRule>
  </conditionalFormatting>
  <conditionalFormatting sqref="L2269">
    <cfRule type="expression" dxfId="181" priority="423">
      <formula>ISODD(MONTH($C2272))</formula>
    </cfRule>
    <cfRule type="expression" dxfId="180" priority="424">
      <formula>ISEVEN(MONTH($C2272))</formula>
    </cfRule>
  </conditionalFormatting>
  <conditionalFormatting sqref="L2270">
    <cfRule type="expression" dxfId="179" priority="409">
      <formula>ISODD(MONTH($C2262))</formula>
    </cfRule>
    <cfRule type="expression" dxfId="178" priority="410">
      <formula>ISEVEN(MONTH($C2262))</formula>
    </cfRule>
  </conditionalFormatting>
  <conditionalFormatting sqref="L2271:L2274">
    <cfRule type="expression" dxfId="177" priority="441">
      <formula>ISODD(MONTH($C2261))</formula>
    </cfRule>
    <cfRule type="expression" dxfId="176" priority="442">
      <formula>ISEVEN(MONTH($C2261))</formula>
    </cfRule>
  </conditionalFormatting>
  <conditionalFormatting sqref="L2273:L2274">
    <cfRule type="expression" dxfId="175" priority="453">
      <formula>ISODD(MONTH($C2277))</formula>
    </cfRule>
    <cfRule type="expression" dxfId="174" priority="454">
      <formula>ISEVEN(MONTH($C2277))</formula>
    </cfRule>
  </conditionalFormatting>
  <conditionalFormatting sqref="L2281">
    <cfRule type="expression" dxfId="173" priority="411">
      <formula>ISODD(MONTH($C2271))</formula>
    </cfRule>
    <cfRule type="expression" dxfId="172" priority="412">
      <formula>ISEVEN(MONTH($C2271))</formula>
    </cfRule>
  </conditionalFormatting>
  <conditionalFormatting sqref="L2283">
    <cfRule type="expression" dxfId="171" priority="459">
      <formula>ISODD(MONTH($C2267))</formula>
    </cfRule>
    <cfRule type="expression" dxfId="170" priority="460">
      <formula>ISEVEN(MONTH($C2267))</formula>
    </cfRule>
  </conditionalFormatting>
  <conditionalFormatting sqref="L2285:L2290">
    <cfRule type="expression" dxfId="169" priority="41">
      <formula>ISODD(MONTH($C2284))</formula>
    </cfRule>
    <cfRule type="expression" dxfId="168" priority="42">
      <formula>ISEVEN(MONTH($C2284))</formula>
    </cfRule>
  </conditionalFormatting>
  <conditionalFormatting sqref="L2291:L2312">
    <cfRule type="expression" dxfId="167" priority="37">
      <formula>ISODD(MONTH($C2288))</formula>
    </cfRule>
    <cfRule type="expression" dxfId="166" priority="38">
      <formula>ISEVEN(MONTH($C2288))</formula>
    </cfRule>
  </conditionalFormatting>
  <conditionalFormatting sqref="L2313:L2315">
    <cfRule type="expression" dxfId="165" priority="301">
      <formula>ISODD(MONTH($C2313))</formula>
    </cfRule>
    <cfRule type="expression" dxfId="164" priority="302">
      <formula>ISEVEN(MONTH($C2313))</formula>
    </cfRule>
  </conditionalFormatting>
  <conditionalFormatting sqref="L2316">
    <cfRule type="expression" dxfId="163" priority="361">
      <formula>ISODD(MONTH($C2315))</formula>
    </cfRule>
    <cfRule type="expression" dxfId="162" priority="362">
      <formula>ISEVEN(MONTH($C2315))</formula>
    </cfRule>
  </conditionalFormatting>
  <conditionalFormatting sqref="L2317">
    <cfRule type="expression" dxfId="161" priority="345">
      <formula>ISODD(MONTH($C2319))</formula>
    </cfRule>
    <cfRule type="expression" dxfId="160" priority="346">
      <formula>ISEVEN(MONTH($C2319))</formula>
    </cfRule>
  </conditionalFormatting>
  <conditionalFormatting sqref="L2318:L2319">
    <cfRule type="expression" dxfId="159" priority="353">
      <formula>ISODD(MONTH($C2318))</formula>
    </cfRule>
    <cfRule type="expression" dxfId="158" priority="354">
      <formula>ISEVEN(MONTH($C2318))</formula>
    </cfRule>
  </conditionalFormatting>
  <conditionalFormatting sqref="L2320:L2322 L2334:L2339 L2341:L2342">
    <cfRule type="expression" dxfId="157" priority="335">
      <formula>ISODD(MONTH($C2316))</formula>
    </cfRule>
    <cfRule type="expression" dxfId="156" priority="336">
      <formula>ISEVEN(MONTH($C2316))</formula>
    </cfRule>
  </conditionalFormatting>
  <conditionalFormatting sqref="L2323">
    <cfRule type="expression" dxfId="155" priority="327">
      <formula>ISODD(MONTH($C2317))</formula>
    </cfRule>
    <cfRule type="expression" dxfId="154" priority="328">
      <formula>ISEVEN(MONTH($C2317))</formula>
    </cfRule>
  </conditionalFormatting>
  <conditionalFormatting sqref="L2324:L2325">
    <cfRule type="expression" dxfId="153" priority="315">
      <formula>ISODD(MONTH($C2316))</formula>
    </cfRule>
    <cfRule type="expression" dxfId="152" priority="316">
      <formula>ISEVEN(MONTH($C2316))</formula>
    </cfRule>
  </conditionalFormatting>
  <conditionalFormatting sqref="L2326">
    <cfRule type="expression" dxfId="151" priority="341">
      <formula>ISODD(MONTH($C2329))</formula>
    </cfRule>
    <cfRule type="expression" dxfId="150" priority="342">
      <formula>ISEVEN(MONTH($C2329))</formula>
    </cfRule>
  </conditionalFormatting>
  <conditionalFormatting sqref="L2327">
    <cfRule type="expression" dxfId="149" priority="323">
      <formula>ISODD(MONTH($C2321))</formula>
    </cfRule>
    <cfRule type="expression" dxfId="148" priority="324">
      <formula>ISEVEN(MONTH($C2321))</formula>
    </cfRule>
  </conditionalFormatting>
  <conditionalFormatting sqref="L2328">
    <cfRule type="expression" dxfId="147" priority="319">
      <formula>ISODD(MONTH($C2331))</formula>
    </cfRule>
    <cfRule type="expression" dxfId="146" priority="320">
      <formula>ISEVEN(MONTH($C2331))</formula>
    </cfRule>
  </conditionalFormatting>
  <conditionalFormatting sqref="L2329">
    <cfRule type="expression" dxfId="145" priority="305">
      <formula>ISODD(MONTH($C2321))</formula>
    </cfRule>
    <cfRule type="expression" dxfId="144" priority="306">
      <formula>ISEVEN(MONTH($C2321))</formula>
    </cfRule>
  </conditionalFormatting>
  <conditionalFormatting sqref="L2330:L2333">
    <cfRule type="expression" dxfId="143" priority="337">
      <formula>ISODD(MONTH($C2320))</formula>
    </cfRule>
    <cfRule type="expression" dxfId="142" priority="338">
      <formula>ISEVEN(MONTH($C2320))</formula>
    </cfRule>
  </conditionalFormatting>
  <conditionalFormatting sqref="L2332:L2333">
    <cfRule type="expression" dxfId="141" priority="349">
      <formula>ISODD(MONTH($C2336))</formula>
    </cfRule>
    <cfRule type="expression" dxfId="140" priority="350">
      <formula>ISEVEN(MONTH($C2336))</formula>
    </cfRule>
  </conditionalFormatting>
  <conditionalFormatting sqref="L2340">
    <cfRule type="expression" dxfId="139" priority="307">
      <formula>ISODD(MONTH($C2330))</formula>
    </cfRule>
    <cfRule type="expression" dxfId="138" priority="308">
      <formula>ISEVEN(MONTH($C2330))</formula>
    </cfRule>
  </conditionalFormatting>
  <conditionalFormatting sqref="L2342">
    <cfRule type="expression" dxfId="137" priority="355">
      <formula>ISODD(MONTH($C2326))</formula>
    </cfRule>
    <cfRule type="expression" dxfId="136" priority="356">
      <formula>ISEVEN(MONTH($C2326))</formula>
    </cfRule>
  </conditionalFormatting>
  <conditionalFormatting sqref="L2346:L2351">
    <cfRule type="expression" dxfId="135" priority="33">
      <formula>ISODD(MONTH($C2345))</formula>
    </cfRule>
    <cfRule type="expression" dxfId="134" priority="34">
      <formula>ISEVEN(MONTH($C2345))</formula>
    </cfRule>
  </conditionalFormatting>
  <conditionalFormatting sqref="L2352:L2372">
    <cfRule type="expression" dxfId="133" priority="29">
      <formula>ISODD(MONTH($C2349))</formula>
    </cfRule>
    <cfRule type="expression" dxfId="132" priority="30">
      <formula>ISEVEN(MONTH($C2349))</formula>
    </cfRule>
  </conditionalFormatting>
  <conditionalFormatting sqref="L2373:L2376">
    <cfRule type="expression" dxfId="131" priority="237">
      <formula>ISODD(MONTH($C2373))</formula>
    </cfRule>
    <cfRule type="expression" dxfId="130" priority="238">
      <formula>ISEVEN(MONTH($C2373))</formula>
    </cfRule>
  </conditionalFormatting>
  <conditionalFormatting sqref="L2377">
    <cfRule type="expression" dxfId="129" priority="297">
      <formula>ISODD(MONTH($C2376))</formula>
    </cfRule>
    <cfRule type="expression" dxfId="128" priority="298">
      <formula>ISEVEN(MONTH($C2376))</formula>
    </cfRule>
  </conditionalFormatting>
  <conditionalFormatting sqref="L2378">
    <cfRule type="expression" dxfId="127" priority="281">
      <formula>ISODD(MONTH($C2380))</formula>
    </cfRule>
    <cfRule type="expression" dxfId="126" priority="282">
      <formula>ISEVEN(MONTH($C2380))</formula>
    </cfRule>
  </conditionalFormatting>
  <conditionalFormatting sqref="L2379:L2380">
    <cfRule type="expression" dxfId="125" priority="289">
      <formula>ISODD(MONTH($C2379))</formula>
    </cfRule>
    <cfRule type="expression" dxfId="124" priority="290">
      <formula>ISEVEN(MONTH($C2379))</formula>
    </cfRule>
  </conditionalFormatting>
  <conditionalFormatting sqref="L2381:L2383 L2395:L2400 L2402:L2403">
    <cfRule type="expression" dxfId="123" priority="271">
      <formula>ISODD(MONTH($C2377))</formula>
    </cfRule>
    <cfRule type="expression" dxfId="122" priority="272">
      <formula>ISEVEN(MONTH($C2377))</formula>
    </cfRule>
  </conditionalFormatting>
  <conditionalFormatting sqref="L2384">
    <cfRule type="expression" dxfId="121" priority="263">
      <formula>ISODD(MONTH($C2378))</formula>
    </cfRule>
    <cfRule type="expression" dxfId="120" priority="264">
      <formula>ISEVEN(MONTH($C2378))</formula>
    </cfRule>
  </conditionalFormatting>
  <conditionalFormatting sqref="L2385:L2386">
    <cfRule type="expression" dxfId="119" priority="251">
      <formula>ISODD(MONTH($C2377))</formula>
    </cfRule>
    <cfRule type="expression" dxfId="118" priority="252">
      <formula>ISEVEN(MONTH($C2377))</formula>
    </cfRule>
  </conditionalFormatting>
  <conditionalFormatting sqref="L2387">
    <cfRule type="expression" dxfId="117" priority="277">
      <formula>ISODD(MONTH($C2390))</formula>
    </cfRule>
    <cfRule type="expression" dxfId="116" priority="278">
      <formula>ISEVEN(MONTH($C2390))</formula>
    </cfRule>
  </conditionalFormatting>
  <conditionalFormatting sqref="L2388">
    <cfRule type="expression" dxfId="115" priority="259">
      <formula>ISODD(MONTH($C2382))</formula>
    </cfRule>
    <cfRule type="expression" dxfId="114" priority="260">
      <formula>ISEVEN(MONTH($C2382))</formula>
    </cfRule>
  </conditionalFormatting>
  <conditionalFormatting sqref="L2389">
    <cfRule type="expression" dxfId="113" priority="255">
      <formula>ISODD(MONTH($C2392))</formula>
    </cfRule>
    <cfRule type="expression" dxfId="112" priority="256">
      <formula>ISEVEN(MONTH($C2392))</formula>
    </cfRule>
  </conditionalFormatting>
  <conditionalFormatting sqref="L2390">
    <cfRule type="expression" dxfId="111" priority="241">
      <formula>ISODD(MONTH($C2382))</formula>
    </cfRule>
    <cfRule type="expression" dxfId="110" priority="242">
      <formula>ISEVEN(MONTH($C2382))</formula>
    </cfRule>
  </conditionalFormatting>
  <conditionalFormatting sqref="L2391:L2394">
    <cfRule type="expression" dxfId="109" priority="273">
      <formula>ISODD(MONTH($C2381))</formula>
    </cfRule>
    <cfRule type="expression" dxfId="108" priority="274">
      <formula>ISEVEN(MONTH($C2381))</formula>
    </cfRule>
  </conditionalFormatting>
  <conditionalFormatting sqref="L2393:L2394">
    <cfRule type="expression" dxfId="107" priority="285">
      <formula>ISODD(MONTH($C2397))</formula>
    </cfRule>
    <cfRule type="expression" dxfId="106" priority="286">
      <formula>ISEVEN(MONTH($C2397))</formula>
    </cfRule>
  </conditionalFormatting>
  <conditionalFormatting sqref="L2401">
    <cfRule type="expression" dxfId="105" priority="243">
      <formula>ISODD(MONTH($C2391))</formula>
    </cfRule>
    <cfRule type="expression" dxfId="104" priority="244">
      <formula>ISEVEN(MONTH($C2391))</formula>
    </cfRule>
  </conditionalFormatting>
  <conditionalFormatting sqref="L2403">
    <cfRule type="expression" dxfId="103" priority="291">
      <formula>ISODD(MONTH($C2387))</formula>
    </cfRule>
    <cfRule type="expression" dxfId="102" priority="292">
      <formula>ISEVEN(MONTH($C2387))</formula>
    </cfRule>
  </conditionalFormatting>
  <conditionalFormatting sqref="L2407:L2412">
    <cfRule type="expression" dxfId="101" priority="25">
      <formula>ISODD(MONTH($C2406))</formula>
    </cfRule>
    <cfRule type="expression" dxfId="100" priority="26">
      <formula>ISEVEN(MONTH($C2406))</formula>
    </cfRule>
  </conditionalFormatting>
  <conditionalFormatting sqref="L2413:L2433">
    <cfRule type="expression" dxfId="99" priority="21">
      <formula>ISODD(MONTH($C2410))</formula>
    </cfRule>
    <cfRule type="expression" dxfId="98" priority="22">
      <formula>ISEVEN(MONTH($C2410))</formula>
    </cfRule>
  </conditionalFormatting>
  <conditionalFormatting sqref="L2434:L2437">
    <cfRule type="expression" dxfId="97" priority="173">
      <formula>ISODD(MONTH($C2434))</formula>
    </cfRule>
    <cfRule type="expression" dxfId="96" priority="174">
      <formula>ISEVEN(MONTH($C2434))</formula>
    </cfRule>
  </conditionalFormatting>
  <conditionalFormatting sqref="L2438">
    <cfRule type="expression" dxfId="95" priority="233">
      <formula>ISODD(MONTH($C2437))</formula>
    </cfRule>
    <cfRule type="expression" dxfId="94" priority="234">
      <formula>ISEVEN(MONTH($C2437))</formula>
    </cfRule>
  </conditionalFormatting>
  <conditionalFormatting sqref="L2439">
    <cfRule type="expression" dxfId="93" priority="217">
      <formula>ISODD(MONTH($C2441))</formula>
    </cfRule>
    <cfRule type="expression" dxfId="92" priority="218">
      <formula>ISEVEN(MONTH($C2441))</formula>
    </cfRule>
  </conditionalFormatting>
  <conditionalFormatting sqref="L2440:L2441">
    <cfRule type="expression" dxfId="91" priority="225">
      <formula>ISODD(MONTH($C2440))</formula>
    </cfRule>
    <cfRule type="expression" dxfId="90" priority="226">
      <formula>ISEVEN(MONTH($C2440))</formula>
    </cfRule>
  </conditionalFormatting>
  <conditionalFormatting sqref="L2442:L2444 L2456:L2461 L2463:L2464">
    <cfRule type="expression" dxfId="89" priority="207">
      <formula>ISODD(MONTH($C2438))</formula>
    </cfRule>
    <cfRule type="expression" dxfId="88" priority="208">
      <formula>ISEVEN(MONTH($C2438))</formula>
    </cfRule>
  </conditionalFormatting>
  <conditionalFormatting sqref="L2445">
    <cfRule type="expression" dxfId="87" priority="199">
      <formula>ISODD(MONTH($C2439))</formula>
    </cfRule>
    <cfRule type="expression" dxfId="86" priority="200">
      <formula>ISEVEN(MONTH($C2439))</formula>
    </cfRule>
  </conditionalFormatting>
  <conditionalFormatting sqref="L2446:L2447">
    <cfRule type="expression" dxfId="85" priority="187">
      <formula>ISODD(MONTH($C2438))</formula>
    </cfRule>
    <cfRule type="expression" dxfId="84" priority="188">
      <formula>ISEVEN(MONTH($C2438))</formula>
    </cfRule>
  </conditionalFormatting>
  <conditionalFormatting sqref="L2448">
    <cfRule type="expression" dxfId="83" priority="213">
      <formula>ISODD(MONTH($C2451))</formula>
    </cfRule>
    <cfRule type="expression" dxfId="82" priority="214">
      <formula>ISEVEN(MONTH($C2451))</formula>
    </cfRule>
  </conditionalFormatting>
  <conditionalFormatting sqref="L2449">
    <cfRule type="expression" dxfId="81" priority="195">
      <formula>ISODD(MONTH($C2443))</formula>
    </cfRule>
    <cfRule type="expression" dxfId="80" priority="196">
      <formula>ISEVEN(MONTH($C2443))</formula>
    </cfRule>
  </conditionalFormatting>
  <conditionalFormatting sqref="L2450">
    <cfRule type="expression" dxfId="79" priority="191">
      <formula>ISODD(MONTH($C2453))</formula>
    </cfRule>
    <cfRule type="expression" dxfId="78" priority="192">
      <formula>ISEVEN(MONTH($C2453))</formula>
    </cfRule>
  </conditionalFormatting>
  <conditionalFormatting sqref="L2451">
    <cfRule type="expression" dxfId="77" priority="177">
      <formula>ISODD(MONTH($C2443))</formula>
    </cfRule>
    <cfRule type="expression" dxfId="76" priority="178">
      <formula>ISEVEN(MONTH($C2443))</formula>
    </cfRule>
  </conditionalFormatting>
  <conditionalFormatting sqref="L2452:L2455">
    <cfRule type="expression" dxfId="75" priority="209">
      <formula>ISODD(MONTH($C2442))</formula>
    </cfRule>
    <cfRule type="expression" dxfId="74" priority="210">
      <formula>ISEVEN(MONTH($C2442))</formula>
    </cfRule>
  </conditionalFormatting>
  <conditionalFormatting sqref="L2454:L2455">
    <cfRule type="expression" dxfId="73" priority="221">
      <formula>ISODD(MONTH($C2458))</formula>
    </cfRule>
    <cfRule type="expression" dxfId="72" priority="222">
      <formula>ISEVEN(MONTH($C2458))</formula>
    </cfRule>
  </conditionalFormatting>
  <conditionalFormatting sqref="L2462">
    <cfRule type="expression" dxfId="71" priority="179">
      <formula>ISODD(MONTH($C2452))</formula>
    </cfRule>
    <cfRule type="expression" dxfId="70" priority="180">
      <formula>ISEVEN(MONTH($C2452))</formula>
    </cfRule>
  </conditionalFormatting>
  <conditionalFormatting sqref="L2464">
    <cfRule type="expression" dxfId="69" priority="227">
      <formula>ISODD(MONTH($C2448))</formula>
    </cfRule>
    <cfRule type="expression" dxfId="68" priority="228">
      <formula>ISEVEN(MONTH($C2448))</formula>
    </cfRule>
  </conditionalFormatting>
  <conditionalFormatting sqref="L2469:L2474">
    <cfRule type="expression" dxfId="67" priority="17">
      <formula>ISODD(MONTH($C2468))</formula>
    </cfRule>
    <cfRule type="expression" dxfId="66" priority="18">
      <formula>ISEVEN(MONTH($C2468))</formula>
    </cfRule>
  </conditionalFormatting>
  <conditionalFormatting sqref="L2475:L2495">
    <cfRule type="expression" dxfId="65" priority="13">
      <formula>ISODD(MONTH($C2472))</formula>
    </cfRule>
    <cfRule type="expression" dxfId="64" priority="14">
      <formula>ISEVEN(MONTH($C2472))</formula>
    </cfRule>
  </conditionalFormatting>
  <conditionalFormatting sqref="L2496:L2498">
    <cfRule type="expression" dxfId="63" priority="109">
      <formula>ISODD(MONTH($C2496))</formula>
    </cfRule>
    <cfRule type="expression" dxfId="62" priority="110">
      <formula>ISEVEN(MONTH($C2496))</formula>
    </cfRule>
  </conditionalFormatting>
  <conditionalFormatting sqref="L2499">
    <cfRule type="expression" dxfId="61" priority="169">
      <formula>ISODD(MONTH($C2498))</formula>
    </cfRule>
    <cfRule type="expression" dxfId="60" priority="170">
      <formula>ISEVEN(MONTH($C2498))</formula>
    </cfRule>
  </conditionalFormatting>
  <conditionalFormatting sqref="L2500">
    <cfRule type="expression" dxfId="59" priority="153">
      <formula>ISODD(MONTH($C2502))</formula>
    </cfRule>
    <cfRule type="expression" dxfId="58" priority="154">
      <formula>ISEVEN(MONTH($C2502))</formula>
    </cfRule>
  </conditionalFormatting>
  <conditionalFormatting sqref="L2501:L2502">
    <cfRule type="expression" dxfId="57" priority="161">
      <formula>ISODD(MONTH($C2501))</formula>
    </cfRule>
    <cfRule type="expression" dxfId="56" priority="162">
      <formula>ISEVEN(MONTH($C2501))</formula>
    </cfRule>
  </conditionalFormatting>
  <conditionalFormatting sqref="L2503:L2505 L2517:L2522 L2524:L2525">
    <cfRule type="expression" dxfId="55" priority="143">
      <formula>ISODD(MONTH($C2499))</formula>
    </cfRule>
    <cfRule type="expression" dxfId="54" priority="144">
      <formula>ISEVEN(MONTH($C2499))</formula>
    </cfRule>
  </conditionalFormatting>
  <conditionalFormatting sqref="L2506">
    <cfRule type="expression" dxfId="53" priority="135">
      <formula>ISODD(MONTH($C2500))</formula>
    </cfRule>
    <cfRule type="expression" dxfId="52" priority="136">
      <formula>ISEVEN(MONTH($C2500))</formula>
    </cfRule>
  </conditionalFormatting>
  <conditionalFormatting sqref="L2507:L2508">
    <cfRule type="expression" dxfId="51" priority="123">
      <formula>ISODD(MONTH($C2499))</formula>
    </cfRule>
    <cfRule type="expression" dxfId="50" priority="124">
      <formula>ISEVEN(MONTH($C2499))</formula>
    </cfRule>
  </conditionalFormatting>
  <conditionalFormatting sqref="L2509">
    <cfRule type="expression" dxfId="49" priority="149">
      <formula>ISODD(MONTH($C2512))</formula>
    </cfRule>
    <cfRule type="expression" dxfId="48" priority="150">
      <formula>ISEVEN(MONTH($C2512))</formula>
    </cfRule>
  </conditionalFormatting>
  <conditionalFormatting sqref="L2510">
    <cfRule type="expression" dxfId="47" priority="131">
      <formula>ISODD(MONTH($C2504))</formula>
    </cfRule>
    <cfRule type="expression" dxfId="46" priority="132">
      <formula>ISEVEN(MONTH($C2504))</formula>
    </cfRule>
  </conditionalFormatting>
  <conditionalFormatting sqref="L2511">
    <cfRule type="expression" dxfId="45" priority="127">
      <formula>ISODD(MONTH($C2514))</formula>
    </cfRule>
    <cfRule type="expression" dxfId="44" priority="128">
      <formula>ISEVEN(MONTH($C2514))</formula>
    </cfRule>
  </conditionalFormatting>
  <conditionalFormatting sqref="L2512">
    <cfRule type="expression" dxfId="43" priority="113">
      <formula>ISODD(MONTH($C2504))</formula>
    </cfRule>
    <cfRule type="expression" dxfId="42" priority="114">
      <formula>ISEVEN(MONTH($C2504))</formula>
    </cfRule>
  </conditionalFormatting>
  <conditionalFormatting sqref="L2513:L2516">
    <cfRule type="expression" dxfId="41" priority="145">
      <formula>ISODD(MONTH($C2503))</formula>
    </cfRule>
    <cfRule type="expression" dxfId="40" priority="146">
      <formula>ISEVEN(MONTH($C2503))</formula>
    </cfRule>
  </conditionalFormatting>
  <conditionalFormatting sqref="L2515:L2516">
    <cfRule type="expression" dxfId="39" priority="157">
      <formula>ISODD(MONTH($C2519))</formula>
    </cfRule>
    <cfRule type="expression" dxfId="38" priority="158">
      <formula>ISEVEN(MONTH($C2519))</formula>
    </cfRule>
  </conditionalFormatting>
  <conditionalFormatting sqref="L2523">
    <cfRule type="expression" dxfId="37" priority="115">
      <formula>ISODD(MONTH($C2513))</formula>
    </cfRule>
    <cfRule type="expression" dxfId="36" priority="116">
      <formula>ISEVEN(MONTH($C2513))</formula>
    </cfRule>
  </conditionalFormatting>
  <conditionalFormatting sqref="L2525">
    <cfRule type="expression" dxfId="35" priority="163">
      <formula>ISODD(MONTH($C2509))</formula>
    </cfRule>
    <cfRule type="expression" dxfId="34" priority="164">
      <formula>ISEVEN(MONTH($C2509))</formula>
    </cfRule>
  </conditionalFormatting>
  <conditionalFormatting sqref="L2530:L2535">
    <cfRule type="expression" dxfId="33" priority="9">
      <formula>ISODD(MONTH($C2529))</formula>
    </cfRule>
    <cfRule type="expression" dxfId="32" priority="10">
      <formula>ISEVEN(MONTH($C2529))</formula>
    </cfRule>
  </conditionalFormatting>
  <conditionalFormatting sqref="L2536:L2556">
    <cfRule type="expression" dxfId="31" priority="5">
      <formula>ISODD(MONTH($C2533))</formula>
    </cfRule>
    <cfRule type="expression" dxfId="30" priority="6">
      <formula>ISEVEN(MONTH($C2533))</formula>
    </cfRule>
  </conditionalFormatting>
  <conditionalFormatting sqref="L2557:L2559">
    <cfRule type="expression" dxfId="29" priority="45">
      <formula>ISODD(MONTH($C2557))</formula>
    </cfRule>
    <cfRule type="expression" dxfId="28" priority="46">
      <formula>ISEVEN(MONTH($C2557))</formula>
    </cfRule>
  </conditionalFormatting>
  <conditionalFormatting sqref="L2560">
    <cfRule type="expression" dxfId="27" priority="105">
      <formula>ISODD(MONTH($C2559))</formula>
    </cfRule>
    <cfRule type="expression" dxfId="26" priority="106">
      <formula>ISEVEN(MONTH($C2559))</formula>
    </cfRule>
  </conditionalFormatting>
  <conditionalFormatting sqref="L2561">
    <cfRule type="expression" dxfId="25" priority="89">
      <formula>ISODD(MONTH($C2563))</formula>
    </cfRule>
    <cfRule type="expression" dxfId="24" priority="90">
      <formula>ISEVEN(MONTH($C2563))</formula>
    </cfRule>
  </conditionalFormatting>
  <conditionalFormatting sqref="L2562:L2563">
    <cfRule type="expression" dxfId="23" priority="97">
      <formula>ISODD(MONTH($C2562))</formula>
    </cfRule>
    <cfRule type="expression" dxfId="22" priority="98">
      <formula>ISEVEN(MONTH($C2562))</formula>
    </cfRule>
  </conditionalFormatting>
  <conditionalFormatting sqref="L2564:L2566 L2578:L2583 L2585:L2586">
    <cfRule type="expression" dxfId="21" priority="79">
      <formula>ISODD(MONTH($C2560))</formula>
    </cfRule>
    <cfRule type="expression" dxfId="20" priority="80">
      <formula>ISEVEN(MONTH($C2560))</formula>
    </cfRule>
  </conditionalFormatting>
  <conditionalFormatting sqref="L2567">
    <cfRule type="expression" dxfId="19" priority="71">
      <formula>ISODD(MONTH($C2561))</formula>
    </cfRule>
    <cfRule type="expression" dxfId="18" priority="72">
      <formula>ISEVEN(MONTH($C2561))</formula>
    </cfRule>
  </conditionalFormatting>
  <conditionalFormatting sqref="L2568:L2569">
    <cfRule type="expression" dxfId="17" priority="59">
      <formula>ISODD(MONTH($C2560))</formula>
    </cfRule>
    <cfRule type="expression" dxfId="16" priority="60">
      <formula>ISEVEN(MONTH($C2560))</formula>
    </cfRule>
  </conditionalFormatting>
  <conditionalFormatting sqref="L2570">
    <cfRule type="expression" dxfId="15" priority="85">
      <formula>ISODD(MONTH($C2573))</formula>
    </cfRule>
    <cfRule type="expression" dxfId="14" priority="86">
      <formula>ISEVEN(MONTH($C2573))</formula>
    </cfRule>
  </conditionalFormatting>
  <conditionalFormatting sqref="L2571">
    <cfRule type="expression" dxfId="13" priority="67">
      <formula>ISODD(MONTH($C2565))</formula>
    </cfRule>
    <cfRule type="expression" dxfId="12" priority="68">
      <formula>ISEVEN(MONTH($C2565))</formula>
    </cfRule>
  </conditionalFormatting>
  <conditionalFormatting sqref="L2572">
    <cfRule type="expression" dxfId="11" priority="63">
      <formula>ISODD(MONTH($C2575))</formula>
    </cfRule>
    <cfRule type="expression" dxfId="10" priority="64">
      <formula>ISEVEN(MONTH($C2575))</formula>
    </cfRule>
  </conditionalFormatting>
  <conditionalFormatting sqref="L2573">
    <cfRule type="expression" dxfId="9" priority="49">
      <formula>ISODD(MONTH($C2565))</formula>
    </cfRule>
    <cfRule type="expression" dxfId="8" priority="50">
      <formula>ISEVEN(MONTH($C2565))</formula>
    </cfRule>
  </conditionalFormatting>
  <conditionalFormatting sqref="L2574:L2577">
    <cfRule type="expression" dxfId="7" priority="81">
      <formula>ISODD(MONTH($C2564))</formula>
    </cfRule>
    <cfRule type="expression" dxfId="6" priority="82">
      <formula>ISEVEN(MONTH($C2564))</formula>
    </cfRule>
  </conditionalFormatting>
  <conditionalFormatting sqref="L2576:L2577">
    <cfRule type="expression" dxfId="5" priority="93">
      <formula>ISODD(MONTH($C2580))</formula>
    </cfRule>
    <cfRule type="expression" dxfId="4" priority="94">
      <formula>ISEVEN(MONTH($C2580))</formula>
    </cfRule>
  </conditionalFormatting>
  <conditionalFormatting sqref="L2584">
    <cfRule type="expression" dxfId="3" priority="51">
      <formula>ISODD(MONTH($C2574))</formula>
    </cfRule>
    <cfRule type="expression" dxfId="2" priority="52">
      <formula>ISEVEN(MONTH($C2574))</formula>
    </cfRule>
  </conditionalFormatting>
  <conditionalFormatting sqref="L2586">
    <cfRule type="expression" dxfId="1" priority="99">
      <formula>ISODD(MONTH($C2570))</formula>
    </cfRule>
    <cfRule type="expression" dxfId="0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96.355006467212519</v>
      </c>
      <c r="E36" s="34">
        <f t="shared" ca="1" si="14"/>
        <v>3.6449935327874847</v>
      </c>
      <c r="F36" s="319">
        <f t="shared" ca="1" si="15"/>
        <v>2.5064672125125753E-3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1.0092137336523239</v>
      </c>
    </row>
    <row r="37" spans="1:13">
      <c r="A37" s="38">
        <f>+OUTPUT!A4</f>
        <v>46204</v>
      </c>
      <c r="B37" s="40">
        <f>OUTPUT!H4</f>
        <v>96.3</v>
      </c>
      <c r="C37" s="41">
        <f>OUTPUT!I4</f>
        <v>3.7000000000000028</v>
      </c>
      <c r="D37" s="44">
        <f t="shared" ca="1" si="13"/>
        <v>96.300947107468119</v>
      </c>
      <c r="E37" s="45">
        <f t="shared" ca="1" si="14"/>
        <v>3.6990528925318884</v>
      </c>
      <c r="F37" s="318">
        <f t="shared" ca="1" si="15"/>
        <v>9.4710746812154412E-4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1.0100696439852257</v>
      </c>
    </row>
    <row r="38" spans="1:13">
      <c r="A38" s="38">
        <f>+OUTPUT!A5</f>
        <v>46235</v>
      </c>
      <c r="B38" s="40">
        <f>OUTPUT!H5</f>
        <v>96.237499999999997</v>
      </c>
      <c r="C38" s="41">
        <f>OUTPUT!I5</f>
        <v>3.7625000000000028</v>
      </c>
      <c r="D38" s="44">
        <f t="shared" ca="1" si="13"/>
        <v>96.240053276655672</v>
      </c>
      <c r="E38" s="45">
        <f t="shared" ca="1" si="14"/>
        <v>3.7599467233443344</v>
      </c>
      <c r="F38" s="318">
        <f t="shared" ca="1" si="15"/>
        <v>2.553276655675063E-3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1.0095043097728982</v>
      </c>
    </row>
    <row r="39" spans="1:13">
      <c r="A39" s="32">
        <f>+OUTPUT!A6</f>
        <v>46266</v>
      </c>
      <c r="B39" s="33">
        <f>OUTPUT!H6</f>
        <v>96.167500000000004</v>
      </c>
      <c r="C39" s="34">
        <f>OUTPUT!I6</f>
        <v>3.832499999999996</v>
      </c>
      <c r="D39" s="33">
        <f t="shared" ca="1" si="13"/>
        <v>96.167278281090745</v>
      </c>
      <c r="E39" s="34">
        <f t="shared" ca="1" si="14"/>
        <v>3.8327217189092502</v>
      </c>
      <c r="F39" s="319">
        <f t="shared" ca="1" si="15"/>
        <v>-2.2171890925903881E-4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1.009688268789465</v>
      </c>
    </row>
    <row r="40" spans="1:13">
      <c r="A40" s="38">
        <f>+OUTPUT!A7</f>
        <v>46296</v>
      </c>
      <c r="B40" s="40">
        <f>OUTPUT!H7</f>
        <v>96.09</v>
      </c>
      <c r="C40" s="41">
        <f>OUTPUT!I7</f>
        <v>3.9099999999999966</v>
      </c>
      <c r="D40" s="44">
        <f t="shared" ca="1" si="13"/>
        <v>96.786289250346343</v>
      </c>
      <c r="E40" s="45">
        <f t="shared" ca="1" si="14"/>
        <v>3.2137107496536523</v>
      </c>
      <c r="F40" s="318">
        <f t="shared" ca="1" si="15"/>
        <v>0.69628925034633937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1.0081235466171801</v>
      </c>
    </row>
    <row r="41" spans="1:13">
      <c r="A41" s="38">
        <f>+OUTPUT!A8</f>
        <v>46327</v>
      </c>
      <c r="B41" s="40">
        <f>OUTPUT!H8</f>
        <v>96.025000000000006</v>
      </c>
      <c r="C41" s="41">
        <f>OUTPUT!I8</f>
        <v>3.9749999999999943</v>
      </c>
      <c r="D41" s="44">
        <f t="shared" ca="1" si="13"/>
        <v>97.969169087973881</v>
      </c>
      <c r="E41" s="45">
        <f t="shared" ca="1" si="14"/>
        <v>2.0308309120261199</v>
      </c>
      <c r="F41" s="323">
        <f t="shared" ca="1" si="15"/>
        <v>1.9441690879738758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1.0051334892498438</v>
      </c>
    </row>
    <row r="42" spans="1:13">
      <c r="A42" s="43">
        <f>+OUTPUT!A9</f>
        <v>46357</v>
      </c>
      <c r="B42" s="50">
        <f>OUTPUT!H9</f>
        <v>95.97</v>
      </c>
      <c r="C42" s="51">
        <f>OUTPUT!I9</f>
        <v>4.0300000000000011</v>
      </c>
      <c r="D42" s="50">
        <f t="shared" ca="1" si="13"/>
        <v>99.165118723812938</v>
      </c>
      <c r="E42" s="51">
        <f t="shared" ca="1" si="14"/>
        <v>0.83488127618706742</v>
      </c>
      <c r="F42" s="320">
        <f t="shared" ca="1" si="15"/>
        <v>3.1951187238129393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1.0021103943370284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96.314999999999998</v>
      </c>
      <c r="F2" s="150">
        <v>96.317499999999995</v>
      </c>
      <c r="G2" s="151">
        <v>96.314999999999998</v>
      </c>
      <c r="H2" s="417">
        <f t="shared" ref="H2:H5" si="0">IF(F2&lt;G2,F2,IF(E2&gt;G2,E2,G2))</f>
        <v>96.314999999999998</v>
      </c>
      <c r="I2" s="148">
        <f t="shared" ref="I2:I4" si="1">100-H2</f>
        <v>3.6850000000000023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96.24</v>
      </c>
      <c r="F3" s="150">
        <v>96.245000000000005</v>
      </c>
      <c r="G3" s="151">
        <v>96.245000000000005</v>
      </c>
      <c r="H3" s="417">
        <f t="shared" si="0"/>
        <v>96.245000000000005</v>
      </c>
      <c r="I3" s="148">
        <f t="shared" si="1"/>
        <v>3.7549999999999955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96.18</v>
      </c>
      <c r="F4" s="150">
        <v>96.185000000000002</v>
      </c>
      <c r="G4" s="151">
        <v>96.185000000000002</v>
      </c>
      <c r="H4" s="417">
        <f t="shared" si="0"/>
        <v>96.185000000000002</v>
      </c>
      <c r="I4" s="148">
        <f t="shared" si="1"/>
        <v>3.8149999999999977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96.084999999999994</v>
      </c>
      <c r="F5" s="150">
        <v>96.09</v>
      </c>
      <c r="G5" s="151">
        <v>96.09</v>
      </c>
      <c r="H5" s="417">
        <f t="shared" si="0"/>
        <v>96.09</v>
      </c>
      <c r="I5" s="148">
        <f>100-H5</f>
        <v>3.9099999999999966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96.04</v>
      </c>
      <c r="F6" s="150">
        <v>96.045000000000002</v>
      </c>
      <c r="G6" s="151">
        <v>96.045000000000002</v>
      </c>
      <c r="H6" s="417">
        <f t="shared" ref="H6:H17" si="2">IF(F6&lt;G6,F6,IF(E6&gt;G6,E6,G6))</f>
        <v>96.045000000000002</v>
      </c>
      <c r="I6" s="148">
        <f t="shared" ref="I6:I17" si="3">100-H6</f>
        <v>3.9549999999999983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95.99</v>
      </c>
      <c r="F7" s="150">
        <v>96</v>
      </c>
      <c r="G7" s="151">
        <v>95.995000000000005</v>
      </c>
      <c r="H7" s="417">
        <f t="shared" si="2"/>
        <v>95.995000000000005</v>
      </c>
      <c r="I7" s="148">
        <f t="shared" si="3"/>
        <v>4.0049999999999955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95.95</v>
      </c>
      <c r="F8" s="150">
        <v>95.954999999999998</v>
      </c>
      <c r="G8" s="151">
        <v>95.95</v>
      </c>
      <c r="H8" s="417">
        <f t="shared" si="2"/>
        <v>95.95</v>
      </c>
      <c r="I8" s="148">
        <f t="shared" si="3"/>
        <v>4.0499999999999972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95.9</v>
      </c>
      <c r="F9" s="150">
        <v>95.905000000000001</v>
      </c>
      <c r="G9" s="151">
        <v>95.905000000000001</v>
      </c>
      <c r="H9" s="417">
        <f t="shared" si="2"/>
        <v>95.905000000000001</v>
      </c>
      <c r="I9" s="148">
        <f t="shared" si="3"/>
        <v>4.0949999999999989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95.87</v>
      </c>
      <c r="F10" s="150">
        <v>95.875</v>
      </c>
      <c r="G10" s="151">
        <v>95.875</v>
      </c>
      <c r="H10" s="417">
        <f t="shared" si="2"/>
        <v>95.875</v>
      </c>
      <c r="I10" s="148">
        <f t="shared" si="3"/>
        <v>4.125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95.84</v>
      </c>
      <c r="F11" s="150">
        <v>95.844999999999999</v>
      </c>
      <c r="G11" s="151">
        <v>95.844999999999999</v>
      </c>
      <c r="H11" s="417">
        <f t="shared" si="2"/>
        <v>95.844999999999999</v>
      </c>
      <c r="I11" s="148">
        <f t="shared" si="3"/>
        <v>4.1550000000000011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95.825000000000003</v>
      </c>
      <c r="F12" s="150">
        <v>95.83</v>
      </c>
      <c r="G12" s="151">
        <v>95.83</v>
      </c>
      <c r="H12" s="417">
        <f t="shared" si="2"/>
        <v>95.83</v>
      </c>
      <c r="I12" s="148">
        <f t="shared" si="3"/>
        <v>4.1700000000000017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95.82</v>
      </c>
      <c r="F13" s="150">
        <v>95.825000000000003</v>
      </c>
      <c r="G13" s="151">
        <v>95.825000000000003</v>
      </c>
      <c r="H13" s="417">
        <f t="shared" si="2"/>
        <v>95.825000000000003</v>
      </c>
      <c r="I13" s="148">
        <f t="shared" si="3"/>
        <v>4.1749999999999972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95.814999999999998</v>
      </c>
      <c r="F14" s="150">
        <v>95.825000000000003</v>
      </c>
      <c r="G14" s="151">
        <v>95.81</v>
      </c>
      <c r="H14" s="417">
        <f t="shared" si="2"/>
        <v>95.814999999999998</v>
      </c>
      <c r="I14" s="148">
        <f t="shared" si="3"/>
        <v>4.1850000000000023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95.814999999999998</v>
      </c>
      <c r="F15" s="150">
        <v>95.825000000000003</v>
      </c>
      <c r="G15" s="151">
        <v>95.825000000000003</v>
      </c>
      <c r="H15" s="417">
        <f t="shared" si="2"/>
        <v>95.825000000000003</v>
      </c>
      <c r="I15" s="148">
        <f t="shared" si="3"/>
        <v>4.1749999999999972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95.82</v>
      </c>
      <c r="F16" s="150">
        <v>95.834999999999994</v>
      </c>
      <c r="G16" s="151">
        <v>95.805000000000007</v>
      </c>
      <c r="H16" s="417">
        <f t="shared" si="2"/>
        <v>95.82</v>
      </c>
      <c r="I16" s="148">
        <f t="shared" si="3"/>
        <v>4.1800000000000068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95.8</v>
      </c>
      <c r="F17" s="150">
        <v>96</v>
      </c>
      <c r="G17" s="151">
        <v>95.81</v>
      </c>
      <c r="H17" s="417">
        <f t="shared" si="2"/>
        <v>95.81</v>
      </c>
      <c r="I17" s="148">
        <f t="shared" si="3"/>
        <v>4.1899999999999977</v>
      </c>
      <c r="L17" s="152"/>
      <c r="M17" s="153"/>
    </row>
    <row r="18" spans="1:19" s="147" customFormat="1">
      <c r="A18" s="395" t="s">
        <v>76</v>
      </c>
      <c r="B18" s="357" t="s">
        <v>71</v>
      </c>
      <c r="C18" s="357" t="s">
        <v>183</v>
      </c>
      <c r="D18" s="396">
        <v>202609</v>
      </c>
      <c r="E18" s="397">
        <v>96.302499999999995</v>
      </c>
      <c r="F18" s="397">
        <v>96.307500000000005</v>
      </c>
      <c r="G18" s="398">
        <v>96.305000000000007</v>
      </c>
      <c r="H18" s="418">
        <f t="shared" ref="H18:H20" si="4">IF(F18&lt;G18,F18,IF(E18&gt;G18,E18,G18))</f>
        <v>96.305000000000007</v>
      </c>
      <c r="I18" s="353">
        <f t="shared" ref="I18:I20" si="5">100-H18</f>
        <v>3.6949999999999932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202610</v>
      </c>
      <c r="E19" s="397">
        <v>96.22</v>
      </c>
      <c r="F19" s="397">
        <v>96.224999999999994</v>
      </c>
      <c r="G19" s="398">
        <v>96.224999999999994</v>
      </c>
      <c r="H19" s="418">
        <f t="shared" si="4"/>
        <v>96.224999999999994</v>
      </c>
      <c r="I19" s="353">
        <f t="shared" si="5"/>
        <v>3.7750000000000057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202611</v>
      </c>
      <c r="E20" s="397">
        <v>96.16</v>
      </c>
      <c r="F20" s="397">
        <v>96.165000000000006</v>
      </c>
      <c r="G20" s="398">
        <v>96.16</v>
      </c>
      <c r="H20" s="418">
        <f t="shared" si="4"/>
        <v>96.16</v>
      </c>
      <c r="I20" s="353">
        <f t="shared" si="5"/>
        <v>3.8400000000000034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202612</v>
      </c>
      <c r="E21" s="397">
        <v>96.05</v>
      </c>
      <c r="F21" s="397">
        <v>96.055000000000007</v>
      </c>
      <c r="G21" s="398">
        <v>96.05</v>
      </c>
      <c r="H21" s="418">
        <f t="shared" ref="H21:H33" si="6">IF(F21&lt;G21,F21,IF(E21&gt;G21,E21,G21))</f>
        <v>96.05</v>
      </c>
      <c r="I21" s="353">
        <f t="shared" ref="I21:I33" si="7">100-H21</f>
        <v>3.9500000000000028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202701</v>
      </c>
      <c r="E22" s="397">
        <v>96.004999999999995</v>
      </c>
      <c r="F22" s="397">
        <v>96.01</v>
      </c>
      <c r="G22" s="398">
        <v>96.01</v>
      </c>
      <c r="H22" s="418">
        <f t="shared" si="6"/>
        <v>96.01</v>
      </c>
      <c r="I22" s="353">
        <f t="shared" si="7"/>
        <v>3.9899999999999949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202702</v>
      </c>
      <c r="E23" s="397">
        <v>95.97</v>
      </c>
      <c r="F23" s="397">
        <v>95.974999999999994</v>
      </c>
      <c r="G23" s="398">
        <v>95.974999999999994</v>
      </c>
      <c r="H23" s="418">
        <f t="shared" si="6"/>
        <v>95.974999999999994</v>
      </c>
      <c r="I23" s="353">
        <f t="shared" si="7"/>
        <v>4.0250000000000057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202703</v>
      </c>
      <c r="E24" s="397">
        <v>95.924999999999997</v>
      </c>
      <c r="F24" s="397">
        <v>95.93</v>
      </c>
      <c r="G24" s="398">
        <v>95.93</v>
      </c>
      <c r="H24" s="418">
        <f t="shared" si="6"/>
        <v>95.93</v>
      </c>
      <c r="I24" s="353">
        <f t="shared" si="7"/>
        <v>4.0699999999999932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202704</v>
      </c>
      <c r="E25" s="397">
        <v>95.88</v>
      </c>
      <c r="F25" s="397">
        <v>95.885000000000005</v>
      </c>
      <c r="G25" s="398">
        <v>95.885000000000005</v>
      </c>
      <c r="H25" s="418">
        <f t="shared" si="6"/>
        <v>95.885000000000005</v>
      </c>
      <c r="I25" s="353">
        <f t="shared" si="7"/>
        <v>4.1149999999999949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202705</v>
      </c>
      <c r="E26" s="397">
        <v>95.85</v>
      </c>
      <c r="F26" s="397">
        <v>95.855000000000004</v>
      </c>
      <c r="G26" s="398">
        <v>95.85</v>
      </c>
      <c r="H26" s="418">
        <f t="shared" si="6"/>
        <v>95.85</v>
      </c>
      <c r="I26" s="353">
        <f t="shared" si="7"/>
        <v>4.1500000000000057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202706</v>
      </c>
      <c r="E27" s="397">
        <v>95.814999999999998</v>
      </c>
      <c r="F27" s="397">
        <v>95.82</v>
      </c>
      <c r="G27" s="398">
        <v>95.82</v>
      </c>
      <c r="H27" s="418">
        <f t="shared" si="6"/>
        <v>95.82</v>
      </c>
      <c r="I27" s="353">
        <f t="shared" si="7"/>
        <v>4.1800000000000068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202707</v>
      </c>
      <c r="E28" s="397">
        <v>95.795000000000002</v>
      </c>
      <c r="F28" s="397">
        <v>95.805000000000007</v>
      </c>
      <c r="G28" s="398">
        <v>95.795000000000002</v>
      </c>
      <c r="H28" s="418">
        <f t="shared" si="6"/>
        <v>95.795000000000002</v>
      </c>
      <c r="I28" s="353">
        <f t="shared" si="7"/>
        <v>4.2049999999999983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202708</v>
      </c>
      <c r="E29" s="397">
        <v>95.79</v>
      </c>
      <c r="F29" s="397">
        <v>95.8</v>
      </c>
      <c r="G29" s="398">
        <v>95.784999999999997</v>
      </c>
      <c r="H29" s="418">
        <f t="shared" si="6"/>
        <v>95.79</v>
      </c>
      <c r="I29" s="353">
        <f t="shared" si="7"/>
        <v>4.2099999999999937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202709</v>
      </c>
      <c r="E30" s="397">
        <v>95.78</v>
      </c>
      <c r="F30" s="397">
        <v>95.795000000000002</v>
      </c>
      <c r="G30" s="398" t="s">
        <v>231</v>
      </c>
      <c r="H30" s="418">
        <f t="shared" si="6"/>
        <v>95.795000000000002</v>
      </c>
      <c r="I30" s="353">
        <f t="shared" si="7"/>
        <v>4.2049999999999983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202710</v>
      </c>
      <c r="E31" s="397">
        <v>95.78</v>
      </c>
      <c r="F31" s="397">
        <v>95.795000000000002</v>
      </c>
      <c r="G31" s="398" t="s">
        <v>231</v>
      </c>
      <c r="H31" s="418">
        <f t="shared" si="6"/>
        <v>95.795000000000002</v>
      </c>
      <c r="I31" s="353">
        <f t="shared" si="7"/>
        <v>4.2049999999999983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202711</v>
      </c>
      <c r="E32" s="397">
        <v>95.754999999999995</v>
      </c>
      <c r="F32" s="397">
        <v>95.95</v>
      </c>
      <c r="G32" s="398" t="s">
        <v>231</v>
      </c>
      <c r="H32" s="418">
        <f t="shared" si="6"/>
        <v>95.95</v>
      </c>
      <c r="I32" s="353">
        <f t="shared" si="7"/>
        <v>4.0499999999999972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202712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>
        <v>96.352500000000006</v>
      </c>
      <c r="F34" s="143">
        <v>96.355000000000004</v>
      </c>
      <c r="G34" s="144">
        <v>96.352500000000006</v>
      </c>
      <c r="H34" s="419">
        <f t="shared" ref="H34:H39" si="8">IF(F34&lt;G34,F34,IF(E34&gt;G34,E34,G34))</f>
        <v>96.352500000000006</v>
      </c>
      <c r="I34" s="145">
        <f t="shared" ref="I34:I39" si="9">100-H34</f>
        <v>3.6474999999999937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96.3</v>
      </c>
      <c r="F35" s="143">
        <v>96.302499999999995</v>
      </c>
      <c r="G35" s="144">
        <v>96.29</v>
      </c>
      <c r="H35" s="419">
        <f t="shared" si="8"/>
        <v>96.3</v>
      </c>
      <c r="I35" s="145">
        <f t="shared" si="9"/>
        <v>3.7000000000000028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96.237499999999997</v>
      </c>
      <c r="F36" s="143">
        <v>96.245000000000005</v>
      </c>
      <c r="G36" s="144">
        <v>96.224999999999994</v>
      </c>
      <c r="H36" s="419">
        <f t="shared" si="8"/>
        <v>96.237499999999997</v>
      </c>
      <c r="I36" s="145">
        <f t="shared" si="9"/>
        <v>3.7625000000000028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96.167500000000004</v>
      </c>
      <c r="F37" s="143">
        <v>96.17</v>
      </c>
      <c r="G37" s="144">
        <v>96.167500000000004</v>
      </c>
      <c r="H37" s="419">
        <f t="shared" si="8"/>
        <v>96.167500000000004</v>
      </c>
      <c r="I37" s="145">
        <f t="shared" si="9"/>
        <v>3.832499999999996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96.075000000000003</v>
      </c>
      <c r="F38" s="143">
        <v>96.09</v>
      </c>
      <c r="G38" s="144" t="s">
        <v>231</v>
      </c>
      <c r="H38" s="419">
        <f t="shared" si="8"/>
        <v>96.09</v>
      </c>
      <c r="I38" s="145">
        <f t="shared" si="9"/>
        <v>3.9099999999999966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96.015000000000001</v>
      </c>
      <c r="F39" s="143">
        <v>96.025000000000006</v>
      </c>
      <c r="G39" s="144" t="s">
        <v>231</v>
      </c>
      <c r="H39" s="419">
        <f t="shared" si="8"/>
        <v>96.025000000000006</v>
      </c>
      <c r="I39" s="145">
        <f t="shared" si="9"/>
        <v>3.9749999999999943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95.97</v>
      </c>
      <c r="F40" s="143">
        <v>95.974999999999994</v>
      </c>
      <c r="G40" s="144">
        <v>95.97</v>
      </c>
      <c r="H40" s="419">
        <f>IF(F40&lt;G40,F40,IF(E40&gt;G40,E40,G40))</f>
        <v>95.97</v>
      </c>
      <c r="I40" s="145">
        <f>100-H40</f>
        <v>4.0300000000000011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95.92</v>
      </c>
      <c r="F41" s="143">
        <v>95.924999999999997</v>
      </c>
      <c r="G41" s="144">
        <v>95.894999999999996</v>
      </c>
      <c r="H41" s="419">
        <f t="shared" ref="H41:H49" si="10">IF(F41&lt;G41,F41,IF(E41&gt;G41,E41,G41))</f>
        <v>95.92</v>
      </c>
      <c r="I41" s="145">
        <f t="shared" ref="I41:I49" si="11">100-H41</f>
        <v>4.0799999999999983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95.88</v>
      </c>
      <c r="F42" s="143">
        <v>95.89</v>
      </c>
      <c r="G42" s="144" t="s">
        <v>231</v>
      </c>
      <c r="H42" s="419">
        <f t="shared" si="10"/>
        <v>95.89</v>
      </c>
      <c r="I42" s="145">
        <f t="shared" si="11"/>
        <v>4.1099999999999994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95.844999999999999</v>
      </c>
      <c r="F43" s="143">
        <v>95.85</v>
      </c>
      <c r="G43" s="144">
        <v>95.844999999999999</v>
      </c>
      <c r="H43" s="419">
        <f t="shared" si="10"/>
        <v>95.844999999999999</v>
      </c>
      <c r="I43" s="145">
        <f t="shared" si="11"/>
        <v>4.1550000000000011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9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9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95.775000000000006</v>
      </c>
      <c r="F46" s="143">
        <v>95.78</v>
      </c>
      <c r="G46" s="144">
        <v>95.775000000000006</v>
      </c>
      <c r="H46" s="419">
        <f t="shared" si="10"/>
        <v>95.775000000000006</v>
      </c>
      <c r="I46" s="145">
        <f t="shared" si="11"/>
        <v>4.2249999999999943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95.765000000000001</v>
      </c>
      <c r="F49" s="143">
        <v>95.77</v>
      </c>
      <c r="G49" s="144">
        <v>95.765000000000001</v>
      </c>
      <c r="H49" s="419">
        <f t="shared" si="10"/>
        <v>95.765000000000001</v>
      </c>
      <c r="I49" s="145">
        <f t="shared" si="11"/>
        <v>4.2349999999999994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>'DAILY EXTRAPOLATION'!N2463</f>
        <v>1.0001011111111111</v>
      </c>
      <c r="D89" s="454">
        <f t="shared" si="4"/>
        <v>1.0089052117812767</v>
      </c>
      <c r="E89" s="450">
        <f t="shared" si="5"/>
        <v>3.6430411832495506E-2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>'DAILY EXTRAPOLATION'!N2464</f>
        <v>1.0003041666666668</v>
      </c>
      <c r="D90" s="454">
        <f t="shared" si="4"/>
        <v>1.0092120871165269</v>
      </c>
      <c r="E90" s="450">
        <f t="shared" si="5"/>
        <v>3.7262374853367149E-2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>'DAILY EXTRAPOLATION'!N2465</f>
        <v>1</v>
      </c>
      <c r="D91" s="454">
        <f t="shared" si="4"/>
        <v>1.0092120871165269</v>
      </c>
      <c r="E91" s="450">
        <f t="shared" si="5"/>
        <v>3.6848348466107517E-2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>'DAILY EXTRAPOLATION'!N2466</f>
        <v>1</v>
      </c>
      <c r="D92" s="454">
        <f t="shared" si="4"/>
        <v>1.0092120871165269</v>
      </c>
      <c r="E92" s="450">
        <f t="shared" si="5"/>
        <v>3.6443421559886557E-2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>'DAILY EXTRAPOLATION'!N2467</f>
        <v>1.0001022222222222</v>
      </c>
      <c r="D93" s="454">
        <f t="shared" si="4"/>
        <v>1.0093152510187655</v>
      </c>
      <c r="E93" s="450">
        <f t="shared" si="5"/>
        <v>3.6450982247343312E-2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>'DAILY EXTRAPOLATION'!N2468</f>
        <v>1.0001016666666667</v>
      </c>
      <c r="D94" s="454">
        <f t="shared" si="4"/>
        <v>1.0094178647359524</v>
      </c>
      <c r="E94" s="450">
        <f t="shared" si="5"/>
        <v>3.6456250590783515E-2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>'DAILY EXTRAPOLATION'!N2469</f>
        <v>1.000101388888889</v>
      </c>
      <c r="D95" s="454">
        <f t="shared" si="4"/>
        <v>1.0095202084916828</v>
      </c>
      <c r="E95" s="450">
        <f t="shared" si="5"/>
        <v>3.6460372946870219E-2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1.0001007688492063</v>
      </c>
      <c r="D96" s="454">
        <f t="shared" ca="1" si="4"/>
        <v>1.009621936681343</v>
      </c>
      <c r="E96" s="450">
        <f t="shared" ca="1" si="5"/>
        <v>3.6462075845089398E-2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1.0004030753968254</v>
      </c>
      <c r="D97" s="454">
        <f t="shared" ca="1" si="4"/>
        <v>1.0100288904441144</v>
      </c>
      <c r="E97" s="450">
        <f t="shared" ca="1" si="5"/>
        <v>3.7608339165428883E-2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1.0100288904441144</v>
      </c>
      <c r="E98" s="450">
        <f t="shared" ca="1" si="5"/>
        <v>3.7220624328671882E-2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1.0100288904441144</v>
      </c>
      <c r="E99" s="450">
        <f t="shared" ca="1" si="5"/>
        <v>3.6840822039603802E-2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1.0100288904441144</v>
      </c>
      <c r="E100" s="450">
        <f t="shared" ca="1" si="5"/>
        <v>3.646869252405225E-2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1.0001007688492063</v>
      </c>
      <c r="D101" s="454">
        <f t="shared" ca="1" si="4"/>
        <v>1.0101306698930694</v>
      </c>
      <c r="E101" s="450">
        <f t="shared" ca="1" si="5"/>
        <v>3.6470411615049957E-2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1.0001007688492063</v>
      </c>
      <c r="D102" s="454">
        <f t="shared" ca="1" si="4"/>
        <v>1.0102324595982226</v>
      </c>
      <c r="E102" s="450">
        <f t="shared" ca="1" si="5"/>
        <v>3.6472133221387516E-2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1.0001007688492063</v>
      </c>
      <c r="D103" s="454">
        <f t="shared" ca="1" si="4"/>
        <v>1.0103342595606071</v>
      </c>
      <c r="E103" s="450">
        <f t="shared" ca="1" si="5"/>
        <v>3.6473857272730843E-2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1.0003023065476191</v>
      </c>
      <c r="D104" s="454">
        <f t="shared" ca="1" si="4"/>
        <v>1.0106396902225561</v>
      </c>
      <c r="E104" s="450">
        <f t="shared" ca="1" si="5"/>
        <v>3.7187266797283333E-2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1.0106396902225561</v>
      </c>
      <c r="E105" s="450">
        <f t="shared" ca="1" si="5"/>
        <v>3.6829696924232533E-2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1.0106396902225561</v>
      </c>
      <c r="E106" s="450">
        <f t="shared" ca="1" si="5"/>
        <v>3.6478937905906506E-2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1.0001007688492063</v>
      </c>
      <c r="D107" s="454">
        <f t="shared" ca="1" si="4"/>
        <v>1.0107415312211019</v>
      </c>
      <c r="E107" s="450">
        <f t="shared" ca="1" si="5"/>
        <v>3.6480672071666782E-2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1.0001007688492063</v>
      </c>
      <c r="D108" s="454">
        <f t="shared" ca="1" si="4"/>
        <v>1.010843382482048</v>
      </c>
      <c r="E108" s="450">
        <f t="shared" ca="1" si="5"/>
        <v>3.64824083508156E-2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1.0001007688492063</v>
      </c>
      <c r="D109" s="454">
        <f t="shared" ca="1" si="4"/>
        <v>1.0109452440064284</v>
      </c>
      <c r="E109" s="450">
        <f t="shared" ca="1" si="5"/>
        <v>3.6484146688094597E-2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1.0001046676587302</v>
      </c>
      <c r="D110" s="454">
        <f t="shared" ca="1" si="4"/>
        <v>1.011051057278223</v>
      </c>
      <c r="E110" s="450">
        <f t="shared" ca="1" si="5"/>
        <v>3.6498904772112581E-2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1.0003140029761906</v>
      </c>
      <c r="D111" s="454">
        <f t="shared" ca="1" si="4"/>
        <v>1.011368530319289</v>
      </c>
      <c r="E111" s="450">
        <f t="shared" ca="1" si="5"/>
        <v>3.7206099226763906E-2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1.011368530319289</v>
      </c>
      <c r="E112" s="450">
        <f t="shared" ca="1" si="5"/>
        <v>3.6870909143639906E-2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1.011368530319289</v>
      </c>
      <c r="E113" s="450">
        <f t="shared" ca="1" si="5"/>
        <v>3.6541704597714553E-2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1.0001046676587302</v>
      </c>
      <c r="D114" s="454">
        <f t="shared" ca="1" si="4"/>
        <v>1.0114743878954708</v>
      </c>
      <c r="E114" s="450">
        <f t="shared" ca="1" si="5"/>
        <v>3.6555572056367273E-2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1.0001046676587302</v>
      </c>
      <c r="D115" s="454">
        <f t="shared" ca="1" si="4"/>
        <v>1.0115802565515175</v>
      </c>
      <c r="E115" s="450">
        <f t="shared" ca="1" si="5"/>
        <v>3.6569231215318451E-2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1.0001046676587302</v>
      </c>
      <c r="D116" s="454">
        <f t="shared" ca="1" si="4"/>
        <v>1.0116861362885885</v>
      </c>
      <c r="E116" s="450">
        <f t="shared" ca="1" si="5"/>
        <v>3.6582687512103133E-2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1.0001046676587302</v>
      </c>
      <c r="D117" s="454">
        <f t="shared" ca="1" si="4"/>
        <v>1.0117920271078436</v>
      </c>
      <c r="E117" s="450">
        <f t="shared" ca="1" si="5"/>
        <v>3.6595946196755845E-2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1.0003140029761906</v>
      </c>
      <c r="D118" s="454">
        <f t="shared" ca="1" si="4"/>
        <v>1.0121097328156412</v>
      </c>
      <c r="E118" s="450">
        <f t="shared" ca="1" si="5"/>
        <v>3.7260716355819096E-2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1.0121097328156412</v>
      </c>
      <c r="E119" s="450">
        <f t="shared" ca="1" si="5"/>
        <v>3.6944947573142657E-2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1.0121097328156412</v>
      </c>
      <c r="E120" s="450">
        <f t="shared" ca="1" si="5"/>
        <v>3.663448582883054E-2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1.0001046676587302</v>
      </c>
      <c r="D121" s="454">
        <f t="shared" ca="1" si="4"/>
        <v>1.0122156679717531</v>
      </c>
      <c r="E121" s="450">
        <f t="shared" ca="1" si="5"/>
        <v>3.6647003915259324E-2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1.0001046676587302</v>
      </c>
      <c r="D122" s="454">
        <f t="shared" ca="1" si="4"/>
        <v>1.0123216142158498</v>
      </c>
      <c r="E122" s="450">
        <f t="shared" ca="1" si="5"/>
        <v>3.665934808021417E-2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1.0001046676587302</v>
      </c>
      <c r="D123" s="454">
        <f t="shared" ca="1" si="4"/>
        <v>1.0124275715490918</v>
      </c>
      <c r="E123" s="450">
        <f t="shared" ca="1" si="5"/>
        <v>3.6671522603877439E-2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1.0001046676587302</v>
      </c>
      <c r="D124" s="454">
        <f t="shared" ca="1" si="4"/>
        <v>1.0125335399726396</v>
      </c>
      <c r="E124" s="450">
        <f t="shared" ca="1" si="5"/>
        <v>3.6683531627237906E-2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1.0003140029761906</v>
      </c>
      <c r="D125" s="454">
        <f t="shared" ca="1" si="4"/>
        <v>1.0128514785176839</v>
      </c>
      <c r="E125" s="450">
        <f t="shared" ca="1" si="5"/>
        <v>3.7310744083598323E-2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1.0128514785176839</v>
      </c>
      <c r="E126" s="450">
        <f t="shared" ca="1" si="5"/>
        <v>3.7012258130929537E-2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1.0128514785176839</v>
      </c>
      <c r="E127" s="450">
        <f t="shared" ca="1" si="5"/>
        <v>3.6718510050525337E-2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1.0001046676587302</v>
      </c>
      <c r="D128" s="454">
        <f t="shared" ca="1" si="4"/>
        <v>1.0129574913105817</v>
      </c>
      <c r="E128" s="450">
        <f t="shared" ca="1" si="5"/>
        <v>3.6729896628420453E-2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1.0001046676587302</v>
      </c>
      <c r="D129" s="454">
        <f t="shared" ca="1" si="4"/>
        <v>1.0130635151995904</v>
      </c>
      <c r="E129" s="450">
        <f t="shared" ca="1" si="5"/>
        <v>3.6741136498847915E-2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1.0001046676587302</v>
      </c>
      <c r="D130" s="454">
        <f t="shared" ca="1" si="4"/>
        <v>1.0131695501858713</v>
      </c>
      <c r="E130" s="450">
        <f t="shared" ca="1" si="5"/>
        <v>3.6752233076850119E-2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1.0001046676587302</v>
      </c>
      <c r="D131" s="454">
        <f t="shared" ca="1" si="4"/>
        <v>1.0132755962705859</v>
      </c>
      <c r="E131" s="450">
        <f t="shared" ca="1" si="5"/>
        <v>3.6763189672391845E-2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1.0004186706349207</v>
      </c>
      <c r="D132" s="454">
        <f t="shared" ref="D132:D195" ca="1" si="7">D131*C132</f>
        <v>1.0136998250078262</v>
      </c>
      <c r="E132" s="450">
        <f t="shared" ref="E132:E195" ca="1" si="8">(D132/1-1)*360/(B132-A$2)</f>
        <v>3.7648374067308595E-2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1.0136998250078262</v>
      </c>
      <c r="E133" s="450">
        <f t="shared" ca="1" si="8"/>
        <v>3.7363159112253228E-2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1.0136998250078262</v>
      </c>
      <c r="E134" s="450">
        <f t="shared" ca="1" si="8"/>
        <v>3.7082233103890423E-2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1.0136998250078262</v>
      </c>
      <c r="E135" s="450">
        <f t="shared" ca="1" si="8"/>
        <v>3.6805500021025568E-2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1.0001046676587302</v>
      </c>
      <c r="D136" s="454">
        <f t="shared" ca="1" si="7"/>
        <v>1.0138059265951649</v>
      </c>
      <c r="E136" s="450">
        <f t="shared" ca="1" si="8"/>
        <v>3.6815804253773031E-2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1.0001046676587302</v>
      </c>
      <c r="D137" s="454">
        <f t="shared" ca="1" si="7"/>
        <v>1.0139120392879084</v>
      </c>
      <c r="E137" s="450">
        <f t="shared" ca="1" si="8"/>
        <v>3.6825986350345785E-2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1.0001046676587302</v>
      </c>
      <c r="D138" s="454">
        <f t="shared" ca="1" si="7"/>
        <v>1.0140181630872189</v>
      </c>
      <c r="E138" s="450">
        <f t="shared" ca="1" si="8"/>
        <v>3.6836048988312511E-2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1.0003140029761906</v>
      </c>
      <c r="D139" s="454">
        <f t="shared" ca="1" si="7"/>
        <v>1.0143365678083396</v>
      </c>
      <c r="E139" s="450">
        <f t="shared" ca="1" si="8"/>
        <v>3.7399742108711956E-2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1.0143365678083396</v>
      </c>
      <c r="E140" s="450">
        <f t="shared" ca="1" si="8"/>
        <v>3.713067921584353E-2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1.0143365678083396</v>
      </c>
      <c r="E141" s="450">
        <f t="shared" ca="1" si="8"/>
        <v>3.68654600785875E-2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1.0001046676587302</v>
      </c>
      <c r="D142" s="454">
        <f t="shared" ca="1" si="7"/>
        <v>1.0144427360420565</v>
      </c>
      <c r="E142" s="450">
        <f t="shared" ca="1" si="8"/>
        <v>3.6875070745676121E-2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1.0001046676587302</v>
      </c>
      <c r="D143" s="454">
        <f t="shared" ca="1" si="7"/>
        <v>1.0145489153881539</v>
      </c>
      <c r="E143" s="450">
        <f t="shared" ca="1" si="8"/>
        <v>3.6884574223488883E-2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1.0001046676587302</v>
      </c>
      <c r="D144" s="454">
        <f t="shared" ca="1" si="7"/>
        <v>1.0146551058477948</v>
      </c>
      <c r="E144" s="450">
        <f t="shared" ca="1" si="8"/>
        <v>3.6893972763679304E-2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1.0001046676587302</v>
      </c>
      <c r="D145" s="454">
        <f t="shared" ca="1" si="7"/>
        <v>1.0147613074221427</v>
      </c>
      <c r="E145" s="450">
        <f t="shared" ca="1" si="8"/>
        <v>3.6903268555356639E-2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1.0003140029761906</v>
      </c>
      <c r="D146" s="454">
        <f t="shared" ca="1" si="7"/>
        <v>1.0150799454927961</v>
      </c>
      <c r="E146" s="450">
        <f t="shared" ca="1" si="8"/>
        <v>3.7439864671769678E-2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1.0150799454927961</v>
      </c>
      <c r="E147" s="450">
        <f t="shared" ca="1" si="8"/>
        <v>3.7183427242510982E-2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1.0150799454927961</v>
      </c>
      <c r="E148" s="450">
        <f t="shared" ca="1" si="8"/>
        <v>3.6930478757868049E-2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1.0001046676587302</v>
      </c>
      <c r="D149" s="454">
        <f t="shared" ca="1" si="7"/>
        <v>1.0151861915341147</v>
      </c>
      <c r="E149" s="450">
        <f t="shared" ca="1" si="8"/>
        <v>3.6939384812711459E-2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1.0001046676587302</v>
      </c>
      <c r="D150" s="454">
        <f t="shared" ca="1" si="7"/>
        <v>1.0152924486959578</v>
      </c>
      <c r="E150" s="450">
        <f t="shared" ca="1" si="8"/>
        <v>3.6948198191575903E-2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1.0001046676587302</v>
      </c>
      <c r="D151" s="454">
        <f t="shared" ca="1" si="7"/>
        <v>1.0153987169794894</v>
      </c>
      <c r="E151" s="450">
        <f t="shared" ca="1" si="8"/>
        <v>3.6956920750774461E-2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1.0001066666666667</v>
      </c>
      <c r="D152" s="454">
        <f t="shared" ca="1" si="7"/>
        <v>1.0155070261759671</v>
      </c>
      <c r="E152" s="450">
        <f t="shared" ca="1" si="8"/>
        <v>3.6970393532107015E-2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1.0003200000000001</v>
      </c>
      <c r="D153" s="454">
        <f t="shared" ca="1" si="7"/>
        <v>1.0158319884243434</v>
      </c>
      <c r="E153" s="450">
        <f t="shared" ca="1" si="8"/>
        <v>3.7496814689234402E-2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1.0158319884243434</v>
      </c>
      <c r="E154" s="450">
        <f t="shared" ca="1" si="8"/>
        <v>3.7251737469043325E-2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1.0158319884243434</v>
      </c>
      <c r="E155" s="450">
        <f t="shared" ca="1" si="8"/>
        <v>3.7009843069893696E-2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1.0001066666666667</v>
      </c>
      <c r="D156" s="454">
        <f t="shared" ca="1" si="7"/>
        <v>1.0159403438364421</v>
      </c>
      <c r="E156" s="450">
        <f t="shared" ca="1" si="8"/>
        <v>3.7022734071736375E-2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1.0001066666666667</v>
      </c>
      <c r="D157" s="454">
        <f t="shared" ca="1" si="7"/>
        <v>1.0160487108064513</v>
      </c>
      <c r="E157" s="450">
        <f t="shared" ca="1" si="8"/>
        <v>3.7035486476426113E-2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1.0001066666666667</v>
      </c>
      <c r="D158" s="454">
        <f t="shared" ca="1" si="7"/>
        <v>1.016157089335604</v>
      </c>
      <c r="E158" s="450">
        <f t="shared" ca="1" si="8"/>
        <v>3.7048102935142935E-2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1.0001066666666667</v>
      </c>
      <c r="D159" s="454">
        <f t="shared" ca="1" si="7"/>
        <v>1.0162654794251331</v>
      </c>
      <c r="E159" s="450">
        <f t="shared" ca="1" si="8"/>
        <v>3.7060586031948888E-2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1.0003200000000001</v>
      </c>
      <c r="D160" s="454">
        <f t="shared" ca="1" si="7"/>
        <v>1.0165906843785493</v>
      </c>
      <c r="E160" s="450">
        <f t="shared" ca="1" si="8"/>
        <v>3.7563813687281365E-2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1.0165906843785493</v>
      </c>
      <c r="E161" s="450">
        <f t="shared" ca="1" si="8"/>
        <v>3.7329039851735857E-2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1.0165906843785493</v>
      </c>
      <c r="E162" s="450">
        <f t="shared" ca="1" si="8"/>
        <v>3.7097182461352407E-2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1.0001066666666667</v>
      </c>
      <c r="D163" s="454">
        <f t="shared" ca="1" si="7"/>
        <v>1.0166991207182163</v>
      </c>
      <c r="E163" s="450">
        <f t="shared" ca="1" si="8"/>
        <v>3.7109157151591847E-2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1.0002133333333334</v>
      </c>
      <c r="D164" s="454">
        <f t="shared" ca="1" si="7"/>
        <v>1.0169160165306363</v>
      </c>
      <c r="E164" s="450">
        <f t="shared" ca="1" si="8"/>
        <v>3.7360527306926898E-2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1.0169160165306363</v>
      </c>
      <c r="E165" s="450">
        <f t="shared" ca="1" si="8"/>
        <v>3.7132719213591979E-2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1.0001066666666667</v>
      </c>
      <c r="D166" s="454">
        <f t="shared" ca="1" si="7"/>
        <v>1.0170244875723997</v>
      </c>
      <c r="E166" s="450">
        <f t="shared" ca="1" si="8"/>
        <v>3.7144336521599382E-2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1.0003200000000001</v>
      </c>
      <c r="D167" s="454">
        <f t="shared" ca="1" si="7"/>
        <v>1.017349935408423</v>
      </c>
      <c r="E167" s="450">
        <f t="shared" ca="1" si="8"/>
        <v>3.762636594597759E-2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1.017349935408423</v>
      </c>
      <c r="E168" s="450">
        <f t="shared" ca="1" si="8"/>
        <v>3.7401058365462758E-2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1.017349935408423</v>
      </c>
      <c r="E169" s="450">
        <f t="shared" ca="1" si="8"/>
        <v>3.7178433018049288E-2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1.0001066666666667</v>
      </c>
      <c r="D170" s="454">
        <f t="shared" ca="1" si="7"/>
        <v>1.0174584527348667</v>
      </c>
      <c r="E170" s="450">
        <f t="shared" ca="1" si="8"/>
        <v>3.7189603458887603E-2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1.0001066666666667</v>
      </c>
      <c r="D171" s="454">
        <f t="shared" ca="1" si="7"/>
        <v>1.0175669816364918</v>
      </c>
      <c r="E171" s="450">
        <f t="shared" ca="1" si="8"/>
        <v>3.72006669949239E-2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1.0001066666666667</v>
      </c>
      <c r="D172" s="454">
        <f t="shared" ca="1" si="7"/>
        <v>1.017675522114533</v>
      </c>
      <c r="E172" s="450">
        <f t="shared" ca="1" si="8"/>
        <v>3.7211625504280102E-2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1.0001066666666667</v>
      </c>
      <c r="D173" s="454">
        <f t="shared" ca="1" si="7"/>
        <v>1.0177840741702253</v>
      </c>
      <c r="E173" s="450">
        <f t="shared" ca="1" si="8"/>
        <v>3.7222480821401824E-2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1.0003200000000001</v>
      </c>
      <c r="D174" s="454">
        <f t="shared" ca="1" si="7"/>
        <v>1.0181097650739599</v>
      </c>
      <c r="E174" s="450">
        <f t="shared" ca="1" si="8"/>
        <v>3.7685060269511919E-2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1.0181097650739599</v>
      </c>
      <c r="E175" s="450">
        <f t="shared" ca="1" si="8"/>
        <v>3.7468479463365297E-2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1.0181097650739599</v>
      </c>
      <c r="E176" s="450">
        <f t="shared" ca="1" si="8"/>
        <v>3.7254373866431781E-2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1.0001066666666667</v>
      </c>
      <c r="D177" s="454">
        <f t="shared" ca="1" si="7"/>
        <v>1.018218363448901</v>
      </c>
      <c r="E177" s="450">
        <f t="shared" ca="1" si="8"/>
        <v>3.7264834327297588E-2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1.0001066666666667</v>
      </c>
      <c r="D178" s="454">
        <f t="shared" ca="1" si="7"/>
        <v>1.018326973407669</v>
      </c>
      <c r="E178" s="450">
        <f t="shared" ca="1" si="8"/>
        <v>3.7275200151191144E-2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1.0002133333333334</v>
      </c>
      <c r="D179" s="454">
        <f t="shared" ca="1" si="7"/>
        <v>1.0185442164953293</v>
      </c>
      <c r="E179" s="450">
        <f t="shared" ca="1" si="8"/>
        <v>3.7505156956845843E-2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1.0185442164953293</v>
      </c>
      <c r="E180" s="450">
        <f ca="1">(D180/1-1)*360/(B180-A$2)</f>
        <v>3.7295630940327153E-2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1.0003200000000001</v>
      </c>
      <c r="D181" s="454">
        <f t="shared" ca="1" si="7"/>
        <v>1.0188701506446078</v>
      </c>
      <c r="E181" s="450">
        <f t="shared" ca="1" si="8"/>
        <v>3.7740301289215683E-2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1.0188701506446078</v>
      </c>
      <c r="E182" s="450">
        <f t="shared" ca="1" si="8"/>
        <v>3.7531791337341566E-2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1.0188701506446078</v>
      </c>
      <c r="E183" s="450">
        <f t="shared" ca="1" si="8"/>
        <v>3.7325572703619907E-2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1.0001066666666667</v>
      </c>
      <c r="D184" s="454">
        <f t="shared" ca="1" si="7"/>
        <v>1.0189788301273432</v>
      </c>
      <c r="E184" s="450">
        <f t="shared" ca="1" si="8"/>
        <v>3.7335403529199833E-2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1.0001066666666667</v>
      </c>
      <c r="D185" s="454">
        <f t="shared" ca="1" si="7"/>
        <v>1.019087521202557</v>
      </c>
      <c r="E185" s="450">
        <f t="shared" ca="1" si="8"/>
        <v>3.7345150178915806E-2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1.0001066666666667</v>
      </c>
      <c r="D186" s="454">
        <f t="shared" ca="1" si="7"/>
        <v>1.0191962238714853</v>
      </c>
      <c r="E186" s="450">
        <f t="shared" ca="1" si="8"/>
        <v>3.7354814020187692E-2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1.0001066666666667</v>
      </c>
      <c r="D187" s="454">
        <f t="shared" ca="1" si="7"/>
        <v>1.0193049381353649</v>
      </c>
      <c r="E187" s="450">
        <f t="shared" ca="1" si="8"/>
        <v>3.7364396391028905E-2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1.0003200000000001</v>
      </c>
      <c r="D188" s="454">
        <f t="shared" ca="1" si="7"/>
        <v>1.0196311157155684</v>
      </c>
      <c r="E188" s="450">
        <f t="shared" ca="1" si="8"/>
        <v>3.7792522233179839E-2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1.0196311157155684</v>
      </c>
      <c r="E189" s="450">
        <f t="shared" ca="1" si="8"/>
        <v>3.7591498178748031E-2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1.0196311157155684</v>
      </c>
      <c r="E190" s="450">
        <f t="shared" ca="1" si="8"/>
        <v>3.7392601362987457E-2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1.0001066666666667</v>
      </c>
      <c r="D191" s="454">
        <f t="shared" ca="1" si="7"/>
        <v>1.0197398763679115</v>
      </c>
      <c r="E191" s="450">
        <f t="shared" ca="1" si="8"/>
        <v>3.7401871012884995E-2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1.0001066666666667</v>
      </c>
      <c r="D192" s="454">
        <f t="shared" ca="1" si="7"/>
        <v>1.0198486486213909</v>
      </c>
      <c r="E192" s="450">
        <f t="shared" ca="1" si="8"/>
        <v>3.7411065464401712E-2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1.0001066666666667</v>
      </c>
      <c r="D193" s="454">
        <f t="shared" ca="1" si="7"/>
        <v>1.0199574324772438</v>
      </c>
      <c r="E193" s="450">
        <f t="shared" ca="1" si="8"/>
        <v>3.742018589483212E-2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1.0001109722222221</v>
      </c>
      <c r="D194" s="454">
        <f t="shared" ca="1" si="7"/>
        <v>1.0200706194200977</v>
      </c>
      <c r="E194" s="450">
        <f t="shared" ca="1" si="8"/>
        <v>3.743742482505269E-2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1.0003329166666666</v>
      </c>
      <c r="D195" s="454">
        <f t="shared" ca="1" si="7"/>
        <v>1.0204102179304795</v>
      </c>
      <c r="E195" s="450">
        <f t="shared" ca="1" si="8"/>
        <v>3.7874631211199036E-2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1.0204102179304795</v>
      </c>
      <c r="E196" s="450">
        <f t="shared" ref="E196:E216" ca="1" si="11">(D196/1-1)*360/(B196-A$2)</f>
        <v>3.7680402333192885E-2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1.0204102179304795</v>
      </c>
      <c r="E197" s="450">
        <f t="shared" ca="1" si="11"/>
        <v>3.7488155382513329E-2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1.0001109722222221</v>
      </c>
      <c r="D198" s="454">
        <f t="shared" ca="1" si="10"/>
        <v>1.0205234551199414</v>
      </c>
      <c r="E198" s="450">
        <f t="shared" ca="1" si="11"/>
        <v>3.7504791082126343E-2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1.0001109722222221</v>
      </c>
      <c r="D199" s="454">
        <f t="shared" ca="1" si="10"/>
        <v>1.0206367048755858</v>
      </c>
      <c r="E199" s="450">
        <f t="shared" ca="1" si="11"/>
        <v>3.752128159197414E-2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1.0001109722222221</v>
      </c>
      <c r="D200" s="454">
        <f t="shared" ca="1" si="10"/>
        <v>1.0207499671988072</v>
      </c>
      <c r="E200" s="450">
        <f t="shared" ca="1" si="11"/>
        <v>3.753762910336976E-2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1.0001109722222221</v>
      </c>
      <c r="D201" s="454">
        <f t="shared" ca="1" si="10"/>
        <v>1.0208632420910004</v>
      </c>
      <c r="E201" s="450">
        <f t="shared" ca="1" si="11"/>
        <v>3.755383576380078E-2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1.0003329166666666</v>
      </c>
      <c r="D202" s="454">
        <f t="shared" ca="1" si="10"/>
        <v>1.0212031044786798</v>
      </c>
      <c r="E202" s="450">
        <f t="shared" ca="1" si="11"/>
        <v>3.7975709514053359E-2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1.0212031044786798</v>
      </c>
      <c r="E203" s="450">
        <f t="shared" ca="1" si="11"/>
        <v>3.77877109521026E-2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1.0212031044786798</v>
      </c>
      <c r="E204" s="450">
        <f t="shared" ca="1" si="11"/>
        <v>3.7601564592732631E-2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1.0001109722222221</v>
      </c>
      <c r="D205" s="454">
        <f t="shared" ca="1" si="10"/>
        <v>1.0213164296565238</v>
      </c>
      <c r="E205" s="450">
        <f t="shared" ca="1" si="11"/>
        <v>3.7617228805630246E-2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1.0001109722222221</v>
      </c>
      <c r="D206" s="454">
        <f t="shared" ca="1" si="10"/>
        <v>1.0214297674103148</v>
      </c>
      <c r="E206" s="450">
        <f t="shared" ca="1" si="11"/>
        <v>3.7632762281528377E-2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1.0001109722222221</v>
      </c>
      <c r="D207" s="454">
        <f t="shared" ca="1" si="10"/>
        <v>1.021543117741448</v>
      </c>
      <c r="E207" s="450">
        <f t="shared" ca="1" si="11"/>
        <v>3.7648166926802354E-2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1.0004438888888889</v>
      </c>
      <c r="D208" s="454">
        <f t="shared" ca="1" si="10"/>
        <v>1.0219965693809343</v>
      </c>
      <c r="E208" s="450">
        <f t="shared" ca="1" si="11"/>
        <v>3.8254903271190098E-2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1.0219965693809343</v>
      </c>
      <c r="E209" s="450">
        <f t="shared" ca="1" si="11"/>
        <v>3.8070985467001682E-2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1.0219965693809343</v>
      </c>
      <c r="E210" s="450">
        <f t="shared" ca="1" si="11"/>
        <v>3.7888827641800717E-2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1.0219965693809343</v>
      </c>
      <c r="E211" s="450">
        <f t="shared" ca="1" si="11"/>
        <v>3.7708404653030235E-2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1.0001109722222221</v>
      </c>
      <c r="D212" s="454">
        <f t="shared" ca="1" si="10"/>
        <v>1.0221099826113418</v>
      </c>
      <c r="E212" s="450">
        <f t="shared" ca="1" si="11"/>
        <v>3.7723193080962281E-2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1.0001109722222221</v>
      </c>
      <c r="D213" s="454">
        <f t="shared" ca="1" si="10"/>
        <v>1.0222234084274675</v>
      </c>
      <c r="E213" s="450">
        <f t="shared" ca="1" si="11"/>
        <v>3.773786336739765E-2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1.0001109722222221</v>
      </c>
      <c r="D214" s="454">
        <f t="shared" ca="1" si="10"/>
        <v>1.0223368468307081</v>
      </c>
      <c r="E214" s="450">
        <f t="shared" ca="1" si="11"/>
        <v>3.7752417178661637E-2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1.0004438888888889</v>
      </c>
      <c r="D215" s="454">
        <f t="shared" ca="1" si="10"/>
        <v>1.022790650797718</v>
      </c>
      <c r="E215" s="450">
        <f t="shared" ca="1" si="11"/>
        <v>3.8339412556908828E-2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1.022790650797718</v>
      </c>
      <c r="E216" s="450">
        <f t="shared" ca="1" si="11"/>
        <v>3.8161089707806926E-2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2026-09-03T13:17:55Z</dcterms:modified>
</cp:coreProperties>
</file>