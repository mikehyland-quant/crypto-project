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353A0FFB-27EA-47B2-95CC-1962215C6225}" xr6:coauthVersionLast="47" xr6:coauthVersionMax="47" xr10:uidLastSave="{00000000-0000-0000-0000-000000000000}"/>
  <bookViews>
    <workbookView xWindow="34980" yWindow="0" windowWidth="22725" windowHeight="15585" activeTab="1" xr2:uid="{CBFAC917-4B7A-4C86-90F2-9D0CAA882AFE}"/>
  </bookViews>
  <sheets>
    <sheet name="ETF_2026-06-22" sheetId="1" r:id="rId1"/>
    <sheet name="Sheet1" sheetId="2" r:id="rId2"/>
  </sheets>
  <calcPr calcId="0"/>
  <pivotCaches>
    <pivotCache cacheId="27" r:id="rId3"/>
  </pivotCaches>
</workbook>
</file>

<file path=xl/calcChain.xml><?xml version="1.0" encoding="utf-8"?>
<calcChain xmlns="http://schemas.openxmlformats.org/spreadsheetml/2006/main">
  <c r="E15" i="1" l="1"/>
  <c r="M4" i="2"/>
  <c r="M5" i="2"/>
  <c r="M6" i="2"/>
  <c r="M7" i="2"/>
  <c r="M8" i="2"/>
  <c r="M9" i="2"/>
  <c r="M10" i="2"/>
  <c r="M11" i="2"/>
  <c r="M12" i="2"/>
  <c r="M3" i="2"/>
  <c r="F11" i="1"/>
  <c r="F10" i="1"/>
  <c r="F9" i="1"/>
  <c r="F8" i="1"/>
  <c r="F7" i="1"/>
  <c r="F6" i="1"/>
  <c r="F5" i="1"/>
  <c r="F4" i="1"/>
  <c r="F3" i="1"/>
  <c r="F2" i="1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21" i="1"/>
  <c r="E20" i="1"/>
  <c r="E19" i="1"/>
  <c r="E18" i="1"/>
  <c r="E17" i="1"/>
  <c r="E16" i="1"/>
  <c r="E14" i="1"/>
  <c r="E13" i="1"/>
  <c r="E12" i="1"/>
  <c r="D29" i="2" l="1"/>
  <c r="N9" i="2"/>
  <c r="O9" i="2" s="1"/>
  <c r="N8" i="2"/>
  <c r="O8" i="2" s="1"/>
  <c r="N10" i="2"/>
  <c r="O10" i="2" s="1"/>
  <c r="N7" i="2"/>
  <c r="O7" i="2" s="1"/>
  <c r="N6" i="2"/>
  <c r="O6" i="2" s="1"/>
  <c r="N12" i="2"/>
  <c r="O12" i="2" s="1"/>
  <c r="N11" i="2"/>
  <c r="O11" i="2" s="1"/>
  <c r="N5" i="2"/>
  <c r="O5" i="2" s="1"/>
  <c r="N4" i="2"/>
  <c r="O4" i="2" s="1"/>
  <c r="N3" i="2"/>
  <c r="O3" i="2" s="1"/>
  <c r="E26" i="1"/>
  <c r="E22" i="1"/>
  <c r="F15" i="1"/>
  <c r="F25" i="1" s="1"/>
  <c r="G9" i="1"/>
  <c r="G8" i="1"/>
  <c r="E31" i="1"/>
  <c r="F19" i="1"/>
  <c r="F29" i="1" s="1"/>
  <c r="F39" i="1" s="1"/>
  <c r="F49" i="1" s="1"/>
  <c r="F17" i="1"/>
  <c r="F27" i="1" s="1"/>
  <c r="F37" i="1" s="1"/>
  <c r="F16" i="1"/>
  <c r="F26" i="1" s="1"/>
  <c r="F36" i="1" s="1"/>
  <c r="F46" i="1" s="1"/>
  <c r="F56" i="1" s="1"/>
  <c r="G11" i="1"/>
  <c r="G3" i="1"/>
  <c r="E24" i="1"/>
  <c r="F20" i="1"/>
  <c r="F30" i="1" s="1"/>
  <c r="F40" i="1" s="1"/>
  <c r="G15" i="1"/>
  <c r="F14" i="1"/>
  <c r="F24" i="1" s="1"/>
  <c r="F34" i="1" s="1"/>
  <c r="F44" i="1" s="1"/>
  <c r="F54" i="1" s="1"/>
  <c r="F13" i="1"/>
  <c r="F23" i="1" s="1"/>
  <c r="F33" i="1" s="1"/>
  <c r="F43" i="1" s="1"/>
  <c r="F53" i="1" s="1"/>
  <c r="F63" i="1" s="1"/>
  <c r="F73" i="1" s="1"/>
  <c r="F83" i="1" s="1"/>
  <c r="G10" i="1"/>
  <c r="G5" i="1"/>
  <c r="G4" i="1"/>
  <c r="F35" i="1"/>
  <c r="F45" i="1" s="1"/>
  <c r="F55" i="1" s="1"/>
  <c r="F65" i="1" s="1"/>
  <c r="F75" i="1" s="1"/>
  <c r="F85" i="1" s="1"/>
  <c r="F95" i="1" s="1"/>
  <c r="F105" i="1" s="1"/>
  <c r="F115" i="1" s="1"/>
  <c r="F125" i="1" s="1"/>
  <c r="F135" i="1" s="1"/>
  <c r="F145" i="1" s="1"/>
  <c r="F155" i="1" s="1"/>
  <c r="F165" i="1" s="1"/>
  <c r="E30" i="1"/>
  <c r="E28" i="1"/>
  <c r="E25" i="1"/>
  <c r="F21" i="1"/>
  <c r="F31" i="1" s="1"/>
  <c r="F41" i="1" s="1"/>
  <c r="F51" i="1" s="1"/>
  <c r="F61" i="1" s="1"/>
  <c r="F71" i="1" s="1"/>
  <c r="F81" i="1" s="1"/>
  <c r="F91" i="1" s="1"/>
  <c r="F101" i="1" s="1"/>
  <c r="F111" i="1" s="1"/>
  <c r="G19" i="1"/>
  <c r="F18" i="1"/>
  <c r="F28" i="1" s="1"/>
  <c r="F38" i="1" s="1"/>
  <c r="F48" i="1" s="1"/>
  <c r="G17" i="1"/>
  <c r="G14" i="1"/>
  <c r="G13" i="1"/>
  <c r="F12" i="1"/>
  <c r="F22" i="1" s="1"/>
  <c r="F32" i="1" s="1"/>
  <c r="F42" i="1" s="1"/>
  <c r="F52" i="1" s="1"/>
  <c r="F62" i="1" s="1"/>
  <c r="F72" i="1" s="1"/>
  <c r="F82" i="1" s="1"/>
  <c r="F92" i="1" s="1"/>
  <c r="F102" i="1" s="1"/>
  <c r="F112" i="1" s="1"/>
  <c r="F122" i="1" s="1"/>
  <c r="F132" i="1" s="1"/>
  <c r="F142" i="1" s="1"/>
  <c r="F152" i="1" s="1"/>
  <c r="F162" i="1" s="1"/>
  <c r="F172" i="1" s="1"/>
  <c r="F182" i="1" s="1"/>
  <c r="F192" i="1" s="1"/>
  <c r="F202" i="1" s="1"/>
  <c r="F212" i="1" s="1"/>
  <c r="F222" i="1" s="1"/>
  <c r="F232" i="1" s="1"/>
  <c r="F242" i="1" s="1"/>
  <c r="F252" i="1" s="1"/>
  <c r="F262" i="1" s="1"/>
  <c r="F66" i="1"/>
  <c r="F76" i="1" s="1"/>
  <c r="F86" i="1" s="1"/>
  <c r="F96" i="1" s="1"/>
  <c r="F106" i="1" s="1"/>
  <c r="F116" i="1" s="1"/>
  <c r="F126" i="1" s="1"/>
  <c r="F136" i="1" s="1"/>
  <c r="F146" i="1" s="1"/>
  <c r="F156" i="1" s="1"/>
  <c r="F166" i="1" s="1"/>
  <c r="F176" i="1" s="1"/>
  <c r="F186" i="1" s="1"/>
  <c r="F196" i="1" s="1"/>
  <c r="F206" i="1" s="1"/>
  <c r="F216" i="1" s="1"/>
  <c r="F226" i="1" s="1"/>
  <c r="F236" i="1" s="1"/>
  <c r="F246" i="1" s="1"/>
  <c r="F256" i="1" s="1"/>
  <c r="F266" i="1" s="1"/>
  <c r="F64" i="1"/>
  <c r="F74" i="1" s="1"/>
  <c r="F84" i="1" s="1"/>
  <c r="F94" i="1" s="1"/>
  <c r="F104" i="1" s="1"/>
  <c r="F114" i="1" s="1"/>
  <c r="F124" i="1" s="1"/>
  <c r="F134" i="1" s="1"/>
  <c r="F144" i="1" s="1"/>
  <c r="F154" i="1" s="1"/>
  <c r="F164" i="1" s="1"/>
  <c r="F174" i="1" s="1"/>
  <c r="F58" i="1"/>
  <c r="F68" i="1" s="1"/>
  <c r="F78" i="1" s="1"/>
  <c r="F88" i="1" s="1"/>
  <c r="F98" i="1" s="1"/>
  <c r="F108" i="1" s="1"/>
  <c r="F118" i="1" s="1"/>
  <c r="F128" i="1" s="1"/>
  <c r="F138" i="1" s="1"/>
  <c r="F148" i="1" s="1"/>
  <c r="F158" i="1" s="1"/>
  <c r="F168" i="1" s="1"/>
  <c r="F178" i="1" s="1"/>
  <c r="F188" i="1" s="1"/>
  <c r="F198" i="1" s="1"/>
  <c r="F208" i="1" s="1"/>
  <c r="F218" i="1" s="1"/>
  <c r="F228" i="1" s="1"/>
  <c r="F238" i="1" s="1"/>
  <c r="F248" i="1" s="1"/>
  <c r="F258" i="1" s="1"/>
  <c r="F268" i="1" s="1"/>
  <c r="E29" i="1"/>
  <c r="E27" i="1"/>
  <c r="E23" i="1"/>
  <c r="G7" i="1"/>
  <c r="G6" i="1"/>
  <c r="G2" i="1"/>
  <c r="F47" i="1" l="1"/>
  <c r="F57" i="1" s="1"/>
  <c r="F67" i="1" s="1"/>
  <c r="F77" i="1" s="1"/>
  <c r="F50" i="1"/>
  <c r="F60" i="1" s="1"/>
  <c r="F70" i="1" s="1"/>
  <c r="F80" i="1" s="1"/>
  <c r="F90" i="1" s="1"/>
  <c r="F100" i="1" s="1"/>
  <c r="F110" i="1" s="1"/>
  <c r="F120" i="1" s="1"/>
  <c r="F130" i="1" s="1"/>
  <c r="F140" i="1" s="1"/>
  <c r="F150" i="1" s="1"/>
  <c r="F160" i="1" s="1"/>
  <c r="F170" i="1" s="1"/>
  <c r="F180" i="1" s="1"/>
  <c r="F190" i="1" s="1"/>
  <c r="G12" i="1"/>
  <c r="F59" i="1"/>
  <c r="F69" i="1" s="1"/>
  <c r="F79" i="1" s="1"/>
  <c r="F89" i="1" s="1"/>
  <c r="F99" i="1" s="1"/>
  <c r="F109" i="1" s="1"/>
  <c r="F119" i="1" s="1"/>
  <c r="F184" i="1"/>
  <c r="F194" i="1" s="1"/>
  <c r="F204" i="1" s="1"/>
  <c r="F214" i="1" s="1"/>
  <c r="F224" i="1" s="1"/>
  <c r="F234" i="1" s="1"/>
  <c r="F244" i="1" s="1"/>
  <c r="F254" i="1" s="1"/>
  <c r="F264" i="1" s="1"/>
  <c r="F175" i="1"/>
  <c r="F185" i="1" s="1"/>
  <c r="F195" i="1" s="1"/>
  <c r="F205" i="1" s="1"/>
  <c r="F215" i="1" s="1"/>
  <c r="F225" i="1" s="1"/>
  <c r="F235" i="1" s="1"/>
  <c r="F245" i="1" s="1"/>
  <c r="F255" i="1" s="1"/>
  <c r="F265" i="1" s="1"/>
  <c r="F129" i="1"/>
  <c r="F139" i="1" s="1"/>
  <c r="F149" i="1" s="1"/>
  <c r="F159" i="1" s="1"/>
  <c r="F169" i="1" s="1"/>
  <c r="F179" i="1" s="1"/>
  <c r="F189" i="1" s="1"/>
  <c r="F199" i="1" s="1"/>
  <c r="F209" i="1" s="1"/>
  <c r="F219" i="1" s="1"/>
  <c r="F229" i="1" s="1"/>
  <c r="F239" i="1" s="1"/>
  <c r="F249" i="1" s="1"/>
  <c r="F259" i="1" s="1"/>
  <c r="F269" i="1" s="1"/>
  <c r="F121" i="1"/>
  <c r="F131" i="1" s="1"/>
  <c r="F141" i="1" s="1"/>
  <c r="F151" i="1" s="1"/>
  <c r="F161" i="1" s="1"/>
  <c r="F171" i="1" s="1"/>
  <c r="F181" i="1" s="1"/>
  <c r="F191" i="1" s="1"/>
  <c r="F201" i="1" s="1"/>
  <c r="F211" i="1" s="1"/>
  <c r="F221" i="1" s="1"/>
  <c r="F231" i="1" s="1"/>
  <c r="F241" i="1" s="1"/>
  <c r="F251" i="1" s="1"/>
  <c r="F261" i="1" s="1"/>
  <c r="F271" i="1" s="1"/>
  <c r="F87" i="1"/>
  <c r="F97" i="1" s="1"/>
  <c r="F107" i="1" s="1"/>
  <c r="F117" i="1" s="1"/>
  <c r="F127" i="1" s="1"/>
  <c r="F137" i="1" s="1"/>
  <c r="F147" i="1" s="1"/>
  <c r="F157" i="1" s="1"/>
  <c r="F167" i="1" s="1"/>
  <c r="F177" i="1" s="1"/>
  <c r="F187" i="1" s="1"/>
  <c r="F197" i="1" s="1"/>
  <c r="F207" i="1" s="1"/>
  <c r="F217" i="1" s="1"/>
  <c r="F227" i="1" s="1"/>
  <c r="F237" i="1" s="1"/>
  <c r="F247" i="1" s="1"/>
  <c r="F257" i="1" s="1"/>
  <c r="F267" i="1" s="1"/>
  <c r="G21" i="1"/>
  <c r="F200" i="1"/>
  <c r="F210" i="1" s="1"/>
  <c r="F220" i="1" s="1"/>
  <c r="F230" i="1" s="1"/>
  <c r="F240" i="1" s="1"/>
  <c r="F250" i="1" s="1"/>
  <c r="F260" i="1" s="1"/>
  <c r="F270" i="1" s="1"/>
  <c r="F93" i="1"/>
  <c r="F103" i="1" s="1"/>
  <c r="F113" i="1" s="1"/>
  <c r="F123" i="1" s="1"/>
  <c r="F133" i="1" s="1"/>
  <c r="F143" i="1" s="1"/>
  <c r="F153" i="1" s="1"/>
  <c r="F163" i="1" s="1"/>
  <c r="F173" i="1" s="1"/>
  <c r="F183" i="1" s="1"/>
  <c r="F193" i="1" s="1"/>
  <c r="F203" i="1" s="1"/>
  <c r="F213" i="1" s="1"/>
  <c r="F223" i="1" s="1"/>
  <c r="F233" i="1" s="1"/>
  <c r="F243" i="1" s="1"/>
  <c r="F253" i="1" s="1"/>
  <c r="F263" i="1" s="1"/>
  <c r="E36" i="1"/>
  <c r="G26" i="1"/>
  <c r="G22" i="1"/>
  <c r="E32" i="1"/>
  <c r="I9" i="1"/>
  <c r="H9" i="1"/>
  <c r="I8" i="1"/>
  <c r="H8" i="1"/>
  <c r="G31" i="1"/>
  <c r="E41" i="1"/>
  <c r="H11" i="1"/>
  <c r="I11" i="1"/>
  <c r="I3" i="1"/>
  <c r="H3" i="1"/>
  <c r="G24" i="1"/>
  <c r="E34" i="1"/>
  <c r="I15" i="1"/>
  <c r="H15" i="1"/>
  <c r="H10" i="1"/>
  <c r="I10" i="1"/>
  <c r="H5" i="1"/>
  <c r="I5" i="1"/>
  <c r="I4" i="1"/>
  <c r="H4" i="1"/>
  <c r="G30" i="1"/>
  <c r="E40" i="1"/>
  <c r="G28" i="1"/>
  <c r="E38" i="1"/>
  <c r="G25" i="1"/>
  <c r="E35" i="1"/>
  <c r="I19" i="1"/>
  <c r="H19" i="1"/>
  <c r="H17" i="1"/>
  <c r="I17" i="1"/>
  <c r="I14" i="1"/>
  <c r="H14" i="1"/>
  <c r="H13" i="1"/>
  <c r="I13" i="1"/>
  <c r="H12" i="1"/>
  <c r="I12" i="1"/>
  <c r="E39" i="1"/>
  <c r="G29" i="1"/>
  <c r="E37" i="1"/>
  <c r="G27" i="1"/>
  <c r="E33" i="1"/>
  <c r="G23" i="1"/>
  <c r="I21" i="1"/>
  <c r="H21" i="1"/>
  <c r="I7" i="1"/>
  <c r="H7" i="1"/>
  <c r="H6" i="1"/>
  <c r="I6" i="1"/>
  <c r="H2" i="1"/>
  <c r="I2" i="1"/>
  <c r="G20" i="1"/>
  <c r="G16" i="1"/>
  <c r="G18" i="1"/>
  <c r="F3" i="2" l="1"/>
  <c r="G36" i="1"/>
  <c r="E46" i="1"/>
  <c r="H26" i="1"/>
  <c r="I26" i="1"/>
  <c r="I22" i="1"/>
  <c r="H22" i="1"/>
  <c r="E42" i="1"/>
  <c r="G32" i="1"/>
  <c r="H31" i="1"/>
  <c r="I31" i="1"/>
  <c r="G41" i="1"/>
  <c r="E51" i="1"/>
  <c r="I24" i="1"/>
  <c r="H24" i="1"/>
  <c r="G34" i="1"/>
  <c r="E44" i="1"/>
  <c r="I30" i="1"/>
  <c r="H30" i="1"/>
  <c r="G40" i="1"/>
  <c r="E50" i="1"/>
  <c r="H28" i="1"/>
  <c r="I28" i="1"/>
  <c r="E48" i="1"/>
  <c r="G38" i="1"/>
  <c r="I25" i="1"/>
  <c r="H25" i="1"/>
  <c r="G35" i="1"/>
  <c r="E45" i="1"/>
  <c r="E49" i="1"/>
  <c r="G39" i="1"/>
  <c r="H29" i="1"/>
  <c r="I29" i="1"/>
  <c r="E47" i="1"/>
  <c r="G37" i="1"/>
  <c r="H27" i="1"/>
  <c r="I27" i="1"/>
  <c r="G33" i="1"/>
  <c r="E43" i="1"/>
  <c r="H23" i="1"/>
  <c r="I23" i="1"/>
  <c r="I20" i="1"/>
  <c r="H20" i="1"/>
  <c r="I16" i="1"/>
  <c r="H16" i="1"/>
  <c r="H18" i="1"/>
  <c r="I18" i="1"/>
  <c r="I36" i="1" l="1"/>
  <c r="H36" i="1"/>
  <c r="E56" i="1"/>
  <c r="G46" i="1"/>
  <c r="E52" i="1"/>
  <c r="G42" i="1"/>
  <c r="I32" i="1"/>
  <c r="H32" i="1"/>
  <c r="H41" i="1"/>
  <c r="I41" i="1"/>
  <c r="E61" i="1"/>
  <c r="G51" i="1"/>
  <c r="H34" i="1"/>
  <c r="I34" i="1"/>
  <c r="G44" i="1"/>
  <c r="E54" i="1"/>
  <c r="H40" i="1"/>
  <c r="I40" i="1"/>
  <c r="G50" i="1"/>
  <c r="E60" i="1"/>
  <c r="E58" i="1"/>
  <c r="G48" i="1"/>
  <c r="I38" i="1"/>
  <c r="H38" i="1"/>
  <c r="H35" i="1"/>
  <c r="I35" i="1"/>
  <c r="G45" i="1"/>
  <c r="E55" i="1"/>
  <c r="E59" i="1"/>
  <c r="G49" i="1"/>
  <c r="H39" i="1"/>
  <c r="I39" i="1"/>
  <c r="E57" i="1"/>
  <c r="G47" i="1"/>
  <c r="I37" i="1"/>
  <c r="H37" i="1"/>
  <c r="I33" i="1"/>
  <c r="H33" i="1"/>
  <c r="G43" i="1"/>
  <c r="E53" i="1"/>
  <c r="G56" i="1" l="1"/>
  <c r="E66" i="1"/>
  <c r="I46" i="1"/>
  <c r="H46" i="1"/>
  <c r="E62" i="1"/>
  <c r="G52" i="1"/>
  <c r="I42" i="1"/>
  <c r="H42" i="1"/>
  <c r="G61" i="1"/>
  <c r="E71" i="1"/>
  <c r="I51" i="1"/>
  <c r="H51" i="1"/>
  <c r="I44" i="1"/>
  <c r="H44" i="1"/>
  <c r="G54" i="1"/>
  <c r="E64" i="1"/>
  <c r="H50" i="1"/>
  <c r="I50" i="1"/>
  <c r="E70" i="1"/>
  <c r="G60" i="1"/>
  <c r="G58" i="1"/>
  <c r="E68" i="1"/>
  <c r="I48" i="1"/>
  <c r="H48" i="1"/>
  <c r="I45" i="1"/>
  <c r="H45" i="1"/>
  <c r="G55" i="1"/>
  <c r="E65" i="1"/>
  <c r="E69" i="1"/>
  <c r="G59" i="1"/>
  <c r="I49" i="1"/>
  <c r="H49" i="1"/>
  <c r="E67" i="1"/>
  <c r="G57" i="1"/>
  <c r="H47" i="1"/>
  <c r="I47" i="1"/>
  <c r="H43" i="1"/>
  <c r="I43" i="1"/>
  <c r="G53" i="1"/>
  <c r="E63" i="1"/>
  <c r="I56" i="1" l="1"/>
  <c r="H56" i="1"/>
  <c r="E76" i="1"/>
  <c r="G66" i="1"/>
  <c r="G62" i="1"/>
  <c r="E72" i="1"/>
  <c r="I52" i="1"/>
  <c r="H52" i="1"/>
  <c r="I61" i="1"/>
  <c r="H61" i="1"/>
  <c r="G71" i="1"/>
  <c r="E81" i="1"/>
  <c r="I54" i="1"/>
  <c r="H54" i="1"/>
  <c r="G64" i="1"/>
  <c r="E74" i="1"/>
  <c r="G70" i="1"/>
  <c r="E80" i="1"/>
  <c r="H60" i="1"/>
  <c r="I60" i="1"/>
  <c r="H58" i="1"/>
  <c r="I58" i="1"/>
  <c r="G68" i="1"/>
  <c r="E78" i="1"/>
  <c r="H55" i="1"/>
  <c r="I55" i="1"/>
  <c r="G65" i="1"/>
  <c r="E75" i="1"/>
  <c r="G69" i="1"/>
  <c r="E79" i="1"/>
  <c r="I59" i="1"/>
  <c r="H59" i="1"/>
  <c r="G67" i="1"/>
  <c r="E77" i="1"/>
  <c r="I57" i="1"/>
  <c r="H57" i="1"/>
  <c r="H53" i="1"/>
  <c r="I53" i="1"/>
  <c r="E73" i="1"/>
  <c r="G63" i="1"/>
  <c r="G76" i="1" l="1"/>
  <c r="E86" i="1"/>
  <c r="H66" i="1"/>
  <c r="I66" i="1"/>
  <c r="H62" i="1"/>
  <c r="I62" i="1"/>
  <c r="E82" i="1"/>
  <c r="G72" i="1"/>
  <c r="I71" i="1"/>
  <c r="H71" i="1"/>
  <c r="E91" i="1"/>
  <c r="G81" i="1"/>
  <c r="H64" i="1"/>
  <c r="I64" i="1"/>
  <c r="G74" i="1"/>
  <c r="E84" i="1"/>
  <c r="H70" i="1"/>
  <c r="I70" i="1"/>
  <c r="E90" i="1"/>
  <c r="G80" i="1"/>
  <c r="H68" i="1"/>
  <c r="I68" i="1"/>
  <c r="E88" i="1"/>
  <c r="G78" i="1"/>
  <c r="H65" i="1"/>
  <c r="I65" i="1"/>
  <c r="E85" i="1"/>
  <c r="G75" i="1"/>
  <c r="I69" i="1"/>
  <c r="H69" i="1"/>
  <c r="G79" i="1"/>
  <c r="E89" i="1"/>
  <c r="I67" i="1"/>
  <c r="H67" i="1"/>
  <c r="E87" i="1"/>
  <c r="G77" i="1"/>
  <c r="E83" i="1"/>
  <c r="G73" i="1"/>
  <c r="I63" i="1"/>
  <c r="H63" i="1"/>
  <c r="I76" i="1" l="1"/>
  <c r="H76" i="1"/>
  <c r="E96" i="1"/>
  <c r="G86" i="1"/>
  <c r="G82" i="1"/>
  <c r="E92" i="1"/>
  <c r="H72" i="1"/>
  <c r="I72" i="1"/>
  <c r="G91" i="1"/>
  <c r="E101" i="1"/>
  <c r="H81" i="1"/>
  <c r="I81" i="1"/>
  <c r="I74" i="1"/>
  <c r="H74" i="1"/>
  <c r="E94" i="1"/>
  <c r="G84" i="1"/>
  <c r="E100" i="1"/>
  <c r="G90" i="1"/>
  <c r="I80" i="1"/>
  <c r="H80" i="1"/>
  <c r="G88" i="1"/>
  <c r="E98" i="1"/>
  <c r="I78" i="1"/>
  <c r="H78" i="1"/>
  <c r="E95" i="1"/>
  <c r="G85" i="1"/>
  <c r="I75" i="1"/>
  <c r="H75" i="1"/>
  <c r="H79" i="1"/>
  <c r="I79" i="1"/>
  <c r="E99" i="1"/>
  <c r="G89" i="1"/>
  <c r="G87" i="1"/>
  <c r="E97" i="1"/>
  <c r="I77" i="1"/>
  <c r="H77" i="1"/>
  <c r="G83" i="1"/>
  <c r="E93" i="1"/>
  <c r="I73" i="1"/>
  <c r="H73" i="1"/>
  <c r="E106" i="1" l="1"/>
  <c r="G96" i="1"/>
  <c r="H86" i="1"/>
  <c r="I86" i="1"/>
  <c r="I82" i="1"/>
  <c r="H82" i="1"/>
  <c r="G92" i="1"/>
  <c r="E102" i="1"/>
  <c r="I91" i="1"/>
  <c r="H91" i="1"/>
  <c r="E111" i="1"/>
  <c r="G101" i="1"/>
  <c r="G94" i="1"/>
  <c r="E104" i="1"/>
  <c r="H84" i="1"/>
  <c r="I84" i="1"/>
  <c r="G100" i="1"/>
  <c r="E110" i="1"/>
  <c r="I90" i="1"/>
  <c r="H90" i="1"/>
  <c r="H88" i="1"/>
  <c r="I88" i="1"/>
  <c r="E108" i="1"/>
  <c r="G98" i="1"/>
  <c r="G95" i="1"/>
  <c r="E105" i="1"/>
  <c r="H85" i="1"/>
  <c r="I85" i="1"/>
  <c r="G99" i="1"/>
  <c r="E109" i="1"/>
  <c r="I89" i="1"/>
  <c r="H89" i="1"/>
  <c r="I87" i="1"/>
  <c r="H87" i="1"/>
  <c r="E107" i="1"/>
  <c r="G97" i="1"/>
  <c r="H83" i="1"/>
  <c r="I83" i="1"/>
  <c r="E103" i="1"/>
  <c r="G93" i="1"/>
  <c r="E116" i="1" l="1"/>
  <c r="G106" i="1"/>
  <c r="I96" i="1"/>
  <c r="H96" i="1"/>
  <c r="H92" i="1"/>
  <c r="I92" i="1"/>
  <c r="E112" i="1"/>
  <c r="G102" i="1"/>
  <c r="E121" i="1"/>
  <c r="G111" i="1"/>
  <c r="I101" i="1"/>
  <c r="H101" i="1"/>
  <c r="I94" i="1"/>
  <c r="H94" i="1"/>
  <c r="G104" i="1"/>
  <c r="E114" i="1"/>
  <c r="I100" i="1"/>
  <c r="H100" i="1"/>
  <c r="G110" i="1"/>
  <c r="E120" i="1"/>
  <c r="G108" i="1"/>
  <c r="E118" i="1"/>
  <c r="H98" i="1"/>
  <c r="I98" i="1"/>
  <c r="H95" i="1"/>
  <c r="I95" i="1"/>
  <c r="E115" i="1"/>
  <c r="G105" i="1"/>
  <c r="H99" i="1"/>
  <c r="I99" i="1"/>
  <c r="E119" i="1"/>
  <c r="G109" i="1"/>
  <c r="E117" i="1"/>
  <c r="G107" i="1"/>
  <c r="I97" i="1"/>
  <c r="H97" i="1"/>
  <c r="G103" i="1"/>
  <c r="E113" i="1"/>
  <c r="H93" i="1"/>
  <c r="I93" i="1"/>
  <c r="E126" i="1" l="1"/>
  <c r="G116" i="1"/>
  <c r="I106" i="1"/>
  <c r="H106" i="1"/>
  <c r="G112" i="1"/>
  <c r="E122" i="1"/>
  <c r="I102" i="1"/>
  <c r="H102" i="1"/>
  <c r="G121" i="1"/>
  <c r="E131" i="1"/>
  <c r="H111" i="1"/>
  <c r="I111" i="1"/>
  <c r="I104" i="1"/>
  <c r="H104" i="1"/>
  <c r="E124" i="1"/>
  <c r="G114" i="1"/>
  <c r="I110" i="1"/>
  <c r="H110" i="1"/>
  <c r="G120" i="1"/>
  <c r="E130" i="1"/>
  <c r="H108" i="1"/>
  <c r="I108" i="1"/>
  <c r="G118" i="1"/>
  <c r="E128" i="1"/>
  <c r="E125" i="1"/>
  <c r="G115" i="1"/>
  <c r="I105" i="1"/>
  <c r="H105" i="1"/>
  <c r="E129" i="1"/>
  <c r="G119" i="1"/>
  <c r="I109" i="1"/>
  <c r="H109" i="1"/>
  <c r="E127" i="1"/>
  <c r="G117" i="1"/>
  <c r="I107" i="1"/>
  <c r="H107" i="1"/>
  <c r="H103" i="1"/>
  <c r="I103" i="1"/>
  <c r="E123" i="1"/>
  <c r="G113" i="1"/>
  <c r="G126" i="1" l="1"/>
  <c r="E136" i="1"/>
  <c r="I116" i="1"/>
  <c r="H116" i="1"/>
  <c r="H112" i="1"/>
  <c r="I112" i="1"/>
  <c r="E132" i="1"/>
  <c r="G122" i="1"/>
  <c r="H121" i="1"/>
  <c r="I121" i="1"/>
  <c r="G131" i="1"/>
  <c r="E141" i="1"/>
  <c r="G124" i="1"/>
  <c r="E134" i="1"/>
  <c r="H114" i="1"/>
  <c r="I114" i="1"/>
  <c r="H120" i="1"/>
  <c r="I120" i="1"/>
  <c r="G130" i="1"/>
  <c r="E140" i="1"/>
  <c r="H118" i="1"/>
  <c r="I118" i="1"/>
  <c r="G128" i="1"/>
  <c r="E138" i="1"/>
  <c r="G125" i="1"/>
  <c r="E135" i="1"/>
  <c r="I115" i="1"/>
  <c r="H115" i="1"/>
  <c r="E139" i="1"/>
  <c r="G129" i="1"/>
  <c r="I119" i="1"/>
  <c r="H119" i="1"/>
  <c r="E137" i="1"/>
  <c r="G127" i="1"/>
  <c r="I117" i="1"/>
  <c r="H117" i="1"/>
  <c r="G123" i="1"/>
  <c r="E133" i="1"/>
  <c r="I113" i="1"/>
  <c r="H113" i="1"/>
  <c r="I126" i="1" l="1"/>
  <c r="H126" i="1"/>
  <c r="G136" i="1"/>
  <c r="E146" i="1"/>
  <c r="E142" i="1"/>
  <c r="G132" i="1"/>
  <c r="I122" i="1"/>
  <c r="H122" i="1"/>
  <c r="H131" i="1"/>
  <c r="I131" i="1"/>
  <c r="E151" i="1"/>
  <c r="G141" i="1"/>
  <c r="H124" i="1"/>
  <c r="I124" i="1"/>
  <c r="E144" i="1"/>
  <c r="G134" i="1"/>
  <c r="H130" i="1"/>
  <c r="I130" i="1"/>
  <c r="G140" i="1"/>
  <c r="E150" i="1"/>
  <c r="I128" i="1"/>
  <c r="H128" i="1"/>
  <c r="E148" i="1"/>
  <c r="G138" i="1"/>
  <c r="H125" i="1"/>
  <c r="I125" i="1"/>
  <c r="E145" i="1"/>
  <c r="G135" i="1"/>
  <c r="G139" i="1"/>
  <c r="E149" i="1"/>
  <c r="I129" i="1"/>
  <c r="H129" i="1"/>
  <c r="G137" i="1"/>
  <c r="E147" i="1"/>
  <c r="H127" i="1"/>
  <c r="I127" i="1"/>
  <c r="I123" i="1"/>
  <c r="H123" i="1"/>
  <c r="G133" i="1"/>
  <c r="E143" i="1"/>
  <c r="I136" i="1" l="1"/>
  <c r="H136" i="1"/>
  <c r="G146" i="1"/>
  <c r="E156" i="1"/>
  <c r="G142" i="1"/>
  <c r="E152" i="1"/>
  <c r="H132" i="1"/>
  <c r="I132" i="1"/>
  <c r="G151" i="1"/>
  <c r="E161" i="1"/>
  <c r="H141" i="1"/>
  <c r="I141" i="1"/>
  <c r="G144" i="1"/>
  <c r="E154" i="1"/>
  <c r="I134" i="1"/>
  <c r="H134" i="1"/>
  <c r="I140" i="1"/>
  <c r="H140" i="1"/>
  <c r="G150" i="1"/>
  <c r="E160" i="1"/>
  <c r="G148" i="1"/>
  <c r="E158" i="1"/>
  <c r="I138" i="1"/>
  <c r="H138" i="1"/>
  <c r="G145" i="1"/>
  <c r="E155" i="1"/>
  <c r="I135" i="1"/>
  <c r="H135" i="1"/>
  <c r="I139" i="1"/>
  <c r="H139" i="1"/>
  <c r="E159" i="1"/>
  <c r="G149" i="1"/>
  <c r="H137" i="1"/>
  <c r="I137" i="1"/>
  <c r="G147" i="1"/>
  <c r="E157" i="1"/>
  <c r="H133" i="1"/>
  <c r="I133" i="1"/>
  <c r="G143" i="1"/>
  <c r="E153" i="1"/>
  <c r="I146" i="1" l="1"/>
  <c r="H146" i="1"/>
  <c r="G156" i="1"/>
  <c r="E166" i="1"/>
  <c r="I142" i="1"/>
  <c r="H142" i="1"/>
  <c r="E162" i="1"/>
  <c r="G152" i="1"/>
  <c r="I151" i="1"/>
  <c r="H151" i="1"/>
  <c r="G161" i="1"/>
  <c r="E171" i="1"/>
  <c r="H144" i="1"/>
  <c r="I144" i="1"/>
  <c r="G154" i="1"/>
  <c r="E164" i="1"/>
  <c r="H150" i="1"/>
  <c r="I150" i="1"/>
  <c r="E170" i="1"/>
  <c r="G160" i="1"/>
  <c r="I148" i="1"/>
  <c r="H148" i="1"/>
  <c r="E168" i="1"/>
  <c r="G158" i="1"/>
  <c r="I145" i="1"/>
  <c r="H145" i="1"/>
  <c r="G155" i="1"/>
  <c r="E165" i="1"/>
  <c r="E169" i="1"/>
  <c r="G159" i="1"/>
  <c r="H149" i="1"/>
  <c r="I149" i="1"/>
  <c r="H147" i="1"/>
  <c r="I147" i="1"/>
  <c r="G157" i="1"/>
  <c r="E167" i="1"/>
  <c r="H143" i="1"/>
  <c r="I143" i="1"/>
  <c r="E163" i="1"/>
  <c r="G153" i="1"/>
  <c r="I156" i="1" l="1"/>
  <c r="H156" i="1"/>
  <c r="G166" i="1"/>
  <c r="E176" i="1"/>
  <c r="G162" i="1"/>
  <c r="E172" i="1"/>
  <c r="I152" i="1"/>
  <c r="H152" i="1"/>
  <c r="I161" i="1"/>
  <c r="H161" i="1"/>
  <c r="E181" i="1"/>
  <c r="G171" i="1"/>
  <c r="I154" i="1"/>
  <c r="H154" i="1"/>
  <c r="G164" i="1"/>
  <c r="E174" i="1"/>
  <c r="E180" i="1"/>
  <c r="G170" i="1"/>
  <c r="I160" i="1"/>
  <c r="H160" i="1"/>
  <c r="G168" i="1"/>
  <c r="E178" i="1"/>
  <c r="I158" i="1"/>
  <c r="H158" i="1"/>
  <c r="I155" i="1"/>
  <c r="H155" i="1"/>
  <c r="E175" i="1"/>
  <c r="G165" i="1"/>
  <c r="G169" i="1"/>
  <c r="E179" i="1"/>
  <c r="H159" i="1"/>
  <c r="I159" i="1"/>
  <c r="I157" i="1"/>
  <c r="H157" i="1"/>
  <c r="G167" i="1"/>
  <c r="E177" i="1"/>
  <c r="E173" i="1"/>
  <c r="G163" i="1"/>
  <c r="I153" i="1"/>
  <c r="H153" i="1"/>
  <c r="I166" i="1" l="1"/>
  <c r="H166" i="1"/>
  <c r="G176" i="1"/>
  <c r="E186" i="1"/>
  <c r="H162" i="1"/>
  <c r="I162" i="1"/>
  <c r="G172" i="1"/>
  <c r="E182" i="1"/>
  <c r="E191" i="1"/>
  <c r="G181" i="1"/>
  <c r="H171" i="1"/>
  <c r="I171" i="1"/>
  <c r="I164" i="1"/>
  <c r="H164" i="1"/>
  <c r="G174" i="1"/>
  <c r="E184" i="1"/>
  <c r="G180" i="1"/>
  <c r="E190" i="1"/>
  <c r="I170" i="1"/>
  <c r="H170" i="1"/>
  <c r="H168" i="1"/>
  <c r="I168" i="1"/>
  <c r="G178" i="1"/>
  <c r="E188" i="1"/>
  <c r="E185" i="1"/>
  <c r="G175" i="1"/>
  <c r="I165" i="1"/>
  <c r="H165" i="1"/>
  <c r="H169" i="1"/>
  <c r="I169" i="1"/>
  <c r="G179" i="1"/>
  <c r="E189" i="1"/>
  <c r="I167" i="1"/>
  <c r="H167" i="1"/>
  <c r="E187" i="1"/>
  <c r="G177" i="1"/>
  <c r="G173" i="1"/>
  <c r="E183" i="1"/>
  <c r="H163" i="1"/>
  <c r="I163" i="1"/>
  <c r="H176" i="1" l="1"/>
  <c r="I176" i="1"/>
  <c r="G186" i="1"/>
  <c r="E196" i="1"/>
  <c r="I172" i="1"/>
  <c r="H172" i="1"/>
  <c r="G182" i="1"/>
  <c r="E192" i="1"/>
  <c r="G191" i="1"/>
  <c r="E201" i="1"/>
  <c r="I181" i="1"/>
  <c r="H181" i="1"/>
  <c r="H174" i="1"/>
  <c r="I174" i="1"/>
  <c r="G184" i="1"/>
  <c r="E194" i="1"/>
  <c r="I180" i="1"/>
  <c r="H180" i="1"/>
  <c r="G190" i="1"/>
  <c r="E200" i="1"/>
  <c r="H178" i="1"/>
  <c r="I178" i="1"/>
  <c r="G188" i="1"/>
  <c r="E198" i="1"/>
  <c r="G185" i="1"/>
  <c r="E195" i="1"/>
  <c r="I175" i="1"/>
  <c r="H175" i="1"/>
  <c r="H179" i="1"/>
  <c r="I179" i="1"/>
  <c r="E199" i="1"/>
  <c r="G189" i="1"/>
  <c r="G187" i="1"/>
  <c r="E197" i="1"/>
  <c r="I177" i="1"/>
  <c r="H177" i="1"/>
  <c r="H173" i="1"/>
  <c r="I173" i="1"/>
  <c r="G183" i="1"/>
  <c r="E193" i="1"/>
  <c r="I186" i="1" l="1"/>
  <c r="H186" i="1"/>
  <c r="G196" i="1"/>
  <c r="E206" i="1"/>
  <c r="H182" i="1"/>
  <c r="I182" i="1"/>
  <c r="G192" i="1"/>
  <c r="E202" i="1"/>
  <c r="I191" i="1"/>
  <c r="H191" i="1"/>
  <c r="G201" i="1"/>
  <c r="E211" i="1"/>
  <c r="H184" i="1"/>
  <c r="I184" i="1"/>
  <c r="G194" i="1"/>
  <c r="E204" i="1"/>
  <c r="H190" i="1"/>
  <c r="I190" i="1"/>
  <c r="G200" i="1"/>
  <c r="E210" i="1"/>
  <c r="I188" i="1"/>
  <c r="H188" i="1"/>
  <c r="G198" i="1"/>
  <c r="E208" i="1"/>
  <c r="H185" i="1"/>
  <c r="I185" i="1"/>
  <c r="G195" i="1"/>
  <c r="E205" i="1"/>
  <c r="G199" i="1"/>
  <c r="E209" i="1"/>
  <c r="H189" i="1"/>
  <c r="I189" i="1"/>
  <c r="I187" i="1"/>
  <c r="H187" i="1"/>
  <c r="E207" i="1"/>
  <c r="G197" i="1"/>
  <c r="I183" i="1"/>
  <c r="H183" i="1"/>
  <c r="G193" i="1"/>
  <c r="E203" i="1"/>
  <c r="I196" i="1" l="1"/>
  <c r="H196" i="1"/>
  <c r="G206" i="1"/>
  <c r="E216" i="1"/>
  <c r="I192" i="1"/>
  <c r="H192" i="1"/>
  <c r="E212" i="1"/>
  <c r="G202" i="1"/>
  <c r="I201" i="1"/>
  <c r="H201" i="1"/>
  <c r="G211" i="1"/>
  <c r="E221" i="1"/>
  <c r="H194" i="1"/>
  <c r="I194" i="1"/>
  <c r="E214" i="1"/>
  <c r="G204" i="1"/>
  <c r="I200" i="1"/>
  <c r="H200" i="1"/>
  <c r="E220" i="1"/>
  <c r="G210" i="1"/>
  <c r="H198" i="1"/>
  <c r="I198" i="1"/>
  <c r="G208" i="1"/>
  <c r="E218" i="1"/>
  <c r="H195" i="1"/>
  <c r="I195" i="1"/>
  <c r="E215" i="1"/>
  <c r="G205" i="1"/>
  <c r="I199" i="1"/>
  <c r="H199" i="1"/>
  <c r="G209" i="1"/>
  <c r="E219" i="1"/>
  <c r="G207" i="1"/>
  <c r="E217" i="1"/>
  <c r="I197" i="1"/>
  <c r="H197" i="1"/>
  <c r="H193" i="1"/>
  <c r="I193" i="1"/>
  <c r="E213" i="1"/>
  <c r="G203" i="1"/>
  <c r="I206" i="1" l="1"/>
  <c r="H206" i="1"/>
  <c r="G216" i="1"/>
  <c r="E226" i="1"/>
  <c r="E222" i="1"/>
  <c r="G212" i="1"/>
  <c r="H202" i="1"/>
  <c r="I202" i="1"/>
  <c r="H211" i="1"/>
  <c r="I211" i="1"/>
  <c r="G221" i="1"/>
  <c r="E231" i="1"/>
  <c r="E224" i="1"/>
  <c r="G214" i="1"/>
  <c r="H204" i="1"/>
  <c r="I204" i="1"/>
  <c r="G220" i="1"/>
  <c r="E230" i="1"/>
  <c r="I210" i="1"/>
  <c r="H210" i="1"/>
  <c r="H208" i="1"/>
  <c r="I208" i="1"/>
  <c r="E228" i="1"/>
  <c r="G218" i="1"/>
  <c r="G215" i="1"/>
  <c r="E225" i="1"/>
  <c r="H205" i="1"/>
  <c r="I205" i="1"/>
  <c r="H209" i="1"/>
  <c r="I209" i="1"/>
  <c r="E229" i="1"/>
  <c r="G219" i="1"/>
  <c r="I207" i="1"/>
  <c r="H207" i="1"/>
  <c r="E227" i="1"/>
  <c r="G217" i="1"/>
  <c r="E223" i="1"/>
  <c r="G213" i="1"/>
  <c r="H203" i="1"/>
  <c r="I203" i="1"/>
  <c r="I216" i="1" l="1"/>
  <c r="H216" i="1"/>
  <c r="G226" i="1"/>
  <c r="E236" i="1"/>
  <c r="G222" i="1"/>
  <c r="E232" i="1"/>
  <c r="H212" i="1"/>
  <c r="I212" i="1"/>
  <c r="I221" i="1"/>
  <c r="H221" i="1"/>
  <c r="G231" i="1"/>
  <c r="E241" i="1"/>
  <c r="G224" i="1"/>
  <c r="E234" i="1"/>
  <c r="I214" i="1"/>
  <c r="H214" i="1"/>
  <c r="I220" i="1"/>
  <c r="H220" i="1"/>
  <c r="E240" i="1"/>
  <c r="G230" i="1"/>
  <c r="E238" i="1"/>
  <c r="G228" i="1"/>
  <c r="I218" i="1"/>
  <c r="H218" i="1"/>
  <c r="I215" i="1"/>
  <c r="H215" i="1"/>
  <c r="E235" i="1"/>
  <c r="G225" i="1"/>
  <c r="E239" i="1"/>
  <c r="G229" i="1"/>
  <c r="H219" i="1"/>
  <c r="I219" i="1"/>
  <c r="G227" i="1"/>
  <c r="E237" i="1"/>
  <c r="I217" i="1"/>
  <c r="H217" i="1"/>
  <c r="E233" i="1"/>
  <c r="G223" i="1"/>
  <c r="H213" i="1"/>
  <c r="I213" i="1"/>
  <c r="I226" i="1" l="1"/>
  <c r="H226" i="1"/>
  <c r="G236" i="1"/>
  <c r="E246" i="1"/>
  <c r="I222" i="1"/>
  <c r="H222" i="1"/>
  <c r="E242" i="1"/>
  <c r="G232" i="1"/>
  <c r="I231" i="1"/>
  <c r="H231" i="1"/>
  <c r="E251" i="1"/>
  <c r="G241" i="1"/>
  <c r="H224" i="1"/>
  <c r="I224" i="1"/>
  <c r="G234" i="1"/>
  <c r="E244" i="1"/>
  <c r="G240" i="1"/>
  <c r="E250" i="1"/>
  <c r="H230" i="1"/>
  <c r="I230" i="1"/>
  <c r="E248" i="1"/>
  <c r="G238" i="1"/>
  <c r="I228" i="1"/>
  <c r="H228" i="1"/>
  <c r="G235" i="1"/>
  <c r="E245" i="1"/>
  <c r="I225" i="1"/>
  <c r="H225" i="1"/>
  <c r="G239" i="1"/>
  <c r="E249" i="1"/>
  <c r="I229" i="1"/>
  <c r="H229" i="1"/>
  <c r="I227" i="1"/>
  <c r="H227" i="1"/>
  <c r="E247" i="1"/>
  <c r="G237" i="1"/>
  <c r="E243" i="1"/>
  <c r="G233" i="1"/>
  <c r="H223" i="1"/>
  <c r="I223" i="1"/>
  <c r="I236" i="1" l="1"/>
  <c r="H236" i="1"/>
  <c r="G246" i="1"/>
  <c r="E256" i="1"/>
  <c r="E252" i="1"/>
  <c r="G242" i="1"/>
  <c r="I232" i="1"/>
  <c r="H232" i="1"/>
  <c r="G251" i="1"/>
  <c r="E261" i="1"/>
  <c r="I241" i="1"/>
  <c r="H241" i="1"/>
  <c r="I234" i="1"/>
  <c r="H234" i="1"/>
  <c r="E254" i="1"/>
  <c r="G244" i="1"/>
  <c r="H240" i="1"/>
  <c r="I240" i="1"/>
  <c r="G250" i="1"/>
  <c r="E260" i="1"/>
  <c r="G248" i="1"/>
  <c r="E258" i="1"/>
  <c r="H238" i="1"/>
  <c r="I238" i="1"/>
  <c r="H235" i="1"/>
  <c r="I235" i="1"/>
  <c r="G245" i="1"/>
  <c r="E255" i="1"/>
  <c r="I239" i="1"/>
  <c r="H239" i="1"/>
  <c r="G249" i="1"/>
  <c r="E259" i="1"/>
  <c r="G247" i="1"/>
  <c r="E257" i="1"/>
  <c r="I237" i="1"/>
  <c r="H237" i="1"/>
  <c r="E253" i="1"/>
  <c r="G243" i="1"/>
  <c r="H233" i="1"/>
  <c r="I233" i="1"/>
  <c r="H246" i="1" l="1"/>
  <c r="I246" i="1"/>
  <c r="G256" i="1"/>
  <c r="E266" i="1"/>
  <c r="G266" i="1" s="1"/>
  <c r="G252" i="1"/>
  <c r="E262" i="1"/>
  <c r="G262" i="1" s="1"/>
  <c r="I242" i="1"/>
  <c r="H242" i="1"/>
  <c r="I251" i="1"/>
  <c r="H251" i="1"/>
  <c r="G261" i="1"/>
  <c r="E271" i="1"/>
  <c r="G271" i="1" s="1"/>
  <c r="G254" i="1"/>
  <c r="E264" i="1"/>
  <c r="G264" i="1" s="1"/>
  <c r="I244" i="1"/>
  <c r="H244" i="1"/>
  <c r="H250" i="1"/>
  <c r="I250" i="1"/>
  <c r="G260" i="1"/>
  <c r="E270" i="1"/>
  <c r="G270" i="1" s="1"/>
  <c r="H248" i="1"/>
  <c r="I248" i="1"/>
  <c r="G258" i="1"/>
  <c r="E268" i="1"/>
  <c r="G268" i="1" s="1"/>
  <c r="H245" i="1"/>
  <c r="I245" i="1"/>
  <c r="G255" i="1"/>
  <c r="E265" i="1"/>
  <c r="G265" i="1" s="1"/>
  <c r="H249" i="1"/>
  <c r="I249" i="1"/>
  <c r="G259" i="1"/>
  <c r="E269" i="1"/>
  <c r="G269" i="1" s="1"/>
  <c r="I247" i="1"/>
  <c r="H247" i="1"/>
  <c r="G257" i="1"/>
  <c r="E267" i="1"/>
  <c r="G267" i="1" s="1"/>
  <c r="G253" i="1"/>
  <c r="E263" i="1"/>
  <c r="G263" i="1" s="1"/>
  <c r="I243" i="1"/>
  <c r="H243" i="1"/>
  <c r="H256" i="1" l="1"/>
  <c r="I256" i="1"/>
  <c r="H266" i="1"/>
  <c r="I266" i="1"/>
  <c r="H252" i="1"/>
  <c r="I252" i="1"/>
  <c r="H262" i="1"/>
  <c r="I262" i="1"/>
  <c r="H261" i="1"/>
  <c r="I261" i="1"/>
  <c r="H271" i="1"/>
  <c r="I271" i="1"/>
  <c r="H254" i="1"/>
  <c r="I254" i="1"/>
  <c r="H264" i="1"/>
  <c r="I264" i="1"/>
  <c r="H260" i="1"/>
  <c r="I260" i="1"/>
  <c r="H270" i="1"/>
  <c r="I270" i="1"/>
  <c r="H258" i="1"/>
  <c r="I258" i="1"/>
  <c r="H268" i="1"/>
  <c r="I268" i="1"/>
  <c r="H255" i="1"/>
  <c r="I255" i="1"/>
  <c r="H265" i="1"/>
  <c r="I265" i="1"/>
  <c r="H259" i="1"/>
  <c r="I259" i="1"/>
  <c r="H269" i="1"/>
  <c r="I269" i="1"/>
  <c r="H257" i="1"/>
  <c r="I257" i="1"/>
  <c r="H267" i="1"/>
  <c r="I267" i="1"/>
  <c r="H253" i="1"/>
  <c r="I253" i="1"/>
  <c r="H263" i="1"/>
  <c r="I263" i="1"/>
  <c r="E4" i="2" l="1"/>
  <c r="E28" i="2"/>
  <c r="E11" i="2"/>
  <c r="E15" i="2"/>
  <c r="E25" i="2"/>
  <c r="E22" i="2"/>
  <c r="E26" i="2"/>
  <c r="E27" i="2"/>
  <c r="E9" i="2"/>
  <c r="E14" i="2"/>
  <c r="E24" i="2"/>
  <c r="E13" i="2"/>
  <c r="E6" i="2"/>
  <c r="E10" i="2"/>
  <c r="E20" i="2"/>
  <c r="E17" i="2"/>
  <c r="E5" i="2"/>
  <c r="E7" i="2"/>
  <c r="E3" i="2"/>
  <c r="E16" i="2"/>
  <c r="E23" i="2"/>
  <c r="E21" i="2"/>
  <c r="E12" i="2"/>
  <c r="E2" i="2"/>
  <c r="E18" i="2"/>
  <c r="E8" i="2"/>
  <c r="E19" i="2"/>
  <c r="F9" i="2"/>
  <c r="F11" i="2"/>
  <c r="F16" i="2"/>
  <c r="F6" i="2"/>
  <c r="F23" i="2"/>
  <c r="F24" i="2"/>
  <c r="F27" i="2"/>
  <c r="F28" i="2"/>
  <c r="F2" i="2"/>
  <c r="F22" i="2"/>
  <c r="F5" i="2"/>
  <c r="F8" i="2"/>
  <c r="F14" i="2"/>
  <c r="F26" i="2"/>
  <c r="F4" i="2"/>
  <c r="F17" i="2"/>
  <c r="F21" i="2"/>
  <c r="F15" i="2"/>
  <c r="F25" i="2"/>
  <c r="F7" i="2"/>
  <c r="F19" i="2"/>
  <c r="F12" i="2"/>
  <c r="F20" i="2"/>
  <c r="F13" i="2"/>
  <c r="F18" i="2"/>
  <c r="F10" i="2"/>
  <c r="I4" i="2" l="1"/>
  <c r="I11" i="2"/>
  <c r="I3" i="2"/>
  <c r="I8" i="2"/>
  <c r="I6" i="2"/>
  <c r="I10" i="2"/>
  <c r="I5" i="2"/>
  <c r="I9" i="2"/>
  <c r="I7" i="2"/>
  <c r="I12" i="2"/>
  <c r="J5" i="2"/>
  <c r="J3" i="2"/>
  <c r="J9" i="2"/>
  <c r="J8" i="2"/>
  <c r="J4" i="2"/>
  <c r="J12" i="2"/>
  <c r="J7" i="2"/>
  <c r="J11" i="2"/>
  <c r="J6" i="2"/>
  <c r="J10" i="2"/>
  <c r="K3" i="2" l="1"/>
  <c r="I13" i="2"/>
  <c r="K4" i="2"/>
  <c r="K11" i="2"/>
  <c r="K8" i="2"/>
  <c r="K6" i="2"/>
  <c r="K10" i="2"/>
  <c r="K5" i="2"/>
  <c r="K9" i="2"/>
  <c r="K7" i="2"/>
  <c r="K12" i="2"/>
  <c r="J13" i="2"/>
  <c r="K13" i="2" l="1"/>
</calcChain>
</file>

<file path=xl/sharedStrings.xml><?xml version="1.0" encoding="utf-8"?>
<sst xmlns="http://schemas.openxmlformats.org/spreadsheetml/2006/main" count="598" uniqueCount="57">
  <si>
    <t>my_fi_name</t>
  </si>
  <si>
    <t>price_screen_bid</t>
  </si>
  <si>
    <t>price_screen_ask</t>
  </si>
  <si>
    <t>time</t>
  </si>
  <si>
    <t>ARKB</t>
  </si>
  <si>
    <t>2026-06-22_09-17-08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</si>
  <si>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</si>
  <si>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</si>
  <si>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</si>
  <si>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</si>
  <si>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</si>
  <si>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</si>
  <si>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</si>
  <si>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</si>
  <si>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</si>
  <si>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2026-06-22_09-32-08</t>
  </si>
  <si>
    <t>2026-06-22_09-47-08</t>
  </si>
  <si>
    <t>2026-06-22_10-02-08</t>
  </si>
  <si>
    <t>2026-06-22_10-17-08</t>
  </si>
  <si>
    <t>2026-06-22_10-32-08</t>
  </si>
  <si>
    <t>2026-06-22_10-47-08</t>
  </si>
  <si>
    <t>2026-06-22_11-02-08</t>
  </si>
  <si>
    <t>2026-06-22_11-17-08</t>
  </si>
  <si>
    <t>2026-06-22_11-32-08</t>
  </si>
  <si>
    <t>2026-06-22_11-47-09</t>
  </si>
  <si>
    <t>2026-06-22_12-02-09</t>
  </si>
  <si>
    <t>2026-06-22_12-17-09</t>
  </si>
  <si>
    <t>2026-06-22_12-32-09</t>
  </si>
  <si>
    <t>2026-06-22_12-47-09</t>
  </si>
  <si>
    <t>2026-06-22_13-02-09</t>
  </si>
  <si>
    <t>2026-06-22_13-17-09</t>
  </si>
  <si>
    <t>2026-06-22_13-32-09</t>
  </si>
  <si>
    <t>2026-06-22_13-47-09</t>
  </si>
  <si>
    <t>2026-06-22_14-02-09</t>
  </si>
  <si>
    <t>2026-06-22_14-17-09</t>
  </si>
  <si>
    <t>2026-06-22_14-32-09</t>
  </si>
  <si>
    <t>2026-06-22_14-47-09</t>
  </si>
  <si>
    <t>2026-06-22_15-02-09</t>
  </si>
  <si>
    <t>2026-06-22_15-17-09</t>
  </si>
  <si>
    <t>2026-06-22_15-32-09</t>
  </si>
  <si>
    <t>2026-06-22_15-47-09</t>
  </si>
  <si>
    <t>scalar</t>
  </si>
  <si>
    <t>adj</t>
  </si>
  <si>
    <t>adj scalar</t>
  </si>
  <si>
    <t>unit bid</t>
  </si>
  <si>
    <t>unit ask</t>
  </si>
  <si>
    <t>Row Labels</t>
  </si>
  <si>
    <t>Max of unit bid</t>
  </si>
  <si>
    <t>Min of unit ask</t>
  </si>
  <si>
    <t>net</t>
  </si>
  <si>
    <t>bid name</t>
  </si>
  <si>
    <t>ask name</t>
  </si>
  <si>
    <t>hit bid</t>
  </si>
  <si>
    <t>lift ask</t>
  </si>
  <si>
    <t>diff</t>
  </si>
  <si>
    <t>price</t>
  </si>
  <si>
    <t>$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</si>
</sst>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164" fontId="0" fillId="33" borderId="0" xfId="1" applyNumberFormat="1" applyFont="1" applyFill="1"/>
    <xf numFmtId="164" fontId="0" fillId="0" borderId="0" xfId="1" applyNumberFormat="1" applyFont="1"/>
    <xf numFmtId="44" fontId="0" fillId="0" borderId="0" xfId="2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1" applyNumberFormat="1" applyFont="1" applyAlignment="1">
      <alignment horizontal="right"/>
    </xf>
    <xf numFmtId="44" fontId="18" fillId="0" borderId="0" xfId="2" applyFont="1" applyAlignment="1">
      <alignment horizontal="right"/>
    </xf>
    <xf numFmtId="0" fontId="16" fillId="0" borderId="0" xfId="0" applyFont="1"/>
    <xf numFmtId="165" fontId="0" fillId="0" borderId="0" xfId="3" applyNumberFormat="1" applyFont="1"/>
    <xf numFmtId="0" fontId="19" fillId="0" borderId="0" xfId="0" applyFont="1"/>
    <xf numFmtId="44" fontId="20" fillId="0" borderId="0" xfId="0" applyNumberFormat="1" applyFont="1"/>
    <xf numFmtId="0" fontId="0" fillId="0" borderId="0" xfId="0" pivotButton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96.430425694445" createdVersion="8" refreshedVersion="8" minRefreshableVersion="3" recordCount="270" xr:uid="{BEB0B4CF-9A98-45BA-8AED-E1D5FA021336}">
  <cacheSource type="worksheet">
    <worksheetSource name="table1"/>
  </cacheSource>
  <cacheFields count="9">
    <cacheField name="my_fi_name" numFmtId="0">
      <sharedItems/>
    </cacheField>
    <cacheField name="price_screen_bid" numFmtId="44">
      <sharedItems containsSemiMixedTypes="0" containsString="0" containsNumber="1" minValue="18.12" maxValue="69.09"/>
    </cacheField>
    <cacheField name="price_screen_ask" numFmtId="44">
      <sharedItems containsSemiMixedTypes="0" containsString="0" containsNumber="1" minValue="18.13" maxValue="69.209999999999994"/>
    </cacheField>
    <cacheField name="time" numFmtId="0">
      <sharedItems count="27">
        <s v="2026-06-22_09-17-08"/>
        <s v="2026-06-22_09-32-08"/>
        <s v="2026-06-22_09-47-08"/>
        <s v="2026-06-22_10-02-08"/>
        <s v="2026-06-22_10-17-08"/>
        <s v="2026-06-22_10-32-08"/>
        <s v="2026-06-22_10-47-08"/>
        <s v="2026-06-22_11-02-08"/>
        <s v="2026-06-22_11-17-08"/>
        <s v="2026-06-22_11-32-08"/>
        <s v="2026-06-22_11-47-09"/>
        <s v="2026-06-22_12-02-09"/>
        <s v="2026-06-22_12-17-09"/>
        <s v="2026-06-22_12-32-09"/>
        <s v="2026-06-22_12-47-09"/>
        <s v="2026-06-22_13-02-09"/>
        <s v="2026-06-22_13-17-09"/>
        <s v="2026-06-22_13-32-09"/>
        <s v="2026-06-22_13-47-09"/>
        <s v="2026-06-22_14-02-09"/>
        <s v="2026-06-22_14-17-09"/>
        <s v="2026-06-22_14-32-09"/>
        <s v="2026-06-22_14-47-09"/>
        <s v="2026-06-22_15-02-09"/>
        <s v="2026-06-22_15-17-09"/>
        <s v="2026-06-22_15-32-09"/>
        <s v="2026-06-22_15-47-09"/>
      </sharedItems>
    </cacheField>
    <cacheField name="scalar" numFmtId="164">
      <sharedItems containsSemiMixedTypes="0" containsString="0" containsNumber="1" minValue="946.13639999999998" maxValue="3546.5864999999999"/>
    </cacheField>
    <cacheField name="adj" numFmtId="164">
      <sharedItems containsSemiMixedTypes="0" containsString="0" containsNumber="1" minValue="-0.1" maxValue="0.05"/>
    </cacheField>
    <cacheField name="adj scalar" numFmtId="164">
      <sharedItems containsSemiMixedTypes="0" containsString="0" containsNumber="1" minValue="946.13639999999998" maxValue="3546.5864999999999"/>
    </cacheField>
    <cacheField name="unit bid" numFmtId="44">
      <sharedItems containsSemiMixedTypes="0" containsString="0" containsNumber="1" minValue="64223.738831999995" maxValue="65396.626394999992"/>
    </cacheField>
    <cacheField name="unit ask" numFmtId="44">
      <sharedItems containsSemiMixedTypes="0" containsString="0" containsNumber="1" minValue="64248.158519999997" maxValue="65482.100243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ARKB"/>
    <n v="21.56"/>
    <n v="21.58"/>
    <x v="0"/>
    <n v="3014.9488000000001"/>
    <n v="0"/>
    <n v="3014.9488000000001"/>
    <n v="65002.296128000002"/>
    <n v="65062.595104"/>
  </r>
  <r>
    <s v="BITB"/>
    <n v="35.29"/>
    <n v="35.33"/>
    <x v="0"/>
    <n v="1842.1205"/>
    <n v="0"/>
    <n v="1842.1205"/>
    <n v="65008.432444999999"/>
    <n v="65082.117264999993"/>
  </r>
  <r>
    <s v="BRRR"/>
    <n v="18.32"/>
    <n v="18.350000000000001"/>
    <x v="0"/>
    <n v="3546.5864999999999"/>
    <n v="0"/>
    <n v="3546.5864999999999"/>
    <n v="64973.464679999997"/>
    <n v="65079.862274999999"/>
  </r>
  <r>
    <s v="BTC"/>
    <n v="28.75"/>
    <n v="28.8"/>
    <x v="0"/>
    <n v="2261.3416000000002"/>
    <n v="-0.1"/>
    <n v="2261.2416000000003"/>
    <n v="65010.696000000011"/>
    <n v="65123.758080000007"/>
  </r>
  <r>
    <s v="BTCW"/>
    <n v="68.540000000000006"/>
    <n v="69.099999999999994"/>
    <x v="0"/>
    <n v="946.13639999999998"/>
    <n v="0"/>
    <n v="946.13639999999998"/>
    <n v="64848.188856000008"/>
    <n v="65378.025239999995"/>
  </r>
  <r>
    <s v="EZBC"/>
    <n v="37.56"/>
    <n v="37.659999999999997"/>
    <x v="0"/>
    <n v="1730.2277999999999"/>
    <n v="0"/>
    <n v="1730.2277999999999"/>
    <n v="64987.356167999998"/>
    <n v="65160.37894799999"/>
  </r>
  <r>
    <s v="FBTC"/>
    <n v="56.59"/>
    <n v="56.62"/>
    <x v="0"/>
    <n v="1148.8532"/>
    <n v="0"/>
    <n v="1148.8532"/>
    <n v="65013.602588000002"/>
    <n v="65048.068183999996"/>
  </r>
  <r>
    <s v="GBTC"/>
    <n v="50.45"/>
    <n v="50.48"/>
    <x v="0"/>
    <n v="1289.0615"/>
    <n v="0.05"/>
    <n v="1289.1115"/>
    <n v="65035.675175000004"/>
    <n v="65074.348519999992"/>
  </r>
  <r>
    <s v="HODL"/>
    <n v="18.38"/>
    <n v="18.41"/>
    <x v="0"/>
    <n v="3535.8029000000001"/>
    <n v="0"/>
    <n v="3535.8029000000001"/>
    <n v="64988.057302000001"/>
    <n v="65094.131389000002"/>
  </r>
  <r>
    <s v="IBIT"/>
    <n v="36.840000000000003"/>
    <n v="36.85"/>
    <x v="0"/>
    <n v="1765.0592999999999"/>
    <n v="0"/>
    <n v="1765.0592999999999"/>
    <n v="65024.784612000003"/>
    <n v="65042.435205000002"/>
  </r>
  <r>
    <s v="ARKB"/>
    <n v="21.56"/>
    <n v="21.57"/>
    <x v="1"/>
    <n v="3014.9488000000001"/>
    <n v="0"/>
    <n v="3014.9488000000001"/>
    <n v="65002.296128000002"/>
    <n v="65032.445616000005"/>
  </r>
  <r>
    <s v="BITB"/>
    <n v="35.29"/>
    <n v="35.299999999999997"/>
    <x v="1"/>
    <n v="1842.1205"/>
    <n v="0"/>
    <n v="1842.1205"/>
    <n v="65008.432444999999"/>
    <n v="65026.853649999997"/>
  </r>
  <r>
    <s v="BRRR"/>
    <n v="18.329999999999998"/>
    <n v="18.34"/>
    <x v="1"/>
    <n v="3546.5864999999999"/>
    <n v="0"/>
    <n v="3546.5864999999999"/>
    <n v="65008.930544999988"/>
    <n v="65044.396409999994"/>
  </r>
  <r>
    <s v="BTC"/>
    <n v="28.76"/>
    <n v="28.76"/>
    <x v="1"/>
    <n v="2261.3416000000002"/>
    <n v="-0.1"/>
    <n v="2261.2416000000003"/>
    <n v="65033.308416000014"/>
    <n v="65033.308416000014"/>
  </r>
  <r>
    <s v="BTCW"/>
    <n v="68.7"/>
    <n v="68.84"/>
    <x v="1"/>
    <n v="946.13639999999998"/>
    <n v="0"/>
    <n v="946.13639999999998"/>
    <n v="64999.570680000004"/>
    <n v="65132.029776000003"/>
  </r>
  <r>
    <s v="EZBC"/>
    <n v="37.56"/>
    <n v="37.590000000000003"/>
    <x v="1"/>
    <n v="1730.2277999999999"/>
    <n v="0"/>
    <n v="1730.2277999999999"/>
    <n v="64987.356167999998"/>
    <n v="65039.263002"/>
  </r>
  <r>
    <s v="FBTC"/>
    <n v="56.59"/>
    <n v="56.6"/>
    <x v="1"/>
    <n v="1148.8532"/>
    <n v="0"/>
    <n v="1148.8532"/>
    <n v="65013.602588000002"/>
    <n v="65025.091120000005"/>
  </r>
  <r>
    <s v="GBTC"/>
    <n v="50.44"/>
    <n v="50.45"/>
    <x v="1"/>
    <n v="1289.0615"/>
    <n v="0.05"/>
    <n v="1289.1115"/>
    <n v="65022.784059999998"/>
    <n v="65035.675175000004"/>
  </r>
  <r>
    <s v="HODL"/>
    <n v="18.38"/>
    <n v="18.39"/>
    <x v="1"/>
    <n v="3535.8029000000001"/>
    <n v="0"/>
    <n v="3535.8029000000001"/>
    <n v="64988.057302000001"/>
    <n v="65023.415331000004"/>
  </r>
  <r>
    <s v="IBIT"/>
    <n v="36.83"/>
    <n v="36.840000000000003"/>
    <x v="1"/>
    <n v="1765.0592999999999"/>
    <n v="0"/>
    <n v="1765.0592999999999"/>
    <n v="65007.13401899999"/>
    <n v="65024.784612000003"/>
  </r>
  <r>
    <s v="ARKB"/>
    <n v="21.68"/>
    <n v="21.69"/>
    <x v="2"/>
    <n v="3014.9488000000001"/>
    <n v="0"/>
    <n v="3014.9488000000001"/>
    <n v="65364.089983999998"/>
    <n v="65394.239472000008"/>
  </r>
  <r>
    <s v="BITB"/>
    <n v="35.5"/>
    <n v="35.51"/>
    <x v="2"/>
    <n v="1842.1205"/>
    <n v="0"/>
    <n v="1842.1205"/>
    <n v="65395.277750000001"/>
    <n v="65413.698954999993"/>
  </r>
  <r>
    <s v="BRRR"/>
    <n v="18.43"/>
    <n v="18.440000000000001"/>
    <x v="2"/>
    <n v="3546.5864999999999"/>
    <n v="0"/>
    <n v="3546.5864999999999"/>
    <n v="65363.589195"/>
    <n v="65399.055060000006"/>
  </r>
  <r>
    <s v="BTC"/>
    <n v="28.92"/>
    <n v="28.93"/>
    <x v="2"/>
    <n v="2261.3416000000002"/>
    <n v="-0.1"/>
    <n v="2261.2416000000003"/>
    <n v="65395.107072000013"/>
    <n v="65417.71948800001"/>
  </r>
  <r>
    <s v="BTCW"/>
    <n v="69.069999999999993"/>
    <n v="69.2"/>
    <x v="2"/>
    <n v="946.13639999999998"/>
    <n v="0"/>
    <n v="946.13639999999998"/>
    <n v="65349.641147999995"/>
    <n v="65472.638879999999"/>
  </r>
  <r>
    <s v="EZBC"/>
    <n v="37.78"/>
    <n v="37.799999999999997"/>
    <x v="2"/>
    <n v="1730.2277999999999"/>
    <n v="0"/>
    <n v="1730.2277999999999"/>
    <n v="65368.006283999996"/>
    <n v="65402.610839999994"/>
  </r>
  <r>
    <s v="FBTC"/>
    <n v="56.9"/>
    <n v="56.91"/>
    <x v="2"/>
    <n v="1148.8532"/>
    <n v="0"/>
    <n v="1148.8532"/>
    <n v="65369.747080000001"/>
    <n v="65381.235611999997"/>
  </r>
  <r>
    <s v="GBTC"/>
    <n v="50.73"/>
    <n v="50.74"/>
    <x v="2"/>
    <n v="1289.0615"/>
    <n v="0.05"/>
    <n v="1289.1115"/>
    <n v="65396.626394999992"/>
    <n v="65409.517509999998"/>
  </r>
  <r>
    <s v="HODL"/>
    <n v="18.489999999999998"/>
    <n v="18.5"/>
    <x v="2"/>
    <n v="3535.8029000000001"/>
    <n v="0"/>
    <n v="3535.8029000000001"/>
    <n v="65376.995620999995"/>
    <n v="65412.353650000005"/>
  </r>
  <r>
    <s v="IBIT"/>
    <n v="37.04"/>
    <n v="37.049999999999997"/>
    <x v="2"/>
    <n v="1765.0592999999999"/>
    <n v="0"/>
    <n v="1765.0592999999999"/>
    <n v="65377.796471999995"/>
    <n v="65395.447064999993"/>
  </r>
  <r>
    <s v="ARKB"/>
    <n v="21.68"/>
    <n v="21.69"/>
    <x v="3"/>
    <n v="3014.9488000000001"/>
    <n v="0"/>
    <n v="3014.9488000000001"/>
    <n v="65364.089983999998"/>
    <n v="65394.239472000008"/>
  </r>
  <r>
    <s v="BITB"/>
    <n v="35.49"/>
    <n v="35.5"/>
    <x v="3"/>
    <n v="1842.1205"/>
    <n v="0"/>
    <n v="1842.1205"/>
    <n v="65376.856545000002"/>
    <n v="65395.277750000001"/>
  </r>
  <r>
    <s v="BRRR"/>
    <n v="18.43"/>
    <n v="18.440000000000001"/>
    <x v="3"/>
    <n v="3546.5864999999999"/>
    <n v="0"/>
    <n v="3546.5864999999999"/>
    <n v="65363.589195"/>
    <n v="65399.055060000006"/>
  </r>
  <r>
    <s v="BTC"/>
    <n v="28.91"/>
    <n v="28.92"/>
    <x v="3"/>
    <n v="2261.3416000000002"/>
    <n v="-0.1"/>
    <n v="2261.2416000000003"/>
    <n v="65372.49465600001"/>
    <n v="65395.107072000013"/>
  </r>
  <r>
    <s v="BTCW"/>
    <n v="69.09"/>
    <n v="69.209999999999994"/>
    <x v="3"/>
    <n v="946.13639999999998"/>
    <n v="0"/>
    <n v="946.13639999999998"/>
    <n v="65368.563876"/>
    <n v="65482.100243999994"/>
  </r>
  <r>
    <s v="EZBC"/>
    <n v="37.78"/>
    <n v="37.81"/>
    <x v="3"/>
    <n v="1730.2277999999999"/>
    <n v="0"/>
    <n v="1730.2277999999999"/>
    <n v="65368.006283999996"/>
    <n v="65419.913117999997"/>
  </r>
  <r>
    <s v="FBTC"/>
    <n v="56.89"/>
    <n v="56.9"/>
    <x v="3"/>
    <n v="1148.8532"/>
    <n v="0"/>
    <n v="1148.8532"/>
    <n v="65358.258547999998"/>
    <n v="65369.747080000001"/>
  </r>
  <r>
    <s v="GBTC"/>
    <n v="50.72"/>
    <n v="50.73"/>
    <x v="3"/>
    <n v="1289.0615"/>
    <n v="0.05"/>
    <n v="1289.1115"/>
    <n v="65383.735280000001"/>
    <n v="65396.626394999992"/>
  </r>
  <r>
    <s v="HODL"/>
    <n v="18.489999999999998"/>
    <n v="18.5"/>
    <x v="3"/>
    <n v="3535.8029000000001"/>
    <n v="0"/>
    <n v="3535.8029000000001"/>
    <n v="65376.995620999995"/>
    <n v="65412.353650000005"/>
  </r>
  <r>
    <s v="IBIT"/>
    <n v="37.04"/>
    <n v="37.049999999999997"/>
    <x v="3"/>
    <n v="1765.0592999999999"/>
    <n v="0"/>
    <n v="1765.0592999999999"/>
    <n v="65377.796471999995"/>
    <n v="65395.447064999993"/>
  </r>
  <r>
    <s v="ARKB"/>
    <n v="21.61"/>
    <n v="21.62"/>
    <x v="4"/>
    <n v="3014.9488000000001"/>
    <n v="0"/>
    <n v="3014.9488000000001"/>
    <n v="65153.043568000001"/>
    <n v="65183.193056000004"/>
  </r>
  <r>
    <s v="BITB"/>
    <n v="35.369999999999997"/>
    <n v="35.380000000000003"/>
    <x v="4"/>
    <n v="1842.1205"/>
    <n v="0"/>
    <n v="1842.1205"/>
    <n v="65155.802084999996"/>
    <n v="65174.223290000002"/>
  </r>
  <r>
    <s v="BRRR"/>
    <n v="18.37"/>
    <n v="18.38"/>
    <x v="4"/>
    <n v="3546.5864999999999"/>
    <n v="0"/>
    <n v="3546.5864999999999"/>
    <n v="65150.794005000003"/>
    <n v="65186.259869999994"/>
  </r>
  <r>
    <s v="BTC"/>
    <n v="28.81"/>
    <n v="28.82"/>
    <x v="4"/>
    <n v="2261.3416000000002"/>
    <n v="-0.1"/>
    <n v="2261.2416000000003"/>
    <n v="65146.370496000003"/>
    <n v="65168.982912000007"/>
  </r>
  <r>
    <s v="BTCW"/>
    <n v="68.87"/>
    <n v="69"/>
    <x v="4"/>
    <n v="946.13639999999998"/>
    <n v="0"/>
    <n v="946.13639999999998"/>
    <n v="65160.413868000003"/>
    <n v="65283.411599999999"/>
  </r>
  <r>
    <s v="EZBC"/>
    <n v="37.65"/>
    <n v="37.67"/>
    <x v="4"/>
    <n v="1730.2277999999999"/>
    <n v="0"/>
    <n v="1730.2277999999999"/>
    <n v="65143.076669999995"/>
    <n v="65177.681226000001"/>
  </r>
  <r>
    <s v="FBTC"/>
    <n v="56.7"/>
    <n v="56.71"/>
    <x v="4"/>
    <n v="1148.8532"/>
    <n v="0"/>
    <n v="1148.8532"/>
    <n v="65139.976440000006"/>
    <n v="65151.464972000002"/>
  </r>
  <r>
    <s v="GBTC"/>
    <n v="50.54"/>
    <n v="50.55"/>
    <x v="4"/>
    <n v="1289.0615"/>
    <n v="0.05"/>
    <n v="1289.1115"/>
    <n v="65151.695209999998"/>
    <n v="65164.586324999997"/>
  </r>
  <r>
    <s v="HODL"/>
    <n v="18.420000000000002"/>
    <n v="18.43"/>
    <x v="4"/>
    <n v="3535.8029000000001"/>
    <n v="0"/>
    <n v="3535.8029000000001"/>
    <n v="65129.489418000012"/>
    <n v="65164.847447"/>
  </r>
  <r>
    <s v="IBIT"/>
    <n v="36.909999999999997"/>
    <n v="36.92"/>
    <x v="4"/>
    <n v="1765.0592999999999"/>
    <n v="0"/>
    <n v="1765.0592999999999"/>
    <n v="65148.338762999992"/>
    <n v="65165.989355999998"/>
  </r>
  <r>
    <s v="ARKB"/>
    <n v="21.5"/>
    <n v="21.51"/>
    <x v="5"/>
    <n v="3014.9488000000001"/>
    <n v="0"/>
    <n v="3014.9488000000001"/>
    <n v="64821.3992"/>
    <n v="64851.54868800001"/>
  </r>
  <r>
    <s v="BITB"/>
    <n v="35.200000000000003"/>
    <n v="35.21"/>
    <x v="5"/>
    <n v="1842.1205"/>
    <n v="0"/>
    <n v="1842.1205"/>
    <n v="64842.641600000003"/>
    <n v="64861.062805000001"/>
  </r>
  <r>
    <s v="BRRR"/>
    <n v="18.27"/>
    <n v="18.28"/>
    <x v="5"/>
    <n v="3546.5864999999999"/>
    <n v="0"/>
    <n v="3546.5864999999999"/>
    <n v="64796.135354999999"/>
    <n v="64831.601220000004"/>
  </r>
  <r>
    <s v="BTC"/>
    <n v="28.67"/>
    <n v="28.68"/>
    <x v="5"/>
    <n v="2261.3416000000002"/>
    <n v="-0.1"/>
    <n v="2261.2416000000003"/>
    <n v="64829.796672000011"/>
    <n v="64852.409088000008"/>
  </r>
  <r>
    <s v="BTCW"/>
    <n v="68.489999999999995"/>
    <n v="68.599999999999994"/>
    <x v="5"/>
    <n v="946.13639999999998"/>
    <n v="0"/>
    <n v="946.13639999999998"/>
    <n v="64800.882035999995"/>
    <n v="64904.957039999994"/>
  </r>
  <r>
    <s v="EZBC"/>
    <n v="37.46"/>
    <n v="37.49"/>
    <x v="5"/>
    <n v="1730.2277999999999"/>
    <n v="0"/>
    <n v="1730.2277999999999"/>
    <n v="64814.333387999999"/>
    <n v="64866.240222"/>
  </r>
  <r>
    <s v="FBTC"/>
    <n v="56.42"/>
    <n v="56.43"/>
    <x v="5"/>
    <n v="1148.8532"/>
    <n v="0"/>
    <n v="1148.8532"/>
    <n v="64818.297544000001"/>
    <n v="64829.786076000004"/>
  </r>
  <r>
    <s v="GBTC"/>
    <n v="50.3"/>
    <n v="50.31"/>
    <x v="5"/>
    <n v="1289.0615"/>
    <n v="0.05"/>
    <n v="1289.1115"/>
    <n v="64842.308449999997"/>
    <n v="64855.199565000003"/>
  </r>
  <r>
    <s v="HODL"/>
    <n v="18.329999999999998"/>
    <n v="18.34"/>
    <x v="5"/>
    <n v="3535.8029000000001"/>
    <n v="0"/>
    <n v="3535.8029000000001"/>
    <n v="64811.267156999995"/>
    <n v="64846.625186000005"/>
  </r>
  <r>
    <s v="IBIT"/>
    <n v="36.729999999999997"/>
    <n v="36.74"/>
    <x v="5"/>
    <n v="1765.0592999999999"/>
    <n v="0"/>
    <n v="1765.0592999999999"/>
    <n v="64830.628088999991"/>
    <n v="64848.278681999996"/>
  </r>
  <r>
    <s v="ARKB"/>
    <n v="21.51"/>
    <n v="21.52"/>
    <x v="6"/>
    <n v="3014.9488000000001"/>
    <n v="0"/>
    <n v="3014.9488000000001"/>
    <n v="64851.54868800001"/>
    <n v="64881.698175999998"/>
  </r>
  <r>
    <s v="BITB"/>
    <n v="35.21"/>
    <n v="35.22"/>
    <x v="6"/>
    <n v="1842.1205"/>
    <n v="0"/>
    <n v="1842.1205"/>
    <n v="64861.062805000001"/>
    <n v="64879.48401"/>
  </r>
  <r>
    <s v="BRRR"/>
    <n v="18.28"/>
    <n v="18.29"/>
    <x v="6"/>
    <n v="3546.5864999999999"/>
    <n v="0"/>
    <n v="3546.5864999999999"/>
    <n v="64831.601220000004"/>
    <n v="64867.067084999995"/>
  </r>
  <r>
    <s v="BTC"/>
    <n v="28.68"/>
    <n v="28.69"/>
    <x v="6"/>
    <n v="2261.3416000000002"/>
    <n v="-0.1"/>
    <n v="2261.2416000000003"/>
    <n v="64852.409088000008"/>
    <n v="64875.021504000011"/>
  </r>
  <r>
    <s v="BTCW"/>
    <n v="68.510000000000005"/>
    <n v="68.650000000000006"/>
    <x v="6"/>
    <n v="946.13639999999998"/>
    <n v="0"/>
    <n v="946.13639999999998"/>
    <n v="64819.804764"/>
    <n v="64952.263860000006"/>
  </r>
  <r>
    <s v="EZBC"/>
    <n v="37.49"/>
    <n v="37.51"/>
    <x v="6"/>
    <n v="1730.2277999999999"/>
    <n v="0"/>
    <n v="1730.2277999999999"/>
    <n v="64866.240222"/>
    <n v="64900.844777999991"/>
  </r>
  <r>
    <s v="FBTC"/>
    <n v="56.45"/>
    <n v="56.46"/>
    <x v="6"/>
    <n v="1148.8532"/>
    <n v="0"/>
    <n v="1148.8532"/>
    <n v="64852.763140000003"/>
    <n v="64864.251671999999"/>
  </r>
  <r>
    <s v="GBTC"/>
    <n v="50.32"/>
    <n v="50.33"/>
    <x v="6"/>
    <n v="1289.0615"/>
    <n v="0.05"/>
    <n v="1289.1115"/>
    <n v="64868.090680000001"/>
    <n v="64880.981795"/>
  </r>
  <r>
    <s v="HODL"/>
    <n v="18.34"/>
    <n v="18.350000000000001"/>
    <x v="6"/>
    <n v="3535.8029000000001"/>
    <n v="0"/>
    <n v="3535.8029000000001"/>
    <n v="64846.625186000005"/>
    <n v="64881.983215000007"/>
  </r>
  <r>
    <s v="IBIT"/>
    <n v="36.74"/>
    <n v="36.75"/>
    <x v="6"/>
    <n v="1765.0592999999999"/>
    <n v="0"/>
    <n v="1765.0592999999999"/>
    <n v="64848.278681999996"/>
    <n v="64865.929274999995"/>
  </r>
  <r>
    <s v="ARKB"/>
    <n v="21.55"/>
    <n v="21.56"/>
    <x v="7"/>
    <n v="3014.9488000000001"/>
    <n v="0"/>
    <n v="3014.9488000000001"/>
    <n v="64972.146640000006"/>
    <n v="65002.296128000002"/>
  </r>
  <r>
    <s v="BITB"/>
    <n v="35.28"/>
    <n v="35.29"/>
    <x v="7"/>
    <n v="1842.1205"/>
    <n v="0"/>
    <n v="1842.1205"/>
    <n v="64990.01124"/>
    <n v="65008.432444999999"/>
  </r>
  <r>
    <s v="BRRR"/>
    <n v="18.32"/>
    <n v="18.329999999999998"/>
    <x v="7"/>
    <n v="3546.5864999999999"/>
    <n v="0"/>
    <n v="3546.5864999999999"/>
    <n v="64973.464679999997"/>
    <n v="65008.930544999988"/>
  </r>
  <r>
    <s v="BTC"/>
    <n v="28.74"/>
    <n v="28.75"/>
    <x v="7"/>
    <n v="2261.3416000000002"/>
    <n v="-0.1"/>
    <n v="2261.2416000000003"/>
    <n v="64988.083584000007"/>
    <n v="65010.696000000011"/>
  </r>
  <r>
    <s v="BTCW"/>
    <n v="68.63"/>
    <n v="68.760000000000005"/>
    <x v="7"/>
    <n v="946.13639999999998"/>
    <n v="0"/>
    <n v="946.13639999999998"/>
    <n v="64933.341131999994"/>
    <n v="65056.338864000005"/>
  </r>
  <r>
    <s v="EZBC"/>
    <n v="37.56"/>
    <n v="37.58"/>
    <x v="7"/>
    <n v="1730.2277999999999"/>
    <n v="0"/>
    <n v="1730.2277999999999"/>
    <n v="64987.356167999998"/>
    <n v="65021.96072399999"/>
  </r>
  <r>
    <s v="FBTC"/>
    <n v="56.56"/>
    <n v="56.57"/>
    <x v="7"/>
    <n v="1148.8532"/>
    <n v="0"/>
    <n v="1148.8532"/>
    <n v="64979.136992000007"/>
    <n v="64990.625524000003"/>
  </r>
  <r>
    <s v="GBTC"/>
    <n v="50.43"/>
    <n v="50.44"/>
    <x v="7"/>
    <n v="1289.0615"/>
    <n v="0.05"/>
    <n v="1289.1115"/>
    <n v="65009.892945"/>
    <n v="65022.784059999998"/>
  </r>
  <r>
    <s v="HODL"/>
    <n v="18.38"/>
    <n v="18.39"/>
    <x v="7"/>
    <n v="3535.8029000000001"/>
    <n v="0"/>
    <n v="3535.8029000000001"/>
    <n v="64988.057302000001"/>
    <n v="65023.415331000004"/>
  </r>
  <r>
    <s v="IBIT"/>
    <n v="36.82"/>
    <n v="36.83"/>
    <x v="7"/>
    <n v="1765.0592999999999"/>
    <n v="0"/>
    <n v="1765.0592999999999"/>
    <n v="64989.483425999999"/>
    <n v="65007.13401899999"/>
  </r>
  <r>
    <s v="ARKB"/>
    <n v="21.54"/>
    <n v="21.55"/>
    <x v="8"/>
    <n v="3014.9488000000001"/>
    <n v="0"/>
    <n v="3014.9488000000001"/>
    <n v="64941.997152000004"/>
    <n v="64972.146640000006"/>
  </r>
  <r>
    <s v="BITB"/>
    <n v="35.26"/>
    <n v="35.270000000000003"/>
    <x v="8"/>
    <n v="1842.1205"/>
    <n v="0"/>
    <n v="1842.1205"/>
    <n v="64953.168829999995"/>
    <n v="64971.590035000008"/>
  </r>
  <r>
    <s v="BRRR"/>
    <n v="18.309999999999999"/>
    <n v="18.32"/>
    <x v="8"/>
    <n v="3546.5864999999999"/>
    <n v="0"/>
    <n v="3546.5864999999999"/>
    <n v="64937.998814999992"/>
    <n v="64973.464679999997"/>
  </r>
  <r>
    <s v="BTC"/>
    <n v="28.73"/>
    <n v="28.74"/>
    <x v="8"/>
    <n v="2261.3416000000002"/>
    <n v="-0.1"/>
    <n v="2261.2416000000003"/>
    <n v="64965.471168000011"/>
    <n v="64988.083584000007"/>
  </r>
  <r>
    <s v="BTCW"/>
    <n v="68.61"/>
    <n v="68.73"/>
    <x v="8"/>
    <n v="946.13639999999998"/>
    <n v="0"/>
    <n v="946.13639999999998"/>
    <n v="64914.418403999996"/>
    <n v="65027.954772000005"/>
  </r>
  <r>
    <s v="EZBC"/>
    <n v="37.54"/>
    <n v="37.56"/>
    <x v="8"/>
    <n v="1730.2277999999999"/>
    <n v="0"/>
    <n v="1730.2277999999999"/>
    <n v="64952.751611999993"/>
    <n v="64987.356167999998"/>
  </r>
  <r>
    <s v="FBTC"/>
    <n v="56.53"/>
    <n v="56.54"/>
    <x v="8"/>
    <n v="1148.8532"/>
    <n v="0"/>
    <n v="1148.8532"/>
    <n v="64944.671396000005"/>
    <n v="64956.159928000001"/>
  </r>
  <r>
    <s v="GBTC"/>
    <n v="50.4"/>
    <n v="50.41"/>
    <x v="8"/>
    <n v="1289.0615"/>
    <n v="0.05"/>
    <n v="1289.1115"/>
    <n v="64971.219599999997"/>
    <n v="64984.110714999995"/>
  </r>
  <r>
    <s v="HODL"/>
    <n v="18.37"/>
    <n v="18.38"/>
    <x v="8"/>
    <n v="3535.8029000000001"/>
    <n v="0"/>
    <n v="3535.8029000000001"/>
    <n v="64952.699273000006"/>
    <n v="64988.057302000001"/>
  </r>
  <r>
    <s v="IBIT"/>
    <n v="36.799999999999997"/>
    <n v="36.81"/>
    <x v="8"/>
    <n v="1765.0592999999999"/>
    <n v="0"/>
    <n v="1765.0592999999999"/>
    <n v="64954.182239999995"/>
    <n v="64971.832833"/>
  </r>
  <r>
    <s v="ARKB"/>
    <n v="21.54"/>
    <n v="21.55"/>
    <x v="9"/>
    <n v="3014.9488000000001"/>
    <n v="0"/>
    <n v="3014.9488000000001"/>
    <n v="64941.997152000004"/>
    <n v="64972.146640000006"/>
  </r>
  <r>
    <s v="BITB"/>
    <n v="35.270000000000003"/>
    <n v="35.28"/>
    <x v="9"/>
    <n v="1842.1205"/>
    <n v="0"/>
    <n v="1842.1205"/>
    <n v="64971.590035000008"/>
    <n v="64990.01124"/>
  </r>
  <r>
    <s v="BRRR"/>
    <n v="18.32"/>
    <n v="18.329999999999998"/>
    <x v="9"/>
    <n v="3546.5864999999999"/>
    <n v="0"/>
    <n v="3546.5864999999999"/>
    <n v="64973.464679999997"/>
    <n v="65008.930544999988"/>
  </r>
  <r>
    <s v="BTC"/>
    <n v="28.73"/>
    <n v="28.74"/>
    <x v="9"/>
    <n v="2261.3416000000002"/>
    <n v="-0.1"/>
    <n v="2261.2416000000003"/>
    <n v="64965.471168000011"/>
    <n v="64988.083584000007"/>
  </r>
  <r>
    <s v="BTCW"/>
    <n v="68.63"/>
    <n v="68.75"/>
    <x v="9"/>
    <n v="946.13639999999998"/>
    <n v="0"/>
    <n v="946.13639999999998"/>
    <n v="64933.341131999994"/>
    <n v="65046.877499999995"/>
  </r>
  <r>
    <s v="EZBC"/>
    <n v="37.53"/>
    <n v="37.56"/>
    <x v="9"/>
    <n v="1730.2277999999999"/>
    <n v="0"/>
    <n v="1730.2277999999999"/>
    <n v="64935.449333999997"/>
    <n v="64987.356167999998"/>
  </r>
  <r>
    <s v="FBTC"/>
    <n v="56.53"/>
    <n v="56.55"/>
    <x v="9"/>
    <n v="1148.8532"/>
    <n v="0"/>
    <n v="1148.8532"/>
    <n v="64944.671396000005"/>
    <n v="64967.648459999997"/>
  </r>
  <r>
    <s v="GBTC"/>
    <n v="50.4"/>
    <n v="50.41"/>
    <x v="9"/>
    <n v="1289.0615"/>
    <n v="0.05"/>
    <n v="1289.1115"/>
    <n v="64971.219599999997"/>
    <n v="64984.110714999995"/>
  </r>
  <r>
    <s v="HODL"/>
    <n v="18.37"/>
    <n v="18.38"/>
    <x v="9"/>
    <n v="3535.8029000000001"/>
    <n v="0"/>
    <n v="3535.8029000000001"/>
    <n v="64952.699273000006"/>
    <n v="64988.057302000001"/>
  </r>
  <r>
    <s v="IBIT"/>
    <n v="36.799999999999997"/>
    <n v="36.81"/>
    <x v="9"/>
    <n v="1765.0592999999999"/>
    <n v="0"/>
    <n v="1765.0592999999999"/>
    <n v="64954.182239999995"/>
    <n v="64971.832833"/>
  </r>
  <r>
    <s v="ARKB"/>
    <n v="21.54"/>
    <n v="21.55"/>
    <x v="10"/>
    <n v="3014.9488000000001"/>
    <n v="0"/>
    <n v="3014.9488000000001"/>
    <n v="64941.997152000004"/>
    <n v="64972.146640000006"/>
  </r>
  <r>
    <s v="BITB"/>
    <n v="35.26"/>
    <n v="35.270000000000003"/>
    <x v="10"/>
    <n v="1842.1205"/>
    <n v="0"/>
    <n v="1842.1205"/>
    <n v="64953.168829999995"/>
    <n v="64971.590035000008"/>
  </r>
  <r>
    <s v="BRRR"/>
    <n v="18.309999999999999"/>
    <n v="18.32"/>
    <x v="10"/>
    <n v="3546.5864999999999"/>
    <n v="0"/>
    <n v="3546.5864999999999"/>
    <n v="64937.998814999992"/>
    <n v="64973.464679999997"/>
  </r>
  <r>
    <s v="BTC"/>
    <n v="28.73"/>
    <n v="28.74"/>
    <x v="10"/>
    <n v="2261.3416000000002"/>
    <n v="-0.1"/>
    <n v="2261.2416000000003"/>
    <n v="64965.471168000011"/>
    <n v="64988.083584000007"/>
  </r>
  <r>
    <s v="BTCW"/>
    <n v="68.63"/>
    <n v="68.760000000000005"/>
    <x v="10"/>
    <n v="946.13639999999998"/>
    <n v="0"/>
    <n v="946.13639999999998"/>
    <n v="64933.341131999994"/>
    <n v="65056.338864000005"/>
  </r>
  <r>
    <s v="EZBC"/>
    <n v="37.53"/>
    <n v="37.56"/>
    <x v="10"/>
    <n v="1730.2277999999999"/>
    <n v="0"/>
    <n v="1730.2277999999999"/>
    <n v="64935.449333999997"/>
    <n v="64987.356167999998"/>
  </r>
  <r>
    <s v="FBTC"/>
    <n v="56.52"/>
    <n v="56.53"/>
    <x v="10"/>
    <n v="1148.8532"/>
    <n v="0"/>
    <n v="1148.8532"/>
    <n v="64933.182864000002"/>
    <n v="64944.671396000005"/>
  </r>
  <r>
    <s v="GBTC"/>
    <n v="50.39"/>
    <n v="50.4"/>
    <x v="10"/>
    <n v="1289.0615"/>
    <n v="0.05"/>
    <n v="1289.1115"/>
    <n v="64958.328484999998"/>
    <n v="64971.219599999997"/>
  </r>
  <r>
    <s v="HODL"/>
    <n v="18.37"/>
    <n v="18.38"/>
    <x v="10"/>
    <n v="3535.8029000000001"/>
    <n v="0"/>
    <n v="3535.8029000000001"/>
    <n v="64952.699273000006"/>
    <n v="64988.057302000001"/>
  </r>
  <r>
    <s v="IBIT"/>
    <n v="36.79"/>
    <n v="36.799999999999997"/>
    <x v="10"/>
    <n v="1765.0592999999999"/>
    <n v="0"/>
    <n v="1765.0592999999999"/>
    <n v="64936.531646999996"/>
    <n v="64954.182239999995"/>
  </r>
  <r>
    <s v="ARKB"/>
    <n v="21.45"/>
    <n v="21.46"/>
    <x v="11"/>
    <n v="3014.9488000000001"/>
    <n v="0"/>
    <n v="3014.9488000000001"/>
    <n v="64670.651760000001"/>
    <n v="64700.801248000003"/>
  </r>
  <r>
    <s v="BITB"/>
    <n v="35.11"/>
    <n v="35.119999999999997"/>
    <x v="11"/>
    <n v="1842.1205"/>
    <n v="0"/>
    <n v="1842.1205"/>
    <n v="64676.850754999999"/>
    <n v="64695.271959999998"/>
  </r>
  <r>
    <s v="BRRR"/>
    <n v="18.23"/>
    <n v="18.239999999999998"/>
    <x v="11"/>
    <n v="3546.5864999999999"/>
    <n v="0"/>
    <n v="3546.5864999999999"/>
    <n v="64654.271894999998"/>
    <n v="64689.737759999989"/>
  </r>
  <r>
    <s v="BTC"/>
    <n v="28.61"/>
    <n v="28.62"/>
    <x v="11"/>
    <n v="2261.3416000000002"/>
    <n v="-0.1"/>
    <n v="2261.2416000000003"/>
    <n v="64694.122176000004"/>
    <n v="64716.734592000008"/>
  </r>
  <r>
    <s v="BTCW"/>
    <n v="68.33"/>
    <n v="68.45"/>
    <x v="11"/>
    <n v="946.13639999999998"/>
    <n v="0"/>
    <n v="946.13639999999998"/>
    <n v="64649.500211999999"/>
    <n v="64763.03658"/>
  </r>
  <r>
    <s v="EZBC"/>
    <n v="37.39"/>
    <n v="37.4"/>
    <x v="11"/>
    <n v="1730.2277999999999"/>
    <n v="0"/>
    <n v="1730.2277999999999"/>
    <n v="64693.217441999994"/>
    <n v="64710.519719999997"/>
  </r>
  <r>
    <s v="FBTC"/>
    <n v="56.29"/>
    <n v="56.3"/>
    <x v="11"/>
    <n v="1148.8532"/>
    <n v="0"/>
    <n v="1148.8532"/>
    <n v="64668.946627999998"/>
    <n v="64680.435160000001"/>
  </r>
  <r>
    <s v="GBTC"/>
    <n v="50.18"/>
    <n v="50.19"/>
    <x v="11"/>
    <n v="1289.0615"/>
    <n v="0.05"/>
    <n v="1289.1115"/>
    <n v="64687.61507"/>
    <n v="64700.506184999998"/>
  </r>
  <r>
    <s v="HODL"/>
    <n v="18.29"/>
    <n v="18.3"/>
    <x v="11"/>
    <n v="3535.8029000000001"/>
    <n v="0"/>
    <n v="3535.8029000000001"/>
    <n v="64669.835040999998"/>
    <n v="64705.193070000008"/>
  </r>
  <r>
    <s v="IBIT"/>
    <n v="36.64"/>
    <n v="36.65"/>
    <x v="11"/>
    <n v="1765.0592999999999"/>
    <n v="0"/>
    <n v="1765.0592999999999"/>
    <n v="64671.772751999997"/>
    <n v="64689.423344999996"/>
  </r>
  <r>
    <s v="ARKB"/>
    <n v="21.42"/>
    <n v="21.43"/>
    <x v="12"/>
    <n v="3014.9488000000001"/>
    <n v="0"/>
    <n v="3014.9488000000001"/>
    <n v="64580.203296000007"/>
    <n v="64610.352784000002"/>
  </r>
  <r>
    <s v="BITB"/>
    <n v="35.06"/>
    <n v="35.07"/>
    <x v="12"/>
    <n v="1842.1205"/>
    <n v="0"/>
    <n v="1842.1205"/>
    <n v="64584.744730000006"/>
    <n v="64603.165934999997"/>
  </r>
  <r>
    <s v="BRRR"/>
    <n v="18.21"/>
    <n v="18.22"/>
    <x v="12"/>
    <n v="3546.5864999999999"/>
    <n v="0"/>
    <n v="3546.5864999999999"/>
    <n v="64583.340165000001"/>
    <n v="64618.806029999992"/>
  </r>
  <r>
    <s v="BTC"/>
    <n v="28.56"/>
    <n v="28.57"/>
    <x v="12"/>
    <n v="2261.3416000000002"/>
    <n v="-0.1"/>
    <n v="2261.2416000000003"/>
    <n v="64581.060096000008"/>
    <n v="64603.672512000012"/>
  </r>
  <r>
    <s v="BTCW"/>
    <n v="68.209999999999994"/>
    <n v="68.31"/>
    <x v="12"/>
    <n v="946.13639999999998"/>
    <n v="0"/>
    <n v="946.13639999999998"/>
    <n v="64535.963843999991"/>
    <n v="64630.577484000001"/>
  </r>
  <r>
    <s v="EZBC"/>
    <n v="37.31"/>
    <n v="37.340000000000003"/>
    <x v="12"/>
    <n v="1730.2277999999999"/>
    <n v="0"/>
    <n v="1730.2277999999999"/>
    <n v="64554.799218"/>
    <n v="64606.706052000001"/>
  </r>
  <r>
    <s v="FBTC"/>
    <n v="56.2"/>
    <n v="56.21"/>
    <x v="12"/>
    <n v="1148.8532"/>
    <n v="0"/>
    <n v="1148.8532"/>
    <n v="64565.549840000007"/>
    <n v="64577.038372000003"/>
  </r>
  <r>
    <s v="GBTC"/>
    <n v="50.1"/>
    <n v="50.11"/>
    <x v="12"/>
    <n v="1289.0615"/>
    <n v="0.05"/>
    <n v="1289.1115"/>
    <n v="64584.486150000004"/>
    <n v="64597.377264999996"/>
  </r>
  <r>
    <s v="HODL"/>
    <n v="18.260000000000002"/>
    <n v="18.27"/>
    <x v="12"/>
    <n v="3535.8029000000001"/>
    <n v="0"/>
    <n v="3535.8029000000001"/>
    <n v="64563.760954000005"/>
    <n v="64599.118983"/>
  </r>
  <r>
    <s v="IBIT"/>
    <n v="36.58"/>
    <n v="36.590000000000003"/>
    <x v="12"/>
    <n v="1765.0592999999999"/>
    <n v="0"/>
    <n v="1765.0592999999999"/>
    <n v="64565.869193999992"/>
    <n v="64583.519787000005"/>
  </r>
  <r>
    <s v="ARKB"/>
    <n v="21.42"/>
    <n v="21.43"/>
    <x v="13"/>
    <n v="3014.9488000000001"/>
    <n v="0"/>
    <n v="3014.9488000000001"/>
    <n v="64580.203296000007"/>
    <n v="64610.352784000002"/>
  </r>
  <r>
    <s v="BITB"/>
    <n v="35.06"/>
    <n v="35.07"/>
    <x v="13"/>
    <n v="1842.1205"/>
    <n v="0"/>
    <n v="1842.1205"/>
    <n v="64584.744730000006"/>
    <n v="64603.165934999997"/>
  </r>
  <r>
    <s v="BRRR"/>
    <n v="18.21"/>
    <n v="18.22"/>
    <x v="13"/>
    <n v="3546.5864999999999"/>
    <n v="0"/>
    <n v="3546.5864999999999"/>
    <n v="64583.340165000001"/>
    <n v="64618.806029999992"/>
  </r>
  <r>
    <s v="BTC"/>
    <n v="28.56"/>
    <n v="28.57"/>
    <x v="13"/>
    <n v="2261.3416000000002"/>
    <n v="-0.1"/>
    <n v="2261.2416000000003"/>
    <n v="64581.060096000008"/>
    <n v="64603.672512000012"/>
  </r>
  <r>
    <s v="BTCW"/>
    <n v="68.23"/>
    <n v="68.36"/>
    <x v="13"/>
    <n v="946.13639999999998"/>
    <n v="0"/>
    <n v="946.13639999999998"/>
    <n v="64554.886572000003"/>
    <n v="64677.884303999999"/>
  </r>
  <r>
    <s v="EZBC"/>
    <n v="37.32"/>
    <n v="37.35"/>
    <x v="13"/>
    <n v="1730.2277999999999"/>
    <n v="0"/>
    <n v="1730.2277999999999"/>
    <n v="64572.101495999996"/>
    <n v="64624.008329999997"/>
  </r>
  <r>
    <s v="FBTC"/>
    <n v="56.21"/>
    <n v="56.22"/>
    <x v="13"/>
    <n v="1148.8532"/>
    <n v="0"/>
    <n v="1148.8532"/>
    <n v="64577.038372000003"/>
    <n v="64588.526903999998"/>
  </r>
  <r>
    <s v="GBTC"/>
    <n v="50.1"/>
    <n v="50.11"/>
    <x v="13"/>
    <n v="1289.0615"/>
    <n v="0.05"/>
    <n v="1289.1115"/>
    <n v="64584.486150000004"/>
    <n v="64597.377264999996"/>
  </r>
  <r>
    <s v="HODL"/>
    <n v="18.260000000000002"/>
    <n v="18.27"/>
    <x v="13"/>
    <n v="3535.8029000000001"/>
    <n v="0"/>
    <n v="3535.8029000000001"/>
    <n v="64563.760954000005"/>
    <n v="64599.118983"/>
  </r>
  <r>
    <s v="IBIT"/>
    <n v="36.58"/>
    <n v="36.590000000000003"/>
    <x v="13"/>
    <n v="1765.0592999999999"/>
    <n v="0"/>
    <n v="1765.0592999999999"/>
    <n v="64565.869193999992"/>
    <n v="64583.519787000005"/>
  </r>
  <r>
    <s v="ARKB"/>
    <n v="21.39"/>
    <n v="21.4"/>
    <x v="14"/>
    <n v="3014.9488000000001"/>
    <n v="0"/>
    <n v="3014.9488000000001"/>
    <n v="64489.754832000006"/>
    <n v="64519.904320000001"/>
  </r>
  <r>
    <s v="BITB"/>
    <n v="35.01"/>
    <n v="35.020000000000003"/>
    <x v="14"/>
    <n v="1842.1205"/>
    <n v="0"/>
    <n v="1842.1205"/>
    <n v="64492.638704999998"/>
    <n v="64511.059910000004"/>
  </r>
  <r>
    <s v="BRRR"/>
    <n v="18.18"/>
    <n v="18.190000000000001"/>
    <x v="14"/>
    <n v="3546.5864999999999"/>
    <n v="0"/>
    <n v="3546.5864999999999"/>
    <n v="64476.942569999999"/>
    <n v="64512.408435000005"/>
  </r>
  <r>
    <s v="BTC"/>
    <n v="28.52"/>
    <n v="28.53"/>
    <x v="14"/>
    <n v="2261.3416000000002"/>
    <n v="-0.1"/>
    <n v="2261.2416000000003"/>
    <n v="64490.610432000009"/>
    <n v="64513.222848000012"/>
  </r>
  <r>
    <s v="BTCW"/>
    <n v="68.11"/>
    <n v="68.22"/>
    <x v="14"/>
    <n v="946.13639999999998"/>
    <n v="0"/>
    <n v="946.13639999999998"/>
    <n v="64441.350203999995"/>
    <n v="64545.425208000001"/>
  </r>
  <r>
    <s v="EZBC"/>
    <n v="37.26"/>
    <n v="37.29"/>
    <x v="14"/>
    <n v="1730.2277999999999"/>
    <n v="0"/>
    <n v="1730.2277999999999"/>
    <n v="64468.287827999993"/>
    <n v="64520.194661999994"/>
  </r>
  <r>
    <s v="FBTC"/>
    <n v="56.12"/>
    <n v="56.13"/>
    <x v="14"/>
    <n v="1148.8532"/>
    <n v="0"/>
    <n v="1148.8532"/>
    <n v="64473.641583999997"/>
    <n v="64485.130116"/>
  </r>
  <r>
    <s v="GBTC"/>
    <n v="50.03"/>
    <n v="50.04"/>
    <x v="14"/>
    <n v="1289.0615"/>
    <n v="0.05"/>
    <n v="1289.1115"/>
    <n v="64494.248345"/>
    <n v="64507.139459999999"/>
  </r>
  <r>
    <s v="HODL"/>
    <n v="18.23"/>
    <n v="18.239999999999998"/>
    <x v="14"/>
    <n v="3535.8029000000001"/>
    <n v="0"/>
    <n v="3535.8029000000001"/>
    <n v="64457.686867000004"/>
    <n v="64493.044895999999"/>
  </r>
  <r>
    <s v="IBIT"/>
    <n v="36.520000000000003"/>
    <n v="36.53"/>
    <x v="14"/>
    <n v="1765.0592999999999"/>
    <n v="0"/>
    <n v="1765.0592999999999"/>
    <n v="64459.965636000001"/>
    <n v="64477.616228999999"/>
  </r>
  <r>
    <s v="ARKB"/>
    <n v="21.42"/>
    <n v="21.43"/>
    <x v="15"/>
    <n v="3014.9488000000001"/>
    <n v="0"/>
    <n v="3014.9488000000001"/>
    <n v="64580.203296000007"/>
    <n v="64610.352784000002"/>
  </r>
  <r>
    <s v="BITB"/>
    <n v="35.06"/>
    <n v="35.07"/>
    <x v="15"/>
    <n v="1842.1205"/>
    <n v="0"/>
    <n v="1842.1205"/>
    <n v="64584.744730000006"/>
    <n v="64603.165934999997"/>
  </r>
  <r>
    <s v="BRRR"/>
    <n v="18.21"/>
    <n v="18.22"/>
    <x v="15"/>
    <n v="3546.5864999999999"/>
    <n v="0"/>
    <n v="3546.5864999999999"/>
    <n v="64583.340165000001"/>
    <n v="64618.806029999992"/>
  </r>
  <r>
    <s v="BTC"/>
    <n v="28.56"/>
    <n v="28.57"/>
    <x v="15"/>
    <n v="2261.3416000000002"/>
    <n v="-0.1"/>
    <n v="2261.2416000000003"/>
    <n v="64581.060096000008"/>
    <n v="64603.672512000012"/>
  </r>
  <r>
    <s v="BTCW"/>
    <n v="68.239999999999995"/>
    <n v="68.38"/>
    <x v="15"/>
    <n v="946.13639999999998"/>
    <n v="0"/>
    <n v="946.13639999999998"/>
    <n v="64564.347935999991"/>
    <n v="64696.807031999997"/>
  </r>
  <r>
    <s v="EZBC"/>
    <n v="37.32"/>
    <n v="37.35"/>
    <x v="15"/>
    <n v="1730.2277999999999"/>
    <n v="0"/>
    <n v="1730.2277999999999"/>
    <n v="64572.101495999996"/>
    <n v="64624.008329999997"/>
  </r>
  <r>
    <s v="FBTC"/>
    <n v="56.2"/>
    <n v="56.21"/>
    <x v="15"/>
    <n v="1148.8532"/>
    <n v="0"/>
    <n v="1148.8532"/>
    <n v="64565.549840000007"/>
    <n v="64577.038372000003"/>
  </r>
  <r>
    <s v="GBTC"/>
    <n v="50.11"/>
    <n v="50.12"/>
    <x v="15"/>
    <n v="1289.0615"/>
    <n v="0.05"/>
    <n v="1289.1115"/>
    <n v="64597.377264999996"/>
    <n v="64610.268379999994"/>
  </r>
  <r>
    <s v="HODL"/>
    <n v="18.260000000000002"/>
    <n v="18.27"/>
    <x v="15"/>
    <n v="3535.8029000000001"/>
    <n v="0"/>
    <n v="3535.8029000000001"/>
    <n v="64563.760954000005"/>
    <n v="64599.118983"/>
  </r>
  <r>
    <s v="IBIT"/>
    <n v="36.58"/>
    <n v="36.590000000000003"/>
    <x v="15"/>
    <n v="1765.0592999999999"/>
    <n v="0"/>
    <n v="1765.0592999999999"/>
    <n v="64565.869193999992"/>
    <n v="64583.519787000005"/>
  </r>
  <r>
    <s v="ARKB"/>
    <n v="21.42"/>
    <n v="21.43"/>
    <x v="16"/>
    <n v="3014.9488000000001"/>
    <n v="0"/>
    <n v="3014.9488000000001"/>
    <n v="64580.203296000007"/>
    <n v="64610.352784000002"/>
  </r>
  <r>
    <s v="BITB"/>
    <n v="35.06"/>
    <n v="35.07"/>
    <x v="16"/>
    <n v="1842.1205"/>
    <n v="0"/>
    <n v="1842.1205"/>
    <n v="64584.744730000006"/>
    <n v="64603.165934999997"/>
  </r>
  <r>
    <s v="BRRR"/>
    <n v="18.21"/>
    <n v="18.22"/>
    <x v="16"/>
    <n v="3546.5864999999999"/>
    <n v="0"/>
    <n v="3546.5864999999999"/>
    <n v="64583.340165000001"/>
    <n v="64618.806029999992"/>
  </r>
  <r>
    <s v="BTC"/>
    <n v="28.56"/>
    <n v="28.57"/>
    <x v="16"/>
    <n v="2261.3416000000002"/>
    <n v="-0.1"/>
    <n v="2261.2416000000003"/>
    <n v="64581.060096000008"/>
    <n v="64603.672512000012"/>
  </r>
  <r>
    <s v="BTCW"/>
    <n v="68.22"/>
    <n v="68.34"/>
    <x v="16"/>
    <n v="946.13639999999998"/>
    <n v="0"/>
    <n v="946.13639999999998"/>
    <n v="64545.425208000001"/>
    <n v="64658.961576000002"/>
  </r>
  <r>
    <s v="EZBC"/>
    <n v="37.32"/>
    <n v="37.35"/>
    <x v="16"/>
    <n v="1730.2277999999999"/>
    <n v="0"/>
    <n v="1730.2277999999999"/>
    <n v="64572.101495999996"/>
    <n v="64624.008329999997"/>
  </r>
  <r>
    <s v="FBTC"/>
    <n v="56.21"/>
    <n v="56.22"/>
    <x v="16"/>
    <n v="1148.8532"/>
    <n v="0"/>
    <n v="1148.8532"/>
    <n v="64577.038372000003"/>
    <n v="64588.526903999998"/>
  </r>
  <r>
    <s v="GBTC"/>
    <n v="50.11"/>
    <n v="50.12"/>
    <x v="16"/>
    <n v="1289.0615"/>
    <n v="0.05"/>
    <n v="1289.1115"/>
    <n v="64597.377264999996"/>
    <n v="64610.268379999994"/>
  </r>
  <r>
    <s v="HODL"/>
    <n v="18.260000000000002"/>
    <n v="18.27"/>
    <x v="16"/>
    <n v="3535.8029000000001"/>
    <n v="0"/>
    <n v="3535.8029000000001"/>
    <n v="64563.760954000005"/>
    <n v="64599.118983"/>
  </r>
  <r>
    <s v="IBIT"/>
    <n v="36.58"/>
    <n v="36.590000000000003"/>
    <x v="16"/>
    <n v="1765.0592999999999"/>
    <n v="0"/>
    <n v="1765.0592999999999"/>
    <n v="64565.869193999992"/>
    <n v="64583.519787000005"/>
  </r>
  <r>
    <s v="ARKB"/>
    <n v="21.34"/>
    <n v="21.35"/>
    <x v="17"/>
    <n v="3014.9488000000001"/>
    <n v="0"/>
    <n v="3014.9488000000001"/>
    <n v="64339.007392"/>
    <n v="64369.15688000001"/>
  </r>
  <r>
    <s v="BITB"/>
    <n v="34.93"/>
    <n v="34.94"/>
    <x v="17"/>
    <n v="1842.1205"/>
    <n v="0"/>
    <n v="1842.1205"/>
    <n v="64345.269065"/>
    <n v="64363.690269999999"/>
  </r>
  <r>
    <s v="BRRR"/>
    <n v="18.14"/>
    <n v="18.149999999999999"/>
    <x v="17"/>
    <n v="3546.5864999999999"/>
    <n v="0"/>
    <n v="3546.5864999999999"/>
    <n v="64335.079109999999"/>
    <n v="64370.54497499999"/>
  </r>
  <r>
    <s v="BTC"/>
    <n v="28.45"/>
    <n v="28.46"/>
    <x v="17"/>
    <n v="2261.3416000000002"/>
    <n v="-0.1"/>
    <n v="2261.2416000000003"/>
    <n v="64332.323520000005"/>
    <n v="64354.935936000009"/>
  </r>
  <r>
    <s v="BTCW"/>
    <n v="67.97"/>
    <n v="68.09"/>
    <x v="17"/>
    <n v="946.13639999999998"/>
    <n v="0"/>
    <n v="946.13639999999998"/>
    <n v="64308.891107999996"/>
    <n v="64422.427476000004"/>
  </r>
  <r>
    <s v="EZBC"/>
    <n v="37.18"/>
    <n v="37.200000000000003"/>
    <x v="17"/>
    <n v="1730.2277999999999"/>
    <n v="0"/>
    <n v="1730.2277999999999"/>
    <n v="64329.869603999992"/>
    <n v="64364.474159999998"/>
  </r>
  <r>
    <s v="FBTC"/>
    <n v="55.99"/>
    <n v="56"/>
    <x v="17"/>
    <n v="1148.8532"/>
    <n v="0"/>
    <n v="1148.8532"/>
    <n v="64324.290668000001"/>
    <n v="64335.779200000004"/>
  </r>
  <r>
    <s v="GBTC"/>
    <n v="49.91"/>
    <n v="49.92"/>
    <x v="17"/>
    <n v="1289.0615"/>
    <n v="0.05"/>
    <n v="1289.1115"/>
    <n v="64339.554964999996"/>
    <n v="64352.446080000002"/>
  </r>
  <r>
    <s v="HODL"/>
    <n v="18.190000000000001"/>
    <n v="18.2"/>
    <x v="17"/>
    <n v="3535.8029000000001"/>
    <n v="0"/>
    <n v="3535.8029000000001"/>
    <n v="64316.254751000008"/>
    <n v="64351.612780000003"/>
  </r>
  <r>
    <s v="IBIT"/>
    <n v="36.44"/>
    <n v="36.450000000000003"/>
    <x v="17"/>
    <n v="1765.0592999999999"/>
    <n v="0"/>
    <n v="1765.0592999999999"/>
    <n v="64318.760891999991"/>
    <n v="64336.411485000004"/>
  </r>
  <r>
    <s v="ARKB"/>
    <n v="21.36"/>
    <n v="21.37"/>
    <x v="18"/>
    <n v="3014.9488000000001"/>
    <n v="0"/>
    <n v="3014.9488000000001"/>
    <n v="64399.306367999998"/>
    <n v="64429.455856000008"/>
  </r>
  <r>
    <s v="BITB"/>
    <n v="34.97"/>
    <n v="34.979999999999997"/>
    <x v="18"/>
    <n v="1842.1205"/>
    <n v="0"/>
    <n v="1842.1205"/>
    <n v="64418.953884999995"/>
    <n v="64437.375089999994"/>
  </r>
  <r>
    <s v="BRRR"/>
    <n v="18.16"/>
    <n v="18.170000000000002"/>
    <x v="18"/>
    <n v="3546.5864999999999"/>
    <n v="0"/>
    <n v="3546.5864999999999"/>
    <n v="64406.010839999995"/>
    <n v="64441.476705000001"/>
  </r>
  <r>
    <s v="BTC"/>
    <n v="28.49"/>
    <n v="28.5"/>
    <x v="18"/>
    <n v="2261.3416000000002"/>
    <n v="-0.1"/>
    <n v="2261.2416000000003"/>
    <n v="64422.773184000005"/>
    <n v="64445.385600000009"/>
  </r>
  <r>
    <s v="BTCW"/>
    <n v="68.040000000000006"/>
    <n v="68.12"/>
    <x v="18"/>
    <n v="946.13639999999998"/>
    <n v="0"/>
    <n v="946.13639999999998"/>
    <n v="64375.120656000006"/>
    <n v="64450.811568000005"/>
  </r>
  <r>
    <s v="EZBC"/>
    <n v="37.229999999999997"/>
    <n v="37.25"/>
    <x v="18"/>
    <n v="1730.2277999999999"/>
    <n v="0"/>
    <n v="1730.2277999999999"/>
    <n v="64416.380993999992"/>
    <n v="64450.985549999998"/>
  </r>
  <r>
    <s v="FBTC"/>
    <n v="56.07"/>
    <n v="56.08"/>
    <x v="18"/>
    <n v="1148.8532"/>
    <n v="0"/>
    <n v="1148.8532"/>
    <n v="64416.198924000004"/>
    <n v="64427.687456"/>
  </r>
  <r>
    <s v="GBTC"/>
    <n v="49.98"/>
    <n v="49.99"/>
    <x v="18"/>
    <n v="1289.0615"/>
    <n v="0.05"/>
    <n v="1289.1115"/>
    <n v="64429.792769999993"/>
    <n v="64442.683884999999"/>
  </r>
  <r>
    <s v="HODL"/>
    <n v="18.21"/>
    <n v="18.22"/>
    <x v="18"/>
    <n v="3535.8029000000001"/>
    <n v="0"/>
    <n v="3535.8029000000001"/>
    <n v="64386.970809000006"/>
    <n v="64422.328838000001"/>
  </r>
  <r>
    <s v="IBIT"/>
    <n v="36.479999999999997"/>
    <n v="36.49"/>
    <x v="18"/>
    <n v="1765.0592999999999"/>
    <n v="0"/>
    <n v="1765.0592999999999"/>
    <n v="64389.363263999992"/>
    <n v="64407.013856999998"/>
  </r>
  <r>
    <s v="ARKB"/>
    <n v="21.4"/>
    <n v="21.41"/>
    <x v="19"/>
    <n v="3014.9488000000001"/>
    <n v="0"/>
    <n v="3014.9488000000001"/>
    <n v="64519.904320000001"/>
    <n v="64550.053808000004"/>
  </r>
  <r>
    <s v="BITB"/>
    <n v="35.03"/>
    <n v="35.04"/>
    <x v="19"/>
    <n v="1842.1205"/>
    <n v="0"/>
    <n v="1842.1205"/>
    <n v="64529.481115000002"/>
    <n v="64547.902320000001"/>
  </r>
  <r>
    <s v="BRRR"/>
    <n v="18.190000000000001"/>
    <n v="18.2"/>
    <x v="19"/>
    <n v="3546.5864999999999"/>
    <n v="0"/>
    <n v="3546.5864999999999"/>
    <n v="64512.408435000005"/>
    <n v="64547.874299999996"/>
  </r>
  <r>
    <s v="BTC"/>
    <n v="28.54"/>
    <n v="28.55"/>
    <x v="19"/>
    <n v="2261.3416000000002"/>
    <n v="-0.1"/>
    <n v="2261.2416000000003"/>
    <n v="64535.835264000008"/>
    <n v="64558.447680000012"/>
  </r>
  <r>
    <s v="BTCW"/>
    <n v="68.209999999999994"/>
    <n v="68.319999999999993"/>
    <x v="19"/>
    <n v="946.13639999999998"/>
    <n v="0"/>
    <n v="946.13639999999998"/>
    <n v="64535.963843999991"/>
    <n v="64640.038847999989"/>
  </r>
  <r>
    <s v="EZBC"/>
    <n v="37.299999999999997"/>
    <n v="37.32"/>
    <x v="19"/>
    <n v="1730.2277999999999"/>
    <n v="0"/>
    <n v="1730.2277999999999"/>
    <n v="64537.49693999999"/>
    <n v="64572.101495999996"/>
  </r>
  <r>
    <s v="FBTC"/>
    <n v="56.17"/>
    <n v="56.18"/>
    <x v="19"/>
    <n v="1148.8532"/>
    <n v="0"/>
    <n v="1148.8532"/>
    <n v="64531.084244000005"/>
    <n v="64542.572776000001"/>
  </r>
  <r>
    <s v="GBTC"/>
    <n v="50.07"/>
    <n v="50.08"/>
    <x v="19"/>
    <n v="1289.0615"/>
    <n v="0.05"/>
    <n v="1289.1115"/>
    <n v="64545.812805000001"/>
    <n v="64558.70392"/>
  </r>
  <r>
    <s v="HODL"/>
    <n v="18.25"/>
    <n v="18.260000000000002"/>
    <x v="19"/>
    <n v="3535.8029000000001"/>
    <n v="0"/>
    <n v="3535.8029000000001"/>
    <n v="64528.402925000002"/>
    <n v="64563.760954000005"/>
  </r>
  <r>
    <s v="IBIT"/>
    <n v="36.549999999999997"/>
    <n v="36.56"/>
    <x v="19"/>
    <n v="1765.0592999999999"/>
    <n v="0"/>
    <n v="1765.0592999999999"/>
    <n v="64512.917414999989"/>
    <n v="64530.568008000002"/>
  </r>
  <r>
    <s v="ARKB"/>
    <n v="21.44"/>
    <n v="21.45"/>
    <x v="20"/>
    <n v="3014.9488000000001"/>
    <n v="0"/>
    <n v="3014.9488000000001"/>
    <n v="64640.502272000005"/>
    <n v="64670.651760000001"/>
  </r>
  <r>
    <s v="BITB"/>
    <n v="35.090000000000003"/>
    <n v="35.1"/>
    <x v="20"/>
    <n v="1842.1205"/>
    <n v="0"/>
    <n v="1842.1205"/>
    <n v="64640.008345000009"/>
    <n v="64658.429550000001"/>
  </r>
  <r>
    <s v="BRRR"/>
    <n v="18.22"/>
    <n v="18.23"/>
    <x v="20"/>
    <n v="3546.5864999999999"/>
    <n v="0"/>
    <n v="3546.5864999999999"/>
    <n v="64618.806029999992"/>
    <n v="64654.271894999998"/>
  </r>
  <r>
    <s v="BTC"/>
    <n v="28.58"/>
    <n v="28.59"/>
    <x v="20"/>
    <n v="2261.3416000000002"/>
    <n v="-0.1"/>
    <n v="2261.2416000000003"/>
    <n v="64626.284928000001"/>
    <n v="64648.897344000005"/>
  </r>
  <r>
    <s v="BTCW"/>
    <n v="68.28"/>
    <n v="68.37"/>
    <x v="20"/>
    <n v="946.13639999999998"/>
    <n v="0"/>
    <n v="946.13639999999998"/>
    <n v="64602.193392000001"/>
    <n v="64687.345668000002"/>
  </r>
  <r>
    <s v="EZBC"/>
    <n v="37.340000000000003"/>
    <n v="37.369999999999997"/>
    <x v="20"/>
    <n v="1730.2277999999999"/>
    <n v="0"/>
    <n v="1730.2277999999999"/>
    <n v="64606.706052000001"/>
    <n v="64658.612885999988"/>
  </r>
  <r>
    <s v="FBTC"/>
    <n v="56.25"/>
    <n v="56.26"/>
    <x v="20"/>
    <n v="1148.8532"/>
    <n v="0"/>
    <n v="1148.8532"/>
    <n v="64622.9925"/>
    <n v="64634.481031999996"/>
  </r>
  <r>
    <s v="GBTC"/>
    <n v="50.15"/>
    <n v="50.16"/>
    <x v="20"/>
    <n v="1289.0615"/>
    <n v="0.05"/>
    <n v="1289.1115"/>
    <n v="64648.941724999997"/>
    <n v="64661.832839999995"/>
  </r>
  <r>
    <s v="HODL"/>
    <n v="18.27"/>
    <n v="18.28"/>
    <x v="20"/>
    <n v="3535.8029000000001"/>
    <n v="0"/>
    <n v="3535.8029000000001"/>
    <n v="64599.118983"/>
    <n v="64634.477012000003"/>
  </r>
  <r>
    <s v="IBIT"/>
    <n v="36.6"/>
    <n v="36.61"/>
    <x v="20"/>
    <n v="1765.0592999999999"/>
    <n v="0"/>
    <n v="1765.0592999999999"/>
    <n v="64601.170379999996"/>
    <n v="64618.820972999994"/>
  </r>
  <r>
    <s v="ARKB"/>
    <n v="21.4"/>
    <n v="21.41"/>
    <x v="21"/>
    <n v="3014.9488000000001"/>
    <n v="0"/>
    <n v="3014.9488000000001"/>
    <n v="64519.904320000001"/>
    <n v="64550.053808000004"/>
  </r>
  <r>
    <s v="BITB"/>
    <n v="35.03"/>
    <n v="35.04"/>
    <x v="21"/>
    <n v="1842.1205"/>
    <n v="0"/>
    <n v="1842.1205"/>
    <n v="64529.481115000002"/>
    <n v="64547.902320000001"/>
  </r>
  <r>
    <s v="BRRR"/>
    <n v="18.190000000000001"/>
    <n v="18.2"/>
    <x v="21"/>
    <n v="3546.5864999999999"/>
    <n v="0"/>
    <n v="3546.5864999999999"/>
    <n v="64512.408435000005"/>
    <n v="64547.874299999996"/>
  </r>
  <r>
    <s v="BTC"/>
    <n v="28.54"/>
    <n v="28.55"/>
    <x v="21"/>
    <n v="2261.3416000000002"/>
    <n v="-0.1"/>
    <n v="2261.2416000000003"/>
    <n v="64535.835264000008"/>
    <n v="64558.447680000012"/>
  </r>
  <r>
    <s v="BTCW"/>
    <n v="68.180000000000007"/>
    <n v="68.28"/>
    <x v="21"/>
    <n v="946.13639999999998"/>
    <n v="0"/>
    <n v="946.13639999999998"/>
    <n v="64507.579752000005"/>
    <n v="64602.193392000001"/>
  </r>
  <r>
    <s v="EZBC"/>
    <n v="37.299999999999997"/>
    <n v="37.32"/>
    <x v="21"/>
    <n v="1730.2277999999999"/>
    <n v="0"/>
    <n v="1730.2277999999999"/>
    <n v="64537.49693999999"/>
    <n v="64572.101495999996"/>
  </r>
  <r>
    <s v="FBTC"/>
    <n v="56.17"/>
    <n v="56.18"/>
    <x v="21"/>
    <n v="1148.8532"/>
    <n v="0"/>
    <n v="1148.8532"/>
    <n v="64531.084244000005"/>
    <n v="64542.572776000001"/>
  </r>
  <r>
    <s v="GBTC"/>
    <n v="50.07"/>
    <n v="50.08"/>
    <x v="21"/>
    <n v="1289.0615"/>
    <n v="0.05"/>
    <n v="1289.1115"/>
    <n v="64545.812805000001"/>
    <n v="64558.70392"/>
  </r>
  <r>
    <s v="HODL"/>
    <n v="18.25"/>
    <n v="18.260000000000002"/>
    <x v="21"/>
    <n v="3535.8029000000001"/>
    <n v="0"/>
    <n v="3535.8029000000001"/>
    <n v="64528.402925000002"/>
    <n v="64563.760954000005"/>
  </r>
  <r>
    <s v="IBIT"/>
    <n v="36.549999999999997"/>
    <n v="36.56"/>
    <x v="21"/>
    <n v="1765.0592999999999"/>
    <n v="0"/>
    <n v="1765.0592999999999"/>
    <n v="64512.917414999989"/>
    <n v="64530.568008000002"/>
  </r>
  <r>
    <s v="ARKB"/>
    <n v="21.33"/>
    <n v="21.34"/>
    <x v="22"/>
    <n v="3014.9488000000001"/>
    <n v="0"/>
    <n v="3014.9488000000001"/>
    <n v="64308.857903999997"/>
    <n v="64339.007392"/>
  </r>
  <r>
    <s v="BITB"/>
    <n v="34.92"/>
    <n v="34.93"/>
    <x v="22"/>
    <n v="1842.1205"/>
    <n v="0"/>
    <n v="1842.1205"/>
    <n v="64326.847860000002"/>
    <n v="64345.269065"/>
  </r>
  <r>
    <s v="BRRR"/>
    <n v="18.13"/>
    <n v="18.14"/>
    <x v="22"/>
    <n v="3546.5864999999999"/>
    <n v="0"/>
    <n v="3546.5864999999999"/>
    <n v="64299.613244999993"/>
    <n v="64335.079109999999"/>
  </r>
  <r>
    <s v="BTC"/>
    <n v="28.44"/>
    <n v="28.45"/>
    <x v="22"/>
    <n v="2261.3416000000002"/>
    <n v="-0.1"/>
    <n v="2261.2416000000003"/>
    <n v="64309.711104000009"/>
    <n v="64332.323520000005"/>
  </r>
  <r>
    <s v="BTCW"/>
    <n v="67.930000000000007"/>
    <n v="68.069999999999993"/>
    <x v="22"/>
    <n v="946.13639999999998"/>
    <n v="0"/>
    <n v="946.13639999999998"/>
    <n v="64271.045652000008"/>
    <n v="64403.504747999992"/>
  </r>
  <r>
    <s v="EZBC"/>
    <n v="37.159999999999997"/>
    <n v="37.19"/>
    <x v="22"/>
    <n v="1730.2277999999999"/>
    <n v="0"/>
    <n v="1730.2277999999999"/>
    <n v="64295.265047999987"/>
    <n v="64347.171881999995"/>
  </r>
  <r>
    <s v="FBTC"/>
    <n v="55.98"/>
    <n v="55.99"/>
    <x v="22"/>
    <n v="1148.8532"/>
    <n v="0"/>
    <n v="1148.8532"/>
    <n v="64312.802135999998"/>
    <n v="64324.290668000001"/>
  </r>
  <r>
    <s v="GBTC"/>
    <n v="49.9"/>
    <n v="49.91"/>
    <x v="22"/>
    <n v="1289.0615"/>
    <n v="0.05"/>
    <n v="1289.1115"/>
    <n v="64326.663849999997"/>
    <n v="64339.554964999996"/>
  </r>
  <r>
    <s v="HODL"/>
    <n v="18.190000000000001"/>
    <n v="18.2"/>
    <x v="22"/>
    <n v="3535.8029000000001"/>
    <n v="0"/>
    <n v="3535.8029000000001"/>
    <n v="64316.254751000008"/>
    <n v="64351.612780000003"/>
  </r>
  <r>
    <s v="IBIT"/>
    <n v="36.43"/>
    <n v="36.44"/>
    <x v="22"/>
    <n v="1765.0592999999999"/>
    <n v="0"/>
    <n v="1765.0592999999999"/>
    <n v="64301.110298999993"/>
    <n v="64318.760891999991"/>
  </r>
  <r>
    <s v="ARKB"/>
    <n v="21.31"/>
    <n v="21.32"/>
    <x v="23"/>
    <n v="3014.9488000000001"/>
    <n v="0"/>
    <n v="3014.9488000000001"/>
    <n v="64248.558927999999"/>
    <n v="64278.708416000001"/>
  </r>
  <r>
    <s v="BITB"/>
    <n v="34.89"/>
    <n v="34.9"/>
    <x v="23"/>
    <n v="1842.1205"/>
    <n v="0"/>
    <n v="1842.1205"/>
    <n v="64271.584244999998"/>
    <n v="64290.005449999997"/>
  </r>
  <r>
    <s v="BRRR"/>
    <n v="18.12"/>
    <n v="18.13"/>
    <x v="23"/>
    <n v="3546.5864999999999"/>
    <n v="0"/>
    <n v="3546.5864999999999"/>
    <n v="64264.147380000002"/>
    <n v="64299.613244999993"/>
  </r>
  <r>
    <s v="BTC"/>
    <n v="28.42"/>
    <n v="28.43"/>
    <x v="23"/>
    <n v="2261.3416000000002"/>
    <n v="-0.1"/>
    <n v="2261.2416000000003"/>
    <n v="64264.486272000009"/>
    <n v="64287.098688000005"/>
  </r>
  <r>
    <s v="BTCW"/>
    <n v="67.900000000000006"/>
    <n v="68"/>
    <x v="23"/>
    <n v="946.13639999999998"/>
    <n v="0"/>
    <n v="946.13639999999998"/>
    <n v="64242.66156"/>
    <n v="64337.275199999996"/>
  </r>
  <r>
    <s v="EZBC"/>
    <n v="37.14"/>
    <n v="37.17"/>
    <x v="23"/>
    <n v="1730.2277999999999"/>
    <n v="0"/>
    <n v="1730.2277999999999"/>
    <n v="64260.660491999995"/>
    <n v="64312.567325999997"/>
  </r>
  <r>
    <s v="FBTC"/>
    <n v="55.94"/>
    <n v="55.95"/>
    <x v="23"/>
    <n v="1148.8532"/>
    <n v="0"/>
    <n v="1148.8532"/>
    <n v="64266.848008000001"/>
    <n v="64278.336540000004"/>
  </r>
  <r>
    <s v="GBTC"/>
    <n v="49.86"/>
    <n v="49.88"/>
    <x v="23"/>
    <n v="1289.0615"/>
    <n v="0.05"/>
    <n v="1289.1115"/>
    <n v="64275.099389999996"/>
    <n v="64300.88162"/>
  </r>
  <r>
    <s v="HODL"/>
    <n v="18.170000000000002"/>
    <n v="18.18"/>
    <x v="23"/>
    <n v="3535.8029000000001"/>
    <n v="0"/>
    <n v="3535.8029000000001"/>
    <n v="64245.53869300001"/>
    <n v="64280.896722000005"/>
  </r>
  <r>
    <s v="IBIT"/>
    <n v="36.4"/>
    <n v="36.409999999999997"/>
    <x v="23"/>
    <n v="1765.0592999999999"/>
    <n v="0"/>
    <n v="1765.0592999999999"/>
    <n v="64248.158519999997"/>
    <n v="64265.809112999988"/>
  </r>
  <r>
    <s v="ARKB"/>
    <n v="21.31"/>
    <n v="21.32"/>
    <x v="24"/>
    <n v="3014.9488000000001"/>
    <n v="0"/>
    <n v="3014.9488000000001"/>
    <n v="64248.558927999999"/>
    <n v="64278.708416000001"/>
  </r>
  <r>
    <s v="BITB"/>
    <n v="34.9"/>
    <n v="34.909999999999997"/>
    <x v="24"/>
    <n v="1842.1205"/>
    <n v="0"/>
    <n v="1842.1205"/>
    <n v="64290.005449999997"/>
    <n v="64308.426654999996"/>
  </r>
  <r>
    <s v="BRRR"/>
    <n v="18.12"/>
    <n v="18.13"/>
    <x v="24"/>
    <n v="3546.5864999999999"/>
    <n v="0"/>
    <n v="3546.5864999999999"/>
    <n v="64264.147380000002"/>
    <n v="64299.613244999993"/>
  </r>
  <r>
    <s v="BTC"/>
    <n v="28.43"/>
    <n v="28.44"/>
    <x v="24"/>
    <n v="2261.3416000000002"/>
    <n v="-0.1"/>
    <n v="2261.2416000000003"/>
    <n v="64287.098688000005"/>
    <n v="64309.711104000009"/>
  </r>
  <r>
    <s v="BTCW"/>
    <n v="67.900000000000006"/>
    <n v="68.03"/>
    <x v="24"/>
    <n v="946.13639999999998"/>
    <n v="0"/>
    <n v="946.13639999999998"/>
    <n v="64242.66156"/>
    <n v="64365.659291999997"/>
  </r>
  <r>
    <s v="EZBC"/>
    <n v="37.14"/>
    <n v="37.17"/>
    <x v="24"/>
    <n v="1730.2277999999999"/>
    <n v="0"/>
    <n v="1730.2277999999999"/>
    <n v="64260.660491999995"/>
    <n v="64312.567325999997"/>
  </r>
  <r>
    <s v="FBTC"/>
    <n v="55.95"/>
    <n v="55.96"/>
    <x v="24"/>
    <n v="1148.8532"/>
    <n v="0"/>
    <n v="1148.8532"/>
    <n v="64278.336540000004"/>
    <n v="64289.825072"/>
  </r>
  <r>
    <s v="GBTC"/>
    <n v="49.87"/>
    <n v="49.88"/>
    <x v="24"/>
    <n v="1289.0615"/>
    <n v="0.05"/>
    <n v="1289.1115"/>
    <n v="64287.990504999994"/>
    <n v="64300.88162"/>
  </r>
  <r>
    <s v="HODL"/>
    <n v="18.170000000000002"/>
    <n v="18.18"/>
    <x v="24"/>
    <n v="3535.8029000000001"/>
    <n v="0"/>
    <n v="3535.8029000000001"/>
    <n v="64245.53869300001"/>
    <n v="64280.896722000005"/>
  </r>
  <r>
    <s v="IBIT"/>
    <n v="36.4"/>
    <n v="36.409999999999997"/>
    <x v="24"/>
    <n v="1765.0592999999999"/>
    <n v="0"/>
    <n v="1765.0592999999999"/>
    <n v="64248.158519999997"/>
    <n v="64265.809112999988"/>
  </r>
  <r>
    <s v="ARKB"/>
    <n v="21.31"/>
    <n v="21.32"/>
    <x v="25"/>
    <n v="3014.9488000000001"/>
    <n v="0"/>
    <n v="3014.9488000000001"/>
    <n v="64248.558927999999"/>
    <n v="64278.708416000001"/>
  </r>
  <r>
    <s v="BITB"/>
    <n v="34.89"/>
    <n v="34.9"/>
    <x v="25"/>
    <n v="1842.1205"/>
    <n v="0"/>
    <n v="1842.1205"/>
    <n v="64271.584244999998"/>
    <n v="64290.005449999997"/>
  </r>
  <r>
    <s v="BRRR"/>
    <n v="18.12"/>
    <n v="18.13"/>
    <x v="25"/>
    <n v="3546.5864999999999"/>
    <n v="0"/>
    <n v="3546.5864999999999"/>
    <n v="64264.147380000002"/>
    <n v="64299.613244999993"/>
  </r>
  <r>
    <s v="BTC"/>
    <n v="28.42"/>
    <n v="28.43"/>
    <x v="25"/>
    <n v="2261.3416000000002"/>
    <n v="-0.1"/>
    <n v="2261.2416000000003"/>
    <n v="64264.486272000009"/>
    <n v="64287.098688000005"/>
  </r>
  <r>
    <s v="BTCW"/>
    <n v="67.89"/>
    <n v="68"/>
    <x v="25"/>
    <n v="946.13639999999998"/>
    <n v="0"/>
    <n v="946.13639999999998"/>
    <n v="64233.200195999998"/>
    <n v="64337.275199999996"/>
  </r>
  <r>
    <s v="EZBC"/>
    <n v="37.14"/>
    <n v="37.159999999999997"/>
    <x v="25"/>
    <n v="1730.2277999999999"/>
    <n v="0"/>
    <n v="1730.2277999999999"/>
    <n v="64260.660491999995"/>
    <n v="64295.265047999987"/>
  </r>
  <r>
    <s v="FBTC"/>
    <n v="55.93"/>
    <n v="55.94"/>
    <x v="25"/>
    <n v="1148.8532"/>
    <n v="0"/>
    <n v="1148.8532"/>
    <n v="64255.359475999998"/>
    <n v="64266.848008000001"/>
  </r>
  <r>
    <s v="GBTC"/>
    <n v="49.86"/>
    <n v="49.87"/>
    <x v="25"/>
    <n v="1289.0615"/>
    <n v="0.05"/>
    <n v="1289.1115"/>
    <n v="64275.099389999996"/>
    <n v="64287.990504999994"/>
  </r>
  <r>
    <s v="HODL"/>
    <n v="18.170000000000002"/>
    <n v="18.18"/>
    <x v="25"/>
    <n v="3535.8029000000001"/>
    <n v="0"/>
    <n v="3535.8029000000001"/>
    <n v="64245.53869300001"/>
    <n v="64280.896722000005"/>
  </r>
  <r>
    <s v="IBIT"/>
    <n v="36.4"/>
    <n v="36.409999999999997"/>
    <x v="25"/>
    <n v="1765.0592999999999"/>
    <n v="0"/>
    <n v="1765.0592999999999"/>
    <n v="64248.158519999997"/>
    <n v="64265.809112999988"/>
  </r>
  <r>
    <s v="ARKB"/>
    <n v="21.31"/>
    <n v="21.32"/>
    <x v="26"/>
    <n v="3014.9488000000001"/>
    <n v="0"/>
    <n v="3014.9488000000001"/>
    <n v="64248.558927999999"/>
    <n v="64278.708416000001"/>
  </r>
  <r>
    <s v="BITB"/>
    <n v="34.89"/>
    <n v="34.9"/>
    <x v="26"/>
    <n v="1842.1205"/>
    <n v="0"/>
    <n v="1842.1205"/>
    <n v="64271.584244999998"/>
    <n v="64290.005449999997"/>
  </r>
  <r>
    <s v="BRRR"/>
    <n v="18.12"/>
    <n v="18.13"/>
    <x v="26"/>
    <n v="3546.5864999999999"/>
    <n v="0"/>
    <n v="3546.5864999999999"/>
    <n v="64264.147380000002"/>
    <n v="64299.613244999993"/>
  </r>
  <r>
    <s v="BTC"/>
    <n v="28.42"/>
    <n v="28.43"/>
    <x v="26"/>
    <n v="2261.3416000000002"/>
    <n v="-0.1"/>
    <n v="2261.2416000000003"/>
    <n v="64264.486272000009"/>
    <n v="64287.098688000005"/>
  </r>
  <r>
    <s v="BTCW"/>
    <n v="67.88"/>
    <n v="67.97"/>
    <x v="26"/>
    <n v="946.13639999999998"/>
    <n v="0"/>
    <n v="946.13639999999998"/>
    <n v="64223.738831999995"/>
    <n v="64308.891107999996"/>
  </r>
  <r>
    <s v="EZBC"/>
    <n v="37.130000000000003"/>
    <n v="37.15"/>
    <x v="26"/>
    <n v="1730.2277999999999"/>
    <n v="0"/>
    <n v="1730.2277999999999"/>
    <n v="64243.358214"/>
    <n v="64277.962769999991"/>
  </r>
  <r>
    <s v="FBTC"/>
    <n v="55.92"/>
    <n v="55.93"/>
    <x v="26"/>
    <n v="1148.8532"/>
    <n v="0"/>
    <n v="1148.8532"/>
    <n v="64243.870944000002"/>
    <n v="64255.359475999998"/>
  </r>
  <r>
    <s v="GBTC"/>
    <n v="49.86"/>
    <n v="49.87"/>
    <x v="26"/>
    <n v="1289.0615"/>
    <n v="0.05"/>
    <n v="1289.1115"/>
    <n v="64275.099389999996"/>
    <n v="64287.990504999994"/>
  </r>
  <r>
    <s v="HODL"/>
    <n v="18.170000000000002"/>
    <n v="18.18"/>
    <x v="26"/>
    <n v="3535.8029000000001"/>
    <n v="0"/>
    <n v="3535.8029000000001"/>
    <n v="64245.53869300001"/>
    <n v="64280.896722000005"/>
  </r>
  <r>
    <s v="IBIT"/>
    <n v="36.39"/>
    <n v="36.4"/>
    <x v="26"/>
    <n v="1765.0592999999999"/>
    <n v="0"/>
    <n v="1765.0592999999999"/>
    <n v="64230.507926999999"/>
    <n v="64248.15851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A5DF7-8804-4159-B485-EE5F04413F16}" name="PivotTable2" cacheId="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28" firstHeaderRow="0" firstDataRow="1" firstDataCol="1"/>
  <pivotFields count="9">
    <pivotField showAll="0"/>
    <pivotField numFmtId="44" showAll="0"/>
    <pivotField numFmtId="44"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numFmtId="164" showAll="0"/>
    <pivotField numFmtId="164" showAll="0"/>
    <pivotField dataField="1" numFmtId="44" showAll="0"/>
    <pivotField dataField="1" numFmtId="44"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B69C6-98FE-4590-BEBD-82FEF5173D88}" name="Table1" displayName="Table1" ref="A1:I271" totalsRowShown="0">
  <autoFilter ref="A1:I271" xr:uid="{71BB69C6-98FE-4590-BEBD-82FEF5173D88}"/>
  <tableColumns count="9">
    <tableColumn id="1" xr3:uid="{1B14061B-CB2A-465E-8AA1-C465B87E8FAA}" name="my_fi_name"/>
    <tableColumn id="2" xr3:uid="{F86F3077-C93F-4152-A75E-971EC754AE74}" name="price_screen_bid" dataCellStyle="Currency"/>
    <tableColumn id="3" xr3:uid="{A1775F11-7484-4467-B238-B7890D231314}" name="price_screen_ask" dataCellStyle="Currency"/>
    <tableColumn id="4" xr3:uid="{1DE8DA4D-04B0-4551-95E0-49DF7FA1AD9C}" name="time"/>
    <tableColumn id="5" xr3:uid="{B6EA39B3-44A5-47F6-818B-6CB17CBEF041}" name="scalar" dataDxfId="6" dataCellStyle="Comma"/>
    <tableColumn id="6" xr3:uid="{43C3027B-67F1-4489-8A0C-EDD49CDABE4E}" name="adj" dataDxfId="5" dataCellStyle="Comma"/>
    <tableColumn id="7" xr3:uid="{E0D69B82-DB20-4FED-A8DD-D5A56E639427}" name="adj scalar" dataDxfId="4" dataCellStyle="Comma">
      <calculatedColumnFormula>E2+F2</calculatedColumnFormula>
    </tableColumn>
    <tableColumn id="8" xr3:uid="{0EA3C3B7-9497-470E-A180-2EF264C6F531}" name="unit bid" dataDxfId="3" dataCellStyle="Currency">
      <calculatedColumnFormula>B2*G2</calculatedColumnFormula>
    </tableColumn>
    <tableColumn id="9" xr3:uid="{202E1403-70E3-45DE-9D84-C101B4BDB000}" name="unit ask" dataDxfId="2" dataCellStyle="Currency">
      <calculatedColumnFormula>C2*G2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151D-7357-451C-AD02-6DBDD0CDAA98}">
  <dimension ref="A1:I271"/>
  <sheetViews>
    <sheetView workbookViewId="0">
      <selection activeCell="K1" sqref="K1"/>
    </sheetView>
  </sheetViews>
  <sheetFormatPr defaultRowHeight="15" x14ac:dyDescent="0.25"/>
  <cols>
    <col min="1" max="1" width="13.85546875" customWidth="1"/>
    <col min="2" max="2" width="18.42578125" customWidth="1"/>
    <col min="3" max="3" width="18.5703125" customWidth="1"/>
    <col min="4" max="4" width="19" bestFit="1" customWidth="1"/>
    <col min="5" max="5" width="12.28515625" bestFit="1" customWidth="1"/>
    <col min="6" max="6" width="9.7109375" bestFit="1" customWidth="1"/>
    <col min="7" max="7" width="15.42578125" bestFit="1" customWidth="1"/>
    <col min="8" max="8" width="13.8554687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41</v>
      </c>
      <c r="F1" s="1" t="s">
        <v>42</v>
      </c>
      <c r="G1" s="1" t="s">
        <v>43</v>
      </c>
      <c r="H1" s="2" t="s">
        <v>44</v>
      </c>
      <c r="I1" s="2" t="s">
        <v>45</v>
      </c>
    </row>
    <row r="2" spans="1:9" x14ac:dyDescent="0.25">
      <c r="A2" t="s">
        <v>4</v>
      </c>
      <c r="B2" s="5">
        <v>21.56</v>
      </c>
      <c r="C2" s="5">
        <v>21.58</v>
      </c>
      <c r="D2" t="s">
        <v>5</v>
      </c>
      <c r="E2" s="3">
        <v>3014.9488000000001</v>
      </c>
      <c r="F2" s="3">
        <f>Sheet1!L3</f>
        <v>0</v>
      </c>
      <c r="G2" s="4">
        <f t="shared" ref="G2:G65" si="0">E2+F2</f>
        <v>3014.9488000000001</v>
      </c>
      <c r="H2" s="5">
        <f t="shared" ref="H2:H65" si="1">B2*G2</f>
        <v>65002.296128000002</v>
      </c>
      <c r="I2" s="5">
        <f t="shared" ref="I2:I65" si="2">C2*G2</f>
        <v>65062.595104</v>
      </c>
    </row>
    <row r="3" spans="1:9" x14ac:dyDescent="0.25">
      <c r="A3" t="s">
        <v>6</v>
      </c>
      <c r="B3" s="5">
        <v>35.29</v>
      </c>
      <c r="C3" s="5">
        <v>35.33</v>
      </c>
      <c r="D3" t="s">
        <v>5</v>
      </c>
      <c r="E3" s="3">
        <v>1842.1205</v>
      </c>
      <c r="F3" s="3">
        <f>Sheet1!L4</f>
        <v>0</v>
      </c>
      <c r="G3" s="4">
        <f t="shared" si="0"/>
        <v>1842.1205</v>
      </c>
      <c r="H3" s="5">
        <f t="shared" si="1"/>
        <v>65008.432444999999</v>
      </c>
      <c r="I3" s="5">
        <f t="shared" si="2"/>
        <v>65082.117264999993</v>
      </c>
    </row>
    <row r="4" spans="1:9" x14ac:dyDescent="0.25">
      <c r="A4" t="s">
        <v>7</v>
      </c>
      <c r="B4" s="5">
        <v>18.32</v>
      </c>
      <c r="C4" s="5">
        <v>18.350000000000001</v>
      </c>
      <c r="D4" t="s">
        <v>5</v>
      </c>
      <c r="E4" s="3">
        <v>3546.5864999999999</v>
      </c>
      <c r="F4" s="3">
        <f>Sheet1!L5</f>
        <v>0</v>
      </c>
      <c r="G4" s="4">
        <f t="shared" si="0"/>
        <v>3546.5864999999999</v>
      </c>
      <c r="H4" s="5">
        <f t="shared" si="1"/>
        <v>64973.464679999997</v>
      </c>
      <c r="I4" s="5">
        <f t="shared" si="2"/>
        <v>65079.862274999999</v>
      </c>
    </row>
    <row r="5" spans="1:9" x14ac:dyDescent="0.25">
      <c r="A5" t="s">
        <v>8</v>
      </c>
      <c r="B5" s="5">
        <v>28.75</v>
      </c>
      <c r="C5" s="5">
        <v>28.8</v>
      </c>
      <c r="D5" t="s">
        <v>5</v>
      </c>
      <c r="E5" s="3">
        <v>2261.3416000000002</v>
      </c>
      <c r="F5" s="3">
        <f>Sheet1!L6</f>
        <v>-0.1</v>
      </c>
      <c r="G5" s="4">
        <f t="shared" si="0"/>
        <v>2261.2416000000003</v>
      </c>
      <c r="H5" s="5">
        <f t="shared" si="1"/>
        <v>65010.696000000011</v>
      </c>
      <c r="I5" s="5">
        <f t="shared" si="2"/>
        <v>65123.758080000007</v>
      </c>
    </row>
    <row r="6" spans="1:9" x14ac:dyDescent="0.25">
      <c r="A6" t="s">
        <v>9</v>
      </c>
      <c r="B6" s="5">
        <v>68.540000000000006</v>
      </c>
      <c r="C6" s="5">
        <v>69.099999999999994</v>
      </c>
      <c r="D6" t="s">
        <v>5</v>
      </c>
      <c r="E6" s="3">
        <v>946.13639999999998</v>
      </c>
      <c r="F6" s="3">
        <f>Sheet1!L7</f>
        <v>0</v>
      </c>
      <c r="G6" s="4">
        <f t="shared" si="0"/>
        <v>946.13639999999998</v>
      </c>
      <c r="H6" s="5">
        <f t="shared" si="1"/>
        <v>64848.188856000008</v>
      </c>
      <c r="I6" s="5">
        <f t="shared" si="2"/>
        <v>65378.025239999995</v>
      </c>
    </row>
    <row r="7" spans="1:9" x14ac:dyDescent="0.25">
      <c r="A7" t="s">
        <v>10</v>
      </c>
      <c r="B7" s="5">
        <v>37.56</v>
      </c>
      <c r="C7" s="5">
        <v>37.659999999999997</v>
      </c>
      <c r="D7" t="s">
        <v>5</v>
      </c>
      <c r="E7" s="3">
        <v>1730.2277999999999</v>
      </c>
      <c r="F7" s="3">
        <f>Sheet1!L8</f>
        <v>0</v>
      </c>
      <c r="G7" s="4">
        <f t="shared" si="0"/>
        <v>1730.2277999999999</v>
      </c>
      <c r="H7" s="5">
        <f t="shared" si="1"/>
        <v>64987.356167999998</v>
      </c>
      <c r="I7" s="5">
        <f t="shared" si="2"/>
        <v>65160.37894799999</v>
      </c>
    </row>
    <row r="8" spans="1:9" x14ac:dyDescent="0.25">
      <c r="A8" t="s">
        <v>11</v>
      </c>
      <c r="B8" s="5">
        <v>56.59</v>
      </c>
      <c r="C8" s="5">
        <v>56.62</v>
      </c>
      <c r="D8" t="s">
        <v>5</v>
      </c>
      <c r="E8" s="3">
        <v>1148.8532</v>
      </c>
      <c r="F8" s="3">
        <f>Sheet1!L9</f>
        <v>0</v>
      </c>
      <c r="G8" s="4">
        <f t="shared" si="0"/>
        <v>1148.8532</v>
      </c>
      <c r="H8" s="5">
        <f t="shared" si="1"/>
        <v>65013.602588000002</v>
      </c>
      <c r="I8" s="5">
        <f t="shared" si="2"/>
        <v>65048.068183999996</v>
      </c>
    </row>
    <row r="9" spans="1:9" x14ac:dyDescent="0.25">
      <c r="A9" t="s">
        <v>12</v>
      </c>
      <c r="B9" s="5">
        <v>50.45</v>
      </c>
      <c r="C9" s="5">
        <v>50.48</v>
      </c>
      <c r="D9" t="s">
        <v>5</v>
      </c>
      <c r="E9" s="3">
        <v>1289.0615</v>
      </c>
      <c r="F9" s="3">
        <f>Sheet1!L10</f>
        <v>0.05</v>
      </c>
      <c r="G9" s="4">
        <f t="shared" si="0"/>
        <v>1289.1115</v>
      </c>
      <c r="H9" s="5">
        <f t="shared" si="1"/>
        <v>65035.675175000004</v>
      </c>
      <c r="I9" s="5">
        <f t="shared" si="2"/>
        <v>65074.348519999992</v>
      </c>
    </row>
    <row r="10" spans="1:9" x14ac:dyDescent="0.25">
      <c r="A10" t="s">
        <v>13</v>
      </c>
      <c r="B10" s="5">
        <v>18.38</v>
      </c>
      <c r="C10" s="5">
        <v>18.41</v>
      </c>
      <c r="D10" t="s">
        <v>5</v>
      </c>
      <c r="E10" s="3">
        <v>3535.8029000000001</v>
      </c>
      <c r="F10" s="3">
        <f>Sheet1!L11</f>
        <v>0</v>
      </c>
      <c r="G10" s="4">
        <f t="shared" si="0"/>
        <v>3535.8029000000001</v>
      </c>
      <c r="H10" s="5">
        <f t="shared" si="1"/>
        <v>64988.057302000001</v>
      </c>
      <c r="I10" s="5">
        <f t="shared" si="2"/>
        <v>65094.131389000002</v>
      </c>
    </row>
    <row r="11" spans="1:9" x14ac:dyDescent="0.25">
      <c r="A11" t="s">
        <v>14</v>
      </c>
      <c r="B11" s="5">
        <v>36.840000000000003</v>
      </c>
      <c r="C11" s="5">
        <v>36.85</v>
      </c>
      <c r="D11" t="s">
        <v>5</v>
      </c>
      <c r="E11" s="3">
        <v>1765.0592999999999</v>
      </c>
      <c r="F11" s="3">
        <f>Sheet1!L12</f>
        <v>0</v>
      </c>
      <c r="G11" s="4">
        <f t="shared" si="0"/>
        <v>1765.0592999999999</v>
      </c>
      <c r="H11" s="5">
        <f t="shared" si="1"/>
        <v>65024.784612000003</v>
      </c>
      <c r="I11" s="5">
        <f t="shared" si="2"/>
        <v>65042.435205000002</v>
      </c>
    </row>
    <row r="12" spans="1:9" x14ac:dyDescent="0.25">
      <c r="A12" t="s">
        <v>4</v>
      </c>
      <c r="B12" s="5">
        <v>21.56</v>
      </c>
      <c r="C12" s="5">
        <v>21.57</v>
      </c>
      <c r="D12" t="s">
        <v>15</v>
      </c>
      <c r="E12" s="4">
        <f>E2</f>
        <v>3014.9488000000001</v>
      </c>
      <c r="F12" s="4">
        <f>F2</f>
        <v>0</v>
      </c>
      <c r="G12" s="4">
        <f t="shared" si="0"/>
        <v>3014.9488000000001</v>
      </c>
      <c r="H12" s="5">
        <f t="shared" si="1"/>
        <v>65002.296128000002</v>
      </c>
      <c r="I12" s="5">
        <f t="shared" si="2"/>
        <v>65032.445616000005</v>
      </c>
    </row>
    <row r="13" spans="1:9" x14ac:dyDescent="0.25">
      <c r="A13" t="s">
        <v>6</v>
      </c>
      <c r="B13" s="5">
        <v>35.29</v>
      </c>
      <c r="C13" s="5">
        <v>35.299999999999997</v>
      </c>
      <c r="D13" t="s">
        <v>15</v>
      </c>
      <c r="E13" s="4">
        <f t="shared" ref="E13:F28" si="3">E3</f>
        <v>1842.1205</v>
      </c>
      <c r="F13" s="4">
        <f t="shared" si="3"/>
        <v>0</v>
      </c>
      <c r="G13" s="4">
        <f t="shared" si="0"/>
        <v>1842.1205</v>
      </c>
      <c r="H13" s="5">
        <f t="shared" si="1"/>
        <v>65008.432444999999</v>
      </c>
      <c r="I13" s="5">
        <f t="shared" si="2"/>
        <v>65026.853649999997</v>
      </c>
    </row>
    <row r="14" spans="1:9" x14ac:dyDescent="0.25">
      <c r="A14" t="s">
        <v>7</v>
      </c>
      <c r="B14" s="5">
        <v>18.329999999999998</v>
      </c>
      <c r="C14" s="5">
        <v>18.34</v>
      </c>
      <c r="D14" t="s">
        <v>15</v>
      </c>
      <c r="E14" s="4">
        <f t="shared" si="3"/>
        <v>3546.5864999999999</v>
      </c>
      <c r="F14" s="4">
        <f t="shared" si="3"/>
        <v>0</v>
      </c>
      <c r="G14" s="4">
        <f t="shared" si="0"/>
        <v>3546.5864999999999</v>
      </c>
      <c r="H14" s="5">
        <f t="shared" si="1"/>
        <v>65008.930544999988</v>
      </c>
      <c r="I14" s="5">
        <f t="shared" si="2"/>
        <v>65044.396409999994</v>
      </c>
    </row>
    <row r="15" spans="1:9" x14ac:dyDescent="0.25">
      <c r="A15" t="s">
        <v>8</v>
      </c>
      <c r="B15" s="5">
        <v>28.76</v>
      </c>
      <c r="C15" s="5">
        <v>28.76</v>
      </c>
      <c r="D15" t="s">
        <v>15</v>
      </c>
      <c r="E15" s="4">
        <f>E5</f>
        <v>2261.3416000000002</v>
      </c>
      <c r="F15" s="4">
        <f t="shared" si="3"/>
        <v>-0.1</v>
      </c>
      <c r="G15" s="4">
        <f t="shared" si="0"/>
        <v>2261.2416000000003</v>
      </c>
      <c r="H15" s="5">
        <f t="shared" si="1"/>
        <v>65033.308416000014</v>
      </c>
      <c r="I15" s="5">
        <f t="shared" si="2"/>
        <v>65033.308416000014</v>
      </c>
    </row>
    <row r="16" spans="1:9" x14ac:dyDescent="0.25">
      <c r="A16" t="s">
        <v>9</v>
      </c>
      <c r="B16" s="5">
        <v>68.7</v>
      </c>
      <c r="C16" s="5">
        <v>68.84</v>
      </c>
      <c r="D16" t="s">
        <v>15</v>
      </c>
      <c r="E16" s="4">
        <f t="shared" si="3"/>
        <v>946.13639999999998</v>
      </c>
      <c r="F16" s="4">
        <f t="shared" si="3"/>
        <v>0</v>
      </c>
      <c r="G16" s="4">
        <f t="shared" si="0"/>
        <v>946.13639999999998</v>
      </c>
      <c r="H16" s="5">
        <f t="shared" si="1"/>
        <v>64999.570680000004</v>
      </c>
      <c r="I16" s="5">
        <f t="shared" si="2"/>
        <v>65132.029776000003</v>
      </c>
    </row>
    <row r="17" spans="1:9" x14ac:dyDescent="0.25">
      <c r="A17" t="s">
        <v>10</v>
      </c>
      <c r="B17" s="5">
        <v>37.56</v>
      </c>
      <c r="C17" s="5">
        <v>37.590000000000003</v>
      </c>
      <c r="D17" t="s">
        <v>15</v>
      </c>
      <c r="E17" s="4">
        <f t="shared" si="3"/>
        <v>1730.2277999999999</v>
      </c>
      <c r="F17" s="4">
        <f t="shared" si="3"/>
        <v>0</v>
      </c>
      <c r="G17" s="4">
        <f t="shared" si="0"/>
        <v>1730.2277999999999</v>
      </c>
      <c r="H17" s="5">
        <f t="shared" si="1"/>
        <v>64987.356167999998</v>
      </c>
      <c r="I17" s="5">
        <f t="shared" si="2"/>
        <v>65039.263002</v>
      </c>
    </row>
    <row r="18" spans="1:9" x14ac:dyDescent="0.25">
      <c r="A18" t="s">
        <v>11</v>
      </c>
      <c r="B18" s="5">
        <v>56.59</v>
      </c>
      <c r="C18" s="5">
        <v>56.6</v>
      </c>
      <c r="D18" t="s">
        <v>15</v>
      </c>
      <c r="E18" s="4">
        <f t="shared" si="3"/>
        <v>1148.8532</v>
      </c>
      <c r="F18" s="4">
        <f t="shared" si="3"/>
        <v>0</v>
      </c>
      <c r="G18" s="4">
        <f t="shared" si="0"/>
        <v>1148.8532</v>
      </c>
      <c r="H18" s="5">
        <f t="shared" si="1"/>
        <v>65013.602588000002</v>
      </c>
      <c r="I18" s="5">
        <f t="shared" si="2"/>
        <v>65025.091120000005</v>
      </c>
    </row>
    <row r="19" spans="1:9" x14ac:dyDescent="0.25">
      <c r="A19" t="s">
        <v>12</v>
      </c>
      <c r="B19" s="5">
        <v>50.44</v>
      </c>
      <c r="C19" s="5">
        <v>50.45</v>
      </c>
      <c r="D19" t="s">
        <v>15</v>
      </c>
      <c r="E19" s="4">
        <f t="shared" si="3"/>
        <v>1289.0615</v>
      </c>
      <c r="F19" s="4">
        <f t="shared" si="3"/>
        <v>0.05</v>
      </c>
      <c r="G19" s="4">
        <f t="shared" si="0"/>
        <v>1289.1115</v>
      </c>
      <c r="H19" s="5">
        <f t="shared" si="1"/>
        <v>65022.784059999998</v>
      </c>
      <c r="I19" s="5">
        <f t="shared" si="2"/>
        <v>65035.675175000004</v>
      </c>
    </row>
    <row r="20" spans="1:9" x14ac:dyDescent="0.25">
      <c r="A20" t="s">
        <v>13</v>
      </c>
      <c r="B20" s="5">
        <v>18.38</v>
      </c>
      <c r="C20" s="5">
        <v>18.39</v>
      </c>
      <c r="D20" t="s">
        <v>15</v>
      </c>
      <c r="E20" s="4">
        <f t="shared" si="3"/>
        <v>3535.8029000000001</v>
      </c>
      <c r="F20" s="4">
        <f t="shared" si="3"/>
        <v>0</v>
      </c>
      <c r="G20" s="4">
        <f t="shared" si="0"/>
        <v>3535.8029000000001</v>
      </c>
      <c r="H20" s="5">
        <f t="shared" si="1"/>
        <v>64988.057302000001</v>
      </c>
      <c r="I20" s="5">
        <f t="shared" si="2"/>
        <v>65023.415331000004</v>
      </c>
    </row>
    <row r="21" spans="1:9" x14ac:dyDescent="0.25">
      <c r="A21" t="s">
        <v>14</v>
      </c>
      <c r="B21" s="5">
        <v>36.83</v>
      </c>
      <c r="C21" s="5">
        <v>36.840000000000003</v>
      </c>
      <c r="D21" t="s">
        <v>15</v>
      </c>
      <c r="E21" s="4">
        <f t="shared" si="3"/>
        <v>1765.0592999999999</v>
      </c>
      <c r="F21" s="4">
        <f t="shared" si="3"/>
        <v>0</v>
      </c>
      <c r="G21" s="4">
        <f t="shared" si="0"/>
        <v>1765.0592999999999</v>
      </c>
      <c r="H21" s="5">
        <f t="shared" si="1"/>
        <v>65007.13401899999</v>
      </c>
      <c r="I21" s="5">
        <f t="shared" si="2"/>
        <v>65024.784612000003</v>
      </c>
    </row>
    <row r="22" spans="1:9" x14ac:dyDescent="0.25">
      <c r="A22" t="s">
        <v>4</v>
      </c>
      <c r="B22" s="5">
        <v>21.68</v>
      </c>
      <c r="C22" s="5">
        <v>21.69</v>
      </c>
      <c r="D22" t="s">
        <v>16</v>
      </c>
      <c r="E22" s="4">
        <f t="shared" si="3"/>
        <v>3014.9488000000001</v>
      </c>
      <c r="F22" s="4">
        <f t="shared" si="3"/>
        <v>0</v>
      </c>
      <c r="G22" s="4">
        <f t="shared" si="0"/>
        <v>3014.9488000000001</v>
      </c>
      <c r="H22" s="5">
        <f t="shared" si="1"/>
        <v>65364.089983999998</v>
      </c>
      <c r="I22" s="5">
        <f t="shared" si="2"/>
        <v>65394.239472000008</v>
      </c>
    </row>
    <row r="23" spans="1:9" x14ac:dyDescent="0.25">
      <c r="A23" t="s">
        <v>6</v>
      </c>
      <c r="B23" s="5">
        <v>35.5</v>
      </c>
      <c r="C23" s="5">
        <v>35.51</v>
      </c>
      <c r="D23" t="s">
        <v>16</v>
      </c>
      <c r="E23" s="4">
        <f t="shared" si="3"/>
        <v>1842.1205</v>
      </c>
      <c r="F23" s="4">
        <f t="shared" si="3"/>
        <v>0</v>
      </c>
      <c r="G23" s="4">
        <f t="shared" si="0"/>
        <v>1842.1205</v>
      </c>
      <c r="H23" s="5">
        <f t="shared" si="1"/>
        <v>65395.277750000001</v>
      </c>
      <c r="I23" s="5">
        <f t="shared" si="2"/>
        <v>65413.698954999993</v>
      </c>
    </row>
    <row r="24" spans="1:9" x14ac:dyDescent="0.25">
      <c r="A24" t="s">
        <v>7</v>
      </c>
      <c r="B24" s="5">
        <v>18.43</v>
      </c>
      <c r="C24" s="5">
        <v>18.440000000000001</v>
      </c>
      <c r="D24" t="s">
        <v>16</v>
      </c>
      <c r="E24" s="4">
        <f t="shared" si="3"/>
        <v>3546.5864999999999</v>
      </c>
      <c r="F24" s="4">
        <f t="shared" si="3"/>
        <v>0</v>
      </c>
      <c r="G24" s="4">
        <f t="shared" si="0"/>
        <v>3546.5864999999999</v>
      </c>
      <c r="H24" s="5">
        <f t="shared" si="1"/>
        <v>65363.589195</v>
      </c>
      <c r="I24" s="5">
        <f t="shared" si="2"/>
        <v>65399.055060000006</v>
      </c>
    </row>
    <row r="25" spans="1:9" x14ac:dyDescent="0.25">
      <c r="A25" t="s">
        <v>8</v>
      </c>
      <c r="B25" s="5">
        <v>28.92</v>
      </c>
      <c r="C25" s="5">
        <v>28.93</v>
      </c>
      <c r="D25" t="s">
        <v>16</v>
      </c>
      <c r="E25" s="4">
        <f t="shared" si="3"/>
        <v>2261.3416000000002</v>
      </c>
      <c r="F25" s="4">
        <f t="shared" si="3"/>
        <v>-0.1</v>
      </c>
      <c r="G25" s="4">
        <f t="shared" si="0"/>
        <v>2261.2416000000003</v>
      </c>
      <c r="H25" s="5">
        <f t="shared" si="1"/>
        <v>65395.107072000013</v>
      </c>
      <c r="I25" s="5">
        <f t="shared" si="2"/>
        <v>65417.71948800001</v>
      </c>
    </row>
    <row r="26" spans="1:9" x14ac:dyDescent="0.25">
      <c r="A26" t="s">
        <v>9</v>
      </c>
      <c r="B26" s="5">
        <v>69.069999999999993</v>
      </c>
      <c r="C26" s="5">
        <v>69.2</v>
      </c>
      <c r="D26" t="s">
        <v>16</v>
      </c>
      <c r="E26" s="4">
        <f t="shared" si="3"/>
        <v>946.13639999999998</v>
      </c>
      <c r="F26" s="4">
        <f t="shared" si="3"/>
        <v>0</v>
      </c>
      <c r="G26" s="4">
        <f t="shared" si="0"/>
        <v>946.13639999999998</v>
      </c>
      <c r="H26" s="5">
        <f t="shared" si="1"/>
        <v>65349.641147999995</v>
      </c>
      <c r="I26" s="5">
        <f t="shared" si="2"/>
        <v>65472.638879999999</v>
      </c>
    </row>
    <row r="27" spans="1:9" x14ac:dyDescent="0.25">
      <c r="A27" t="s">
        <v>10</v>
      </c>
      <c r="B27" s="5">
        <v>37.78</v>
      </c>
      <c r="C27" s="5">
        <v>37.799999999999997</v>
      </c>
      <c r="D27" t="s">
        <v>16</v>
      </c>
      <c r="E27" s="4">
        <f t="shared" si="3"/>
        <v>1730.2277999999999</v>
      </c>
      <c r="F27" s="4">
        <f t="shared" si="3"/>
        <v>0</v>
      </c>
      <c r="G27" s="4">
        <f t="shared" si="0"/>
        <v>1730.2277999999999</v>
      </c>
      <c r="H27" s="5">
        <f t="shared" si="1"/>
        <v>65368.006283999996</v>
      </c>
      <c r="I27" s="5">
        <f t="shared" si="2"/>
        <v>65402.610839999994</v>
      </c>
    </row>
    <row r="28" spans="1:9" x14ac:dyDescent="0.25">
      <c r="A28" t="s">
        <v>11</v>
      </c>
      <c r="B28" s="5">
        <v>56.9</v>
      </c>
      <c r="C28" s="5">
        <v>56.91</v>
      </c>
      <c r="D28" t="s">
        <v>16</v>
      </c>
      <c r="E28" s="4">
        <f t="shared" si="3"/>
        <v>1148.8532</v>
      </c>
      <c r="F28" s="4">
        <f t="shared" si="3"/>
        <v>0</v>
      </c>
      <c r="G28" s="4">
        <f t="shared" si="0"/>
        <v>1148.8532</v>
      </c>
      <c r="H28" s="5">
        <f t="shared" si="1"/>
        <v>65369.747080000001</v>
      </c>
      <c r="I28" s="5">
        <f t="shared" si="2"/>
        <v>65381.235611999997</v>
      </c>
    </row>
    <row r="29" spans="1:9" x14ac:dyDescent="0.25">
      <c r="A29" t="s">
        <v>12</v>
      </c>
      <c r="B29" s="5">
        <v>50.73</v>
      </c>
      <c r="C29" s="5">
        <v>50.74</v>
      </c>
      <c r="D29" t="s">
        <v>16</v>
      </c>
      <c r="E29" s="4">
        <f t="shared" ref="E29:F44" si="4">E19</f>
        <v>1289.0615</v>
      </c>
      <c r="F29" s="4">
        <f t="shared" si="4"/>
        <v>0.05</v>
      </c>
      <c r="G29" s="4">
        <f t="shared" si="0"/>
        <v>1289.1115</v>
      </c>
      <c r="H29" s="5">
        <f t="shared" si="1"/>
        <v>65396.626394999992</v>
      </c>
      <c r="I29" s="5">
        <f t="shared" si="2"/>
        <v>65409.517509999998</v>
      </c>
    </row>
    <row r="30" spans="1:9" x14ac:dyDescent="0.25">
      <c r="A30" t="s">
        <v>13</v>
      </c>
      <c r="B30" s="5">
        <v>18.489999999999998</v>
      </c>
      <c r="C30" s="5">
        <v>18.5</v>
      </c>
      <c r="D30" t="s">
        <v>16</v>
      </c>
      <c r="E30" s="4">
        <f t="shared" si="4"/>
        <v>3535.8029000000001</v>
      </c>
      <c r="F30" s="4">
        <f t="shared" si="4"/>
        <v>0</v>
      </c>
      <c r="G30" s="4">
        <f t="shared" si="0"/>
        <v>3535.8029000000001</v>
      </c>
      <c r="H30" s="5">
        <f t="shared" si="1"/>
        <v>65376.995620999995</v>
      </c>
      <c r="I30" s="5">
        <f t="shared" si="2"/>
        <v>65412.353650000005</v>
      </c>
    </row>
    <row r="31" spans="1:9" x14ac:dyDescent="0.25">
      <c r="A31" t="s">
        <v>14</v>
      </c>
      <c r="B31" s="5">
        <v>37.04</v>
      </c>
      <c r="C31" s="5">
        <v>37.049999999999997</v>
      </c>
      <c r="D31" t="s">
        <v>16</v>
      </c>
      <c r="E31" s="4">
        <f t="shared" si="4"/>
        <v>1765.0592999999999</v>
      </c>
      <c r="F31" s="4">
        <f t="shared" si="4"/>
        <v>0</v>
      </c>
      <c r="G31" s="4">
        <f t="shared" si="0"/>
        <v>1765.0592999999999</v>
      </c>
      <c r="H31" s="5">
        <f t="shared" si="1"/>
        <v>65377.796471999995</v>
      </c>
      <c r="I31" s="5">
        <f t="shared" si="2"/>
        <v>65395.447064999993</v>
      </c>
    </row>
    <row r="32" spans="1:9" x14ac:dyDescent="0.25">
      <c r="A32" t="s">
        <v>4</v>
      </c>
      <c r="B32" s="5">
        <v>21.68</v>
      </c>
      <c r="C32" s="5">
        <v>21.69</v>
      </c>
      <c r="D32" t="s">
        <v>17</v>
      </c>
      <c r="E32" s="4">
        <f t="shared" si="4"/>
        <v>3014.9488000000001</v>
      </c>
      <c r="F32" s="4">
        <f t="shared" si="4"/>
        <v>0</v>
      </c>
      <c r="G32" s="4">
        <f t="shared" si="0"/>
        <v>3014.9488000000001</v>
      </c>
      <c r="H32" s="5">
        <f t="shared" si="1"/>
        <v>65364.089983999998</v>
      </c>
      <c r="I32" s="5">
        <f t="shared" si="2"/>
        <v>65394.239472000008</v>
      </c>
    </row>
    <row r="33" spans="1:9" x14ac:dyDescent="0.25">
      <c r="A33" t="s">
        <v>6</v>
      </c>
      <c r="B33" s="5">
        <v>35.49</v>
      </c>
      <c r="C33" s="5">
        <v>35.5</v>
      </c>
      <c r="D33" t="s">
        <v>17</v>
      </c>
      <c r="E33" s="4">
        <f t="shared" si="4"/>
        <v>1842.1205</v>
      </c>
      <c r="F33" s="4">
        <f t="shared" si="4"/>
        <v>0</v>
      </c>
      <c r="G33" s="4">
        <f t="shared" si="0"/>
        <v>1842.1205</v>
      </c>
      <c r="H33" s="5">
        <f t="shared" si="1"/>
        <v>65376.856545000002</v>
      </c>
      <c r="I33" s="5">
        <f t="shared" si="2"/>
        <v>65395.277750000001</v>
      </c>
    </row>
    <row r="34" spans="1:9" x14ac:dyDescent="0.25">
      <c r="A34" t="s">
        <v>7</v>
      </c>
      <c r="B34" s="5">
        <v>18.43</v>
      </c>
      <c r="C34" s="5">
        <v>18.440000000000001</v>
      </c>
      <c r="D34" t="s">
        <v>17</v>
      </c>
      <c r="E34" s="4">
        <f t="shared" si="4"/>
        <v>3546.5864999999999</v>
      </c>
      <c r="F34" s="4">
        <f t="shared" si="4"/>
        <v>0</v>
      </c>
      <c r="G34" s="4">
        <f t="shared" si="0"/>
        <v>3546.5864999999999</v>
      </c>
      <c r="H34" s="5">
        <f t="shared" si="1"/>
        <v>65363.589195</v>
      </c>
      <c r="I34" s="5">
        <f t="shared" si="2"/>
        <v>65399.055060000006</v>
      </c>
    </row>
    <row r="35" spans="1:9" x14ac:dyDescent="0.25">
      <c r="A35" t="s">
        <v>8</v>
      </c>
      <c r="B35" s="5">
        <v>28.91</v>
      </c>
      <c r="C35" s="5">
        <v>28.92</v>
      </c>
      <c r="D35" t="s">
        <v>17</v>
      </c>
      <c r="E35" s="4">
        <f t="shared" si="4"/>
        <v>2261.3416000000002</v>
      </c>
      <c r="F35" s="4">
        <f t="shared" si="4"/>
        <v>-0.1</v>
      </c>
      <c r="G35" s="4">
        <f t="shared" si="0"/>
        <v>2261.2416000000003</v>
      </c>
      <c r="H35" s="5">
        <f t="shared" si="1"/>
        <v>65372.49465600001</v>
      </c>
      <c r="I35" s="5">
        <f t="shared" si="2"/>
        <v>65395.107072000013</v>
      </c>
    </row>
    <row r="36" spans="1:9" x14ac:dyDescent="0.25">
      <c r="A36" t="s">
        <v>9</v>
      </c>
      <c r="B36" s="5">
        <v>69.09</v>
      </c>
      <c r="C36" s="5">
        <v>69.209999999999994</v>
      </c>
      <c r="D36" t="s">
        <v>17</v>
      </c>
      <c r="E36" s="4">
        <f t="shared" si="4"/>
        <v>946.13639999999998</v>
      </c>
      <c r="F36" s="4">
        <f t="shared" si="4"/>
        <v>0</v>
      </c>
      <c r="G36" s="4">
        <f t="shared" si="0"/>
        <v>946.13639999999998</v>
      </c>
      <c r="H36" s="5">
        <f t="shared" si="1"/>
        <v>65368.563876</v>
      </c>
      <c r="I36" s="5">
        <f t="shared" si="2"/>
        <v>65482.100243999994</v>
      </c>
    </row>
    <row r="37" spans="1:9" x14ac:dyDescent="0.25">
      <c r="A37" t="s">
        <v>10</v>
      </c>
      <c r="B37" s="5">
        <v>37.78</v>
      </c>
      <c r="C37" s="5">
        <v>37.81</v>
      </c>
      <c r="D37" t="s">
        <v>17</v>
      </c>
      <c r="E37" s="4">
        <f t="shared" si="4"/>
        <v>1730.2277999999999</v>
      </c>
      <c r="F37" s="4">
        <f t="shared" si="4"/>
        <v>0</v>
      </c>
      <c r="G37" s="4">
        <f t="shared" si="0"/>
        <v>1730.2277999999999</v>
      </c>
      <c r="H37" s="5">
        <f t="shared" si="1"/>
        <v>65368.006283999996</v>
      </c>
      <c r="I37" s="5">
        <f t="shared" si="2"/>
        <v>65419.913117999997</v>
      </c>
    </row>
    <row r="38" spans="1:9" x14ac:dyDescent="0.25">
      <c r="A38" t="s">
        <v>11</v>
      </c>
      <c r="B38" s="5">
        <v>56.89</v>
      </c>
      <c r="C38" s="5">
        <v>56.9</v>
      </c>
      <c r="D38" t="s">
        <v>17</v>
      </c>
      <c r="E38" s="4">
        <f t="shared" si="4"/>
        <v>1148.8532</v>
      </c>
      <c r="F38" s="4">
        <f t="shared" si="4"/>
        <v>0</v>
      </c>
      <c r="G38" s="4">
        <f t="shared" si="0"/>
        <v>1148.8532</v>
      </c>
      <c r="H38" s="5">
        <f t="shared" si="1"/>
        <v>65358.258547999998</v>
      </c>
      <c r="I38" s="5">
        <f t="shared" si="2"/>
        <v>65369.747080000001</v>
      </c>
    </row>
    <row r="39" spans="1:9" x14ac:dyDescent="0.25">
      <c r="A39" t="s">
        <v>12</v>
      </c>
      <c r="B39" s="5">
        <v>50.72</v>
      </c>
      <c r="C39" s="5">
        <v>50.73</v>
      </c>
      <c r="D39" t="s">
        <v>17</v>
      </c>
      <c r="E39" s="4">
        <f t="shared" si="4"/>
        <v>1289.0615</v>
      </c>
      <c r="F39" s="4">
        <f t="shared" si="4"/>
        <v>0.05</v>
      </c>
      <c r="G39" s="4">
        <f t="shared" si="0"/>
        <v>1289.1115</v>
      </c>
      <c r="H39" s="5">
        <f t="shared" si="1"/>
        <v>65383.735280000001</v>
      </c>
      <c r="I39" s="5">
        <f t="shared" si="2"/>
        <v>65396.626394999992</v>
      </c>
    </row>
    <row r="40" spans="1:9" x14ac:dyDescent="0.25">
      <c r="A40" t="s">
        <v>13</v>
      </c>
      <c r="B40" s="5">
        <v>18.489999999999998</v>
      </c>
      <c r="C40" s="5">
        <v>18.5</v>
      </c>
      <c r="D40" t="s">
        <v>17</v>
      </c>
      <c r="E40" s="4">
        <f t="shared" si="4"/>
        <v>3535.8029000000001</v>
      </c>
      <c r="F40" s="4">
        <f t="shared" si="4"/>
        <v>0</v>
      </c>
      <c r="G40" s="4">
        <f t="shared" si="0"/>
        <v>3535.8029000000001</v>
      </c>
      <c r="H40" s="5">
        <f t="shared" si="1"/>
        <v>65376.995620999995</v>
      </c>
      <c r="I40" s="5">
        <f t="shared" si="2"/>
        <v>65412.353650000005</v>
      </c>
    </row>
    <row r="41" spans="1:9" x14ac:dyDescent="0.25">
      <c r="A41" t="s">
        <v>14</v>
      </c>
      <c r="B41" s="5">
        <v>37.04</v>
      </c>
      <c r="C41" s="5">
        <v>37.049999999999997</v>
      </c>
      <c r="D41" t="s">
        <v>17</v>
      </c>
      <c r="E41" s="4">
        <f t="shared" si="4"/>
        <v>1765.0592999999999</v>
      </c>
      <c r="F41" s="4">
        <f t="shared" si="4"/>
        <v>0</v>
      </c>
      <c r="G41" s="4">
        <f t="shared" si="0"/>
        <v>1765.0592999999999</v>
      </c>
      <c r="H41" s="5">
        <f t="shared" si="1"/>
        <v>65377.796471999995</v>
      </c>
      <c r="I41" s="5">
        <f t="shared" si="2"/>
        <v>65395.447064999993</v>
      </c>
    </row>
    <row r="42" spans="1:9" x14ac:dyDescent="0.25">
      <c r="A42" t="s">
        <v>4</v>
      </c>
      <c r="B42" s="5">
        <v>21.61</v>
      </c>
      <c r="C42" s="5">
        <v>21.62</v>
      </c>
      <c r="D42" t="s">
        <v>18</v>
      </c>
      <c r="E42" s="4">
        <f t="shared" si="4"/>
        <v>3014.9488000000001</v>
      </c>
      <c r="F42" s="4">
        <f t="shared" si="4"/>
        <v>0</v>
      </c>
      <c r="G42" s="4">
        <f t="shared" si="0"/>
        <v>3014.9488000000001</v>
      </c>
      <c r="H42" s="5">
        <f t="shared" si="1"/>
        <v>65153.043568000001</v>
      </c>
      <c r="I42" s="5">
        <f t="shared" si="2"/>
        <v>65183.193056000004</v>
      </c>
    </row>
    <row r="43" spans="1:9" x14ac:dyDescent="0.25">
      <c r="A43" t="s">
        <v>6</v>
      </c>
      <c r="B43" s="5">
        <v>35.369999999999997</v>
      </c>
      <c r="C43" s="5">
        <v>35.380000000000003</v>
      </c>
      <c r="D43" t="s">
        <v>18</v>
      </c>
      <c r="E43" s="4">
        <f t="shared" si="4"/>
        <v>1842.1205</v>
      </c>
      <c r="F43" s="4">
        <f t="shared" si="4"/>
        <v>0</v>
      </c>
      <c r="G43" s="4">
        <f t="shared" si="0"/>
        <v>1842.1205</v>
      </c>
      <c r="H43" s="5">
        <f t="shared" si="1"/>
        <v>65155.802084999996</v>
      </c>
      <c r="I43" s="5">
        <f t="shared" si="2"/>
        <v>65174.223290000002</v>
      </c>
    </row>
    <row r="44" spans="1:9" x14ac:dyDescent="0.25">
      <c r="A44" t="s">
        <v>7</v>
      </c>
      <c r="B44" s="5">
        <v>18.37</v>
      </c>
      <c r="C44" s="5">
        <v>18.38</v>
      </c>
      <c r="D44" t="s">
        <v>18</v>
      </c>
      <c r="E44" s="4">
        <f t="shared" si="4"/>
        <v>3546.5864999999999</v>
      </c>
      <c r="F44" s="4">
        <f t="shared" si="4"/>
        <v>0</v>
      </c>
      <c r="G44" s="4">
        <f t="shared" si="0"/>
        <v>3546.5864999999999</v>
      </c>
      <c r="H44" s="5">
        <f t="shared" si="1"/>
        <v>65150.794005000003</v>
      </c>
      <c r="I44" s="5">
        <f t="shared" si="2"/>
        <v>65186.259869999994</v>
      </c>
    </row>
    <row r="45" spans="1:9" x14ac:dyDescent="0.25">
      <c r="A45" t="s">
        <v>8</v>
      </c>
      <c r="B45" s="5">
        <v>28.81</v>
      </c>
      <c r="C45" s="5">
        <v>28.82</v>
      </c>
      <c r="D45" t="s">
        <v>18</v>
      </c>
      <c r="E45" s="4">
        <f t="shared" ref="E45:F60" si="5">E35</f>
        <v>2261.3416000000002</v>
      </c>
      <c r="F45" s="4">
        <f t="shared" si="5"/>
        <v>-0.1</v>
      </c>
      <c r="G45" s="4">
        <f t="shared" si="0"/>
        <v>2261.2416000000003</v>
      </c>
      <c r="H45" s="5">
        <f t="shared" si="1"/>
        <v>65146.370496000003</v>
      </c>
      <c r="I45" s="5">
        <f t="shared" si="2"/>
        <v>65168.982912000007</v>
      </c>
    </row>
    <row r="46" spans="1:9" x14ac:dyDescent="0.25">
      <c r="A46" t="s">
        <v>9</v>
      </c>
      <c r="B46" s="5">
        <v>68.87</v>
      </c>
      <c r="C46" s="5">
        <v>69</v>
      </c>
      <c r="D46" t="s">
        <v>18</v>
      </c>
      <c r="E46" s="4">
        <f t="shared" si="5"/>
        <v>946.13639999999998</v>
      </c>
      <c r="F46" s="4">
        <f t="shared" si="5"/>
        <v>0</v>
      </c>
      <c r="G46" s="4">
        <f t="shared" si="0"/>
        <v>946.13639999999998</v>
      </c>
      <c r="H46" s="5">
        <f t="shared" si="1"/>
        <v>65160.413868000003</v>
      </c>
      <c r="I46" s="5">
        <f t="shared" si="2"/>
        <v>65283.411599999999</v>
      </c>
    </row>
    <row r="47" spans="1:9" x14ac:dyDescent="0.25">
      <c r="A47" t="s">
        <v>10</v>
      </c>
      <c r="B47" s="5">
        <v>37.65</v>
      </c>
      <c r="C47" s="5">
        <v>37.67</v>
      </c>
      <c r="D47" t="s">
        <v>18</v>
      </c>
      <c r="E47" s="4">
        <f t="shared" si="5"/>
        <v>1730.2277999999999</v>
      </c>
      <c r="F47" s="4">
        <f t="shared" si="5"/>
        <v>0</v>
      </c>
      <c r="G47" s="4">
        <f t="shared" si="0"/>
        <v>1730.2277999999999</v>
      </c>
      <c r="H47" s="5">
        <f t="shared" si="1"/>
        <v>65143.076669999995</v>
      </c>
      <c r="I47" s="5">
        <f t="shared" si="2"/>
        <v>65177.681226000001</v>
      </c>
    </row>
    <row r="48" spans="1:9" x14ac:dyDescent="0.25">
      <c r="A48" t="s">
        <v>11</v>
      </c>
      <c r="B48" s="5">
        <v>56.7</v>
      </c>
      <c r="C48" s="5">
        <v>56.71</v>
      </c>
      <c r="D48" t="s">
        <v>18</v>
      </c>
      <c r="E48" s="4">
        <f t="shared" si="5"/>
        <v>1148.8532</v>
      </c>
      <c r="F48" s="4">
        <f t="shared" si="5"/>
        <v>0</v>
      </c>
      <c r="G48" s="4">
        <f t="shared" si="0"/>
        <v>1148.8532</v>
      </c>
      <c r="H48" s="5">
        <f t="shared" si="1"/>
        <v>65139.976440000006</v>
      </c>
      <c r="I48" s="5">
        <f t="shared" si="2"/>
        <v>65151.464972000002</v>
      </c>
    </row>
    <row r="49" spans="1:9" x14ac:dyDescent="0.25">
      <c r="A49" t="s">
        <v>12</v>
      </c>
      <c r="B49" s="5">
        <v>50.54</v>
      </c>
      <c r="C49" s="5">
        <v>50.55</v>
      </c>
      <c r="D49" t="s">
        <v>18</v>
      </c>
      <c r="E49" s="4">
        <f t="shared" si="5"/>
        <v>1289.0615</v>
      </c>
      <c r="F49" s="4">
        <f t="shared" si="5"/>
        <v>0.05</v>
      </c>
      <c r="G49" s="4">
        <f t="shared" si="0"/>
        <v>1289.1115</v>
      </c>
      <c r="H49" s="5">
        <f t="shared" si="1"/>
        <v>65151.695209999998</v>
      </c>
      <c r="I49" s="5">
        <f t="shared" si="2"/>
        <v>65164.586324999997</v>
      </c>
    </row>
    <row r="50" spans="1:9" x14ac:dyDescent="0.25">
      <c r="A50" t="s">
        <v>13</v>
      </c>
      <c r="B50" s="5">
        <v>18.420000000000002</v>
      </c>
      <c r="C50" s="5">
        <v>18.43</v>
      </c>
      <c r="D50" t="s">
        <v>18</v>
      </c>
      <c r="E50" s="4">
        <f t="shared" si="5"/>
        <v>3535.8029000000001</v>
      </c>
      <c r="F50" s="4">
        <f t="shared" si="5"/>
        <v>0</v>
      </c>
      <c r="G50" s="4">
        <f t="shared" si="0"/>
        <v>3535.8029000000001</v>
      </c>
      <c r="H50" s="5">
        <f t="shared" si="1"/>
        <v>65129.489418000012</v>
      </c>
      <c r="I50" s="5">
        <f t="shared" si="2"/>
        <v>65164.847447</v>
      </c>
    </row>
    <row r="51" spans="1:9" x14ac:dyDescent="0.25">
      <c r="A51" t="s">
        <v>14</v>
      </c>
      <c r="B51" s="5">
        <v>36.909999999999997</v>
      </c>
      <c r="C51" s="5">
        <v>36.92</v>
      </c>
      <c r="D51" t="s">
        <v>18</v>
      </c>
      <c r="E51" s="4">
        <f t="shared" si="5"/>
        <v>1765.0592999999999</v>
      </c>
      <c r="F51" s="4">
        <f t="shared" si="5"/>
        <v>0</v>
      </c>
      <c r="G51" s="4">
        <f t="shared" si="0"/>
        <v>1765.0592999999999</v>
      </c>
      <c r="H51" s="5">
        <f t="shared" si="1"/>
        <v>65148.338762999992</v>
      </c>
      <c r="I51" s="5">
        <f t="shared" si="2"/>
        <v>65165.989355999998</v>
      </c>
    </row>
    <row r="52" spans="1:9" x14ac:dyDescent="0.25">
      <c r="A52" t="s">
        <v>4</v>
      </c>
      <c r="B52" s="5">
        <v>21.5</v>
      </c>
      <c r="C52" s="5">
        <v>21.51</v>
      </c>
      <c r="D52" t="s">
        <v>19</v>
      </c>
      <c r="E52" s="4">
        <f t="shared" si="5"/>
        <v>3014.9488000000001</v>
      </c>
      <c r="F52" s="4">
        <f t="shared" si="5"/>
        <v>0</v>
      </c>
      <c r="G52" s="4">
        <f t="shared" si="0"/>
        <v>3014.9488000000001</v>
      </c>
      <c r="H52" s="5">
        <f t="shared" si="1"/>
        <v>64821.3992</v>
      </c>
      <c r="I52" s="5">
        <f t="shared" si="2"/>
        <v>64851.54868800001</v>
      </c>
    </row>
    <row r="53" spans="1:9" x14ac:dyDescent="0.25">
      <c r="A53" t="s">
        <v>6</v>
      </c>
      <c r="B53" s="5">
        <v>35.200000000000003</v>
      </c>
      <c r="C53" s="5">
        <v>35.21</v>
      </c>
      <c r="D53" t="s">
        <v>19</v>
      </c>
      <c r="E53" s="4">
        <f t="shared" si="5"/>
        <v>1842.1205</v>
      </c>
      <c r="F53" s="4">
        <f t="shared" si="5"/>
        <v>0</v>
      </c>
      <c r="G53" s="4">
        <f t="shared" si="0"/>
        <v>1842.1205</v>
      </c>
      <c r="H53" s="5">
        <f t="shared" si="1"/>
        <v>64842.641600000003</v>
      </c>
      <c r="I53" s="5">
        <f t="shared" si="2"/>
        <v>64861.062805000001</v>
      </c>
    </row>
    <row r="54" spans="1:9" x14ac:dyDescent="0.25">
      <c r="A54" t="s">
        <v>7</v>
      </c>
      <c r="B54" s="5">
        <v>18.27</v>
      </c>
      <c r="C54" s="5">
        <v>18.28</v>
      </c>
      <c r="D54" t="s">
        <v>19</v>
      </c>
      <c r="E54" s="4">
        <f t="shared" si="5"/>
        <v>3546.5864999999999</v>
      </c>
      <c r="F54" s="4">
        <f t="shared" si="5"/>
        <v>0</v>
      </c>
      <c r="G54" s="4">
        <f t="shared" si="0"/>
        <v>3546.5864999999999</v>
      </c>
      <c r="H54" s="5">
        <f t="shared" si="1"/>
        <v>64796.135354999999</v>
      </c>
      <c r="I54" s="5">
        <f t="shared" si="2"/>
        <v>64831.601220000004</v>
      </c>
    </row>
    <row r="55" spans="1:9" x14ac:dyDescent="0.25">
      <c r="A55" t="s">
        <v>8</v>
      </c>
      <c r="B55" s="5">
        <v>28.67</v>
      </c>
      <c r="C55" s="5">
        <v>28.68</v>
      </c>
      <c r="D55" t="s">
        <v>19</v>
      </c>
      <c r="E55" s="4">
        <f t="shared" si="5"/>
        <v>2261.3416000000002</v>
      </c>
      <c r="F55" s="4">
        <f t="shared" si="5"/>
        <v>-0.1</v>
      </c>
      <c r="G55" s="4">
        <f t="shared" si="0"/>
        <v>2261.2416000000003</v>
      </c>
      <c r="H55" s="5">
        <f t="shared" si="1"/>
        <v>64829.796672000011</v>
      </c>
      <c r="I55" s="5">
        <f t="shared" si="2"/>
        <v>64852.409088000008</v>
      </c>
    </row>
    <row r="56" spans="1:9" x14ac:dyDescent="0.25">
      <c r="A56" t="s">
        <v>9</v>
      </c>
      <c r="B56" s="5">
        <v>68.489999999999995</v>
      </c>
      <c r="C56" s="5">
        <v>68.599999999999994</v>
      </c>
      <c r="D56" t="s">
        <v>19</v>
      </c>
      <c r="E56" s="4">
        <f t="shared" si="5"/>
        <v>946.13639999999998</v>
      </c>
      <c r="F56" s="4">
        <f t="shared" si="5"/>
        <v>0</v>
      </c>
      <c r="G56" s="4">
        <f t="shared" si="0"/>
        <v>946.13639999999998</v>
      </c>
      <c r="H56" s="5">
        <f t="shared" si="1"/>
        <v>64800.882035999995</v>
      </c>
      <c r="I56" s="5">
        <f t="shared" si="2"/>
        <v>64904.957039999994</v>
      </c>
    </row>
    <row r="57" spans="1:9" x14ac:dyDescent="0.25">
      <c r="A57" t="s">
        <v>10</v>
      </c>
      <c r="B57" s="5">
        <v>37.46</v>
      </c>
      <c r="C57" s="5">
        <v>37.49</v>
      </c>
      <c r="D57" t="s">
        <v>19</v>
      </c>
      <c r="E57" s="4">
        <f t="shared" si="5"/>
        <v>1730.2277999999999</v>
      </c>
      <c r="F57" s="4">
        <f t="shared" si="5"/>
        <v>0</v>
      </c>
      <c r="G57" s="4">
        <f t="shared" si="0"/>
        <v>1730.2277999999999</v>
      </c>
      <c r="H57" s="5">
        <f t="shared" si="1"/>
        <v>64814.333387999999</v>
      </c>
      <c r="I57" s="5">
        <f t="shared" si="2"/>
        <v>64866.240222</v>
      </c>
    </row>
    <row r="58" spans="1:9" x14ac:dyDescent="0.25">
      <c r="A58" t="s">
        <v>11</v>
      </c>
      <c r="B58" s="5">
        <v>56.42</v>
      </c>
      <c r="C58" s="5">
        <v>56.43</v>
      </c>
      <c r="D58" t="s">
        <v>19</v>
      </c>
      <c r="E58" s="4">
        <f t="shared" si="5"/>
        <v>1148.8532</v>
      </c>
      <c r="F58" s="4">
        <f t="shared" si="5"/>
        <v>0</v>
      </c>
      <c r="G58" s="4">
        <f t="shared" si="0"/>
        <v>1148.8532</v>
      </c>
      <c r="H58" s="5">
        <f t="shared" si="1"/>
        <v>64818.297544000001</v>
      </c>
      <c r="I58" s="5">
        <f t="shared" si="2"/>
        <v>64829.786076000004</v>
      </c>
    </row>
    <row r="59" spans="1:9" x14ac:dyDescent="0.25">
      <c r="A59" t="s">
        <v>12</v>
      </c>
      <c r="B59" s="5">
        <v>50.3</v>
      </c>
      <c r="C59" s="5">
        <v>50.31</v>
      </c>
      <c r="D59" t="s">
        <v>19</v>
      </c>
      <c r="E59" s="4">
        <f t="shared" si="5"/>
        <v>1289.0615</v>
      </c>
      <c r="F59" s="4">
        <f t="shared" si="5"/>
        <v>0.05</v>
      </c>
      <c r="G59" s="4">
        <f t="shared" si="0"/>
        <v>1289.1115</v>
      </c>
      <c r="H59" s="5">
        <f t="shared" si="1"/>
        <v>64842.308449999997</v>
      </c>
      <c r="I59" s="5">
        <f t="shared" si="2"/>
        <v>64855.199565000003</v>
      </c>
    </row>
    <row r="60" spans="1:9" x14ac:dyDescent="0.25">
      <c r="A60" t="s">
        <v>13</v>
      </c>
      <c r="B60" s="5">
        <v>18.329999999999998</v>
      </c>
      <c r="C60" s="5">
        <v>18.34</v>
      </c>
      <c r="D60" t="s">
        <v>19</v>
      </c>
      <c r="E60" s="4">
        <f t="shared" si="5"/>
        <v>3535.8029000000001</v>
      </c>
      <c r="F60" s="4">
        <f t="shared" si="5"/>
        <v>0</v>
      </c>
      <c r="G60" s="4">
        <f t="shared" si="0"/>
        <v>3535.8029000000001</v>
      </c>
      <c r="H60" s="5">
        <f t="shared" si="1"/>
        <v>64811.267156999995</v>
      </c>
      <c r="I60" s="5">
        <f t="shared" si="2"/>
        <v>64846.625186000005</v>
      </c>
    </row>
    <row r="61" spans="1:9" x14ac:dyDescent="0.25">
      <c r="A61" t="s">
        <v>14</v>
      </c>
      <c r="B61" s="5">
        <v>36.729999999999997</v>
      </c>
      <c r="C61" s="5">
        <v>36.74</v>
      </c>
      <c r="D61" t="s">
        <v>19</v>
      </c>
      <c r="E61" s="4">
        <f t="shared" ref="E61:F76" si="6">E51</f>
        <v>1765.0592999999999</v>
      </c>
      <c r="F61" s="4">
        <f t="shared" si="6"/>
        <v>0</v>
      </c>
      <c r="G61" s="4">
        <f t="shared" si="0"/>
        <v>1765.0592999999999</v>
      </c>
      <c r="H61" s="5">
        <f t="shared" si="1"/>
        <v>64830.628088999991</v>
      </c>
      <c r="I61" s="5">
        <f t="shared" si="2"/>
        <v>64848.278681999996</v>
      </c>
    </row>
    <row r="62" spans="1:9" x14ac:dyDescent="0.25">
      <c r="A62" t="s">
        <v>4</v>
      </c>
      <c r="B62" s="5">
        <v>21.51</v>
      </c>
      <c r="C62" s="5">
        <v>21.52</v>
      </c>
      <c r="D62" t="s">
        <v>20</v>
      </c>
      <c r="E62" s="4">
        <f t="shared" si="6"/>
        <v>3014.9488000000001</v>
      </c>
      <c r="F62" s="4">
        <f t="shared" si="6"/>
        <v>0</v>
      </c>
      <c r="G62" s="4">
        <f t="shared" si="0"/>
        <v>3014.9488000000001</v>
      </c>
      <c r="H62" s="5">
        <f t="shared" si="1"/>
        <v>64851.54868800001</v>
      </c>
      <c r="I62" s="5">
        <f t="shared" si="2"/>
        <v>64881.698175999998</v>
      </c>
    </row>
    <row r="63" spans="1:9" x14ac:dyDescent="0.25">
      <c r="A63" t="s">
        <v>6</v>
      </c>
      <c r="B63" s="5">
        <v>35.21</v>
      </c>
      <c r="C63" s="5">
        <v>35.22</v>
      </c>
      <c r="D63" t="s">
        <v>20</v>
      </c>
      <c r="E63" s="4">
        <f t="shared" si="6"/>
        <v>1842.1205</v>
      </c>
      <c r="F63" s="4">
        <f t="shared" si="6"/>
        <v>0</v>
      </c>
      <c r="G63" s="4">
        <f t="shared" si="0"/>
        <v>1842.1205</v>
      </c>
      <c r="H63" s="5">
        <f t="shared" si="1"/>
        <v>64861.062805000001</v>
      </c>
      <c r="I63" s="5">
        <f t="shared" si="2"/>
        <v>64879.48401</v>
      </c>
    </row>
    <row r="64" spans="1:9" x14ac:dyDescent="0.25">
      <c r="A64" t="s">
        <v>7</v>
      </c>
      <c r="B64" s="5">
        <v>18.28</v>
      </c>
      <c r="C64" s="5">
        <v>18.29</v>
      </c>
      <c r="D64" t="s">
        <v>20</v>
      </c>
      <c r="E64" s="4">
        <f t="shared" si="6"/>
        <v>3546.5864999999999</v>
      </c>
      <c r="F64" s="4">
        <f t="shared" si="6"/>
        <v>0</v>
      </c>
      <c r="G64" s="4">
        <f t="shared" si="0"/>
        <v>3546.5864999999999</v>
      </c>
      <c r="H64" s="5">
        <f t="shared" si="1"/>
        <v>64831.601220000004</v>
      </c>
      <c r="I64" s="5">
        <f t="shared" si="2"/>
        <v>64867.067084999995</v>
      </c>
    </row>
    <row r="65" spans="1:9" x14ac:dyDescent="0.25">
      <c r="A65" t="s">
        <v>8</v>
      </c>
      <c r="B65" s="5">
        <v>28.68</v>
      </c>
      <c r="C65" s="5">
        <v>28.69</v>
      </c>
      <c r="D65" t="s">
        <v>20</v>
      </c>
      <c r="E65" s="4">
        <f t="shared" si="6"/>
        <v>2261.3416000000002</v>
      </c>
      <c r="F65" s="4">
        <f t="shared" si="6"/>
        <v>-0.1</v>
      </c>
      <c r="G65" s="4">
        <f t="shared" si="0"/>
        <v>2261.2416000000003</v>
      </c>
      <c r="H65" s="5">
        <f t="shared" si="1"/>
        <v>64852.409088000008</v>
      </c>
      <c r="I65" s="5">
        <f t="shared" si="2"/>
        <v>64875.021504000011</v>
      </c>
    </row>
    <row r="66" spans="1:9" x14ac:dyDescent="0.25">
      <c r="A66" t="s">
        <v>9</v>
      </c>
      <c r="B66" s="5">
        <v>68.510000000000005</v>
      </c>
      <c r="C66" s="5">
        <v>68.650000000000006</v>
      </c>
      <c r="D66" t="s">
        <v>20</v>
      </c>
      <c r="E66" s="4">
        <f t="shared" si="6"/>
        <v>946.13639999999998</v>
      </c>
      <c r="F66" s="4">
        <f t="shared" si="6"/>
        <v>0</v>
      </c>
      <c r="G66" s="4">
        <f t="shared" ref="G66:G129" si="7">E66+F66</f>
        <v>946.13639999999998</v>
      </c>
      <c r="H66" s="5">
        <f t="shared" ref="H66:H129" si="8">B66*G66</f>
        <v>64819.804764</v>
      </c>
      <c r="I66" s="5">
        <f t="shared" ref="I66:I129" si="9">C66*G66</f>
        <v>64952.263860000006</v>
      </c>
    </row>
    <row r="67" spans="1:9" x14ac:dyDescent="0.25">
      <c r="A67" t="s">
        <v>10</v>
      </c>
      <c r="B67" s="5">
        <v>37.49</v>
      </c>
      <c r="C67" s="5">
        <v>37.51</v>
      </c>
      <c r="D67" t="s">
        <v>20</v>
      </c>
      <c r="E67" s="4">
        <f t="shared" si="6"/>
        <v>1730.2277999999999</v>
      </c>
      <c r="F67" s="4">
        <f t="shared" si="6"/>
        <v>0</v>
      </c>
      <c r="G67" s="4">
        <f t="shared" si="7"/>
        <v>1730.2277999999999</v>
      </c>
      <c r="H67" s="5">
        <f t="shared" si="8"/>
        <v>64866.240222</v>
      </c>
      <c r="I67" s="5">
        <f t="shared" si="9"/>
        <v>64900.844777999991</v>
      </c>
    </row>
    <row r="68" spans="1:9" x14ac:dyDescent="0.25">
      <c r="A68" t="s">
        <v>11</v>
      </c>
      <c r="B68" s="5">
        <v>56.45</v>
      </c>
      <c r="C68" s="5">
        <v>56.46</v>
      </c>
      <c r="D68" t="s">
        <v>20</v>
      </c>
      <c r="E68" s="4">
        <f t="shared" si="6"/>
        <v>1148.8532</v>
      </c>
      <c r="F68" s="4">
        <f t="shared" si="6"/>
        <v>0</v>
      </c>
      <c r="G68" s="4">
        <f t="shared" si="7"/>
        <v>1148.8532</v>
      </c>
      <c r="H68" s="5">
        <f t="shared" si="8"/>
        <v>64852.763140000003</v>
      </c>
      <c r="I68" s="5">
        <f t="shared" si="9"/>
        <v>64864.251671999999</v>
      </c>
    </row>
    <row r="69" spans="1:9" x14ac:dyDescent="0.25">
      <c r="A69" t="s">
        <v>12</v>
      </c>
      <c r="B69" s="5">
        <v>50.32</v>
      </c>
      <c r="C69" s="5">
        <v>50.33</v>
      </c>
      <c r="D69" t="s">
        <v>20</v>
      </c>
      <c r="E69" s="4">
        <f t="shared" si="6"/>
        <v>1289.0615</v>
      </c>
      <c r="F69" s="4">
        <f t="shared" si="6"/>
        <v>0.05</v>
      </c>
      <c r="G69" s="4">
        <f t="shared" si="7"/>
        <v>1289.1115</v>
      </c>
      <c r="H69" s="5">
        <f t="shared" si="8"/>
        <v>64868.090680000001</v>
      </c>
      <c r="I69" s="5">
        <f t="shared" si="9"/>
        <v>64880.981795</v>
      </c>
    </row>
    <row r="70" spans="1:9" x14ac:dyDescent="0.25">
      <c r="A70" t="s">
        <v>13</v>
      </c>
      <c r="B70" s="5">
        <v>18.34</v>
      </c>
      <c r="C70" s="5">
        <v>18.350000000000001</v>
      </c>
      <c r="D70" t="s">
        <v>20</v>
      </c>
      <c r="E70" s="4">
        <f t="shared" si="6"/>
        <v>3535.8029000000001</v>
      </c>
      <c r="F70" s="4">
        <f t="shared" si="6"/>
        <v>0</v>
      </c>
      <c r="G70" s="4">
        <f t="shared" si="7"/>
        <v>3535.8029000000001</v>
      </c>
      <c r="H70" s="5">
        <f t="shared" si="8"/>
        <v>64846.625186000005</v>
      </c>
      <c r="I70" s="5">
        <f t="shared" si="9"/>
        <v>64881.983215000007</v>
      </c>
    </row>
    <row r="71" spans="1:9" x14ac:dyDescent="0.25">
      <c r="A71" t="s">
        <v>14</v>
      </c>
      <c r="B71" s="5">
        <v>36.74</v>
      </c>
      <c r="C71" s="5">
        <v>36.75</v>
      </c>
      <c r="D71" t="s">
        <v>20</v>
      </c>
      <c r="E71" s="4">
        <f t="shared" si="6"/>
        <v>1765.0592999999999</v>
      </c>
      <c r="F71" s="4">
        <f t="shared" si="6"/>
        <v>0</v>
      </c>
      <c r="G71" s="4">
        <f t="shared" si="7"/>
        <v>1765.0592999999999</v>
      </c>
      <c r="H71" s="5">
        <f t="shared" si="8"/>
        <v>64848.278681999996</v>
      </c>
      <c r="I71" s="5">
        <f t="shared" si="9"/>
        <v>64865.929274999995</v>
      </c>
    </row>
    <row r="72" spans="1:9" x14ac:dyDescent="0.25">
      <c r="A72" t="s">
        <v>4</v>
      </c>
      <c r="B72" s="5">
        <v>21.55</v>
      </c>
      <c r="C72" s="5">
        <v>21.56</v>
      </c>
      <c r="D72" t="s">
        <v>21</v>
      </c>
      <c r="E72" s="4">
        <f t="shared" si="6"/>
        <v>3014.9488000000001</v>
      </c>
      <c r="F72" s="4">
        <f t="shared" si="6"/>
        <v>0</v>
      </c>
      <c r="G72" s="4">
        <f t="shared" si="7"/>
        <v>3014.9488000000001</v>
      </c>
      <c r="H72" s="5">
        <f t="shared" si="8"/>
        <v>64972.146640000006</v>
      </c>
      <c r="I72" s="5">
        <f t="shared" si="9"/>
        <v>65002.296128000002</v>
      </c>
    </row>
    <row r="73" spans="1:9" x14ac:dyDescent="0.25">
      <c r="A73" t="s">
        <v>6</v>
      </c>
      <c r="B73" s="5">
        <v>35.28</v>
      </c>
      <c r="C73" s="5">
        <v>35.29</v>
      </c>
      <c r="D73" t="s">
        <v>21</v>
      </c>
      <c r="E73" s="4">
        <f t="shared" si="6"/>
        <v>1842.1205</v>
      </c>
      <c r="F73" s="4">
        <f t="shared" si="6"/>
        <v>0</v>
      </c>
      <c r="G73" s="4">
        <f t="shared" si="7"/>
        <v>1842.1205</v>
      </c>
      <c r="H73" s="5">
        <f t="shared" si="8"/>
        <v>64990.01124</v>
      </c>
      <c r="I73" s="5">
        <f t="shared" si="9"/>
        <v>65008.432444999999</v>
      </c>
    </row>
    <row r="74" spans="1:9" x14ac:dyDescent="0.25">
      <c r="A74" t="s">
        <v>7</v>
      </c>
      <c r="B74" s="5">
        <v>18.32</v>
      </c>
      <c r="C74" s="5">
        <v>18.329999999999998</v>
      </c>
      <c r="D74" t="s">
        <v>21</v>
      </c>
      <c r="E74" s="4">
        <f t="shared" si="6"/>
        <v>3546.5864999999999</v>
      </c>
      <c r="F74" s="4">
        <f t="shared" si="6"/>
        <v>0</v>
      </c>
      <c r="G74" s="4">
        <f t="shared" si="7"/>
        <v>3546.5864999999999</v>
      </c>
      <c r="H74" s="5">
        <f t="shared" si="8"/>
        <v>64973.464679999997</v>
      </c>
      <c r="I74" s="5">
        <f t="shared" si="9"/>
        <v>65008.930544999988</v>
      </c>
    </row>
    <row r="75" spans="1:9" x14ac:dyDescent="0.25">
      <c r="A75" t="s">
        <v>8</v>
      </c>
      <c r="B75" s="5">
        <v>28.74</v>
      </c>
      <c r="C75" s="5">
        <v>28.75</v>
      </c>
      <c r="D75" t="s">
        <v>21</v>
      </c>
      <c r="E75" s="4">
        <f t="shared" si="6"/>
        <v>2261.3416000000002</v>
      </c>
      <c r="F75" s="4">
        <f t="shared" si="6"/>
        <v>-0.1</v>
      </c>
      <c r="G75" s="4">
        <f t="shared" si="7"/>
        <v>2261.2416000000003</v>
      </c>
      <c r="H75" s="5">
        <f t="shared" si="8"/>
        <v>64988.083584000007</v>
      </c>
      <c r="I75" s="5">
        <f t="shared" si="9"/>
        <v>65010.696000000011</v>
      </c>
    </row>
    <row r="76" spans="1:9" x14ac:dyDescent="0.25">
      <c r="A76" t="s">
        <v>9</v>
      </c>
      <c r="B76" s="5">
        <v>68.63</v>
      </c>
      <c r="C76" s="5">
        <v>68.760000000000005</v>
      </c>
      <c r="D76" t="s">
        <v>21</v>
      </c>
      <c r="E76" s="4">
        <f t="shared" si="6"/>
        <v>946.13639999999998</v>
      </c>
      <c r="F76" s="4">
        <f t="shared" si="6"/>
        <v>0</v>
      </c>
      <c r="G76" s="4">
        <f t="shared" si="7"/>
        <v>946.13639999999998</v>
      </c>
      <c r="H76" s="5">
        <f t="shared" si="8"/>
        <v>64933.341131999994</v>
      </c>
      <c r="I76" s="5">
        <f t="shared" si="9"/>
        <v>65056.338864000005</v>
      </c>
    </row>
    <row r="77" spans="1:9" x14ac:dyDescent="0.25">
      <c r="A77" t="s">
        <v>10</v>
      </c>
      <c r="B77" s="5">
        <v>37.56</v>
      </c>
      <c r="C77" s="5">
        <v>37.58</v>
      </c>
      <c r="D77" t="s">
        <v>21</v>
      </c>
      <c r="E77" s="4">
        <f t="shared" ref="E77:F92" si="10">E67</f>
        <v>1730.2277999999999</v>
      </c>
      <c r="F77" s="4">
        <f t="shared" si="10"/>
        <v>0</v>
      </c>
      <c r="G77" s="4">
        <f t="shared" si="7"/>
        <v>1730.2277999999999</v>
      </c>
      <c r="H77" s="5">
        <f t="shared" si="8"/>
        <v>64987.356167999998</v>
      </c>
      <c r="I77" s="5">
        <f t="shared" si="9"/>
        <v>65021.96072399999</v>
      </c>
    </row>
    <row r="78" spans="1:9" x14ac:dyDescent="0.25">
      <c r="A78" t="s">
        <v>11</v>
      </c>
      <c r="B78" s="5">
        <v>56.56</v>
      </c>
      <c r="C78" s="5">
        <v>56.57</v>
      </c>
      <c r="D78" t="s">
        <v>21</v>
      </c>
      <c r="E78" s="4">
        <f t="shared" si="10"/>
        <v>1148.8532</v>
      </c>
      <c r="F78" s="4">
        <f t="shared" si="10"/>
        <v>0</v>
      </c>
      <c r="G78" s="4">
        <f t="shared" si="7"/>
        <v>1148.8532</v>
      </c>
      <c r="H78" s="5">
        <f t="shared" si="8"/>
        <v>64979.136992000007</v>
      </c>
      <c r="I78" s="5">
        <f t="shared" si="9"/>
        <v>64990.625524000003</v>
      </c>
    </row>
    <row r="79" spans="1:9" x14ac:dyDescent="0.25">
      <c r="A79" t="s">
        <v>12</v>
      </c>
      <c r="B79" s="5">
        <v>50.43</v>
      </c>
      <c r="C79" s="5">
        <v>50.44</v>
      </c>
      <c r="D79" t="s">
        <v>21</v>
      </c>
      <c r="E79" s="4">
        <f t="shared" si="10"/>
        <v>1289.0615</v>
      </c>
      <c r="F79" s="4">
        <f t="shared" si="10"/>
        <v>0.05</v>
      </c>
      <c r="G79" s="4">
        <f t="shared" si="7"/>
        <v>1289.1115</v>
      </c>
      <c r="H79" s="5">
        <f t="shared" si="8"/>
        <v>65009.892945</v>
      </c>
      <c r="I79" s="5">
        <f t="shared" si="9"/>
        <v>65022.784059999998</v>
      </c>
    </row>
    <row r="80" spans="1:9" x14ac:dyDescent="0.25">
      <c r="A80" t="s">
        <v>13</v>
      </c>
      <c r="B80" s="5">
        <v>18.38</v>
      </c>
      <c r="C80" s="5">
        <v>18.39</v>
      </c>
      <c r="D80" t="s">
        <v>21</v>
      </c>
      <c r="E80" s="4">
        <f t="shared" si="10"/>
        <v>3535.8029000000001</v>
      </c>
      <c r="F80" s="4">
        <f t="shared" si="10"/>
        <v>0</v>
      </c>
      <c r="G80" s="4">
        <f t="shared" si="7"/>
        <v>3535.8029000000001</v>
      </c>
      <c r="H80" s="5">
        <f t="shared" si="8"/>
        <v>64988.057302000001</v>
      </c>
      <c r="I80" s="5">
        <f t="shared" si="9"/>
        <v>65023.415331000004</v>
      </c>
    </row>
    <row r="81" spans="1:9" x14ac:dyDescent="0.25">
      <c r="A81" t="s">
        <v>14</v>
      </c>
      <c r="B81" s="5">
        <v>36.82</v>
      </c>
      <c r="C81" s="5">
        <v>36.83</v>
      </c>
      <c r="D81" t="s">
        <v>21</v>
      </c>
      <c r="E81" s="4">
        <f t="shared" si="10"/>
        <v>1765.0592999999999</v>
      </c>
      <c r="F81" s="4">
        <f t="shared" si="10"/>
        <v>0</v>
      </c>
      <c r="G81" s="4">
        <f t="shared" si="7"/>
        <v>1765.0592999999999</v>
      </c>
      <c r="H81" s="5">
        <f t="shared" si="8"/>
        <v>64989.483425999999</v>
      </c>
      <c r="I81" s="5">
        <f t="shared" si="9"/>
        <v>65007.13401899999</v>
      </c>
    </row>
    <row r="82" spans="1:9" x14ac:dyDescent="0.25">
      <c r="A82" t="s">
        <v>4</v>
      </c>
      <c r="B82" s="5">
        <v>21.54</v>
      </c>
      <c r="C82" s="5">
        <v>21.55</v>
      </c>
      <c r="D82" t="s">
        <v>22</v>
      </c>
      <c r="E82" s="4">
        <f t="shared" si="10"/>
        <v>3014.9488000000001</v>
      </c>
      <c r="F82" s="4">
        <f t="shared" si="10"/>
        <v>0</v>
      </c>
      <c r="G82" s="4">
        <f t="shared" si="7"/>
        <v>3014.9488000000001</v>
      </c>
      <c r="H82" s="5">
        <f t="shared" si="8"/>
        <v>64941.997152000004</v>
      </c>
      <c r="I82" s="5">
        <f t="shared" si="9"/>
        <v>64972.146640000006</v>
      </c>
    </row>
    <row r="83" spans="1:9" x14ac:dyDescent="0.25">
      <c r="A83" t="s">
        <v>6</v>
      </c>
      <c r="B83" s="5">
        <v>35.26</v>
      </c>
      <c r="C83" s="5">
        <v>35.270000000000003</v>
      </c>
      <c r="D83" t="s">
        <v>22</v>
      </c>
      <c r="E83" s="4">
        <f t="shared" si="10"/>
        <v>1842.1205</v>
      </c>
      <c r="F83" s="4">
        <f t="shared" si="10"/>
        <v>0</v>
      </c>
      <c r="G83" s="4">
        <f t="shared" si="7"/>
        <v>1842.1205</v>
      </c>
      <c r="H83" s="5">
        <f t="shared" si="8"/>
        <v>64953.168829999995</v>
      </c>
      <c r="I83" s="5">
        <f t="shared" si="9"/>
        <v>64971.590035000008</v>
      </c>
    </row>
    <row r="84" spans="1:9" x14ac:dyDescent="0.25">
      <c r="A84" t="s">
        <v>7</v>
      </c>
      <c r="B84" s="5">
        <v>18.309999999999999</v>
      </c>
      <c r="C84" s="5">
        <v>18.32</v>
      </c>
      <c r="D84" t="s">
        <v>22</v>
      </c>
      <c r="E84" s="4">
        <f t="shared" si="10"/>
        <v>3546.5864999999999</v>
      </c>
      <c r="F84" s="4">
        <f t="shared" si="10"/>
        <v>0</v>
      </c>
      <c r="G84" s="4">
        <f t="shared" si="7"/>
        <v>3546.5864999999999</v>
      </c>
      <c r="H84" s="5">
        <f t="shared" si="8"/>
        <v>64937.998814999992</v>
      </c>
      <c r="I84" s="5">
        <f t="shared" si="9"/>
        <v>64973.464679999997</v>
      </c>
    </row>
    <row r="85" spans="1:9" x14ac:dyDescent="0.25">
      <c r="A85" t="s">
        <v>8</v>
      </c>
      <c r="B85" s="5">
        <v>28.73</v>
      </c>
      <c r="C85" s="5">
        <v>28.74</v>
      </c>
      <c r="D85" t="s">
        <v>22</v>
      </c>
      <c r="E85" s="4">
        <f t="shared" si="10"/>
        <v>2261.3416000000002</v>
      </c>
      <c r="F85" s="4">
        <f t="shared" si="10"/>
        <v>-0.1</v>
      </c>
      <c r="G85" s="4">
        <f t="shared" si="7"/>
        <v>2261.2416000000003</v>
      </c>
      <c r="H85" s="5">
        <f t="shared" si="8"/>
        <v>64965.471168000011</v>
      </c>
      <c r="I85" s="5">
        <f t="shared" si="9"/>
        <v>64988.083584000007</v>
      </c>
    </row>
    <row r="86" spans="1:9" x14ac:dyDescent="0.25">
      <c r="A86" t="s">
        <v>9</v>
      </c>
      <c r="B86" s="5">
        <v>68.61</v>
      </c>
      <c r="C86" s="5">
        <v>68.73</v>
      </c>
      <c r="D86" t="s">
        <v>22</v>
      </c>
      <c r="E86" s="4">
        <f t="shared" si="10"/>
        <v>946.13639999999998</v>
      </c>
      <c r="F86" s="4">
        <f t="shared" si="10"/>
        <v>0</v>
      </c>
      <c r="G86" s="4">
        <f t="shared" si="7"/>
        <v>946.13639999999998</v>
      </c>
      <c r="H86" s="5">
        <f t="shared" si="8"/>
        <v>64914.418403999996</v>
      </c>
      <c r="I86" s="5">
        <f t="shared" si="9"/>
        <v>65027.954772000005</v>
      </c>
    </row>
    <row r="87" spans="1:9" x14ac:dyDescent="0.25">
      <c r="A87" t="s">
        <v>10</v>
      </c>
      <c r="B87" s="5">
        <v>37.54</v>
      </c>
      <c r="C87" s="5">
        <v>37.56</v>
      </c>
      <c r="D87" t="s">
        <v>22</v>
      </c>
      <c r="E87" s="4">
        <f t="shared" si="10"/>
        <v>1730.2277999999999</v>
      </c>
      <c r="F87" s="4">
        <f t="shared" si="10"/>
        <v>0</v>
      </c>
      <c r="G87" s="4">
        <f t="shared" si="7"/>
        <v>1730.2277999999999</v>
      </c>
      <c r="H87" s="5">
        <f t="shared" si="8"/>
        <v>64952.751611999993</v>
      </c>
      <c r="I87" s="5">
        <f t="shared" si="9"/>
        <v>64987.356167999998</v>
      </c>
    </row>
    <row r="88" spans="1:9" x14ac:dyDescent="0.25">
      <c r="A88" t="s">
        <v>11</v>
      </c>
      <c r="B88" s="5">
        <v>56.53</v>
      </c>
      <c r="C88" s="5">
        <v>56.54</v>
      </c>
      <c r="D88" t="s">
        <v>22</v>
      </c>
      <c r="E88" s="4">
        <f t="shared" si="10"/>
        <v>1148.8532</v>
      </c>
      <c r="F88" s="4">
        <f t="shared" si="10"/>
        <v>0</v>
      </c>
      <c r="G88" s="4">
        <f t="shared" si="7"/>
        <v>1148.8532</v>
      </c>
      <c r="H88" s="5">
        <f t="shared" si="8"/>
        <v>64944.671396000005</v>
      </c>
      <c r="I88" s="5">
        <f t="shared" si="9"/>
        <v>64956.159928000001</v>
      </c>
    </row>
    <row r="89" spans="1:9" x14ac:dyDescent="0.25">
      <c r="A89" t="s">
        <v>12</v>
      </c>
      <c r="B89" s="5">
        <v>50.4</v>
      </c>
      <c r="C89" s="5">
        <v>50.41</v>
      </c>
      <c r="D89" t="s">
        <v>22</v>
      </c>
      <c r="E89" s="4">
        <f t="shared" si="10"/>
        <v>1289.0615</v>
      </c>
      <c r="F89" s="4">
        <f t="shared" si="10"/>
        <v>0.05</v>
      </c>
      <c r="G89" s="4">
        <f t="shared" si="7"/>
        <v>1289.1115</v>
      </c>
      <c r="H89" s="5">
        <f t="shared" si="8"/>
        <v>64971.219599999997</v>
      </c>
      <c r="I89" s="5">
        <f t="shared" si="9"/>
        <v>64984.110714999995</v>
      </c>
    </row>
    <row r="90" spans="1:9" x14ac:dyDescent="0.25">
      <c r="A90" t="s">
        <v>13</v>
      </c>
      <c r="B90" s="5">
        <v>18.37</v>
      </c>
      <c r="C90" s="5">
        <v>18.38</v>
      </c>
      <c r="D90" t="s">
        <v>22</v>
      </c>
      <c r="E90" s="4">
        <f t="shared" si="10"/>
        <v>3535.8029000000001</v>
      </c>
      <c r="F90" s="4">
        <f t="shared" si="10"/>
        <v>0</v>
      </c>
      <c r="G90" s="4">
        <f t="shared" si="7"/>
        <v>3535.8029000000001</v>
      </c>
      <c r="H90" s="5">
        <f t="shared" si="8"/>
        <v>64952.699273000006</v>
      </c>
      <c r="I90" s="5">
        <f t="shared" si="9"/>
        <v>64988.057302000001</v>
      </c>
    </row>
    <row r="91" spans="1:9" x14ac:dyDescent="0.25">
      <c r="A91" t="s">
        <v>14</v>
      </c>
      <c r="B91" s="5">
        <v>36.799999999999997</v>
      </c>
      <c r="C91" s="5">
        <v>36.81</v>
      </c>
      <c r="D91" t="s">
        <v>22</v>
      </c>
      <c r="E91" s="4">
        <f t="shared" si="10"/>
        <v>1765.0592999999999</v>
      </c>
      <c r="F91" s="4">
        <f t="shared" si="10"/>
        <v>0</v>
      </c>
      <c r="G91" s="4">
        <f t="shared" si="7"/>
        <v>1765.0592999999999</v>
      </c>
      <c r="H91" s="5">
        <f t="shared" si="8"/>
        <v>64954.182239999995</v>
      </c>
      <c r="I91" s="5">
        <f t="shared" si="9"/>
        <v>64971.832833</v>
      </c>
    </row>
    <row r="92" spans="1:9" x14ac:dyDescent="0.25">
      <c r="A92" t="s">
        <v>4</v>
      </c>
      <c r="B92" s="5">
        <v>21.54</v>
      </c>
      <c r="C92" s="5">
        <v>21.55</v>
      </c>
      <c r="D92" t="s">
        <v>23</v>
      </c>
      <c r="E92" s="4">
        <f t="shared" si="10"/>
        <v>3014.9488000000001</v>
      </c>
      <c r="F92" s="4">
        <f t="shared" si="10"/>
        <v>0</v>
      </c>
      <c r="G92" s="4">
        <f t="shared" si="7"/>
        <v>3014.9488000000001</v>
      </c>
      <c r="H92" s="5">
        <f t="shared" si="8"/>
        <v>64941.997152000004</v>
      </c>
      <c r="I92" s="5">
        <f t="shared" si="9"/>
        <v>64972.146640000006</v>
      </c>
    </row>
    <row r="93" spans="1:9" x14ac:dyDescent="0.25">
      <c r="A93" t="s">
        <v>6</v>
      </c>
      <c r="B93" s="5">
        <v>35.270000000000003</v>
      </c>
      <c r="C93" s="5">
        <v>35.28</v>
      </c>
      <c r="D93" t="s">
        <v>23</v>
      </c>
      <c r="E93" s="4">
        <f t="shared" ref="E93:F108" si="11">E83</f>
        <v>1842.1205</v>
      </c>
      <c r="F93" s="4">
        <f t="shared" si="11"/>
        <v>0</v>
      </c>
      <c r="G93" s="4">
        <f t="shared" si="7"/>
        <v>1842.1205</v>
      </c>
      <c r="H93" s="5">
        <f t="shared" si="8"/>
        <v>64971.590035000008</v>
      </c>
      <c r="I93" s="5">
        <f t="shared" si="9"/>
        <v>64990.01124</v>
      </c>
    </row>
    <row r="94" spans="1:9" x14ac:dyDescent="0.25">
      <c r="A94" t="s">
        <v>7</v>
      </c>
      <c r="B94" s="5">
        <v>18.32</v>
      </c>
      <c r="C94" s="5">
        <v>18.329999999999998</v>
      </c>
      <c r="D94" t="s">
        <v>23</v>
      </c>
      <c r="E94" s="4">
        <f t="shared" si="11"/>
        <v>3546.5864999999999</v>
      </c>
      <c r="F94" s="4">
        <f t="shared" si="11"/>
        <v>0</v>
      </c>
      <c r="G94" s="4">
        <f t="shared" si="7"/>
        <v>3546.5864999999999</v>
      </c>
      <c r="H94" s="5">
        <f t="shared" si="8"/>
        <v>64973.464679999997</v>
      </c>
      <c r="I94" s="5">
        <f t="shared" si="9"/>
        <v>65008.930544999988</v>
      </c>
    </row>
    <row r="95" spans="1:9" x14ac:dyDescent="0.25">
      <c r="A95" t="s">
        <v>8</v>
      </c>
      <c r="B95" s="5">
        <v>28.73</v>
      </c>
      <c r="C95" s="5">
        <v>28.74</v>
      </c>
      <c r="D95" t="s">
        <v>23</v>
      </c>
      <c r="E95" s="4">
        <f t="shared" si="11"/>
        <v>2261.3416000000002</v>
      </c>
      <c r="F95" s="4">
        <f t="shared" si="11"/>
        <v>-0.1</v>
      </c>
      <c r="G95" s="4">
        <f t="shared" si="7"/>
        <v>2261.2416000000003</v>
      </c>
      <c r="H95" s="5">
        <f t="shared" si="8"/>
        <v>64965.471168000011</v>
      </c>
      <c r="I95" s="5">
        <f t="shared" si="9"/>
        <v>64988.083584000007</v>
      </c>
    </row>
    <row r="96" spans="1:9" x14ac:dyDescent="0.25">
      <c r="A96" t="s">
        <v>9</v>
      </c>
      <c r="B96" s="5">
        <v>68.63</v>
      </c>
      <c r="C96" s="5">
        <v>68.75</v>
      </c>
      <c r="D96" t="s">
        <v>23</v>
      </c>
      <c r="E96" s="4">
        <f t="shared" si="11"/>
        <v>946.13639999999998</v>
      </c>
      <c r="F96" s="4">
        <f t="shared" si="11"/>
        <v>0</v>
      </c>
      <c r="G96" s="4">
        <f t="shared" si="7"/>
        <v>946.13639999999998</v>
      </c>
      <c r="H96" s="5">
        <f t="shared" si="8"/>
        <v>64933.341131999994</v>
      </c>
      <c r="I96" s="5">
        <f t="shared" si="9"/>
        <v>65046.877499999995</v>
      </c>
    </row>
    <row r="97" spans="1:9" x14ac:dyDescent="0.25">
      <c r="A97" t="s">
        <v>10</v>
      </c>
      <c r="B97" s="5">
        <v>37.53</v>
      </c>
      <c r="C97" s="5">
        <v>37.56</v>
      </c>
      <c r="D97" t="s">
        <v>23</v>
      </c>
      <c r="E97" s="4">
        <f t="shared" si="11"/>
        <v>1730.2277999999999</v>
      </c>
      <c r="F97" s="4">
        <f t="shared" si="11"/>
        <v>0</v>
      </c>
      <c r="G97" s="4">
        <f t="shared" si="7"/>
        <v>1730.2277999999999</v>
      </c>
      <c r="H97" s="5">
        <f t="shared" si="8"/>
        <v>64935.449333999997</v>
      </c>
      <c r="I97" s="5">
        <f t="shared" si="9"/>
        <v>64987.356167999998</v>
      </c>
    </row>
    <row r="98" spans="1:9" x14ac:dyDescent="0.25">
      <c r="A98" t="s">
        <v>11</v>
      </c>
      <c r="B98" s="5">
        <v>56.53</v>
      </c>
      <c r="C98" s="5">
        <v>56.55</v>
      </c>
      <c r="D98" t="s">
        <v>23</v>
      </c>
      <c r="E98" s="4">
        <f t="shared" si="11"/>
        <v>1148.8532</v>
      </c>
      <c r="F98" s="4">
        <f t="shared" si="11"/>
        <v>0</v>
      </c>
      <c r="G98" s="4">
        <f t="shared" si="7"/>
        <v>1148.8532</v>
      </c>
      <c r="H98" s="5">
        <f t="shared" si="8"/>
        <v>64944.671396000005</v>
      </c>
      <c r="I98" s="5">
        <f t="shared" si="9"/>
        <v>64967.648459999997</v>
      </c>
    </row>
    <row r="99" spans="1:9" x14ac:dyDescent="0.25">
      <c r="A99" t="s">
        <v>12</v>
      </c>
      <c r="B99" s="5">
        <v>50.4</v>
      </c>
      <c r="C99" s="5">
        <v>50.41</v>
      </c>
      <c r="D99" t="s">
        <v>23</v>
      </c>
      <c r="E99" s="4">
        <f t="shared" si="11"/>
        <v>1289.0615</v>
      </c>
      <c r="F99" s="4">
        <f t="shared" si="11"/>
        <v>0.05</v>
      </c>
      <c r="G99" s="4">
        <f t="shared" si="7"/>
        <v>1289.1115</v>
      </c>
      <c r="H99" s="5">
        <f t="shared" si="8"/>
        <v>64971.219599999997</v>
      </c>
      <c r="I99" s="5">
        <f t="shared" si="9"/>
        <v>64984.110714999995</v>
      </c>
    </row>
    <row r="100" spans="1:9" x14ac:dyDescent="0.25">
      <c r="A100" t="s">
        <v>13</v>
      </c>
      <c r="B100" s="5">
        <v>18.37</v>
      </c>
      <c r="C100" s="5">
        <v>18.38</v>
      </c>
      <c r="D100" t="s">
        <v>23</v>
      </c>
      <c r="E100" s="4">
        <f t="shared" si="11"/>
        <v>3535.8029000000001</v>
      </c>
      <c r="F100" s="4">
        <f t="shared" si="11"/>
        <v>0</v>
      </c>
      <c r="G100" s="4">
        <f t="shared" si="7"/>
        <v>3535.8029000000001</v>
      </c>
      <c r="H100" s="5">
        <f t="shared" si="8"/>
        <v>64952.699273000006</v>
      </c>
      <c r="I100" s="5">
        <f t="shared" si="9"/>
        <v>64988.057302000001</v>
      </c>
    </row>
    <row r="101" spans="1:9" x14ac:dyDescent="0.25">
      <c r="A101" t="s">
        <v>14</v>
      </c>
      <c r="B101" s="5">
        <v>36.799999999999997</v>
      </c>
      <c r="C101" s="5">
        <v>36.81</v>
      </c>
      <c r="D101" t="s">
        <v>23</v>
      </c>
      <c r="E101" s="4">
        <f t="shared" si="11"/>
        <v>1765.0592999999999</v>
      </c>
      <c r="F101" s="4">
        <f t="shared" si="11"/>
        <v>0</v>
      </c>
      <c r="G101" s="4">
        <f t="shared" si="7"/>
        <v>1765.0592999999999</v>
      </c>
      <c r="H101" s="5">
        <f t="shared" si="8"/>
        <v>64954.182239999995</v>
      </c>
      <c r="I101" s="5">
        <f t="shared" si="9"/>
        <v>64971.832833</v>
      </c>
    </row>
    <row r="102" spans="1:9" x14ac:dyDescent="0.25">
      <c r="A102" t="s">
        <v>4</v>
      </c>
      <c r="B102" s="5">
        <v>21.54</v>
      </c>
      <c r="C102" s="5">
        <v>21.55</v>
      </c>
      <c r="D102" t="s">
        <v>24</v>
      </c>
      <c r="E102" s="4">
        <f t="shared" si="11"/>
        <v>3014.9488000000001</v>
      </c>
      <c r="F102" s="4">
        <f t="shared" si="11"/>
        <v>0</v>
      </c>
      <c r="G102" s="4">
        <f t="shared" si="7"/>
        <v>3014.9488000000001</v>
      </c>
      <c r="H102" s="5">
        <f t="shared" si="8"/>
        <v>64941.997152000004</v>
      </c>
      <c r="I102" s="5">
        <f t="shared" si="9"/>
        <v>64972.146640000006</v>
      </c>
    </row>
    <row r="103" spans="1:9" x14ac:dyDescent="0.25">
      <c r="A103" t="s">
        <v>6</v>
      </c>
      <c r="B103" s="5">
        <v>35.26</v>
      </c>
      <c r="C103" s="5">
        <v>35.270000000000003</v>
      </c>
      <c r="D103" t="s">
        <v>24</v>
      </c>
      <c r="E103" s="4">
        <f t="shared" si="11"/>
        <v>1842.1205</v>
      </c>
      <c r="F103" s="4">
        <f t="shared" si="11"/>
        <v>0</v>
      </c>
      <c r="G103" s="4">
        <f t="shared" si="7"/>
        <v>1842.1205</v>
      </c>
      <c r="H103" s="5">
        <f t="shared" si="8"/>
        <v>64953.168829999995</v>
      </c>
      <c r="I103" s="5">
        <f t="shared" si="9"/>
        <v>64971.590035000008</v>
      </c>
    </row>
    <row r="104" spans="1:9" x14ac:dyDescent="0.25">
      <c r="A104" t="s">
        <v>7</v>
      </c>
      <c r="B104" s="5">
        <v>18.309999999999999</v>
      </c>
      <c r="C104" s="5">
        <v>18.32</v>
      </c>
      <c r="D104" t="s">
        <v>24</v>
      </c>
      <c r="E104" s="4">
        <f t="shared" si="11"/>
        <v>3546.5864999999999</v>
      </c>
      <c r="F104" s="4">
        <f t="shared" si="11"/>
        <v>0</v>
      </c>
      <c r="G104" s="4">
        <f t="shared" si="7"/>
        <v>3546.5864999999999</v>
      </c>
      <c r="H104" s="5">
        <f t="shared" si="8"/>
        <v>64937.998814999992</v>
      </c>
      <c r="I104" s="5">
        <f t="shared" si="9"/>
        <v>64973.464679999997</v>
      </c>
    </row>
    <row r="105" spans="1:9" x14ac:dyDescent="0.25">
      <c r="A105" t="s">
        <v>8</v>
      </c>
      <c r="B105" s="5">
        <v>28.73</v>
      </c>
      <c r="C105" s="5">
        <v>28.74</v>
      </c>
      <c r="D105" t="s">
        <v>24</v>
      </c>
      <c r="E105" s="4">
        <f t="shared" si="11"/>
        <v>2261.3416000000002</v>
      </c>
      <c r="F105" s="4">
        <f t="shared" si="11"/>
        <v>-0.1</v>
      </c>
      <c r="G105" s="4">
        <f t="shared" si="7"/>
        <v>2261.2416000000003</v>
      </c>
      <c r="H105" s="5">
        <f t="shared" si="8"/>
        <v>64965.471168000011</v>
      </c>
      <c r="I105" s="5">
        <f t="shared" si="9"/>
        <v>64988.083584000007</v>
      </c>
    </row>
    <row r="106" spans="1:9" x14ac:dyDescent="0.25">
      <c r="A106" t="s">
        <v>9</v>
      </c>
      <c r="B106" s="5">
        <v>68.63</v>
      </c>
      <c r="C106" s="5">
        <v>68.760000000000005</v>
      </c>
      <c r="D106" t="s">
        <v>24</v>
      </c>
      <c r="E106" s="4">
        <f t="shared" si="11"/>
        <v>946.13639999999998</v>
      </c>
      <c r="F106" s="4">
        <f t="shared" si="11"/>
        <v>0</v>
      </c>
      <c r="G106" s="4">
        <f t="shared" si="7"/>
        <v>946.13639999999998</v>
      </c>
      <c r="H106" s="5">
        <f t="shared" si="8"/>
        <v>64933.341131999994</v>
      </c>
      <c r="I106" s="5">
        <f t="shared" si="9"/>
        <v>65056.338864000005</v>
      </c>
    </row>
    <row r="107" spans="1:9" x14ac:dyDescent="0.25">
      <c r="A107" t="s">
        <v>10</v>
      </c>
      <c r="B107" s="5">
        <v>37.53</v>
      </c>
      <c r="C107" s="5">
        <v>37.56</v>
      </c>
      <c r="D107" t="s">
        <v>24</v>
      </c>
      <c r="E107" s="4">
        <f t="shared" si="11"/>
        <v>1730.2277999999999</v>
      </c>
      <c r="F107" s="4">
        <f t="shared" si="11"/>
        <v>0</v>
      </c>
      <c r="G107" s="4">
        <f t="shared" si="7"/>
        <v>1730.2277999999999</v>
      </c>
      <c r="H107" s="5">
        <f t="shared" si="8"/>
        <v>64935.449333999997</v>
      </c>
      <c r="I107" s="5">
        <f t="shared" si="9"/>
        <v>64987.356167999998</v>
      </c>
    </row>
    <row r="108" spans="1:9" x14ac:dyDescent="0.25">
      <c r="A108" t="s">
        <v>11</v>
      </c>
      <c r="B108" s="5">
        <v>56.52</v>
      </c>
      <c r="C108" s="5">
        <v>56.53</v>
      </c>
      <c r="D108" t="s">
        <v>24</v>
      </c>
      <c r="E108" s="4">
        <f t="shared" si="11"/>
        <v>1148.8532</v>
      </c>
      <c r="F108" s="4">
        <f t="shared" si="11"/>
        <v>0</v>
      </c>
      <c r="G108" s="4">
        <f t="shared" si="7"/>
        <v>1148.8532</v>
      </c>
      <c r="H108" s="5">
        <f t="shared" si="8"/>
        <v>64933.182864000002</v>
      </c>
      <c r="I108" s="5">
        <f t="shared" si="9"/>
        <v>64944.671396000005</v>
      </c>
    </row>
    <row r="109" spans="1:9" x14ac:dyDescent="0.25">
      <c r="A109" t="s">
        <v>12</v>
      </c>
      <c r="B109" s="5">
        <v>50.39</v>
      </c>
      <c r="C109" s="5">
        <v>50.4</v>
      </c>
      <c r="D109" t="s">
        <v>24</v>
      </c>
      <c r="E109" s="4">
        <f t="shared" ref="E109:F124" si="12">E99</f>
        <v>1289.0615</v>
      </c>
      <c r="F109" s="4">
        <f t="shared" si="12"/>
        <v>0.05</v>
      </c>
      <c r="G109" s="4">
        <f t="shared" si="7"/>
        <v>1289.1115</v>
      </c>
      <c r="H109" s="5">
        <f t="shared" si="8"/>
        <v>64958.328484999998</v>
      </c>
      <c r="I109" s="5">
        <f t="shared" si="9"/>
        <v>64971.219599999997</v>
      </c>
    </row>
    <row r="110" spans="1:9" x14ac:dyDescent="0.25">
      <c r="A110" t="s">
        <v>13</v>
      </c>
      <c r="B110" s="5">
        <v>18.37</v>
      </c>
      <c r="C110" s="5">
        <v>18.38</v>
      </c>
      <c r="D110" t="s">
        <v>24</v>
      </c>
      <c r="E110" s="4">
        <f t="shared" si="12"/>
        <v>3535.8029000000001</v>
      </c>
      <c r="F110" s="4">
        <f t="shared" si="12"/>
        <v>0</v>
      </c>
      <c r="G110" s="4">
        <f t="shared" si="7"/>
        <v>3535.8029000000001</v>
      </c>
      <c r="H110" s="5">
        <f t="shared" si="8"/>
        <v>64952.699273000006</v>
      </c>
      <c r="I110" s="5">
        <f t="shared" si="9"/>
        <v>64988.057302000001</v>
      </c>
    </row>
    <row r="111" spans="1:9" x14ac:dyDescent="0.25">
      <c r="A111" t="s">
        <v>14</v>
      </c>
      <c r="B111" s="5">
        <v>36.79</v>
      </c>
      <c r="C111" s="5">
        <v>36.799999999999997</v>
      </c>
      <c r="D111" t="s">
        <v>24</v>
      </c>
      <c r="E111" s="4">
        <f t="shared" si="12"/>
        <v>1765.0592999999999</v>
      </c>
      <c r="F111" s="4">
        <f t="shared" si="12"/>
        <v>0</v>
      </c>
      <c r="G111" s="4">
        <f t="shared" si="7"/>
        <v>1765.0592999999999</v>
      </c>
      <c r="H111" s="5">
        <f t="shared" si="8"/>
        <v>64936.531646999996</v>
      </c>
      <c r="I111" s="5">
        <f t="shared" si="9"/>
        <v>64954.182239999995</v>
      </c>
    </row>
    <row r="112" spans="1:9" x14ac:dyDescent="0.25">
      <c r="A112" t="s">
        <v>4</v>
      </c>
      <c r="B112" s="5">
        <v>21.45</v>
      </c>
      <c r="C112" s="5">
        <v>21.46</v>
      </c>
      <c r="D112" t="s">
        <v>25</v>
      </c>
      <c r="E112" s="4">
        <f t="shared" si="12"/>
        <v>3014.9488000000001</v>
      </c>
      <c r="F112" s="4">
        <f t="shared" si="12"/>
        <v>0</v>
      </c>
      <c r="G112" s="4">
        <f t="shared" si="7"/>
        <v>3014.9488000000001</v>
      </c>
      <c r="H112" s="5">
        <f t="shared" si="8"/>
        <v>64670.651760000001</v>
      </c>
      <c r="I112" s="5">
        <f t="shared" si="9"/>
        <v>64700.801248000003</v>
      </c>
    </row>
    <row r="113" spans="1:9" x14ac:dyDescent="0.25">
      <c r="A113" t="s">
        <v>6</v>
      </c>
      <c r="B113" s="5">
        <v>35.11</v>
      </c>
      <c r="C113" s="5">
        <v>35.119999999999997</v>
      </c>
      <c r="D113" t="s">
        <v>25</v>
      </c>
      <c r="E113" s="4">
        <f t="shared" si="12"/>
        <v>1842.1205</v>
      </c>
      <c r="F113" s="4">
        <f t="shared" si="12"/>
        <v>0</v>
      </c>
      <c r="G113" s="4">
        <f t="shared" si="7"/>
        <v>1842.1205</v>
      </c>
      <c r="H113" s="5">
        <f t="shared" si="8"/>
        <v>64676.850754999999</v>
      </c>
      <c r="I113" s="5">
        <f t="shared" si="9"/>
        <v>64695.271959999998</v>
      </c>
    </row>
    <row r="114" spans="1:9" x14ac:dyDescent="0.25">
      <c r="A114" t="s">
        <v>7</v>
      </c>
      <c r="B114" s="5">
        <v>18.23</v>
      </c>
      <c r="C114" s="5">
        <v>18.239999999999998</v>
      </c>
      <c r="D114" t="s">
        <v>25</v>
      </c>
      <c r="E114" s="4">
        <f t="shared" si="12"/>
        <v>3546.5864999999999</v>
      </c>
      <c r="F114" s="4">
        <f t="shared" si="12"/>
        <v>0</v>
      </c>
      <c r="G114" s="4">
        <f t="shared" si="7"/>
        <v>3546.5864999999999</v>
      </c>
      <c r="H114" s="5">
        <f t="shared" si="8"/>
        <v>64654.271894999998</v>
      </c>
      <c r="I114" s="5">
        <f t="shared" si="9"/>
        <v>64689.737759999989</v>
      </c>
    </row>
    <row r="115" spans="1:9" x14ac:dyDescent="0.25">
      <c r="A115" t="s">
        <v>8</v>
      </c>
      <c r="B115" s="5">
        <v>28.61</v>
      </c>
      <c r="C115" s="5">
        <v>28.62</v>
      </c>
      <c r="D115" t="s">
        <v>25</v>
      </c>
      <c r="E115" s="4">
        <f t="shared" si="12"/>
        <v>2261.3416000000002</v>
      </c>
      <c r="F115" s="4">
        <f t="shared" si="12"/>
        <v>-0.1</v>
      </c>
      <c r="G115" s="4">
        <f t="shared" si="7"/>
        <v>2261.2416000000003</v>
      </c>
      <c r="H115" s="5">
        <f t="shared" si="8"/>
        <v>64694.122176000004</v>
      </c>
      <c r="I115" s="5">
        <f t="shared" si="9"/>
        <v>64716.734592000008</v>
      </c>
    </row>
    <row r="116" spans="1:9" x14ac:dyDescent="0.25">
      <c r="A116" t="s">
        <v>9</v>
      </c>
      <c r="B116" s="5">
        <v>68.33</v>
      </c>
      <c r="C116" s="5">
        <v>68.45</v>
      </c>
      <c r="D116" t="s">
        <v>25</v>
      </c>
      <c r="E116" s="4">
        <f t="shared" si="12"/>
        <v>946.13639999999998</v>
      </c>
      <c r="F116" s="4">
        <f t="shared" si="12"/>
        <v>0</v>
      </c>
      <c r="G116" s="4">
        <f t="shared" si="7"/>
        <v>946.13639999999998</v>
      </c>
      <c r="H116" s="5">
        <f t="shared" si="8"/>
        <v>64649.500211999999</v>
      </c>
      <c r="I116" s="5">
        <f t="shared" si="9"/>
        <v>64763.03658</v>
      </c>
    </row>
    <row r="117" spans="1:9" x14ac:dyDescent="0.25">
      <c r="A117" t="s">
        <v>10</v>
      </c>
      <c r="B117" s="5">
        <v>37.39</v>
      </c>
      <c r="C117" s="5">
        <v>37.4</v>
      </c>
      <c r="D117" t="s">
        <v>25</v>
      </c>
      <c r="E117" s="4">
        <f t="shared" si="12"/>
        <v>1730.2277999999999</v>
      </c>
      <c r="F117" s="4">
        <f t="shared" si="12"/>
        <v>0</v>
      </c>
      <c r="G117" s="4">
        <f t="shared" si="7"/>
        <v>1730.2277999999999</v>
      </c>
      <c r="H117" s="5">
        <f t="shared" si="8"/>
        <v>64693.217441999994</v>
      </c>
      <c r="I117" s="5">
        <f t="shared" si="9"/>
        <v>64710.519719999997</v>
      </c>
    </row>
    <row r="118" spans="1:9" x14ac:dyDescent="0.25">
      <c r="A118" t="s">
        <v>11</v>
      </c>
      <c r="B118" s="5">
        <v>56.29</v>
      </c>
      <c r="C118" s="5">
        <v>56.3</v>
      </c>
      <c r="D118" t="s">
        <v>25</v>
      </c>
      <c r="E118" s="4">
        <f t="shared" si="12"/>
        <v>1148.8532</v>
      </c>
      <c r="F118" s="4">
        <f t="shared" si="12"/>
        <v>0</v>
      </c>
      <c r="G118" s="4">
        <f t="shared" si="7"/>
        <v>1148.8532</v>
      </c>
      <c r="H118" s="5">
        <f t="shared" si="8"/>
        <v>64668.946627999998</v>
      </c>
      <c r="I118" s="5">
        <f t="shared" si="9"/>
        <v>64680.435160000001</v>
      </c>
    </row>
    <row r="119" spans="1:9" x14ac:dyDescent="0.25">
      <c r="A119" t="s">
        <v>12</v>
      </c>
      <c r="B119" s="5">
        <v>50.18</v>
      </c>
      <c r="C119" s="5">
        <v>50.19</v>
      </c>
      <c r="D119" t="s">
        <v>25</v>
      </c>
      <c r="E119" s="4">
        <f t="shared" si="12"/>
        <v>1289.0615</v>
      </c>
      <c r="F119" s="4">
        <f t="shared" si="12"/>
        <v>0.05</v>
      </c>
      <c r="G119" s="4">
        <f t="shared" si="7"/>
        <v>1289.1115</v>
      </c>
      <c r="H119" s="5">
        <f t="shared" si="8"/>
        <v>64687.61507</v>
      </c>
      <c r="I119" s="5">
        <f t="shared" si="9"/>
        <v>64700.506184999998</v>
      </c>
    </row>
    <row r="120" spans="1:9" x14ac:dyDescent="0.25">
      <c r="A120" t="s">
        <v>13</v>
      </c>
      <c r="B120" s="5">
        <v>18.29</v>
      </c>
      <c r="C120" s="5">
        <v>18.3</v>
      </c>
      <c r="D120" t="s">
        <v>25</v>
      </c>
      <c r="E120" s="4">
        <f t="shared" si="12"/>
        <v>3535.8029000000001</v>
      </c>
      <c r="F120" s="4">
        <f t="shared" si="12"/>
        <v>0</v>
      </c>
      <c r="G120" s="4">
        <f t="shared" si="7"/>
        <v>3535.8029000000001</v>
      </c>
      <c r="H120" s="5">
        <f t="shared" si="8"/>
        <v>64669.835040999998</v>
      </c>
      <c r="I120" s="5">
        <f t="shared" si="9"/>
        <v>64705.193070000008</v>
      </c>
    </row>
    <row r="121" spans="1:9" x14ac:dyDescent="0.25">
      <c r="A121" t="s">
        <v>14</v>
      </c>
      <c r="B121" s="5">
        <v>36.64</v>
      </c>
      <c r="C121" s="5">
        <v>36.65</v>
      </c>
      <c r="D121" t="s">
        <v>25</v>
      </c>
      <c r="E121" s="4">
        <f t="shared" si="12"/>
        <v>1765.0592999999999</v>
      </c>
      <c r="F121" s="4">
        <f t="shared" si="12"/>
        <v>0</v>
      </c>
      <c r="G121" s="4">
        <f t="shared" si="7"/>
        <v>1765.0592999999999</v>
      </c>
      <c r="H121" s="5">
        <f t="shared" si="8"/>
        <v>64671.772751999997</v>
      </c>
      <c r="I121" s="5">
        <f t="shared" si="9"/>
        <v>64689.423344999996</v>
      </c>
    </row>
    <row r="122" spans="1:9" x14ac:dyDescent="0.25">
      <c r="A122" t="s">
        <v>4</v>
      </c>
      <c r="B122" s="5">
        <v>21.42</v>
      </c>
      <c r="C122" s="5">
        <v>21.43</v>
      </c>
      <c r="D122" t="s">
        <v>26</v>
      </c>
      <c r="E122" s="4">
        <f t="shared" si="12"/>
        <v>3014.9488000000001</v>
      </c>
      <c r="F122" s="4">
        <f t="shared" si="12"/>
        <v>0</v>
      </c>
      <c r="G122" s="4">
        <f t="shared" si="7"/>
        <v>3014.9488000000001</v>
      </c>
      <c r="H122" s="5">
        <f t="shared" si="8"/>
        <v>64580.203296000007</v>
      </c>
      <c r="I122" s="5">
        <f t="shared" si="9"/>
        <v>64610.352784000002</v>
      </c>
    </row>
    <row r="123" spans="1:9" x14ac:dyDescent="0.25">
      <c r="A123" t="s">
        <v>6</v>
      </c>
      <c r="B123" s="5">
        <v>35.06</v>
      </c>
      <c r="C123" s="5">
        <v>35.07</v>
      </c>
      <c r="D123" t="s">
        <v>26</v>
      </c>
      <c r="E123" s="4">
        <f t="shared" si="12"/>
        <v>1842.1205</v>
      </c>
      <c r="F123" s="4">
        <f t="shared" si="12"/>
        <v>0</v>
      </c>
      <c r="G123" s="4">
        <f t="shared" si="7"/>
        <v>1842.1205</v>
      </c>
      <c r="H123" s="5">
        <f t="shared" si="8"/>
        <v>64584.744730000006</v>
      </c>
      <c r="I123" s="5">
        <f t="shared" si="9"/>
        <v>64603.165934999997</v>
      </c>
    </row>
    <row r="124" spans="1:9" x14ac:dyDescent="0.25">
      <c r="A124" t="s">
        <v>7</v>
      </c>
      <c r="B124" s="5">
        <v>18.21</v>
      </c>
      <c r="C124" s="5">
        <v>18.22</v>
      </c>
      <c r="D124" t="s">
        <v>26</v>
      </c>
      <c r="E124" s="4">
        <f t="shared" si="12"/>
        <v>3546.5864999999999</v>
      </c>
      <c r="F124" s="4">
        <f t="shared" si="12"/>
        <v>0</v>
      </c>
      <c r="G124" s="4">
        <f t="shared" si="7"/>
        <v>3546.5864999999999</v>
      </c>
      <c r="H124" s="5">
        <f t="shared" si="8"/>
        <v>64583.340165000001</v>
      </c>
      <c r="I124" s="5">
        <f t="shared" si="9"/>
        <v>64618.806029999992</v>
      </c>
    </row>
    <row r="125" spans="1:9" x14ac:dyDescent="0.25">
      <c r="A125" t="s">
        <v>8</v>
      </c>
      <c r="B125" s="5">
        <v>28.56</v>
      </c>
      <c r="C125" s="5">
        <v>28.57</v>
      </c>
      <c r="D125" t="s">
        <v>26</v>
      </c>
      <c r="E125" s="4">
        <f t="shared" ref="E125:F140" si="13">E115</f>
        <v>2261.3416000000002</v>
      </c>
      <c r="F125" s="4">
        <f t="shared" si="13"/>
        <v>-0.1</v>
      </c>
      <c r="G125" s="4">
        <f t="shared" si="7"/>
        <v>2261.2416000000003</v>
      </c>
      <c r="H125" s="5">
        <f t="shared" si="8"/>
        <v>64581.060096000008</v>
      </c>
      <c r="I125" s="5">
        <f t="shared" si="9"/>
        <v>64603.672512000012</v>
      </c>
    </row>
    <row r="126" spans="1:9" x14ac:dyDescent="0.25">
      <c r="A126" t="s">
        <v>9</v>
      </c>
      <c r="B126" s="5">
        <v>68.209999999999994</v>
      </c>
      <c r="C126" s="5">
        <v>68.31</v>
      </c>
      <c r="D126" t="s">
        <v>26</v>
      </c>
      <c r="E126" s="4">
        <f t="shared" si="13"/>
        <v>946.13639999999998</v>
      </c>
      <c r="F126" s="4">
        <f t="shared" si="13"/>
        <v>0</v>
      </c>
      <c r="G126" s="4">
        <f t="shared" si="7"/>
        <v>946.13639999999998</v>
      </c>
      <c r="H126" s="5">
        <f t="shared" si="8"/>
        <v>64535.963843999991</v>
      </c>
      <c r="I126" s="5">
        <f t="shared" si="9"/>
        <v>64630.577484000001</v>
      </c>
    </row>
    <row r="127" spans="1:9" x14ac:dyDescent="0.25">
      <c r="A127" t="s">
        <v>10</v>
      </c>
      <c r="B127" s="5">
        <v>37.31</v>
      </c>
      <c r="C127" s="5">
        <v>37.340000000000003</v>
      </c>
      <c r="D127" t="s">
        <v>26</v>
      </c>
      <c r="E127" s="4">
        <f t="shared" si="13"/>
        <v>1730.2277999999999</v>
      </c>
      <c r="F127" s="4">
        <f t="shared" si="13"/>
        <v>0</v>
      </c>
      <c r="G127" s="4">
        <f t="shared" si="7"/>
        <v>1730.2277999999999</v>
      </c>
      <c r="H127" s="5">
        <f t="shared" si="8"/>
        <v>64554.799218</v>
      </c>
      <c r="I127" s="5">
        <f t="shared" si="9"/>
        <v>64606.706052000001</v>
      </c>
    </row>
    <row r="128" spans="1:9" x14ac:dyDescent="0.25">
      <c r="A128" t="s">
        <v>11</v>
      </c>
      <c r="B128" s="5">
        <v>56.2</v>
      </c>
      <c r="C128" s="5">
        <v>56.21</v>
      </c>
      <c r="D128" t="s">
        <v>26</v>
      </c>
      <c r="E128" s="4">
        <f t="shared" si="13"/>
        <v>1148.8532</v>
      </c>
      <c r="F128" s="4">
        <f t="shared" si="13"/>
        <v>0</v>
      </c>
      <c r="G128" s="4">
        <f t="shared" si="7"/>
        <v>1148.8532</v>
      </c>
      <c r="H128" s="5">
        <f t="shared" si="8"/>
        <v>64565.549840000007</v>
      </c>
      <c r="I128" s="5">
        <f t="shared" si="9"/>
        <v>64577.038372000003</v>
      </c>
    </row>
    <row r="129" spans="1:9" x14ac:dyDescent="0.25">
      <c r="A129" t="s">
        <v>12</v>
      </c>
      <c r="B129" s="5">
        <v>50.1</v>
      </c>
      <c r="C129" s="5">
        <v>50.11</v>
      </c>
      <c r="D129" t="s">
        <v>26</v>
      </c>
      <c r="E129" s="4">
        <f t="shared" si="13"/>
        <v>1289.0615</v>
      </c>
      <c r="F129" s="4">
        <f t="shared" si="13"/>
        <v>0.05</v>
      </c>
      <c r="G129" s="4">
        <f t="shared" si="7"/>
        <v>1289.1115</v>
      </c>
      <c r="H129" s="5">
        <f t="shared" si="8"/>
        <v>64584.486150000004</v>
      </c>
      <c r="I129" s="5">
        <f t="shared" si="9"/>
        <v>64597.377264999996</v>
      </c>
    </row>
    <row r="130" spans="1:9" x14ac:dyDescent="0.25">
      <c r="A130" t="s">
        <v>13</v>
      </c>
      <c r="B130" s="5">
        <v>18.260000000000002</v>
      </c>
      <c r="C130" s="5">
        <v>18.27</v>
      </c>
      <c r="D130" t="s">
        <v>26</v>
      </c>
      <c r="E130" s="4">
        <f t="shared" si="13"/>
        <v>3535.8029000000001</v>
      </c>
      <c r="F130" s="4">
        <f t="shared" si="13"/>
        <v>0</v>
      </c>
      <c r="G130" s="4">
        <f t="shared" ref="G130:G193" si="14">E130+F130</f>
        <v>3535.8029000000001</v>
      </c>
      <c r="H130" s="5">
        <f t="shared" ref="H130:H193" si="15">B130*G130</f>
        <v>64563.760954000005</v>
      </c>
      <c r="I130" s="5">
        <f t="shared" ref="I130:I193" si="16">C130*G130</f>
        <v>64599.118983</v>
      </c>
    </row>
    <row r="131" spans="1:9" x14ac:dyDescent="0.25">
      <c r="A131" t="s">
        <v>14</v>
      </c>
      <c r="B131" s="5">
        <v>36.58</v>
      </c>
      <c r="C131" s="5">
        <v>36.590000000000003</v>
      </c>
      <c r="D131" t="s">
        <v>26</v>
      </c>
      <c r="E131" s="4">
        <f t="shared" si="13"/>
        <v>1765.0592999999999</v>
      </c>
      <c r="F131" s="4">
        <f t="shared" si="13"/>
        <v>0</v>
      </c>
      <c r="G131" s="4">
        <f t="shared" si="14"/>
        <v>1765.0592999999999</v>
      </c>
      <c r="H131" s="5">
        <f t="shared" si="15"/>
        <v>64565.869193999992</v>
      </c>
      <c r="I131" s="5">
        <f t="shared" si="16"/>
        <v>64583.519787000005</v>
      </c>
    </row>
    <row r="132" spans="1:9" x14ac:dyDescent="0.25">
      <c r="A132" t="s">
        <v>4</v>
      </c>
      <c r="B132" s="5">
        <v>21.42</v>
      </c>
      <c r="C132" s="5">
        <v>21.43</v>
      </c>
      <c r="D132" t="s">
        <v>27</v>
      </c>
      <c r="E132" s="4">
        <f t="shared" si="13"/>
        <v>3014.9488000000001</v>
      </c>
      <c r="F132" s="4">
        <f t="shared" si="13"/>
        <v>0</v>
      </c>
      <c r="G132" s="4">
        <f t="shared" si="14"/>
        <v>3014.9488000000001</v>
      </c>
      <c r="H132" s="5">
        <f t="shared" si="15"/>
        <v>64580.203296000007</v>
      </c>
      <c r="I132" s="5">
        <f t="shared" si="16"/>
        <v>64610.352784000002</v>
      </c>
    </row>
    <row r="133" spans="1:9" x14ac:dyDescent="0.25">
      <c r="A133" t="s">
        <v>6</v>
      </c>
      <c r="B133" s="5">
        <v>35.06</v>
      </c>
      <c r="C133" s="5">
        <v>35.07</v>
      </c>
      <c r="D133" t="s">
        <v>27</v>
      </c>
      <c r="E133" s="4">
        <f t="shared" si="13"/>
        <v>1842.1205</v>
      </c>
      <c r="F133" s="4">
        <f t="shared" si="13"/>
        <v>0</v>
      </c>
      <c r="G133" s="4">
        <f t="shared" si="14"/>
        <v>1842.1205</v>
      </c>
      <c r="H133" s="5">
        <f t="shared" si="15"/>
        <v>64584.744730000006</v>
      </c>
      <c r="I133" s="5">
        <f t="shared" si="16"/>
        <v>64603.165934999997</v>
      </c>
    </row>
    <row r="134" spans="1:9" x14ac:dyDescent="0.25">
      <c r="A134" t="s">
        <v>7</v>
      </c>
      <c r="B134" s="5">
        <v>18.21</v>
      </c>
      <c r="C134" s="5">
        <v>18.22</v>
      </c>
      <c r="D134" t="s">
        <v>27</v>
      </c>
      <c r="E134" s="4">
        <f t="shared" si="13"/>
        <v>3546.5864999999999</v>
      </c>
      <c r="F134" s="4">
        <f t="shared" si="13"/>
        <v>0</v>
      </c>
      <c r="G134" s="4">
        <f t="shared" si="14"/>
        <v>3546.5864999999999</v>
      </c>
      <c r="H134" s="5">
        <f t="shared" si="15"/>
        <v>64583.340165000001</v>
      </c>
      <c r="I134" s="5">
        <f t="shared" si="16"/>
        <v>64618.806029999992</v>
      </c>
    </row>
    <row r="135" spans="1:9" x14ac:dyDescent="0.25">
      <c r="A135" t="s">
        <v>8</v>
      </c>
      <c r="B135" s="5">
        <v>28.56</v>
      </c>
      <c r="C135" s="5">
        <v>28.57</v>
      </c>
      <c r="D135" t="s">
        <v>27</v>
      </c>
      <c r="E135" s="4">
        <f t="shared" si="13"/>
        <v>2261.3416000000002</v>
      </c>
      <c r="F135" s="4">
        <f t="shared" si="13"/>
        <v>-0.1</v>
      </c>
      <c r="G135" s="4">
        <f t="shared" si="14"/>
        <v>2261.2416000000003</v>
      </c>
      <c r="H135" s="5">
        <f t="shared" si="15"/>
        <v>64581.060096000008</v>
      </c>
      <c r="I135" s="5">
        <f t="shared" si="16"/>
        <v>64603.672512000012</v>
      </c>
    </row>
    <row r="136" spans="1:9" x14ac:dyDescent="0.25">
      <c r="A136" t="s">
        <v>9</v>
      </c>
      <c r="B136" s="5">
        <v>68.23</v>
      </c>
      <c r="C136" s="5">
        <v>68.36</v>
      </c>
      <c r="D136" t="s">
        <v>27</v>
      </c>
      <c r="E136" s="4">
        <f t="shared" si="13"/>
        <v>946.13639999999998</v>
      </c>
      <c r="F136" s="4">
        <f t="shared" si="13"/>
        <v>0</v>
      </c>
      <c r="G136" s="4">
        <f t="shared" si="14"/>
        <v>946.13639999999998</v>
      </c>
      <c r="H136" s="5">
        <f t="shared" si="15"/>
        <v>64554.886572000003</v>
      </c>
      <c r="I136" s="5">
        <f t="shared" si="16"/>
        <v>64677.884303999999</v>
      </c>
    </row>
    <row r="137" spans="1:9" x14ac:dyDescent="0.25">
      <c r="A137" t="s">
        <v>10</v>
      </c>
      <c r="B137" s="5">
        <v>37.32</v>
      </c>
      <c r="C137" s="5">
        <v>37.35</v>
      </c>
      <c r="D137" t="s">
        <v>27</v>
      </c>
      <c r="E137" s="4">
        <f t="shared" si="13"/>
        <v>1730.2277999999999</v>
      </c>
      <c r="F137" s="4">
        <f t="shared" si="13"/>
        <v>0</v>
      </c>
      <c r="G137" s="4">
        <f t="shared" si="14"/>
        <v>1730.2277999999999</v>
      </c>
      <c r="H137" s="5">
        <f t="shared" si="15"/>
        <v>64572.101495999996</v>
      </c>
      <c r="I137" s="5">
        <f t="shared" si="16"/>
        <v>64624.008329999997</v>
      </c>
    </row>
    <row r="138" spans="1:9" x14ac:dyDescent="0.25">
      <c r="A138" t="s">
        <v>11</v>
      </c>
      <c r="B138" s="5">
        <v>56.21</v>
      </c>
      <c r="C138" s="5">
        <v>56.22</v>
      </c>
      <c r="D138" t="s">
        <v>27</v>
      </c>
      <c r="E138" s="4">
        <f t="shared" si="13"/>
        <v>1148.8532</v>
      </c>
      <c r="F138" s="4">
        <f t="shared" si="13"/>
        <v>0</v>
      </c>
      <c r="G138" s="4">
        <f t="shared" si="14"/>
        <v>1148.8532</v>
      </c>
      <c r="H138" s="5">
        <f t="shared" si="15"/>
        <v>64577.038372000003</v>
      </c>
      <c r="I138" s="5">
        <f t="shared" si="16"/>
        <v>64588.526903999998</v>
      </c>
    </row>
    <row r="139" spans="1:9" x14ac:dyDescent="0.25">
      <c r="A139" t="s">
        <v>12</v>
      </c>
      <c r="B139" s="5">
        <v>50.1</v>
      </c>
      <c r="C139" s="5">
        <v>50.11</v>
      </c>
      <c r="D139" t="s">
        <v>27</v>
      </c>
      <c r="E139" s="4">
        <f t="shared" si="13"/>
        <v>1289.0615</v>
      </c>
      <c r="F139" s="4">
        <f t="shared" si="13"/>
        <v>0.05</v>
      </c>
      <c r="G139" s="4">
        <f t="shared" si="14"/>
        <v>1289.1115</v>
      </c>
      <c r="H139" s="5">
        <f t="shared" si="15"/>
        <v>64584.486150000004</v>
      </c>
      <c r="I139" s="5">
        <f t="shared" si="16"/>
        <v>64597.377264999996</v>
      </c>
    </row>
    <row r="140" spans="1:9" x14ac:dyDescent="0.25">
      <c r="A140" t="s">
        <v>13</v>
      </c>
      <c r="B140" s="5">
        <v>18.260000000000002</v>
      </c>
      <c r="C140" s="5">
        <v>18.27</v>
      </c>
      <c r="D140" t="s">
        <v>27</v>
      </c>
      <c r="E140" s="4">
        <f t="shared" si="13"/>
        <v>3535.8029000000001</v>
      </c>
      <c r="F140" s="4">
        <f t="shared" si="13"/>
        <v>0</v>
      </c>
      <c r="G140" s="4">
        <f t="shared" si="14"/>
        <v>3535.8029000000001</v>
      </c>
      <c r="H140" s="5">
        <f t="shared" si="15"/>
        <v>64563.760954000005</v>
      </c>
      <c r="I140" s="5">
        <f t="shared" si="16"/>
        <v>64599.118983</v>
      </c>
    </row>
    <row r="141" spans="1:9" x14ac:dyDescent="0.25">
      <c r="A141" t="s">
        <v>14</v>
      </c>
      <c r="B141" s="5">
        <v>36.58</v>
      </c>
      <c r="C141" s="5">
        <v>36.590000000000003</v>
      </c>
      <c r="D141" t="s">
        <v>27</v>
      </c>
      <c r="E141" s="4">
        <f t="shared" ref="E141:F156" si="17">E131</f>
        <v>1765.0592999999999</v>
      </c>
      <c r="F141" s="4">
        <f t="shared" si="17"/>
        <v>0</v>
      </c>
      <c r="G141" s="4">
        <f t="shared" si="14"/>
        <v>1765.0592999999999</v>
      </c>
      <c r="H141" s="5">
        <f t="shared" si="15"/>
        <v>64565.869193999992</v>
      </c>
      <c r="I141" s="5">
        <f t="shared" si="16"/>
        <v>64583.519787000005</v>
      </c>
    </row>
    <row r="142" spans="1:9" x14ac:dyDescent="0.25">
      <c r="A142" t="s">
        <v>4</v>
      </c>
      <c r="B142" s="5">
        <v>21.39</v>
      </c>
      <c r="C142" s="5">
        <v>21.4</v>
      </c>
      <c r="D142" t="s">
        <v>28</v>
      </c>
      <c r="E142" s="4">
        <f t="shared" si="17"/>
        <v>3014.9488000000001</v>
      </c>
      <c r="F142" s="4">
        <f t="shared" si="17"/>
        <v>0</v>
      </c>
      <c r="G142" s="4">
        <f t="shared" si="14"/>
        <v>3014.9488000000001</v>
      </c>
      <c r="H142" s="5">
        <f t="shared" si="15"/>
        <v>64489.754832000006</v>
      </c>
      <c r="I142" s="5">
        <f t="shared" si="16"/>
        <v>64519.904320000001</v>
      </c>
    </row>
    <row r="143" spans="1:9" x14ac:dyDescent="0.25">
      <c r="A143" t="s">
        <v>6</v>
      </c>
      <c r="B143" s="5">
        <v>35.01</v>
      </c>
      <c r="C143" s="5">
        <v>35.020000000000003</v>
      </c>
      <c r="D143" t="s">
        <v>28</v>
      </c>
      <c r="E143" s="4">
        <f t="shared" si="17"/>
        <v>1842.1205</v>
      </c>
      <c r="F143" s="4">
        <f t="shared" si="17"/>
        <v>0</v>
      </c>
      <c r="G143" s="4">
        <f t="shared" si="14"/>
        <v>1842.1205</v>
      </c>
      <c r="H143" s="5">
        <f t="shared" si="15"/>
        <v>64492.638704999998</v>
      </c>
      <c r="I143" s="5">
        <f t="shared" si="16"/>
        <v>64511.059910000004</v>
      </c>
    </row>
    <row r="144" spans="1:9" x14ac:dyDescent="0.25">
      <c r="A144" t="s">
        <v>7</v>
      </c>
      <c r="B144" s="5">
        <v>18.18</v>
      </c>
      <c r="C144" s="5">
        <v>18.190000000000001</v>
      </c>
      <c r="D144" t="s">
        <v>28</v>
      </c>
      <c r="E144" s="4">
        <f t="shared" si="17"/>
        <v>3546.5864999999999</v>
      </c>
      <c r="F144" s="4">
        <f t="shared" si="17"/>
        <v>0</v>
      </c>
      <c r="G144" s="4">
        <f t="shared" si="14"/>
        <v>3546.5864999999999</v>
      </c>
      <c r="H144" s="5">
        <f t="shared" si="15"/>
        <v>64476.942569999999</v>
      </c>
      <c r="I144" s="5">
        <f t="shared" si="16"/>
        <v>64512.408435000005</v>
      </c>
    </row>
    <row r="145" spans="1:9" x14ac:dyDescent="0.25">
      <c r="A145" t="s">
        <v>8</v>
      </c>
      <c r="B145" s="5">
        <v>28.52</v>
      </c>
      <c r="C145" s="5">
        <v>28.53</v>
      </c>
      <c r="D145" t="s">
        <v>28</v>
      </c>
      <c r="E145" s="4">
        <f t="shared" si="17"/>
        <v>2261.3416000000002</v>
      </c>
      <c r="F145" s="4">
        <f t="shared" si="17"/>
        <v>-0.1</v>
      </c>
      <c r="G145" s="4">
        <f t="shared" si="14"/>
        <v>2261.2416000000003</v>
      </c>
      <c r="H145" s="5">
        <f t="shared" si="15"/>
        <v>64490.610432000009</v>
      </c>
      <c r="I145" s="5">
        <f t="shared" si="16"/>
        <v>64513.222848000012</v>
      </c>
    </row>
    <row r="146" spans="1:9" x14ac:dyDescent="0.25">
      <c r="A146" t="s">
        <v>9</v>
      </c>
      <c r="B146" s="5">
        <v>68.11</v>
      </c>
      <c r="C146" s="5">
        <v>68.22</v>
      </c>
      <c r="D146" t="s">
        <v>28</v>
      </c>
      <c r="E146" s="4">
        <f t="shared" si="17"/>
        <v>946.13639999999998</v>
      </c>
      <c r="F146" s="4">
        <f t="shared" si="17"/>
        <v>0</v>
      </c>
      <c r="G146" s="4">
        <f t="shared" si="14"/>
        <v>946.13639999999998</v>
      </c>
      <c r="H146" s="5">
        <f t="shared" si="15"/>
        <v>64441.350203999995</v>
      </c>
      <c r="I146" s="5">
        <f t="shared" si="16"/>
        <v>64545.425208000001</v>
      </c>
    </row>
    <row r="147" spans="1:9" x14ac:dyDescent="0.25">
      <c r="A147" t="s">
        <v>10</v>
      </c>
      <c r="B147" s="5">
        <v>37.26</v>
      </c>
      <c r="C147" s="5">
        <v>37.29</v>
      </c>
      <c r="D147" t="s">
        <v>28</v>
      </c>
      <c r="E147" s="4">
        <f t="shared" si="17"/>
        <v>1730.2277999999999</v>
      </c>
      <c r="F147" s="4">
        <f t="shared" si="17"/>
        <v>0</v>
      </c>
      <c r="G147" s="4">
        <f t="shared" si="14"/>
        <v>1730.2277999999999</v>
      </c>
      <c r="H147" s="5">
        <f t="shared" si="15"/>
        <v>64468.287827999993</v>
      </c>
      <c r="I147" s="5">
        <f t="shared" si="16"/>
        <v>64520.194661999994</v>
      </c>
    </row>
    <row r="148" spans="1:9" x14ac:dyDescent="0.25">
      <c r="A148" t="s">
        <v>11</v>
      </c>
      <c r="B148" s="5">
        <v>56.12</v>
      </c>
      <c r="C148" s="5">
        <v>56.13</v>
      </c>
      <c r="D148" t="s">
        <v>28</v>
      </c>
      <c r="E148" s="4">
        <f t="shared" si="17"/>
        <v>1148.8532</v>
      </c>
      <c r="F148" s="4">
        <f t="shared" si="17"/>
        <v>0</v>
      </c>
      <c r="G148" s="4">
        <f t="shared" si="14"/>
        <v>1148.8532</v>
      </c>
      <c r="H148" s="5">
        <f t="shared" si="15"/>
        <v>64473.641583999997</v>
      </c>
      <c r="I148" s="5">
        <f t="shared" si="16"/>
        <v>64485.130116</v>
      </c>
    </row>
    <row r="149" spans="1:9" x14ac:dyDescent="0.25">
      <c r="A149" t="s">
        <v>12</v>
      </c>
      <c r="B149" s="5">
        <v>50.03</v>
      </c>
      <c r="C149" s="5">
        <v>50.04</v>
      </c>
      <c r="D149" t="s">
        <v>28</v>
      </c>
      <c r="E149" s="4">
        <f t="shared" si="17"/>
        <v>1289.0615</v>
      </c>
      <c r="F149" s="4">
        <f t="shared" si="17"/>
        <v>0.05</v>
      </c>
      <c r="G149" s="4">
        <f t="shared" si="14"/>
        <v>1289.1115</v>
      </c>
      <c r="H149" s="5">
        <f t="shared" si="15"/>
        <v>64494.248345</v>
      </c>
      <c r="I149" s="5">
        <f t="shared" si="16"/>
        <v>64507.139459999999</v>
      </c>
    </row>
    <row r="150" spans="1:9" x14ac:dyDescent="0.25">
      <c r="A150" t="s">
        <v>13</v>
      </c>
      <c r="B150" s="5">
        <v>18.23</v>
      </c>
      <c r="C150" s="5">
        <v>18.239999999999998</v>
      </c>
      <c r="D150" t="s">
        <v>28</v>
      </c>
      <c r="E150" s="4">
        <f t="shared" si="17"/>
        <v>3535.8029000000001</v>
      </c>
      <c r="F150" s="4">
        <f t="shared" si="17"/>
        <v>0</v>
      </c>
      <c r="G150" s="4">
        <f t="shared" si="14"/>
        <v>3535.8029000000001</v>
      </c>
      <c r="H150" s="5">
        <f t="shared" si="15"/>
        <v>64457.686867000004</v>
      </c>
      <c r="I150" s="5">
        <f t="shared" si="16"/>
        <v>64493.044895999999</v>
      </c>
    </row>
    <row r="151" spans="1:9" x14ac:dyDescent="0.25">
      <c r="A151" t="s">
        <v>14</v>
      </c>
      <c r="B151" s="5">
        <v>36.520000000000003</v>
      </c>
      <c r="C151" s="5">
        <v>36.53</v>
      </c>
      <c r="D151" t="s">
        <v>28</v>
      </c>
      <c r="E151" s="4">
        <f t="shared" si="17"/>
        <v>1765.0592999999999</v>
      </c>
      <c r="F151" s="4">
        <f t="shared" si="17"/>
        <v>0</v>
      </c>
      <c r="G151" s="4">
        <f t="shared" si="14"/>
        <v>1765.0592999999999</v>
      </c>
      <c r="H151" s="5">
        <f t="shared" si="15"/>
        <v>64459.965636000001</v>
      </c>
      <c r="I151" s="5">
        <f t="shared" si="16"/>
        <v>64477.616228999999</v>
      </c>
    </row>
    <row r="152" spans="1:9" x14ac:dyDescent="0.25">
      <c r="A152" t="s">
        <v>4</v>
      </c>
      <c r="B152" s="5">
        <v>21.42</v>
      </c>
      <c r="C152" s="5">
        <v>21.43</v>
      </c>
      <c r="D152" t="s">
        <v>29</v>
      </c>
      <c r="E152" s="4">
        <f t="shared" si="17"/>
        <v>3014.9488000000001</v>
      </c>
      <c r="F152" s="4">
        <f t="shared" si="17"/>
        <v>0</v>
      </c>
      <c r="G152" s="4">
        <f t="shared" si="14"/>
        <v>3014.9488000000001</v>
      </c>
      <c r="H152" s="5">
        <f t="shared" si="15"/>
        <v>64580.203296000007</v>
      </c>
      <c r="I152" s="5">
        <f t="shared" si="16"/>
        <v>64610.352784000002</v>
      </c>
    </row>
    <row r="153" spans="1:9" x14ac:dyDescent="0.25">
      <c r="A153" t="s">
        <v>6</v>
      </c>
      <c r="B153" s="5">
        <v>35.06</v>
      </c>
      <c r="C153" s="5">
        <v>35.07</v>
      </c>
      <c r="D153" t="s">
        <v>29</v>
      </c>
      <c r="E153" s="4">
        <f t="shared" si="17"/>
        <v>1842.1205</v>
      </c>
      <c r="F153" s="4">
        <f t="shared" si="17"/>
        <v>0</v>
      </c>
      <c r="G153" s="4">
        <f t="shared" si="14"/>
        <v>1842.1205</v>
      </c>
      <c r="H153" s="5">
        <f t="shared" si="15"/>
        <v>64584.744730000006</v>
      </c>
      <c r="I153" s="5">
        <f t="shared" si="16"/>
        <v>64603.165934999997</v>
      </c>
    </row>
    <row r="154" spans="1:9" x14ac:dyDescent="0.25">
      <c r="A154" t="s">
        <v>7</v>
      </c>
      <c r="B154" s="5">
        <v>18.21</v>
      </c>
      <c r="C154" s="5">
        <v>18.22</v>
      </c>
      <c r="D154" t="s">
        <v>29</v>
      </c>
      <c r="E154" s="4">
        <f t="shared" si="17"/>
        <v>3546.5864999999999</v>
      </c>
      <c r="F154" s="4">
        <f t="shared" si="17"/>
        <v>0</v>
      </c>
      <c r="G154" s="4">
        <f t="shared" si="14"/>
        <v>3546.5864999999999</v>
      </c>
      <c r="H154" s="5">
        <f t="shared" si="15"/>
        <v>64583.340165000001</v>
      </c>
      <c r="I154" s="5">
        <f t="shared" si="16"/>
        <v>64618.806029999992</v>
      </c>
    </row>
    <row r="155" spans="1:9" x14ac:dyDescent="0.25">
      <c r="A155" t="s">
        <v>8</v>
      </c>
      <c r="B155" s="5">
        <v>28.56</v>
      </c>
      <c r="C155" s="5">
        <v>28.57</v>
      </c>
      <c r="D155" t="s">
        <v>29</v>
      </c>
      <c r="E155" s="4">
        <f t="shared" si="17"/>
        <v>2261.3416000000002</v>
      </c>
      <c r="F155" s="4">
        <f t="shared" si="17"/>
        <v>-0.1</v>
      </c>
      <c r="G155" s="4">
        <f t="shared" si="14"/>
        <v>2261.2416000000003</v>
      </c>
      <c r="H155" s="5">
        <f t="shared" si="15"/>
        <v>64581.060096000008</v>
      </c>
      <c r="I155" s="5">
        <f t="shared" si="16"/>
        <v>64603.672512000012</v>
      </c>
    </row>
    <row r="156" spans="1:9" x14ac:dyDescent="0.25">
      <c r="A156" t="s">
        <v>9</v>
      </c>
      <c r="B156" s="5">
        <v>68.239999999999995</v>
      </c>
      <c r="C156" s="5">
        <v>68.38</v>
      </c>
      <c r="D156" t="s">
        <v>29</v>
      </c>
      <c r="E156" s="4">
        <f t="shared" si="17"/>
        <v>946.13639999999998</v>
      </c>
      <c r="F156" s="4">
        <f t="shared" si="17"/>
        <v>0</v>
      </c>
      <c r="G156" s="4">
        <f t="shared" si="14"/>
        <v>946.13639999999998</v>
      </c>
      <c r="H156" s="5">
        <f t="shared" si="15"/>
        <v>64564.347935999991</v>
      </c>
      <c r="I156" s="5">
        <f t="shared" si="16"/>
        <v>64696.807031999997</v>
      </c>
    </row>
    <row r="157" spans="1:9" x14ac:dyDescent="0.25">
      <c r="A157" t="s">
        <v>10</v>
      </c>
      <c r="B157" s="5">
        <v>37.32</v>
      </c>
      <c r="C157" s="5">
        <v>37.35</v>
      </c>
      <c r="D157" t="s">
        <v>29</v>
      </c>
      <c r="E157" s="4">
        <f t="shared" ref="E157:F172" si="18">E147</f>
        <v>1730.2277999999999</v>
      </c>
      <c r="F157" s="4">
        <f t="shared" si="18"/>
        <v>0</v>
      </c>
      <c r="G157" s="4">
        <f t="shared" si="14"/>
        <v>1730.2277999999999</v>
      </c>
      <c r="H157" s="5">
        <f t="shared" si="15"/>
        <v>64572.101495999996</v>
      </c>
      <c r="I157" s="5">
        <f t="shared" si="16"/>
        <v>64624.008329999997</v>
      </c>
    </row>
    <row r="158" spans="1:9" x14ac:dyDescent="0.25">
      <c r="A158" t="s">
        <v>11</v>
      </c>
      <c r="B158" s="5">
        <v>56.2</v>
      </c>
      <c r="C158" s="5">
        <v>56.21</v>
      </c>
      <c r="D158" t="s">
        <v>29</v>
      </c>
      <c r="E158" s="4">
        <f t="shared" si="18"/>
        <v>1148.8532</v>
      </c>
      <c r="F158" s="4">
        <f t="shared" si="18"/>
        <v>0</v>
      </c>
      <c r="G158" s="4">
        <f t="shared" si="14"/>
        <v>1148.8532</v>
      </c>
      <c r="H158" s="5">
        <f t="shared" si="15"/>
        <v>64565.549840000007</v>
      </c>
      <c r="I158" s="5">
        <f t="shared" si="16"/>
        <v>64577.038372000003</v>
      </c>
    </row>
    <row r="159" spans="1:9" x14ac:dyDescent="0.25">
      <c r="A159" t="s">
        <v>12</v>
      </c>
      <c r="B159" s="5">
        <v>50.11</v>
      </c>
      <c r="C159" s="5">
        <v>50.12</v>
      </c>
      <c r="D159" t="s">
        <v>29</v>
      </c>
      <c r="E159" s="4">
        <f t="shared" si="18"/>
        <v>1289.0615</v>
      </c>
      <c r="F159" s="4">
        <f t="shared" si="18"/>
        <v>0.05</v>
      </c>
      <c r="G159" s="4">
        <f t="shared" si="14"/>
        <v>1289.1115</v>
      </c>
      <c r="H159" s="5">
        <f t="shared" si="15"/>
        <v>64597.377264999996</v>
      </c>
      <c r="I159" s="5">
        <f t="shared" si="16"/>
        <v>64610.268379999994</v>
      </c>
    </row>
    <row r="160" spans="1:9" x14ac:dyDescent="0.25">
      <c r="A160" t="s">
        <v>13</v>
      </c>
      <c r="B160" s="5">
        <v>18.260000000000002</v>
      </c>
      <c r="C160" s="5">
        <v>18.27</v>
      </c>
      <c r="D160" t="s">
        <v>29</v>
      </c>
      <c r="E160" s="4">
        <f t="shared" si="18"/>
        <v>3535.8029000000001</v>
      </c>
      <c r="F160" s="4">
        <f t="shared" si="18"/>
        <v>0</v>
      </c>
      <c r="G160" s="4">
        <f t="shared" si="14"/>
        <v>3535.8029000000001</v>
      </c>
      <c r="H160" s="5">
        <f t="shared" si="15"/>
        <v>64563.760954000005</v>
      </c>
      <c r="I160" s="5">
        <f t="shared" si="16"/>
        <v>64599.118983</v>
      </c>
    </row>
    <row r="161" spans="1:9" x14ac:dyDescent="0.25">
      <c r="A161" t="s">
        <v>14</v>
      </c>
      <c r="B161" s="5">
        <v>36.58</v>
      </c>
      <c r="C161" s="5">
        <v>36.590000000000003</v>
      </c>
      <c r="D161" t="s">
        <v>29</v>
      </c>
      <c r="E161" s="4">
        <f t="shared" si="18"/>
        <v>1765.0592999999999</v>
      </c>
      <c r="F161" s="4">
        <f t="shared" si="18"/>
        <v>0</v>
      </c>
      <c r="G161" s="4">
        <f t="shared" si="14"/>
        <v>1765.0592999999999</v>
      </c>
      <c r="H161" s="5">
        <f t="shared" si="15"/>
        <v>64565.869193999992</v>
      </c>
      <c r="I161" s="5">
        <f t="shared" si="16"/>
        <v>64583.519787000005</v>
      </c>
    </row>
    <row r="162" spans="1:9" x14ac:dyDescent="0.25">
      <c r="A162" t="s">
        <v>4</v>
      </c>
      <c r="B162" s="5">
        <v>21.42</v>
      </c>
      <c r="C162" s="5">
        <v>21.43</v>
      </c>
      <c r="D162" t="s">
        <v>30</v>
      </c>
      <c r="E162" s="4">
        <f t="shared" si="18"/>
        <v>3014.9488000000001</v>
      </c>
      <c r="F162" s="4">
        <f t="shared" si="18"/>
        <v>0</v>
      </c>
      <c r="G162" s="4">
        <f t="shared" si="14"/>
        <v>3014.9488000000001</v>
      </c>
      <c r="H162" s="5">
        <f t="shared" si="15"/>
        <v>64580.203296000007</v>
      </c>
      <c r="I162" s="5">
        <f t="shared" si="16"/>
        <v>64610.352784000002</v>
      </c>
    </row>
    <row r="163" spans="1:9" x14ac:dyDescent="0.25">
      <c r="A163" t="s">
        <v>6</v>
      </c>
      <c r="B163" s="5">
        <v>35.06</v>
      </c>
      <c r="C163" s="5">
        <v>35.07</v>
      </c>
      <c r="D163" t="s">
        <v>30</v>
      </c>
      <c r="E163" s="4">
        <f t="shared" si="18"/>
        <v>1842.1205</v>
      </c>
      <c r="F163" s="4">
        <f t="shared" si="18"/>
        <v>0</v>
      </c>
      <c r="G163" s="4">
        <f t="shared" si="14"/>
        <v>1842.1205</v>
      </c>
      <c r="H163" s="5">
        <f t="shared" si="15"/>
        <v>64584.744730000006</v>
      </c>
      <c r="I163" s="5">
        <f t="shared" si="16"/>
        <v>64603.165934999997</v>
      </c>
    </row>
    <row r="164" spans="1:9" x14ac:dyDescent="0.25">
      <c r="A164" t="s">
        <v>7</v>
      </c>
      <c r="B164" s="5">
        <v>18.21</v>
      </c>
      <c r="C164" s="5">
        <v>18.22</v>
      </c>
      <c r="D164" t="s">
        <v>30</v>
      </c>
      <c r="E164" s="4">
        <f t="shared" si="18"/>
        <v>3546.5864999999999</v>
      </c>
      <c r="F164" s="4">
        <f t="shared" si="18"/>
        <v>0</v>
      </c>
      <c r="G164" s="4">
        <f t="shared" si="14"/>
        <v>3546.5864999999999</v>
      </c>
      <c r="H164" s="5">
        <f t="shared" si="15"/>
        <v>64583.340165000001</v>
      </c>
      <c r="I164" s="5">
        <f t="shared" si="16"/>
        <v>64618.806029999992</v>
      </c>
    </row>
    <row r="165" spans="1:9" x14ac:dyDescent="0.25">
      <c r="A165" t="s">
        <v>8</v>
      </c>
      <c r="B165" s="5">
        <v>28.56</v>
      </c>
      <c r="C165" s="5">
        <v>28.57</v>
      </c>
      <c r="D165" t="s">
        <v>30</v>
      </c>
      <c r="E165" s="4">
        <f t="shared" si="18"/>
        <v>2261.3416000000002</v>
      </c>
      <c r="F165" s="4">
        <f t="shared" si="18"/>
        <v>-0.1</v>
      </c>
      <c r="G165" s="4">
        <f t="shared" si="14"/>
        <v>2261.2416000000003</v>
      </c>
      <c r="H165" s="5">
        <f t="shared" si="15"/>
        <v>64581.060096000008</v>
      </c>
      <c r="I165" s="5">
        <f t="shared" si="16"/>
        <v>64603.672512000012</v>
      </c>
    </row>
    <row r="166" spans="1:9" x14ac:dyDescent="0.25">
      <c r="A166" t="s">
        <v>9</v>
      </c>
      <c r="B166" s="5">
        <v>68.22</v>
      </c>
      <c r="C166" s="5">
        <v>68.34</v>
      </c>
      <c r="D166" t="s">
        <v>30</v>
      </c>
      <c r="E166" s="4">
        <f t="shared" si="18"/>
        <v>946.13639999999998</v>
      </c>
      <c r="F166" s="4">
        <f t="shared" si="18"/>
        <v>0</v>
      </c>
      <c r="G166" s="4">
        <f t="shared" si="14"/>
        <v>946.13639999999998</v>
      </c>
      <c r="H166" s="5">
        <f t="shared" si="15"/>
        <v>64545.425208000001</v>
      </c>
      <c r="I166" s="5">
        <f t="shared" si="16"/>
        <v>64658.961576000002</v>
      </c>
    </row>
    <row r="167" spans="1:9" x14ac:dyDescent="0.25">
      <c r="A167" t="s">
        <v>10</v>
      </c>
      <c r="B167" s="5">
        <v>37.32</v>
      </c>
      <c r="C167" s="5">
        <v>37.35</v>
      </c>
      <c r="D167" t="s">
        <v>30</v>
      </c>
      <c r="E167" s="4">
        <f t="shared" si="18"/>
        <v>1730.2277999999999</v>
      </c>
      <c r="F167" s="4">
        <f t="shared" si="18"/>
        <v>0</v>
      </c>
      <c r="G167" s="4">
        <f t="shared" si="14"/>
        <v>1730.2277999999999</v>
      </c>
      <c r="H167" s="5">
        <f t="shared" si="15"/>
        <v>64572.101495999996</v>
      </c>
      <c r="I167" s="5">
        <f t="shared" si="16"/>
        <v>64624.008329999997</v>
      </c>
    </row>
    <row r="168" spans="1:9" x14ac:dyDescent="0.25">
      <c r="A168" t="s">
        <v>11</v>
      </c>
      <c r="B168" s="5">
        <v>56.21</v>
      </c>
      <c r="C168" s="5">
        <v>56.22</v>
      </c>
      <c r="D168" t="s">
        <v>30</v>
      </c>
      <c r="E168" s="4">
        <f t="shared" si="18"/>
        <v>1148.8532</v>
      </c>
      <c r="F168" s="4">
        <f t="shared" si="18"/>
        <v>0</v>
      </c>
      <c r="G168" s="4">
        <f t="shared" si="14"/>
        <v>1148.8532</v>
      </c>
      <c r="H168" s="5">
        <f t="shared" si="15"/>
        <v>64577.038372000003</v>
      </c>
      <c r="I168" s="5">
        <f t="shared" si="16"/>
        <v>64588.526903999998</v>
      </c>
    </row>
    <row r="169" spans="1:9" x14ac:dyDescent="0.25">
      <c r="A169" t="s">
        <v>12</v>
      </c>
      <c r="B169" s="5">
        <v>50.11</v>
      </c>
      <c r="C169" s="5">
        <v>50.12</v>
      </c>
      <c r="D169" t="s">
        <v>30</v>
      </c>
      <c r="E169" s="4">
        <f t="shared" si="18"/>
        <v>1289.0615</v>
      </c>
      <c r="F169" s="4">
        <f t="shared" si="18"/>
        <v>0.05</v>
      </c>
      <c r="G169" s="4">
        <f t="shared" si="14"/>
        <v>1289.1115</v>
      </c>
      <c r="H169" s="5">
        <f t="shared" si="15"/>
        <v>64597.377264999996</v>
      </c>
      <c r="I169" s="5">
        <f t="shared" si="16"/>
        <v>64610.268379999994</v>
      </c>
    </row>
    <row r="170" spans="1:9" x14ac:dyDescent="0.25">
      <c r="A170" t="s">
        <v>13</v>
      </c>
      <c r="B170" s="5">
        <v>18.260000000000002</v>
      </c>
      <c r="C170" s="5">
        <v>18.27</v>
      </c>
      <c r="D170" t="s">
        <v>30</v>
      </c>
      <c r="E170" s="4">
        <f t="shared" si="18"/>
        <v>3535.8029000000001</v>
      </c>
      <c r="F170" s="4">
        <f t="shared" si="18"/>
        <v>0</v>
      </c>
      <c r="G170" s="4">
        <f t="shared" si="14"/>
        <v>3535.8029000000001</v>
      </c>
      <c r="H170" s="5">
        <f t="shared" si="15"/>
        <v>64563.760954000005</v>
      </c>
      <c r="I170" s="5">
        <f t="shared" si="16"/>
        <v>64599.118983</v>
      </c>
    </row>
    <row r="171" spans="1:9" x14ac:dyDescent="0.25">
      <c r="A171" t="s">
        <v>14</v>
      </c>
      <c r="B171" s="5">
        <v>36.58</v>
      </c>
      <c r="C171" s="5">
        <v>36.590000000000003</v>
      </c>
      <c r="D171" t="s">
        <v>30</v>
      </c>
      <c r="E171" s="4">
        <f t="shared" si="18"/>
        <v>1765.0592999999999</v>
      </c>
      <c r="F171" s="4">
        <f t="shared" si="18"/>
        <v>0</v>
      </c>
      <c r="G171" s="4">
        <f t="shared" si="14"/>
        <v>1765.0592999999999</v>
      </c>
      <c r="H171" s="5">
        <f t="shared" si="15"/>
        <v>64565.869193999992</v>
      </c>
      <c r="I171" s="5">
        <f t="shared" si="16"/>
        <v>64583.519787000005</v>
      </c>
    </row>
    <row r="172" spans="1:9" x14ac:dyDescent="0.25">
      <c r="A172" t="s">
        <v>4</v>
      </c>
      <c r="B172" s="5">
        <v>21.34</v>
      </c>
      <c r="C172" s="5">
        <v>21.35</v>
      </c>
      <c r="D172" t="s">
        <v>31</v>
      </c>
      <c r="E172" s="4">
        <f t="shared" si="18"/>
        <v>3014.9488000000001</v>
      </c>
      <c r="F172" s="4">
        <f t="shared" si="18"/>
        <v>0</v>
      </c>
      <c r="G172" s="4">
        <f t="shared" si="14"/>
        <v>3014.9488000000001</v>
      </c>
      <c r="H172" s="5">
        <f t="shared" si="15"/>
        <v>64339.007392</v>
      </c>
      <c r="I172" s="5">
        <f t="shared" si="16"/>
        <v>64369.15688000001</v>
      </c>
    </row>
    <row r="173" spans="1:9" x14ac:dyDescent="0.25">
      <c r="A173" t="s">
        <v>6</v>
      </c>
      <c r="B173" s="5">
        <v>34.93</v>
      </c>
      <c r="C173" s="5">
        <v>34.94</v>
      </c>
      <c r="D173" t="s">
        <v>31</v>
      </c>
      <c r="E173" s="4">
        <f t="shared" ref="E173:F186" si="19">E163</f>
        <v>1842.1205</v>
      </c>
      <c r="F173" s="4">
        <f t="shared" si="19"/>
        <v>0</v>
      </c>
      <c r="G173" s="4">
        <f t="shared" si="14"/>
        <v>1842.1205</v>
      </c>
      <c r="H173" s="5">
        <f t="shared" si="15"/>
        <v>64345.269065</v>
      </c>
      <c r="I173" s="5">
        <f t="shared" si="16"/>
        <v>64363.690269999999</v>
      </c>
    </row>
    <row r="174" spans="1:9" x14ac:dyDescent="0.25">
      <c r="A174" t="s">
        <v>7</v>
      </c>
      <c r="B174" s="5">
        <v>18.14</v>
      </c>
      <c r="C174" s="5">
        <v>18.149999999999999</v>
      </c>
      <c r="D174" t="s">
        <v>31</v>
      </c>
      <c r="E174" s="4">
        <f t="shared" si="19"/>
        <v>3546.5864999999999</v>
      </c>
      <c r="F174" s="4">
        <f t="shared" si="19"/>
        <v>0</v>
      </c>
      <c r="G174" s="4">
        <f t="shared" si="14"/>
        <v>3546.5864999999999</v>
      </c>
      <c r="H174" s="5">
        <f t="shared" si="15"/>
        <v>64335.079109999999</v>
      </c>
      <c r="I174" s="5">
        <f t="shared" si="16"/>
        <v>64370.54497499999</v>
      </c>
    </row>
    <row r="175" spans="1:9" x14ac:dyDescent="0.25">
      <c r="A175" t="s">
        <v>8</v>
      </c>
      <c r="B175" s="5">
        <v>28.45</v>
      </c>
      <c r="C175" s="5">
        <v>28.46</v>
      </c>
      <c r="D175" t="s">
        <v>31</v>
      </c>
      <c r="E175" s="4">
        <f t="shared" si="19"/>
        <v>2261.3416000000002</v>
      </c>
      <c r="F175" s="4">
        <f t="shared" si="19"/>
        <v>-0.1</v>
      </c>
      <c r="G175" s="4">
        <f t="shared" si="14"/>
        <v>2261.2416000000003</v>
      </c>
      <c r="H175" s="5">
        <f t="shared" si="15"/>
        <v>64332.323520000005</v>
      </c>
      <c r="I175" s="5">
        <f t="shared" si="16"/>
        <v>64354.935936000009</v>
      </c>
    </row>
    <row r="176" spans="1:9" x14ac:dyDescent="0.25">
      <c r="A176" t="s">
        <v>9</v>
      </c>
      <c r="B176" s="5">
        <v>67.97</v>
      </c>
      <c r="C176" s="5">
        <v>68.09</v>
      </c>
      <c r="D176" t="s">
        <v>31</v>
      </c>
      <c r="E176" s="4">
        <f t="shared" si="19"/>
        <v>946.13639999999998</v>
      </c>
      <c r="F176" s="4">
        <f t="shared" si="19"/>
        <v>0</v>
      </c>
      <c r="G176" s="4">
        <f t="shared" si="14"/>
        <v>946.13639999999998</v>
      </c>
      <c r="H176" s="5">
        <f t="shared" si="15"/>
        <v>64308.891107999996</v>
      </c>
      <c r="I176" s="5">
        <f t="shared" si="16"/>
        <v>64422.427476000004</v>
      </c>
    </row>
    <row r="177" spans="1:9" x14ac:dyDescent="0.25">
      <c r="A177" t="s">
        <v>10</v>
      </c>
      <c r="B177" s="5">
        <v>37.18</v>
      </c>
      <c r="C177" s="5">
        <v>37.200000000000003</v>
      </c>
      <c r="D177" t="s">
        <v>31</v>
      </c>
      <c r="E177" s="4">
        <f t="shared" si="19"/>
        <v>1730.2277999999999</v>
      </c>
      <c r="F177" s="4">
        <f t="shared" si="19"/>
        <v>0</v>
      </c>
      <c r="G177" s="4">
        <f t="shared" si="14"/>
        <v>1730.2277999999999</v>
      </c>
      <c r="H177" s="5">
        <f t="shared" si="15"/>
        <v>64329.869603999992</v>
      </c>
      <c r="I177" s="5">
        <f t="shared" si="16"/>
        <v>64364.474159999998</v>
      </c>
    </row>
    <row r="178" spans="1:9" x14ac:dyDescent="0.25">
      <c r="A178" t="s">
        <v>11</v>
      </c>
      <c r="B178" s="5">
        <v>55.99</v>
      </c>
      <c r="C178" s="5">
        <v>56</v>
      </c>
      <c r="D178" t="s">
        <v>31</v>
      </c>
      <c r="E178" s="4">
        <f t="shared" si="19"/>
        <v>1148.8532</v>
      </c>
      <c r="F178" s="4">
        <f t="shared" si="19"/>
        <v>0</v>
      </c>
      <c r="G178" s="4">
        <f t="shared" si="14"/>
        <v>1148.8532</v>
      </c>
      <c r="H178" s="5">
        <f t="shared" si="15"/>
        <v>64324.290668000001</v>
      </c>
      <c r="I178" s="5">
        <f t="shared" si="16"/>
        <v>64335.779200000004</v>
      </c>
    </row>
    <row r="179" spans="1:9" x14ac:dyDescent="0.25">
      <c r="A179" t="s">
        <v>12</v>
      </c>
      <c r="B179" s="5">
        <v>49.91</v>
      </c>
      <c r="C179" s="5">
        <v>49.92</v>
      </c>
      <c r="D179" t="s">
        <v>31</v>
      </c>
      <c r="E179" s="4">
        <f t="shared" si="19"/>
        <v>1289.0615</v>
      </c>
      <c r="F179" s="4">
        <f t="shared" si="19"/>
        <v>0.05</v>
      </c>
      <c r="G179" s="4">
        <f t="shared" si="14"/>
        <v>1289.1115</v>
      </c>
      <c r="H179" s="5">
        <f t="shared" si="15"/>
        <v>64339.554964999996</v>
      </c>
      <c r="I179" s="5">
        <f t="shared" si="16"/>
        <v>64352.446080000002</v>
      </c>
    </row>
    <row r="180" spans="1:9" x14ac:dyDescent="0.25">
      <c r="A180" t="s">
        <v>13</v>
      </c>
      <c r="B180" s="5">
        <v>18.190000000000001</v>
      </c>
      <c r="C180" s="5">
        <v>18.2</v>
      </c>
      <c r="D180" t="s">
        <v>31</v>
      </c>
      <c r="E180" s="4">
        <f t="shared" si="19"/>
        <v>3535.8029000000001</v>
      </c>
      <c r="F180" s="4">
        <f t="shared" si="19"/>
        <v>0</v>
      </c>
      <c r="G180" s="4">
        <f t="shared" si="14"/>
        <v>3535.8029000000001</v>
      </c>
      <c r="H180" s="5">
        <f t="shared" si="15"/>
        <v>64316.254751000008</v>
      </c>
      <c r="I180" s="5">
        <f t="shared" si="16"/>
        <v>64351.612780000003</v>
      </c>
    </row>
    <row r="181" spans="1:9" x14ac:dyDescent="0.25">
      <c r="A181" t="s">
        <v>14</v>
      </c>
      <c r="B181" s="5">
        <v>36.44</v>
      </c>
      <c r="C181" s="5">
        <v>36.450000000000003</v>
      </c>
      <c r="D181" t="s">
        <v>31</v>
      </c>
      <c r="E181" s="4">
        <f t="shared" si="19"/>
        <v>1765.0592999999999</v>
      </c>
      <c r="F181" s="4">
        <f t="shared" si="19"/>
        <v>0</v>
      </c>
      <c r="G181" s="4">
        <f t="shared" si="14"/>
        <v>1765.0592999999999</v>
      </c>
      <c r="H181" s="5">
        <f t="shared" si="15"/>
        <v>64318.760891999991</v>
      </c>
      <c r="I181" s="5">
        <f t="shared" si="16"/>
        <v>64336.411485000004</v>
      </c>
    </row>
    <row r="182" spans="1:9" x14ac:dyDescent="0.25">
      <c r="A182" t="s">
        <v>4</v>
      </c>
      <c r="B182" s="5">
        <v>21.36</v>
      </c>
      <c r="C182" s="5">
        <v>21.37</v>
      </c>
      <c r="D182" t="s">
        <v>32</v>
      </c>
      <c r="E182" s="4">
        <f t="shared" si="19"/>
        <v>3014.9488000000001</v>
      </c>
      <c r="F182" s="4">
        <f t="shared" si="19"/>
        <v>0</v>
      </c>
      <c r="G182" s="4">
        <f t="shared" si="14"/>
        <v>3014.9488000000001</v>
      </c>
      <c r="H182" s="5">
        <f t="shared" si="15"/>
        <v>64399.306367999998</v>
      </c>
      <c r="I182" s="5">
        <f t="shared" si="16"/>
        <v>64429.455856000008</v>
      </c>
    </row>
    <row r="183" spans="1:9" x14ac:dyDescent="0.25">
      <c r="A183" t="s">
        <v>6</v>
      </c>
      <c r="B183" s="5">
        <v>34.97</v>
      </c>
      <c r="C183" s="5">
        <v>34.979999999999997</v>
      </c>
      <c r="D183" t="s">
        <v>32</v>
      </c>
      <c r="E183" s="4">
        <f t="shared" si="19"/>
        <v>1842.1205</v>
      </c>
      <c r="F183" s="4">
        <f t="shared" si="19"/>
        <v>0</v>
      </c>
      <c r="G183" s="4">
        <f t="shared" si="14"/>
        <v>1842.1205</v>
      </c>
      <c r="H183" s="5">
        <f t="shared" si="15"/>
        <v>64418.953884999995</v>
      </c>
      <c r="I183" s="5">
        <f t="shared" si="16"/>
        <v>64437.375089999994</v>
      </c>
    </row>
    <row r="184" spans="1:9" x14ac:dyDescent="0.25">
      <c r="A184" t="s">
        <v>7</v>
      </c>
      <c r="B184" s="5">
        <v>18.16</v>
      </c>
      <c r="C184" s="5">
        <v>18.170000000000002</v>
      </c>
      <c r="D184" t="s">
        <v>32</v>
      </c>
      <c r="E184" s="4">
        <f t="shared" si="19"/>
        <v>3546.5864999999999</v>
      </c>
      <c r="F184" s="4">
        <f t="shared" si="19"/>
        <v>0</v>
      </c>
      <c r="G184" s="4">
        <f t="shared" si="14"/>
        <v>3546.5864999999999</v>
      </c>
      <c r="H184" s="5">
        <f t="shared" si="15"/>
        <v>64406.010839999995</v>
      </c>
      <c r="I184" s="5">
        <f t="shared" si="16"/>
        <v>64441.476705000001</v>
      </c>
    </row>
    <row r="185" spans="1:9" x14ac:dyDescent="0.25">
      <c r="A185" t="s">
        <v>8</v>
      </c>
      <c r="B185" s="5">
        <v>28.49</v>
      </c>
      <c r="C185" s="5">
        <v>28.5</v>
      </c>
      <c r="D185" t="s">
        <v>32</v>
      </c>
      <c r="E185" s="4">
        <f t="shared" si="19"/>
        <v>2261.3416000000002</v>
      </c>
      <c r="F185" s="4">
        <f t="shared" si="19"/>
        <v>-0.1</v>
      </c>
      <c r="G185" s="4">
        <f t="shared" si="14"/>
        <v>2261.2416000000003</v>
      </c>
      <c r="H185" s="5">
        <f t="shared" si="15"/>
        <v>64422.773184000005</v>
      </c>
      <c r="I185" s="5">
        <f t="shared" si="16"/>
        <v>64445.385600000009</v>
      </c>
    </row>
    <row r="186" spans="1:9" x14ac:dyDescent="0.25">
      <c r="A186" t="s">
        <v>9</v>
      </c>
      <c r="B186" s="5">
        <v>68.040000000000006</v>
      </c>
      <c r="C186" s="5">
        <v>68.12</v>
      </c>
      <c r="D186" t="s">
        <v>32</v>
      </c>
      <c r="E186" s="4">
        <f>E176</f>
        <v>946.13639999999998</v>
      </c>
      <c r="F186" s="4">
        <f t="shared" si="19"/>
        <v>0</v>
      </c>
      <c r="G186" s="4">
        <f t="shared" si="14"/>
        <v>946.13639999999998</v>
      </c>
      <c r="H186" s="5">
        <f t="shared" si="15"/>
        <v>64375.120656000006</v>
      </c>
      <c r="I186" s="5">
        <f t="shared" si="16"/>
        <v>64450.811568000005</v>
      </c>
    </row>
    <row r="187" spans="1:9" x14ac:dyDescent="0.25">
      <c r="A187" t="s">
        <v>10</v>
      </c>
      <c r="B187" s="5">
        <v>37.229999999999997</v>
      </c>
      <c r="C187" s="5">
        <v>37.25</v>
      </c>
      <c r="D187" t="s">
        <v>32</v>
      </c>
      <c r="E187" s="4">
        <f t="shared" ref="E187:F202" si="20">E177</f>
        <v>1730.2277999999999</v>
      </c>
      <c r="F187" s="4">
        <f t="shared" si="20"/>
        <v>0</v>
      </c>
      <c r="G187" s="4">
        <f t="shared" si="14"/>
        <v>1730.2277999999999</v>
      </c>
      <c r="H187" s="5">
        <f t="shared" si="15"/>
        <v>64416.380993999992</v>
      </c>
      <c r="I187" s="5">
        <f t="shared" si="16"/>
        <v>64450.985549999998</v>
      </c>
    </row>
    <row r="188" spans="1:9" x14ac:dyDescent="0.25">
      <c r="A188" t="s">
        <v>11</v>
      </c>
      <c r="B188" s="5">
        <v>56.07</v>
      </c>
      <c r="C188" s="5">
        <v>56.08</v>
      </c>
      <c r="D188" t="s">
        <v>32</v>
      </c>
      <c r="E188" s="4">
        <f t="shared" si="20"/>
        <v>1148.8532</v>
      </c>
      <c r="F188" s="4">
        <f t="shared" si="20"/>
        <v>0</v>
      </c>
      <c r="G188" s="4">
        <f t="shared" si="14"/>
        <v>1148.8532</v>
      </c>
      <c r="H188" s="5">
        <f t="shared" si="15"/>
        <v>64416.198924000004</v>
      </c>
      <c r="I188" s="5">
        <f t="shared" si="16"/>
        <v>64427.687456</v>
      </c>
    </row>
    <row r="189" spans="1:9" x14ac:dyDescent="0.25">
      <c r="A189" t="s">
        <v>12</v>
      </c>
      <c r="B189" s="5">
        <v>49.98</v>
      </c>
      <c r="C189" s="5">
        <v>49.99</v>
      </c>
      <c r="D189" t="s">
        <v>32</v>
      </c>
      <c r="E189" s="4">
        <f t="shared" si="20"/>
        <v>1289.0615</v>
      </c>
      <c r="F189" s="4">
        <f t="shared" si="20"/>
        <v>0.05</v>
      </c>
      <c r="G189" s="4">
        <f t="shared" si="14"/>
        <v>1289.1115</v>
      </c>
      <c r="H189" s="5">
        <f t="shared" si="15"/>
        <v>64429.792769999993</v>
      </c>
      <c r="I189" s="5">
        <f t="shared" si="16"/>
        <v>64442.683884999999</v>
      </c>
    </row>
    <row r="190" spans="1:9" x14ac:dyDescent="0.25">
      <c r="A190" t="s">
        <v>13</v>
      </c>
      <c r="B190" s="5">
        <v>18.21</v>
      </c>
      <c r="C190" s="5">
        <v>18.22</v>
      </c>
      <c r="D190" t="s">
        <v>32</v>
      </c>
      <c r="E190" s="4">
        <f t="shared" si="20"/>
        <v>3535.8029000000001</v>
      </c>
      <c r="F190" s="4">
        <f t="shared" si="20"/>
        <v>0</v>
      </c>
      <c r="G190" s="4">
        <f t="shared" si="14"/>
        <v>3535.8029000000001</v>
      </c>
      <c r="H190" s="5">
        <f t="shared" si="15"/>
        <v>64386.970809000006</v>
      </c>
      <c r="I190" s="5">
        <f t="shared" si="16"/>
        <v>64422.328838000001</v>
      </c>
    </row>
    <row r="191" spans="1:9" x14ac:dyDescent="0.25">
      <c r="A191" t="s">
        <v>14</v>
      </c>
      <c r="B191" s="5">
        <v>36.479999999999997</v>
      </c>
      <c r="C191" s="5">
        <v>36.49</v>
      </c>
      <c r="D191" t="s">
        <v>32</v>
      </c>
      <c r="E191" s="4">
        <f t="shared" si="20"/>
        <v>1765.0592999999999</v>
      </c>
      <c r="F191" s="4">
        <f t="shared" si="20"/>
        <v>0</v>
      </c>
      <c r="G191" s="4">
        <f t="shared" si="14"/>
        <v>1765.0592999999999</v>
      </c>
      <c r="H191" s="5">
        <f t="shared" si="15"/>
        <v>64389.363263999992</v>
      </c>
      <c r="I191" s="5">
        <f t="shared" si="16"/>
        <v>64407.013856999998</v>
      </c>
    </row>
    <row r="192" spans="1:9" x14ac:dyDescent="0.25">
      <c r="A192" t="s">
        <v>4</v>
      </c>
      <c r="B192" s="5">
        <v>21.4</v>
      </c>
      <c r="C192" s="5">
        <v>21.41</v>
      </c>
      <c r="D192" t="s">
        <v>33</v>
      </c>
      <c r="E192" s="4">
        <f t="shared" si="20"/>
        <v>3014.9488000000001</v>
      </c>
      <c r="F192" s="4">
        <f t="shared" si="20"/>
        <v>0</v>
      </c>
      <c r="G192" s="4">
        <f t="shared" si="14"/>
        <v>3014.9488000000001</v>
      </c>
      <c r="H192" s="5">
        <f t="shared" si="15"/>
        <v>64519.904320000001</v>
      </c>
      <c r="I192" s="5">
        <f t="shared" si="16"/>
        <v>64550.053808000004</v>
      </c>
    </row>
    <row r="193" spans="1:9" x14ac:dyDescent="0.25">
      <c r="A193" t="s">
        <v>6</v>
      </c>
      <c r="B193" s="5">
        <v>35.03</v>
      </c>
      <c r="C193" s="5">
        <v>35.04</v>
      </c>
      <c r="D193" t="s">
        <v>33</v>
      </c>
      <c r="E193" s="4">
        <f t="shared" si="20"/>
        <v>1842.1205</v>
      </c>
      <c r="F193" s="4">
        <f t="shared" si="20"/>
        <v>0</v>
      </c>
      <c r="G193" s="4">
        <f t="shared" si="14"/>
        <v>1842.1205</v>
      </c>
      <c r="H193" s="5">
        <f t="shared" si="15"/>
        <v>64529.481115000002</v>
      </c>
      <c r="I193" s="5">
        <f t="shared" si="16"/>
        <v>64547.902320000001</v>
      </c>
    </row>
    <row r="194" spans="1:9" x14ac:dyDescent="0.25">
      <c r="A194" t="s">
        <v>7</v>
      </c>
      <c r="B194" s="5">
        <v>18.190000000000001</v>
      </c>
      <c r="C194" s="5">
        <v>18.2</v>
      </c>
      <c r="D194" t="s">
        <v>33</v>
      </c>
      <c r="E194" s="4">
        <f t="shared" si="20"/>
        <v>3546.5864999999999</v>
      </c>
      <c r="F194" s="4">
        <f t="shared" si="20"/>
        <v>0</v>
      </c>
      <c r="G194" s="4">
        <f t="shared" ref="G194:G257" si="21">E194+F194</f>
        <v>3546.5864999999999</v>
      </c>
      <c r="H194" s="5">
        <f t="shared" ref="H194:H257" si="22">B194*G194</f>
        <v>64512.408435000005</v>
      </c>
      <c r="I194" s="5">
        <f t="shared" ref="I194:I257" si="23">C194*G194</f>
        <v>64547.874299999996</v>
      </c>
    </row>
    <row r="195" spans="1:9" x14ac:dyDescent="0.25">
      <c r="A195" t="s">
        <v>8</v>
      </c>
      <c r="B195" s="5">
        <v>28.54</v>
      </c>
      <c r="C195" s="5">
        <v>28.55</v>
      </c>
      <c r="D195" t="s">
        <v>33</v>
      </c>
      <c r="E195" s="4">
        <f t="shared" si="20"/>
        <v>2261.3416000000002</v>
      </c>
      <c r="F195" s="4">
        <f t="shared" si="20"/>
        <v>-0.1</v>
      </c>
      <c r="G195" s="4">
        <f t="shared" si="21"/>
        <v>2261.2416000000003</v>
      </c>
      <c r="H195" s="5">
        <f t="shared" si="22"/>
        <v>64535.835264000008</v>
      </c>
      <c r="I195" s="5">
        <f t="shared" si="23"/>
        <v>64558.447680000012</v>
      </c>
    </row>
    <row r="196" spans="1:9" x14ac:dyDescent="0.25">
      <c r="A196" t="s">
        <v>9</v>
      </c>
      <c r="B196" s="5">
        <v>68.209999999999994</v>
      </c>
      <c r="C196" s="5">
        <v>68.319999999999993</v>
      </c>
      <c r="D196" t="s">
        <v>33</v>
      </c>
      <c r="E196" s="4">
        <f t="shared" si="20"/>
        <v>946.13639999999998</v>
      </c>
      <c r="F196" s="4">
        <f t="shared" si="20"/>
        <v>0</v>
      </c>
      <c r="G196" s="4">
        <f t="shared" si="21"/>
        <v>946.13639999999998</v>
      </c>
      <c r="H196" s="5">
        <f t="shared" si="22"/>
        <v>64535.963843999991</v>
      </c>
      <c r="I196" s="5">
        <f t="shared" si="23"/>
        <v>64640.038847999989</v>
      </c>
    </row>
    <row r="197" spans="1:9" x14ac:dyDescent="0.25">
      <c r="A197" t="s">
        <v>10</v>
      </c>
      <c r="B197" s="5">
        <v>37.299999999999997</v>
      </c>
      <c r="C197" s="5">
        <v>37.32</v>
      </c>
      <c r="D197" t="s">
        <v>33</v>
      </c>
      <c r="E197" s="4">
        <f t="shared" si="20"/>
        <v>1730.2277999999999</v>
      </c>
      <c r="F197" s="4">
        <f t="shared" si="20"/>
        <v>0</v>
      </c>
      <c r="G197" s="4">
        <f t="shared" si="21"/>
        <v>1730.2277999999999</v>
      </c>
      <c r="H197" s="5">
        <f t="shared" si="22"/>
        <v>64537.49693999999</v>
      </c>
      <c r="I197" s="5">
        <f t="shared" si="23"/>
        <v>64572.101495999996</v>
      </c>
    </row>
    <row r="198" spans="1:9" x14ac:dyDescent="0.25">
      <c r="A198" t="s">
        <v>11</v>
      </c>
      <c r="B198" s="5">
        <v>56.17</v>
      </c>
      <c r="C198" s="5">
        <v>56.18</v>
      </c>
      <c r="D198" t="s">
        <v>33</v>
      </c>
      <c r="E198" s="4">
        <f t="shared" si="20"/>
        <v>1148.8532</v>
      </c>
      <c r="F198" s="4">
        <f t="shared" si="20"/>
        <v>0</v>
      </c>
      <c r="G198" s="4">
        <f t="shared" si="21"/>
        <v>1148.8532</v>
      </c>
      <c r="H198" s="5">
        <f t="shared" si="22"/>
        <v>64531.084244000005</v>
      </c>
      <c r="I198" s="5">
        <f t="shared" si="23"/>
        <v>64542.572776000001</v>
      </c>
    </row>
    <row r="199" spans="1:9" x14ac:dyDescent="0.25">
      <c r="A199" t="s">
        <v>12</v>
      </c>
      <c r="B199" s="5">
        <v>50.07</v>
      </c>
      <c r="C199" s="5">
        <v>50.08</v>
      </c>
      <c r="D199" t="s">
        <v>33</v>
      </c>
      <c r="E199" s="4">
        <f t="shared" si="20"/>
        <v>1289.0615</v>
      </c>
      <c r="F199" s="4">
        <f t="shared" si="20"/>
        <v>0.05</v>
      </c>
      <c r="G199" s="4">
        <f t="shared" si="21"/>
        <v>1289.1115</v>
      </c>
      <c r="H199" s="5">
        <f t="shared" si="22"/>
        <v>64545.812805000001</v>
      </c>
      <c r="I199" s="5">
        <f t="shared" si="23"/>
        <v>64558.70392</v>
      </c>
    </row>
    <row r="200" spans="1:9" x14ac:dyDescent="0.25">
      <c r="A200" t="s">
        <v>13</v>
      </c>
      <c r="B200" s="5">
        <v>18.25</v>
      </c>
      <c r="C200" s="5">
        <v>18.260000000000002</v>
      </c>
      <c r="D200" t="s">
        <v>33</v>
      </c>
      <c r="E200" s="4">
        <f t="shared" si="20"/>
        <v>3535.8029000000001</v>
      </c>
      <c r="F200" s="4">
        <f t="shared" si="20"/>
        <v>0</v>
      </c>
      <c r="G200" s="4">
        <f t="shared" si="21"/>
        <v>3535.8029000000001</v>
      </c>
      <c r="H200" s="5">
        <f t="shared" si="22"/>
        <v>64528.402925000002</v>
      </c>
      <c r="I200" s="5">
        <f t="shared" si="23"/>
        <v>64563.760954000005</v>
      </c>
    </row>
    <row r="201" spans="1:9" x14ac:dyDescent="0.25">
      <c r="A201" t="s">
        <v>14</v>
      </c>
      <c r="B201" s="5">
        <v>36.549999999999997</v>
      </c>
      <c r="C201" s="5">
        <v>36.56</v>
      </c>
      <c r="D201" t="s">
        <v>33</v>
      </c>
      <c r="E201" s="4">
        <f t="shared" si="20"/>
        <v>1765.0592999999999</v>
      </c>
      <c r="F201" s="4">
        <f t="shared" si="20"/>
        <v>0</v>
      </c>
      <c r="G201" s="4">
        <f t="shared" si="21"/>
        <v>1765.0592999999999</v>
      </c>
      <c r="H201" s="5">
        <f t="shared" si="22"/>
        <v>64512.917414999989</v>
      </c>
      <c r="I201" s="5">
        <f t="shared" si="23"/>
        <v>64530.568008000002</v>
      </c>
    </row>
    <row r="202" spans="1:9" x14ac:dyDescent="0.25">
      <c r="A202" t="s">
        <v>4</v>
      </c>
      <c r="B202" s="5">
        <v>21.44</v>
      </c>
      <c r="C202" s="5">
        <v>21.45</v>
      </c>
      <c r="D202" t="s">
        <v>34</v>
      </c>
      <c r="E202" s="4">
        <f t="shared" si="20"/>
        <v>3014.9488000000001</v>
      </c>
      <c r="F202" s="4">
        <f t="shared" si="20"/>
        <v>0</v>
      </c>
      <c r="G202" s="4">
        <f t="shared" si="21"/>
        <v>3014.9488000000001</v>
      </c>
      <c r="H202" s="5">
        <f t="shared" si="22"/>
        <v>64640.502272000005</v>
      </c>
      <c r="I202" s="5">
        <f t="shared" si="23"/>
        <v>64670.651760000001</v>
      </c>
    </row>
    <row r="203" spans="1:9" x14ac:dyDescent="0.25">
      <c r="A203" t="s">
        <v>6</v>
      </c>
      <c r="B203" s="5">
        <v>35.090000000000003</v>
      </c>
      <c r="C203" s="5">
        <v>35.1</v>
      </c>
      <c r="D203" t="s">
        <v>34</v>
      </c>
      <c r="E203" s="4">
        <f t="shared" ref="E203:F218" si="24">E193</f>
        <v>1842.1205</v>
      </c>
      <c r="F203" s="4">
        <f t="shared" si="24"/>
        <v>0</v>
      </c>
      <c r="G203" s="4">
        <f t="shared" si="21"/>
        <v>1842.1205</v>
      </c>
      <c r="H203" s="5">
        <f t="shared" si="22"/>
        <v>64640.008345000009</v>
      </c>
      <c r="I203" s="5">
        <f t="shared" si="23"/>
        <v>64658.429550000001</v>
      </c>
    </row>
    <row r="204" spans="1:9" x14ac:dyDescent="0.25">
      <c r="A204" t="s">
        <v>7</v>
      </c>
      <c r="B204" s="5">
        <v>18.22</v>
      </c>
      <c r="C204" s="5">
        <v>18.23</v>
      </c>
      <c r="D204" t="s">
        <v>34</v>
      </c>
      <c r="E204" s="4">
        <f t="shared" si="24"/>
        <v>3546.5864999999999</v>
      </c>
      <c r="F204" s="4">
        <f t="shared" si="24"/>
        <v>0</v>
      </c>
      <c r="G204" s="4">
        <f t="shared" si="21"/>
        <v>3546.5864999999999</v>
      </c>
      <c r="H204" s="5">
        <f t="shared" si="22"/>
        <v>64618.806029999992</v>
      </c>
      <c r="I204" s="5">
        <f t="shared" si="23"/>
        <v>64654.271894999998</v>
      </c>
    </row>
    <row r="205" spans="1:9" x14ac:dyDescent="0.25">
      <c r="A205" t="s">
        <v>8</v>
      </c>
      <c r="B205" s="5">
        <v>28.58</v>
      </c>
      <c r="C205" s="5">
        <v>28.59</v>
      </c>
      <c r="D205" t="s">
        <v>34</v>
      </c>
      <c r="E205" s="4">
        <f t="shared" si="24"/>
        <v>2261.3416000000002</v>
      </c>
      <c r="F205" s="4">
        <f t="shared" si="24"/>
        <v>-0.1</v>
      </c>
      <c r="G205" s="4">
        <f t="shared" si="21"/>
        <v>2261.2416000000003</v>
      </c>
      <c r="H205" s="5">
        <f t="shared" si="22"/>
        <v>64626.284928000001</v>
      </c>
      <c r="I205" s="5">
        <f t="shared" si="23"/>
        <v>64648.897344000005</v>
      </c>
    </row>
    <row r="206" spans="1:9" x14ac:dyDescent="0.25">
      <c r="A206" t="s">
        <v>9</v>
      </c>
      <c r="B206" s="5">
        <v>68.28</v>
      </c>
      <c r="C206" s="5">
        <v>68.37</v>
      </c>
      <c r="D206" t="s">
        <v>34</v>
      </c>
      <c r="E206" s="4">
        <f t="shared" si="24"/>
        <v>946.13639999999998</v>
      </c>
      <c r="F206" s="4">
        <f t="shared" si="24"/>
        <v>0</v>
      </c>
      <c r="G206" s="4">
        <f t="shared" si="21"/>
        <v>946.13639999999998</v>
      </c>
      <c r="H206" s="5">
        <f t="shared" si="22"/>
        <v>64602.193392000001</v>
      </c>
      <c r="I206" s="5">
        <f t="shared" si="23"/>
        <v>64687.345668000002</v>
      </c>
    </row>
    <row r="207" spans="1:9" x14ac:dyDescent="0.25">
      <c r="A207" t="s">
        <v>10</v>
      </c>
      <c r="B207" s="5">
        <v>37.340000000000003</v>
      </c>
      <c r="C207" s="5">
        <v>37.369999999999997</v>
      </c>
      <c r="D207" t="s">
        <v>34</v>
      </c>
      <c r="E207" s="4">
        <f t="shared" si="24"/>
        <v>1730.2277999999999</v>
      </c>
      <c r="F207" s="4">
        <f t="shared" si="24"/>
        <v>0</v>
      </c>
      <c r="G207" s="4">
        <f t="shared" si="21"/>
        <v>1730.2277999999999</v>
      </c>
      <c r="H207" s="5">
        <f t="shared" si="22"/>
        <v>64606.706052000001</v>
      </c>
      <c r="I207" s="5">
        <f t="shared" si="23"/>
        <v>64658.612885999988</v>
      </c>
    </row>
    <row r="208" spans="1:9" x14ac:dyDescent="0.25">
      <c r="A208" t="s">
        <v>11</v>
      </c>
      <c r="B208" s="5">
        <v>56.25</v>
      </c>
      <c r="C208" s="5">
        <v>56.26</v>
      </c>
      <c r="D208" t="s">
        <v>34</v>
      </c>
      <c r="E208" s="4">
        <f t="shared" si="24"/>
        <v>1148.8532</v>
      </c>
      <c r="F208" s="4">
        <f t="shared" si="24"/>
        <v>0</v>
      </c>
      <c r="G208" s="4">
        <f t="shared" si="21"/>
        <v>1148.8532</v>
      </c>
      <c r="H208" s="5">
        <f t="shared" si="22"/>
        <v>64622.9925</v>
      </c>
      <c r="I208" s="5">
        <f t="shared" si="23"/>
        <v>64634.481031999996</v>
      </c>
    </row>
    <row r="209" spans="1:9" x14ac:dyDescent="0.25">
      <c r="A209" t="s">
        <v>12</v>
      </c>
      <c r="B209" s="5">
        <v>50.15</v>
      </c>
      <c r="C209" s="5">
        <v>50.16</v>
      </c>
      <c r="D209" t="s">
        <v>34</v>
      </c>
      <c r="E209" s="4">
        <f t="shared" si="24"/>
        <v>1289.0615</v>
      </c>
      <c r="F209" s="4">
        <f t="shared" si="24"/>
        <v>0.05</v>
      </c>
      <c r="G209" s="4">
        <f t="shared" si="21"/>
        <v>1289.1115</v>
      </c>
      <c r="H209" s="5">
        <f t="shared" si="22"/>
        <v>64648.941724999997</v>
      </c>
      <c r="I209" s="5">
        <f t="shared" si="23"/>
        <v>64661.832839999995</v>
      </c>
    </row>
    <row r="210" spans="1:9" x14ac:dyDescent="0.25">
      <c r="A210" t="s">
        <v>13</v>
      </c>
      <c r="B210" s="5">
        <v>18.27</v>
      </c>
      <c r="C210" s="5">
        <v>18.28</v>
      </c>
      <c r="D210" t="s">
        <v>34</v>
      </c>
      <c r="E210" s="4">
        <f t="shared" si="24"/>
        <v>3535.8029000000001</v>
      </c>
      <c r="F210" s="4">
        <f t="shared" si="24"/>
        <v>0</v>
      </c>
      <c r="G210" s="4">
        <f t="shared" si="21"/>
        <v>3535.8029000000001</v>
      </c>
      <c r="H210" s="5">
        <f t="shared" si="22"/>
        <v>64599.118983</v>
      </c>
      <c r="I210" s="5">
        <f t="shared" si="23"/>
        <v>64634.477012000003</v>
      </c>
    </row>
    <row r="211" spans="1:9" x14ac:dyDescent="0.25">
      <c r="A211" t="s">
        <v>14</v>
      </c>
      <c r="B211" s="5">
        <v>36.6</v>
      </c>
      <c r="C211" s="5">
        <v>36.61</v>
      </c>
      <c r="D211" t="s">
        <v>34</v>
      </c>
      <c r="E211" s="4">
        <f t="shared" si="24"/>
        <v>1765.0592999999999</v>
      </c>
      <c r="F211" s="4">
        <f t="shared" si="24"/>
        <v>0</v>
      </c>
      <c r="G211" s="4">
        <f t="shared" si="21"/>
        <v>1765.0592999999999</v>
      </c>
      <c r="H211" s="5">
        <f t="shared" si="22"/>
        <v>64601.170379999996</v>
      </c>
      <c r="I211" s="5">
        <f t="shared" si="23"/>
        <v>64618.820972999994</v>
      </c>
    </row>
    <row r="212" spans="1:9" x14ac:dyDescent="0.25">
      <c r="A212" t="s">
        <v>4</v>
      </c>
      <c r="B212" s="5">
        <v>21.4</v>
      </c>
      <c r="C212" s="5">
        <v>21.41</v>
      </c>
      <c r="D212" t="s">
        <v>35</v>
      </c>
      <c r="E212" s="4">
        <f t="shared" si="24"/>
        <v>3014.9488000000001</v>
      </c>
      <c r="F212" s="4">
        <f t="shared" si="24"/>
        <v>0</v>
      </c>
      <c r="G212" s="4">
        <f t="shared" si="21"/>
        <v>3014.9488000000001</v>
      </c>
      <c r="H212" s="5">
        <f t="shared" si="22"/>
        <v>64519.904320000001</v>
      </c>
      <c r="I212" s="5">
        <f t="shared" si="23"/>
        <v>64550.053808000004</v>
      </c>
    </row>
    <row r="213" spans="1:9" x14ac:dyDescent="0.25">
      <c r="A213" t="s">
        <v>6</v>
      </c>
      <c r="B213" s="5">
        <v>35.03</v>
      </c>
      <c r="C213" s="5">
        <v>35.04</v>
      </c>
      <c r="D213" t="s">
        <v>35</v>
      </c>
      <c r="E213" s="4">
        <f t="shared" si="24"/>
        <v>1842.1205</v>
      </c>
      <c r="F213" s="4">
        <f t="shared" si="24"/>
        <v>0</v>
      </c>
      <c r="G213" s="4">
        <f t="shared" si="21"/>
        <v>1842.1205</v>
      </c>
      <c r="H213" s="5">
        <f t="shared" si="22"/>
        <v>64529.481115000002</v>
      </c>
      <c r="I213" s="5">
        <f t="shared" si="23"/>
        <v>64547.902320000001</v>
      </c>
    </row>
    <row r="214" spans="1:9" x14ac:dyDescent="0.25">
      <c r="A214" t="s">
        <v>7</v>
      </c>
      <c r="B214" s="5">
        <v>18.190000000000001</v>
      </c>
      <c r="C214" s="5">
        <v>18.2</v>
      </c>
      <c r="D214" t="s">
        <v>35</v>
      </c>
      <c r="E214" s="4">
        <f t="shared" si="24"/>
        <v>3546.5864999999999</v>
      </c>
      <c r="F214" s="4">
        <f t="shared" si="24"/>
        <v>0</v>
      </c>
      <c r="G214" s="4">
        <f t="shared" si="21"/>
        <v>3546.5864999999999</v>
      </c>
      <c r="H214" s="5">
        <f t="shared" si="22"/>
        <v>64512.408435000005</v>
      </c>
      <c r="I214" s="5">
        <f t="shared" si="23"/>
        <v>64547.874299999996</v>
      </c>
    </row>
    <row r="215" spans="1:9" x14ac:dyDescent="0.25">
      <c r="A215" t="s">
        <v>8</v>
      </c>
      <c r="B215" s="5">
        <v>28.54</v>
      </c>
      <c r="C215" s="5">
        <v>28.55</v>
      </c>
      <c r="D215" t="s">
        <v>35</v>
      </c>
      <c r="E215" s="4">
        <f t="shared" si="24"/>
        <v>2261.3416000000002</v>
      </c>
      <c r="F215" s="4">
        <f t="shared" si="24"/>
        <v>-0.1</v>
      </c>
      <c r="G215" s="4">
        <f t="shared" si="21"/>
        <v>2261.2416000000003</v>
      </c>
      <c r="H215" s="5">
        <f t="shared" si="22"/>
        <v>64535.835264000008</v>
      </c>
      <c r="I215" s="5">
        <f t="shared" si="23"/>
        <v>64558.447680000012</v>
      </c>
    </row>
    <row r="216" spans="1:9" x14ac:dyDescent="0.25">
      <c r="A216" t="s">
        <v>9</v>
      </c>
      <c r="B216" s="5">
        <v>68.180000000000007</v>
      </c>
      <c r="C216" s="5">
        <v>68.28</v>
      </c>
      <c r="D216" t="s">
        <v>35</v>
      </c>
      <c r="E216" s="4">
        <f t="shared" si="24"/>
        <v>946.13639999999998</v>
      </c>
      <c r="F216" s="4">
        <f t="shared" si="24"/>
        <v>0</v>
      </c>
      <c r="G216" s="4">
        <f t="shared" si="21"/>
        <v>946.13639999999998</v>
      </c>
      <c r="H216" s="5">
        <f t="shared" si="22"/>
        <v>64507.579752000005</v>
      </c>
      <c r="I216" s="5">
        <f t="shared" si="23"/>
        <v>64602.193392000001</v>
      </c>
    </row>
    <row r="217" spans="1:9" x14ac:dyDescent="0.25">
      <c r="A217" t="s">
        <v>10</v>
      </c>
      <c r="B217" s="5">
        <v>37.299999999999997</v>
      </c>
      <c r="C217" s="5">
        <v>37.32</v>
      </c>
      <c r="D217" t="s">
        <v>35</v>
      </c>
      <c r="E217" s="4">
        <f t="shared" si="24"/>
        <v>1730.2277999999999</v>
      </c>
      <c r="F217" s="4">
        <f t="shared" si="24"/>
        <v>0</v>
      </c>
      <c r="G217" s="4">
        <f t="shared" si="21"/>
        <v>1730.2277999999999</v>
      </c>
      <c r="H217" s="5">
        <f t="shared" si="22"/>
        <v>64537.49693999999</v>
      </c>
      <c r="I217" s="5">
        <f t="shared" si="23"/>
        <v>64572.101495999996</v>
      </c>
    </row>
    <row r="218" spans="1:9" x14ac:dyDescent="0.25">
      <c r="A218" t="s">
        <v>11</v>
      </c>
      <c r="B218" s="5">
        <v>56.17</v>
      </c>
      <c r="C218" s="5">
        <v>56.18</v>
      </c>
      <c r="D218" t="s">
        <v>35</v>
      </c>
      <c r="E218" s="4">
        <f t="shared" si="24"/>
        <v>1148.8532</v>
      </c>
      <c r="F218" s="4">
        <f t="shared" si="24"/>
        <v>0</v>
      </c>
      <c r="G218" s="4">
        <f t="shared" si="21"/>
        <v>1148.8532</v>
      </c>
      <c r="H218" s="5">
        <f t="shared" si="22"/>
        <v>64531.084244000005</v>
      </c>
      <c r="I218" s="5">
        <f t="shared" si="23"/>
        <v>64542.572776000001</v>
      </c>
    </row>
    <row r="219" spans="1:9" x14ac:dyDescent="0.25">
      <c r="A219" t="s">
        <v>12</v>
      </c>
      <c r="B219" s="5">
        <v>50.07</v>
      </c>
      <c r="C219" s="5">
        <v>50.08</v>
      </c>
      <c r="D219" t="s">
        <v>35</v>
      </c>
      <c r="E219" s="4">
        <f t="shared" ref="E219:F234" si="25">E209</f>
        <v>1289.0615</v>
      </c>
      <c r="F219" s="4">
        <f t="shared" si="25"/>
        <v>0.05</v>
      </c>
      <c r="G219" s="4">
        <f t="shared" si="21"/>
        <v>1289.1115</v>
      </c>
      <c r="H219" s="5">
        <f t="shared" si="22"/>
        <v>64545.812805000001</v>
      </c>
      <c r="I219" s="5">
        <f t="shared" si="23"/>
        <v>64558.70392</v>
      </c>
    </row>
    <row r="220" spans="1:9" x14ac:dyDescent="0.25">
      <c r="A220" t="s">
        <v>13</v>
      </c>
      <c r="B220" s="5">
        <v>18.25</v>
      </c>
      <c r="C220" s="5">
        <v>18.260000000000002</v>
      </c>
      <c r="D220" t="s">
        <v>35</v>
      </c>
      <c r="E220" s="4">
        <f t="shared" si="25"/>
        <v>3535.8029000000001</v>
      </c>
      <c r="F220" s="4">
        <f t="shared" si="25"/>
        <v>0</v>
      </c>
      <c r="G220" s="4">
        <f t="shared" si="21"/>
        <v>3535.8029000000001</v>
      </c>
      <c r="H220" s="5">
        <f t="shared" si="22"/>
        <v>64528.402925000002</v>
      </c>
      <c r="I220" s="5">
        <f t="shared" si="23"/>
        <v>64563.760954000005</v>
      </c>
    </row>
    <row r="221" spans="1:9" x14ac:dyDescent="0.25">
      <c r="A221" t="s">
        <v>14</v>
      </c>
      <c r="B221" s="5">
        <v>36.549999999999997</v>
      </c>
      <c r="C221" s="5">
        <v>36.56</v>
      </c>
      <c r="D221" t="s">
        <v>35</v>
      </c>
      <c r="E221" s="4">
        <f t="shared" si="25"/>
        <v>1765.0592999999999</v>
      </c>
      <c r="F221" s="4">
        <f t="shared" si="25"/>
        <v>0</v>
      </c>
      <c r="G221" s="4">
        <f t="shared" si="21"/>
        <v>1765.0592999999999</v>
      </c>
      <c r="H221" s="5">
        <f t="shared" si="22"/>
        <v>64512.917414999989</v>
      </c>
      <c r="I221" s="5">
        <f t="shared" si="23"/>
        <v>64530.568008000002</v>
      </c>
    </row>
    <row r="222" spans="1:9" x14ac:dyDescent="0.25">
      <c r="A222" t="s">
        <v>4</v>
      </c>
      <c r="B222" s="5">
        <v>21.33</v>
      </c>
      <c r="C222" s="5">
        <v>21.34</v>
      </c>
      <c r="D222" t="s">
        <v>36</v>
      </c>
      <c r="E222" s="4">
        <f t="shared" si="25"/>
        <v>3014.9488000000001</v>
      </c>
      <c r="F222" s="4">
        <f t="shared" si="25"/>
        <v>0</v>
      </c>
      <c r="G222" s="4">
        <f t="shared" si="21"/>
        <v>3014.9488000000001</v>
      </c>
      <c r="H222" s="5">
        <f t="shared" si="22"/>
        <v>64308.857903999997</v>
      </c>
      <c r="I222" s="5">
        <f t="shared" si="23"/>
        <v>64339.007392</v>
      </c>
    </row>
    <row r="223" spans="1:9" x14ac:dyDescent="0.25">
      <c r="A223" t="s">
        <v>6</v>
      </c>
      <c r="B223" s="5">
        <v>34.92</v>
      </c>
      <c r="C223" s="5">
        <v>34.93</v>
      </c>
      <c r="D223" t="s">
        <v>36</v>
      </c>
      <c r="E223" s="4">
        <f t="shared" si="25"/>
        <v>1842.1205</v>
      </c>
      <c r="F223" s="4">
        <f t="shared" si="25"/>
        <v>0</v>
      </c>
      <c r="G223" s="4">
        <f t="shared" si="21"/>
        <v>1842.1205</v>
      </c>
      <c r="H223" s="5">
        <f t="shared" si="22"/>
        <v>64326.847860000002</v>
      </c>
      <c r="I223" s="5">
        <f t="shared" si="23"/>
        <v>64345.269065</v>
      </c>
    </row>
    <row r="224" spans="1:9" x14ac:dyDescent="0.25">
      <c r="A224" t="s">
        <v>7</v>
      </c>
      <c r="B224" s="5">
        <v>18.13</v>
      </c>
      <c r="C224" s="5">
        <v>18.14</v>
      </c>
      <c r="D224" t="s">
        <v>36</v>
      </c>
      <c r="E224" s="4">
        <f t="shared" si="25"/>
        <v>3546.5864999999999</v>
      </c>
      <c r="F224" s="4">
        <f t="shared" si="25"/>
        <v>0</v>
      </c>
      <c r="G224" s="4">
        <f t="shared" si="21"/>
        <v>3546.5864999999999</v>
      </c>
      <c r="H224" s="5">
        <f t="shared" si="22"/>
        <v>64299.613244999993</v>
      </c>
      <c r="I224" s="5">
        <f t="shared" si="23"/>
        <v>64335.079109999999</v>
      </c>
    </row>
    <row r="225" spans="1:9" x14ac:dyDescent="0.25">
      <c r="A225" t="s">
        <v>8</v>
      </c>
      <c r="B225" s="5">
        <v>28.44</v>
      </c>
      <c r="C225" s="5">
        <v>28.45</v>
      </c>
      <c r="D225" t="s">
        <v>36</v>
      </c>
      <c r="E225" s="4">
        <f t="shared" si="25"/>
        <v>2261.3416000000002</v>
      </c>
      <c r="F225" s="4">
        <f t="shared" si="25"/>
        <v>-0.1</v>
      </c>
      <c r="G225" s="4">
        <f t="shared" si="21"/>
        <v>2261.2416000000003</v>
      </c>
      <c r="H225" s="5">
        <f t="shared" si="22"/>
        <v>64309.711104000009</v>
      </c>
      <c r="I225" s="5">
        <f t="shared" si="23"/>
        <v>64332.323520000005</v>
      </c>
    </row>
    <row r="226" spans="1:9" x14ac:dyDescent="0.25">
      <c r="A226" t="s">
        <v>9</v>
      </c>
      <c r="B226" s="5">
        <v>67.930000000000007</v>
      </c>
      <c r="C226" s="5">
        <v>68.069999999999993</v>
      </c>
      <c r="D226" t="s">
        <v>36</v>
      </c>
      <c r="E226" s="4">
        <f t="shared" si="25"/>
        <v>946.13639999999998</v>
      </c>
      <c r="F226" s="4">
        <f t="shared" si="25"/>
        <v>0</v>
      </c>
      <c r="G226" s="4">
        <f t="shared" si="21"/>
        <v>946.13639999999998</v>
      </c>
      <c r="H226" s="5">
        <f t="shared" si="22"/>
        <v>64271.045652000008</v>
      </c>
      <c r="I226" s="5">
        <f t="shared" si="23"/>
        <v>64403.504747999992</v>
      </c>
    </row>
    <row r="227" spans="1:9" x14ac:dyDescent="0.25">
      <c r="A227" t="s">
        <v>10</v>
      </c>
      <c r="B227" s="5">
        <v>37.159999999999997</v>
      </c>
      <c r="C227" s="5">
        <v>37.19</v>
      </c>
      <c r="D227" t="s">
        <v>36</v>
      </c>
      <c r="E227" s="4">
        <f t="shared" si="25"/>
        <v>1730.2277999999999</v>
      </c>
      <c r="F227" s="4">
        <f t="shared" si="25"/>
        <v>0</v>
      </c>
      <c r="G227" s="4">
        <f t="shared" si="21"/>
        <v>1730.2277999999999</v>
      </c>
      <c r="H227" s="5">
        <f t="shared" si="22"/>
        <v>64295.265047999987</v>
      </c>
      <c r="I227" s="5">
        <f t="shared" si="23"/>
        <v>64347.171881999995</v>
      </c>
    </row>
    <row r="228" spans="1:9" x14ac:dyDescent="0.25">
      <c r="A228" t="s">
        <v>11</v>
      </c>
      <c r="B228" s="5">
        <v>55.98</v>
      </c>
      <c r="C228" s="5">
        <v>55.99</v>
      </c>
      <c r="D228" t="s">
        <v>36</v>
      </c>
      <c r="E228" s="4">
        <f t="shared" si="25"/>
        <v>1148.8532</v>
      </c>
      <c r="F228" s="4">
        <f t="shared" si="25"/>
        <v>0</v>
      </c>
      <c r="G228" s="4">
        <f t="shared" si="21"/>
        <v>1148.8532</v>
      </c>
      <c r="H228" s="5">
        <f t="shared" si="22"/>
        <v>64312.802135999998</v>
      </c>
      <c r="I228" s="5">
        <f t="shared" si="23"/>
        <v>64324.290668000001</v>
      </c>
    </row>
    <row r="229" spans="1:9" x14ac:dyDescent="0.25">
      <c r="A229" t="s">
        <v>12</v>
      </c>
      <c r="B229" s="5">
        <v>49.9</v>
      </c>
      <c r="C229" s="5">
        <v>49.91</v>
      </c>
      <c r="D229" t="s">
        <v>36</v>
      </c>
      <c r="E229" s="4">
        <f t="shared" si="25"/>
        <v>1289.0615</v>
      </c>
      <c r="F229" s="4">
        <f t="shared" si="25"/>
        <v>0.05</v>
      </c>
      <c r="G229" s="4">
        <f t="shared" si="21"/>
        <v>1289.1115</v>
      </c>
      <c r="H229" s="5">
        <f t="shared" si="22"/>
        <v>64326.663849999997</v>
      </c>
      <c r="I229" s="5">
        <f t="shared" si="23"/>
        <v>64339.554964999996</v>
      </c>
    </row>
    <row r="230" spans="1:9" x14ac:dyDescent="0.25">
      <c r="A230" t="s">
        <v>13</v>
      </c>
      <c r="B230" s="5">
        <v>18.190000000000001</v>
      </c>
      <c r="C230" s="5">
        <v>18.2</v>
      </c>
      <c r="D230" t="s">
        <v>36</v>
      </c>
      <c r="E230" s="4">
        <f t="shared" si="25"/>
        <v>3535.8029000000001</v>
      </c>
      <c r="F230" s="4">
        <f t="shared" si="25"/>
        <v>0</v>
      </c>
      <c r="G230" s="4">
        <f t="shared" si="21"/>
        <v>3535.8029000000001</v>
      </c>
      <c r="H230" s="5">
        <f t="shared" si="22"/>
        <v>64316.254751000008</v>
      </c>
      <c r="I230" s="5">
        <f t="shared" si="23"/>
        <v>64351.612780000003</v>
      </c>
    </row>
    <row r="231" spans="1:9" x14ac:dyDescent="0.25">
      <c r="A231" t="s">
        <v>14</v>
      </c>
      <c r="B231" s="5">
        <v>36.43</v>
      </c>
      <c r="C231" s="5">
        <v>36.44</v>
      </c>
      <c r="D231" t="s">
        <v>36</v>
      </c>
      <c r="E231" s="4">
        <f t="shared" si="25"/>
        <v>1765.0592999999999</v>
      </c>
      <c r="F231" s="4">
        <f t="shared" si="25"/>
        <v>0</v>
      </c>
      <c r="G231" s="4">
        <f t="shared" si="21"/>
        <v>1765.0592999999999</v>
      </c>
      <c r="H231" s="5">
        <f t="shared" si="22"/>
        <v>64301.110298999993</v>
      </c>
      <c r="I231" s="5">
        <f t="shared" si="23"/>
        <v>64318.760891999991</v>
      </c>
    </row>
    <row r="232" spans="1:9" x14ac:dyDescent="0.25">
      <c r="A232" t="s">
        <v>4</v>
      </c>
      <c r="B232" s="5">
        <v>21.31</v>
      </c>
      <c r="C232" s="5">
        <v>21.32</v>
      </c>
      <c r="D232" t="s">
        <v>37</v>
      </c>
      <c r="E232" s="4">
        <f t="shared" si="25"/>
        <v>3014.9488000000001</v>
      </c>
      <c r="F232" s="4">
        <f t="shared" si="25"/>
        <v>0</v>
      </c>
      <c r="G232" s="4">
        <f t="shared" si="21"/>
        <v>3014.9488000000001</v>
      </c>
      <c r="H232" s="5">
        <f t="shared" si="22"/>
        <v>64248.558927999999</v>
      </c>
      <c r="I232" s="5">
        <f t="shared" si="23"/>
        <v>64278.708416000001</v>
      </c>
    </row>
    <row r="233" spans="1:9" x14ac:dyDescent="0.25">
      <c r="A233" t="s">
        <v>6</v>
      </c>
      <c r="B233" s="5">
        <v>34.89</v>
      </c>
      <c r="C233" s="5">
        <v>34.9</v>
      </c>
      <c r="D233" t="s">
        <v>37</v>
      </c>
      <c r="E233" s="4">
        <f t="shared" si="25"/>
        <v>1842.1205</v>
      </c>
      <c r="F233" s="4">
        <f t="shared" si="25"/>
        <v>0</v>
      </c>
      <c r="G233" s="4">
        <f t="shared" si="21"/>
        <v>1842.1205</v>
      </c>
      <c r="H233" s="5">
        <f t="shared" si="22"/>
        <v>64271.584244999998</v>
      </c>
      <c r="I233" s="5">
        <f t="shared" si="23"/>
        <v>64290.005449999997</v>
      </c>
    </row>
    <row r="234" spans="1:9" x14ac:dyDescent="0.25">
      <c r="A234" t="s">
        <v>7</v>
      </c>
      <c r="B234" s="5">
        <v>18.12</v>
      </c>
      <c r="C234" s="5">
        <v>18.13</v>
      </c>
      <c r="D234" t="s">
        <v>37</v>
      </c>
      <c r="E234" s="4">
        <f t="shared" si="25"/>
        <v>3546.5864999999999</v>
      </c>
      <c r="F234" s="4">
        <f t="shared" si="25"/>
        <v>0</v>
      </c>
      <c r="G234" s="4">
        <f t="shared" si="21"/>
        <v>3546.5864999999999</v>
      </c>
      <c r="H234" s="5">
        <f t="shared" si="22"/>
        <v>64264.147380000002</v>
      </c>
      <c r="I234" s="5">
        <f t="shared" si="23"/>
        <v>64299.613244999993</v>
      </c>
    </row>
    <row r="235" spans="1:9" x14ac:dyDescent="0.25">
      <c r="A235" t="s">
        <v>8</v>
      </c>
      <c r="B235" s="5">
        <v>28.42</v>
      </c>
      <c r="C235" s="5">
        <v>28.43</v>
      </c>
      <c r="D235" t="s">
        <v>37</v>
      </c>
      <c r="E235" s="4">
        <f t="shared" ref="E235:F250" si="26">E225</f>
        <v>2261.3416000000002</v>
      </c>
      <c r="F235" s="4">
        <f t="shared" si="26"/>
        <v>-0.1</v>
      </c>
      <c r="G235" s="4">
        <f t="shared" si="21"/>
        <v>2261.2416000000003</v>
      </c>
      <c r="H235" s="5">
        <f t="shared" si="22"/>
        <v>64264.486272000009</v>
      </c>
      <c r="I235" s="5">
        <f t="shared" si="23"/>
        <v>64287.098688000005</v>
      </c>
    </row>
    <row r="236" spans="1:9" x14ac:dyDescent="0.25">
      <c r="A236" t="s">
        <v>9</v>
      </c>
      <c r="B236" s="5">
        <v>67.900000000000006</v>
      </c>
      <c r="C236" s="5">
        <v>68</v>
      </c>
      <c r="D236" t="s">
        <v>37</v>
      </c>
      <c r="E236" s="4">
        <f t="shared" si="26"/>
        <v>946.13639999999998</v>
      </c>
      <c r="F236" s="4">
        <f t="shared" si="26"/>
        <v>0</v>
      </c>
      <c r="G236" s="4">
        <f t="shared" si="21"/>
        <v>946.13639999999998</v>
      </c>
      <c r="H236" s="5">
        <f t="shared" si="22"/>
        <v>64242.66156</v>
      </c>
      <c r="I236" s="5">
        <f t="shared" si="23"/>
        <v>64337.275199999996</v>
      </c>
    </row>
    <row r="237" spans="1:9" x14ac:dyDescent="0.25">
      <c r="A237" t="s">
        <v>10</v>
      </c>
      <c r="B237" s="5">
        <v>37.14</v>
      </c>
      <c r="C237" s="5">
        <v>37.17</v>
      </c>
      <c r="D237" t="s">
        <v>37</v>
      </c>
      <c r="E237" s="4">
        <f t="shared" si="26"/>
        <v>1730.2277999999999</v>
      </c>
      <c r="F237" s="4">
        <f t="shared" si="26"/>
        <v>0</v>
      </c>
      <c r="G237" s="4">
        <f t="shared" si="21"/>
        <v>1730.2277999999999</v>
      </c>
      <c r="H237" s="5">
        <f t="shared" si="22"/>
        <v>64260.660491999995</v>
      </c>
      <c r="I237" s="5">
        <f t="shared" si="23"/>
        <v>64312.567325999997</v>
      </c>
    </row>
    <row r="238" spans="1:9" x14ac:dyDescent="0.25">
      <c r="A238" t="s">
        <v>11</v>
      </c>
      <c r="B238" s="5">
        <v>55.94</v>
      </c>
      <c r="C238" s="5">
        <v>55.95</v>
      </c>
      <c r="D238" t="s">
        <v>37</v>
      </c>
      <c r="E238" s="4">
        <f t="shared" si="26"/>
        <v>1148.8532</v>
      </c>
      <c r="F238" s="4">
        <f t="shared" si="26"/>
        <v>0</v>
      </c>
      <c r="G238" s="4">
        <f t="shared" si="21"/>
        <v>1148.8532</v>
      </c>
      <c r="H238" s="5">
        <f t="shared" si="22"/>
        <v>64266.848008000001</v>
      </c>
      <c r="I238" s="5">
        <f t="shared" si="23"/>
        <v>64278.336540000004</v>
      </c>
    </row>
    <row r="239" spans="1:9" x14ac:dyDescent="0.25">
      <c r="A239" t="s">
        <v>12</v>
      </c>
      <c r="B239" s="5">
        <v>49.86</v>
      </c>
      <c r="C239" s="5">
        <v>49.88</v>
      </c>
      <c r="D239" t="s">
        <v>37</v>
      </c>
      <c r="E239" s="4">
        <f t="shared" si="26"/>
        <v>1289.0615</v>
      </c>
      <c r="F239" s="4">
        <f t="shared" si="26"/>
        <v>0.05</v>
      </c>
      <c r="G239" s="4">
        <f t="shared" si="21"/>
        <v>1289.1115</v>
      </c>
      <c r="H239" s="5">
        <f t="shared" si="22"/>
        <v>64275.099389999996</v>
      </c>
      <c r="I239" s="5">
        <f t="shared" si="23"/>
        <v>64300.88162</v>
      </c>
    </row>
    <row r="240" spans="1:9" x14ac:dyDescent="0.25">
      <c r="A240" t="s">
        <v>13</v>
      </c>
      <c r="B240" s="5">
        <v>18.170000000000002</v>
      </c>
      <c r="C240" s="5">
        <v>18.18</v>
      </c>
      <c r="D240" t="s">
        <v>37</v>
      </c>
      <c r="E240" s="4">
        <f t="shared" si="26"/>
        <v>3535.8029000000001</v>
      </c>
      <c r="F240" s="4">
        <f t="shared" si="26"/>
        <v>0</v>
      </c>
      <c r="G240" s="4">
        <f t="shared" si="21"/>
        <v>3535.8029000000001</v>
      </c>
      <c r="H240" s="5">
        <f t="shared" si="22"/>
        <v>64245.53869300001</v>
      </c>
      <c r="I240" s="5">
        <f t="shared" si="23"/>
        <v>64280.896722000005</v>
      </c>
    </row>
    <row r="241" spans="1:9" x14ac:dyDescent="0.25">
      <c r="A241" t="s">
        <v>14</v>
      </c>
      <c r="B241" s="5">
        <v>36.4</v>
      </c>
      <c r="C241" s="5">
        <v>36.409999999999997</v>
      </c>
      <c r="D241" t="s">
        <v>37</v>
      </c>
      <c r="E241" s="4">
        <f t="shared" si="26"/>
        <v>1765.0592999999999</v>
      </c>
      <c r="F241" s="4">
        <f t="shared" si="26"/>
        <v>0</v>
      </c>
      <c r="G241" s="4">
        <f t="shared" si="21"/>
        <v>1765.0592999999999</v>
      </c>
      <c r="H241" s="5">
        <f t="shared" si="22"/>
        <v>64248.158519999997</v>
      </c>
      <c r="I241" s="5">
        <f t="shared" si="23"/>
        <v>64265.809112999988</v>
      </c>
    </row>
    <row r="242" spans="1:9" x14ac:dyDescent="0.25">
      <c r="A242" t="s">
        <v>4</v>
      </c>
      <c r="B242" s="5">
        <v>21.31</v>
      </c>
      <c r="C242" s="5">
        <v>21.32</v>
      </c>
      <c r="D242" t="s">
        <v>38</v>
      </c>
      <c r="E242" s="4">
        <f t="shared" si="26"/>
        <v>3014.9488000000001</v>
      </c>
      <c r="F242" s="4">
        <f t="shared" si="26"/>
        <v>0</v>
      </c>
      <c r="G242" s="4">
        <f t="shared" si="21"/>
        <v>3014.9488000000001</v>
      </c>
      <c r="H242" s="5">
        <f t="shared" si="22"/>
        <v>64248.558927999999</v>
      </c>
      <c r="I242" s="5">
        <f t="shared" si="23"/>
        <v>64278.708416000001</v>
      </c>
    </row>
    <row r="243" spans="1:9" x14ac:dyDescent="0.25">
      <c r="A243" t="s">
        <v>6</v>
      </c>
      <c r="B243" s="5">
        <v>34.9</v>
      </c>
      <c r="C243" s="5">
        <v>34.909999999999997</v>
      </c>
      <c r="D243" t="s">
        <v>38</v>
      </c>
      <c r="E243" s="4">
        <f t="shared" si="26"/>
        <v>1842.1205</v>
      </c>
      <c r="F243" s="4">
        <f t="shared" si="26"/>
        <v>0</v>
      </c>
      <c r="G243" s="4">
        <f t="shared" si="21"/>
        <v>1842.1205</v>
      </c>
      <c r="H243" s="5">
        <f t="shared" si="22"/>
        <v>64290.005449999997</v>
      </c>
      <c r="I243" s="5">
        <f t="shared" si="23"/>
        <v>64308.426654999996</v>
      </c>
    </row>
    <row r="244" spans="1:9" x14ac:dyDescent="0.25">
      <c r="A244" t="s">
        <v>7</v>
      </c>
      <c r="B244" s="5">
        <v>18.12</v>
      </c>
      <c r="C244" s="5">
        <v>18.13</v>
      </c>
      <c r="D244" t="s">
        <v>38</v>
      </c>
      <c r="E244" s="4">
        <f t="shared" si="26"/>
        <v>3546.5864999999999</v>
      </c>
      <c r="F244" s="4">
        <f t="shared" si="26"/>
        <v>0</v>
      </c>
      <c r="G244" s="4">
        <f t="shared" si="21"/>
        <v>3546.5864999999999</v>
      </c>
      <c r="H244" s="5">
        <f t="shared" si="22"/>
        <v>64264.147380000002</v>
      </c>
      <c r="I244" s="5">
        <f t="shared" si="23"/>
        <v>64299.613244999993</v>
      </c>
    </row>
    <row r="245" spans="1:9" x14ac:dyDescent="0.25">
      <c r="A245" t="s">
        <v>8</v>
      </c>
      <c r="B245" s="5">
        <v>28.43</v>
      </c>
      <c r="C245" s="5">
        <v>28.44</v>
      </c>
      <c r="D245" t="s">
        <v>38</v>
      </c>
      <c r="E245" s="4">
        <f t="shared" si="26"/>
        <v>2261.3416000000002</v>
      </c>
      <c r="F245" s="4">
        <f t="shared" si="26"/>
        <v>-0.1</v>
      </c>
      <c r="G245" s="4">
        <f t="shared" si="21"/>
        <v>2261.2416000000003</v>
      </c>
      <c r="H245" s="5">
        <f t="shared" si="22"/>
        <v>64287.098688000005</v>
      </c>
      <c r="I245" s="5">
        <f t="shared" si="23"/>
        <v>64309.711104000009</v>
      </c>
    </row>
    <row r="246" spans="1:9" x14ac:dyDescent="0.25">
      <c r="A246" t="s">
        <v>9</v>
      </c>
      <c r="B246" s="5">
        <v>67.900000000000006</v>
      </c>
      <c r="C246" s="5">
        <v>68.03</v>
      </c>
      <c r="D246" t="s">
        <v>38</v>
      </c>
      <c r="E246" s="4">
        <f t="shared" si="26"/>
        <v>946.13639999999998</v>
      </c>
      <c r="F246" s="4">
        <f t="shared" si="26"/>
        <v>0</v>
      </c>
      <c r="G246" s="4">
        <f t="shared" si="21"/>
        <v>946.13639999999998</v>
      </c>
      <c r="H246" s="5">
        <f t="shared" si="22"/>
        <v>64242.66156</v>
      </c>
      <c r="I246" s="5">
        <f t="shared" si="23"/>
        <v>64365.659291999997</v>
      </c>
    </row>
    <row r="247" spans="1:9" x14ac:dyDescent="0.25">
      <c r="A247" t="s">
        <v>10</v>
      </c>
      <c r="B247" s="5">
        <v>37.14</v>
      </c>
      <c r="C247" s="5">
        <v>37.17</v>
      </c>
      <c r="D247" t="s">
        <v>38</v>
      </c>
      <c r="E247" s="4">
        <f t="shared" si="26"/>
        <v>1730.2277999999999</v>
      </c>
      <c r="F247" s="4">
        <f t="shared" si="26"/>
        <v>0</v>
      </c>
      <c r="G247" s="4">
        <f t="shared" si="21"/>
        <v>1730.2277999999999</v>
      </c>
      <c r="H247" s="5">
        <f t="shared" si="22"/>
        <v>64260.660491999995</v>
      </c>
      <c r="I247" s="5">
        <f t="shared" si="23"/>
        <v>64312.567325999997</v>
      </c>
    </row>
    <row r="248" spans="1:9" x14ac:dyDescent="0.25">
      <c r="A248" t="s">
        <v>11</v>
      </c>
      <c r="B248" s="5">
        <v>55.95</v>
      </c>
      <c r="C248" s="5">
        <v>55.96</v>
      </c>
      <c r="D248" t="s">
        <v>38</v>
      </c>
      <c r="E248" s="4">
        <f t="shared" si="26"/>
        <v>1148.8532</v>
      </c>
      <c r="F248" s="4">
        <f t="shared" si="26"/>
        <v>0</v>
      </c>
      <c r="G248" s="4">
        <f t="shared" si="21"/>
        <v>1148.8532</v>
      </c>
      <c r="H248" s="5">
        <f t="shared" si="22"/>
        <v>64278.336540000004</v>
      </c>
      <c r="I248" s="5">
        <f t="shared" si="23"/>
        <v>64289.825072</v>
      </c>
    </row>
    <row r="249" spans="1:9" x14ac:dyDescent="0.25">
      <c r="A249" t="s">
        <v>12</v>
      </c>
      <c r="B249" s="5">
        <v>49.87</v>
      </c>
      <c r="C249" s="5">
        <v>49.88</v>
      </c>
      <c r="D249" t="s">
        <v>38</v>
      </c>
      <c r="E249" s="4">
        <f t="shared" si="26"/>
        <v>1289.0615</v>
      </c>
      <c r="F249" s="4">
        <f t="shared" si="26"/>
        <v>0.05</v>
      </c>
      <c r="G249" s="4">
        <f t="shared" si="21"/>
        <v>1289.1115</v>
      </c>
      <c r="H249" s="5">
        <f t="shared" si="22"/>
        <v>64287.990504999994</v>
      </c>
      <c r="I249" s="5">
        <f t="shared" si="23"/>
        <v>64300.88162</v>
      </c>
    </row>
    <row r="250" spans="1:9" x14ac:dyDescent="0.25">
      <c r="A250" t="s">
        <v>13</v>
      </c>
      <c r="B250" s="5">
        <v>18.170000000000002</v>
      </c>
      <c r="C250" s="5">
        <v>18.18</v>
      </c>
      <c r="D250" t="s">
        <v>38</v>
      </c>
      <c r="E250" s="4">
        <f t="shared" si="26"/>
        <v>3535.8029000000001</v>
      </c>
      <c r="F250" s="4">
        <f t="shared" si="26"/>
        <v>0</v>
      </c>
      <c r="G250" s="4">
        <f t="shared" si="21"/>
        <v>3535.8029000000001</v>
      </c>
      <c r="H250" s="5">
        <f t="shared" si="22"/>
        <v>64245.53869300001</v>
      </c>
      <c r="I250" s="5">
        <f t="shared" si="23"/>
        <v>64280.896722000005</v>
      </c>
    </row>
    <row r="251" spans="1:9" x14ac:dyDescent="0.25">
      <c r="A251" t="s">
        <v>14</v>
      </c>
      <c r="B251" s="5">
        <v>36.4</v>
      </c>
      <c r="C251" s="5">
        <v>36.409999999999997</v>
      </c>
      <c r="D251" t="s">
        <v>38</v>
      </c>
      <c r="E251" s="4">
        <f t="shared" ref="E251:F266" si="27">E241</f>
        <v>1765.0592999999999</v>
      </c>
      <c r="F251" s="4">
        <f t="shared" si="27"/>
        <v>0</v>
      </c>
      <c r="G251" s="4">
        <f t="shared" si="21"/>
        <v>1765.0592999999999</v>
      </c>
      <c r="H251" s="5">
        <f t="shared" si="22"/>
        <v>64248.158519999997</v>
      </c>
      <c r="I251" s="5">
        <f t="shared" si="23"/>
        <v>64265.809112999988</v>
      </c>
    </row>
    <row r="252" spans="1:9" x14ac:dyDescent="0.25">
      <c r="A252" t="s">
        <v>4</v>
      </c>
      <c r="B252" s="5">
        <v>21.31</v>
      </c>
      <c r="C252" s="5">
        <v>21.32</v>
      </c>
      <c r="D252" t="s">
        <v>39</v>
      </c>
      <c r="E252" s="4">
        <f t="shared" si="27"/>
        <v>3014.9488000000001</v>
      </c>
      <c r="F252" s="4">
        <f t="shared" si="27"/>
        <v>0</v>
      </c>
      <c r="G252" s="4">
        <f t="shared" si="21"/>
        <v>3014.9488000000001</v>
      </c>
      <c r="H252" s="5">
        <f t="shared" si="22"/>
        <v>64248.558927999999</v>
      </c>
      <c r="I252" s="5">
        <f t="shared" si="23"/>
        <v>64278.708416000001</v>
      </c>
    </row>
    <row r="253" spans="1:9" x14ac:dyDescent="0.25">
      <c r="A253" t="s">
        <v>6</v>
      </c>
      <c r="B253" s="5">
        <v>34.89</v>
      </c>
      <c r="C253" s="5">
        <v>34.9</v>
      </c>
      <c r="D253" t="s">
        <v>39</v>
      </c>
      <c r="E253" s="4">
        <f t="shared" si="27"/>
        <v>1842.1205</v>
      </c>
      <c r="F253" s="4">
        <f t="shared" si="27"/>
        <v>0</v>
      </c>
      <c r="G253" s="4">
        <f t="shared" si="21"/>
        <v>1842.1205</v>
      </c>
      <c r="H253" s="5">
        <f t="shared" si="22"/>
        <v>64271.584244999998</v>
      </c>
      <c r="I253" s="5">
        <f t="shared" si="23"/>
        <v>64290.005449999997</v>
      </c>
    </row>
    <row r="254" spans="1:9" x14ac:dyDescent="0.25">
      <c r="A254" t="s">
        <v>7</v>
      </c>
      <c r="B254" s="5">
        <v>18.12</v>
      </c>
      <c r="C254" s="5">
        <v>18.13</v>
      </c>
      <c r="D254" t="s">
        <v>39</v>
      </c>
      <c r="E254" s="4">
        <f t="shared" si="27"/>
        <v>3546.5864999999999</v>
      </c>
      <c r="F254" s="4">
        <f t="shared" si="27"/>
        <v>0</v>
      </c>
      <c r="G254" s="4">
        <f t="shared" si="21"/>
        <v>3546.5864999999999</v>
      </c>
      <c r="H254" s="5">
        <f t="shared" si="22"/>
        <v>64264.147380000002</v>
      </c>
      <c r="I254" s="5">
        <f t="shared" si="23"/>
        <v>64299.613244999993</v>
      </c>
    </row>
    <row r="255" spans="1:9" x14ac:dyDescent="0.25">
      <c r="A255" t="s">
        <v>8</v>
      </c>
      <c r="B255" s="5">
        <v>28.42</v>
      </c>
      <c r="C255" s="5">
        <v>28.43</v>
      </c>
      <c r="D255" t="s">
        <v>39</v>
      </c>
      <c r="E255" s="4">
        <f t="shared" si="27"/>
        <v>2261.3416000000002</v>
      </c>
      <c r="F255" s="4">
        <f t="shared" si="27"/>
        <v>-0.1</v>
      </c>
      <c r="G255" s="4">
        <f t="shared" si="21"/>
        <v>2261.2416000000003</v>
      </c>
      <c r="H255" s="5">
        <f t="shared" si="22"/>
        <v>64264.486272000009</v>
      </c>
      <c r="I255" s="5">
        <f t="shared" si="23"/>
        <v>64287.098688000005</v>
      </c>
    </row>
    <row r="256" spans="1:9" x14ac:dyDescent="0.25">
      <c r="A256" t="s">
        <v>9</v>
      </c>
      <c r="B256" s="5">
        <v>67.89</v>
      </c>
      <c r="C256" s="5">
        <v>68</v>
      </c>
      <c r="D256" t="s">
        <v>39</v>
      </c>
      <c r="E256" s="4">
        <f t="shared" si="27"/>
        <v>946.13639999999998</v>
      </c>
      <c r="F256" s="4">
        <f t="shared" si="27"/>
        <v>0</v>
      </c>
      <c r="G256" s="4">
        <f t="shared" si="21"/>
        <v>946.13639999999998</v>
      </c>
      <c r="H256" s="5">
        <f t="shared" si="22"/>
        <v>64233.200195999998</v>
      </c>
      <c r="I256" s="5">
        <f t="shared" si="23"/>
        <v>64337.275199999996</v>
      </c>
    </row>
    <row r="257" spans="1:9" x14ac:dyDescent="0.25">
      <c r="A257" t="s">
        <v>10</v>
      </c>
      <c r="B257" s="5">
        <v>37.14</v>
      </c>
      <c r="C257" s="5">
        <v>37.159999999999997</v>
      </c>
      <c r="D257" t="s">
        <v>39</v>
      </c>
      <c r="E257" s="4">
        <f t="shared" si="27"/>
        <v>1730.2277999999999</v>
      </c>
      <c r="F257" s="4">
        <f t="shared" si="27"/>
        <v>0</v>
      </c>
      <c r="G257" s="4">
        <f t="shared" si="21"/>
        <v>1730.2277999999999</v>
      </c>
      <c r="H257" s="5">
        <f t="shared" si="22"/>
        <v>64260.660491999995</v>
      </c>
      <c r="I257" s="5">
        <f t="shared" si="23"/>
        <v>64295.265047999987</v>
      </c>
    </row>
    <row r="258" spans="1:9" x14ac:dyDescent="0.25">
      <c r="A258" t="s">
        <v>11</v>
      </c>
      <c r="B258" s="5">
        <v>55.93</v>
      </c>
      <c r="C258" s="5">
        <v>55.94</v>
      </c>
      <c r="D258" t="s">
        <v>39</v>
      </c>
      <c r="E258" s="4">
        <f t="shared" si="27"/>
        <v>1148.8532</v>
      </c>
      <c r="F258" s="4">
        <f t="shared" si="27"/>
        <v>0</v>
      </c>
      <c r="G258" s="4">
        <f t="shared" ref="G258:G271" si="28">E258+F258</f>
        <v>1148.8532</v>
      </c>
      <c r="H258" s="5">
        <f t="shared" ref="H258:H271" si="29">B258*G258</f>
        <v>64255.359475999998</v>
      </c>
      <c r="I258" s="5">
        <f t="shared" ref="I258:I271" si="30">C258*G258</f>
        <v>64266.848008000001</v>
      </c>
    </row>
    <row r="259" spans="1:9" x14ac:dyDescent="0.25">
      <c r="A259" t="s">
        <v>12</v>
      </c>
      <c r="B259" s="5">
        <v>49.86</v>
      </c>
      <c r="C259" s="5">
        <v>49.87</v>
      </c>
      <c r="D259" t="s">
        <v>39</v>
      </c>
      <c r="E259" s="4">
        <f t="shared" si="27"/>
        <v>1289.0615</v>
      </c>
      <c r="F259" s="4">
        <f t="shared" si="27"/>
        <v>0.05</v>
      </c>
      <c r="G259" s="4">
        <f t="shared" si="28"/>
        <v>1289.1115</v>
      </c>
      <c r="H259" s="5">
        <f t="shared" si="29"/>
        <v>64275.099389999996</v>
      </c>
      <c r="I259" s="5">
        <f t="shared" si="30"/>
        <v>64287.990504999994</v>
      </c>
    </row>
    <row r="260" spans="1:9" x14ac:dyDescent="0.25">
      <c r="A260" t="s">
        <v>13</v>
      </c>
      <c r="B260" s="5">
        <v>18.170000000000002</v>
      </c>
      <c r="C260" s="5">
        <v>18.18</v>
      </c>
      <c r="D260" t="s">
        <v>39</v>
      </c>
      <c r="E260" s="4">
        <f t="shared" si="27"/>
        <v>3535.8029000000001</v>
      </c>
      <c r="F260" s="4">
        <f t="shared" si="27"/>
        <v>0</v>
      </c>
      <c r="G260" s="4">
        <f t="shared" si="28"/>
        <v>3535.8029000000001</v>
      </c>
      <c r="H260" s="5">
        <f t="shared" si="29"/>
        <v>64245.53869300001</v>
      </c>
      <c r="I260" s="5">
        <f t="shared" si="30"/>
        <v>64280.896722000005</v>
      </c>
    </row>
    <row r="261" spans="1:9" x14ac:dyDescent="0.25">
      <c r="A261" t="s">
        <v>14</v>
      </c>
      <c r="B261" s="5">
        <v>36.4</v>
      </c>
      <c r="C261" s="5">
        <v>36.409999999999997</v>
      </c>
      <c r="D261" t="s">
        <v>39</v>
      </c>
      <c r="E261" s="4">
        <f t="shared" si="27"/>
        <v>1765.0592999999999</v>
      </c>
      <c r="F261" s="4">
        <f t="shared" si="27"/>
        <v>0</v>
      </c>
      <c r="G261" s="4">
        <f t="shared" si="28"/>
        <v>1765.0592999999999</v>
      </c>
      <c r="H261" s="5">
        <f t="shared" si="29"/>
        <v>64248.158519999997</v>
      </c>
      <c r="I261" s="5">
        <f t="shared" si="30"/>
        <v>64265.809112999988</v>
      </c>
    </row>
    <row r="262" spans="1:9" x14ac:dyDescent="0.25">
      <c r="A262" t="s">
        <v>4</v>
      </c>
      <c r="B262" s="5">
        <v>21.31</v>
      </c>
      <c r="C262" s="5">
        <v>21.32</v>
      </c>
      <c r="D262" t="s">
        <v>40</v>
      </c>
      <c r="E262" s="4">
        <f t="shared" si="27"/>
        <v>3014.9488000000001</v>
      </c>
      <c r="F262" s="4">
        <f t="shared" si="27"/>
        <v>0</v>
      </c>
      <c r="G262" s="4">
        <f t="shared" si="28"/>
        <v>3014.9488000000001</v>
      </c>
      <c r="H262" s="5">
        <f t="shared" si="29"/>
        <v>64248.558927999999</v>
      </c>
      <c r="I262" s="5">
        <f t="shared" si="30"/>
        <v>64278.708416000001</v>
      </c>
    </row>
    <row r="263" spans="1:9" x14ac:dyDescent="0.25">
      <c r="A263" t="s">
        <v>6</v>
      </c>
      <c r="B263" s="5">
        <v>34.89</v>
      </c>
      <c r="C263" s="5">
        <v>34.9</v>
      </c>
      <c r="D263" t="s">
        <v>40</v>
      </c>
      <c r="E263" s="4">
        <f t="shared" si="27"/>
        <v>1842.1205</v>
      </c>
      <c r="F263" s="4">
        <f t="shared" si="27"/>
        <v>0</v>
      </c>
      <c r="G263" s="4">
        <f t="shared" si="28"/>
        <v>1842.1205</v>
      </c>
      <c r="H263" s="5">
        <f t="shared" si="29"/>
        <v>64271.584244999998</v>
      </c>
      <c r="I263" s="5">
        <f t="shared" si="30"/>
        <v>64290.005449999997</v>
      </c>
    </row>
    <row r="264" spans="1:9" x14ac:dyDescent="0.25">
      <c r="A264" t="s">
        <v>7</v>
      </c>
      <c r="B264" s="5">
        <v>18.12</v>
      </c>
      <c r="C264" s="5">
        <v>18.13</v>
      </c>
      <c r="D264" t="s">
        <v>40</v>
      </c>
      <c r="E264" s="4">
        <f t="shared" si="27"/>
        <v>3546.5864999999999</v>
      </c>
      <c r="F264" s="4">
        <f t="shared" si="27"/>
        <v>0</v>
      </c>
      <c r="G264" s="4">
        <f t="shared" si="28"/>
        <v>3546.5864999999999</v>
      </c>
      <c r="H264" s="5">
        <f t="shared" si="29"/>
        <v>64264.147380000002</v>
      </c>
      <c r="I264" s="5">
        <f t="shared" si="30"/>
        <v>64299.613244999993</v>
      </c>
    </row>
    <row r="265" spans="1:9" x14ac:dyDescent="0.25">
      <c r="A265" t="s">
        <v>8</v>
      </c>
      <c r="B265" s="5">
        <v>28.42</v>
      </c>
      <c r="C265" s="5">
        <v>28.43</v>
      </c>
      <c r="D265" t="s">
        <v>40</v>
      </c>
      <c r="E265" s="4">
        <f t="shared" si="27"/>
        <v>2261.3416000000002</v>
      </c>
      <c r="F265" s="4">
        <f t="shared" si="27"/>
        <v>-0.1</v>
      </c>
      <c r="G265" s="4">
        <f t="shared" si="28"/>
        <v>2261.2416000000003</v>
      </c>
      <c r="H265" s="5">
        <f t="shared" si="29"/>
        <v>64264.486272000009</v>
      </c>
      <c r="I265" s="5">
        <f t="shared" si="30"/>
        <v>64287.098688000005</v>
      </c>
    </row>
    <row r="266" spans="1:9" x14ac:dyDescent="0.25">
      <c r="A266" t="s">
        <v>9</v>
      </c>
      <c r="B266" s="5">
        <v>67.88</v>
      </c>
      <c r="C266" s="5">
        <v>67.97</v>
      </c>
      <c r="D266" t="s">
        <v>40</v>
      </c>
      <c r="E266" s="4">
        <f t="shared" si="27"/>
        <v>946.13639999999998</v>
      </c>
      <c r="F266" s="4">
        <f t="shared" si="27"/>
        <v>0</v>
      </c>
      <c r="G266" s="4">
        <f t="shared" si="28"/>
        <v>946.13639999999998</v>
      </c>
      <c r="H266" s="5">
        <f t="shared" si="29"/>
        <v>64223.738831999995</v>
      </c>
      <c r="I266" s="5">
        <f t="shared" si="30"/>
        <v>64308.891107999996</v>
      </c>
    </row>
    <row r="267" spans="1:9" x14ac:dyDescent="0.25">
      <c r="A267" t="s">
        <v>10</v>
      </c>
      <c r="B267" s="5">
        <v>37.130000000000003</v>
      </c>
      <c r="C267" s="5">
        <v>37.15</v>
      </c>
      <c r="D267" t="s">
        <v>40</v>
      </c>
      <c r="E267" s="4">
        <f t="shared" ref="E267:F271" si="31">E257</f>
        <v>1730.2277999999999</v>
      </c>
      <c r="F267" s="4">
        <f t="shared" si="31"/>
        <v>0</v>
      </c>
      <c r="G267" s="4">
        <f t="shared" si="28"/>
        <v>1730.2277999999999</v>
      </c>
      <c r="H267" s="5">
        <f t="shared" si="29"/>
        <v>64243.358214</v>
      </c>
      <c r="I267" s="5">
        <f t="shared" si="30"/>
        <v>64277.962769999991</v>
      </c>
    </row>
    <row r="268" spans="1:9" x14ac:dyDescent="0.25">
      <c r="A268" t="s">
        <v>11</v>
      </c>
      <c r="B268" s="5">
        <v>55.92</v>
      </c>
      <c r="C268" s="5">
        <v>55.93</v>
      </c>
      <c r="D268" t="s">
        <v>40</v>
      </c>
      <c r="E268" s="4">
        <f t="shared" si="31"/>
        <v>1148.8532</v>
      </c>
      <c r="F268" s="4">
        <f t="shared" si="31"/>
        <v>0</v>
      </c>
      <c r="G268" s="4">
        <f t="shared" si="28"/>
        <v>1148.8532</v>
      </c>
      <c r="H268" s="5">
        <f t="shared" si="29"/>
        <v>64243.870944000002</v>
      </c>
      <c r="I268" s="5">
        <f t="shared" si="30"/>
        <v>64255.359475999998</v>
      </c>
    </row>
    <row r="269" spans="1:9" x14ac:dyDescent="0.25">
      <c r="A269" t="s">
        <v>12</v>
      </c>
      <c r="B269" s="5">
        <v>49.86</v>
      </c>
      <c r="C269" s="5">
        <v>49.87</v>
      </c>
      <c r="D269" t="s">
        <v>40</v>
      </c>
      <c r="E269" s="4">
        <f t="shared" si="31"/>
        <v>1289.0615</v>
      </c>
      <c r="F269" s="4">
        <f t="shared" si="31"/>
        <v>0.05</v>
      </c>
      <c r="G269" s="4">
        <f t="shared" si="28"/>
        <v>1289.1115</v>
      </c>
      <c r="H269" s="5">
        <f t="shared" si="29"/>
        <v>64275.099389999996</v>
      </c>
      <c r="I269" s="5">
        <f t="shared" si="30"/>
        <v>64287.990504999994</v>
      </c>
    </row>
    <row r="270" spans="1:9" x14ac:dyDescent="0.25">
      <c r="A270" t="s">
        <v>13</v>
      </c>
      <c r="B270" s="5">
        <v>18.170000000000002</v>
      </c>
      <c r="C270" s="5">
        <v>18.18</v>
      </c>
      <c r="D270" t="s">
        <v>40</v>
      </c>
      <c r="E270" s="4">
        <f t="shared" si="31"/>
        <v>3535.8029000000001</v>
      </c>
      <c r="F270" s="4">
        <f t="shared" si="31"/>
        <v>0</v>
      </c>
      <c r="G270" s="4">
        <f t="shared" si="28"/>
        <v>3535.8029000000001</v>
      </c>
      <c r="H270" s="5">
        <f t="shared" si="29"/>
        <v>64245.53869300001</v>
      </c>
      <c r="I270" s="5">
        <f t="shared" si="30"/>
        <v>64280.896722000005</v>
      </c>
    </row>
    <row r="271" spans="1:9" x14ac:dyDescent="0.25">
      <c r="A271" t="s">
        <v>14</v>
      </c>
      <c r="B271" s="5">
        <v>36.39</v>
      </c>
      <c r="C271" s="5">
        <v>36.4</v>
      </c>
      <c r="D271" t="s">
        <v>40</v>
      </c>
      <c r="E271" s="4">
        <f t="shared" si="31"/>
        <v>1765.0592999999999</v>
      </c>
      <c r="F271" s="4">
        <f t="shared" si="31"/>
        <v>0</v>
      </c>
      <c r="G271" s="4">
        <f t="shared" si="28"/>
        <v>1765.0592999999999</v>
      </c>
      <c r="H271" s="5">
        <f t="shared" si="29"/>
        <v>64230.507926999999</v>
      </c>
      <c r="I271" s="5">
        <f t="shared" si="30"/>
        <v>64248.158519999997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10AE-7709-46DF-A9BA-0E9614AC18AC}">
  <dimension ref="A1:O29"/>
  <sheetViews>
    <sheetView tabSelected="1" workbookViewId="0">
      <selection activeCell="K22" sqref="K22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9" bestFit="1" customWidth="1"/>
    <col min="6" max="6" width="9.5703125" style="9" bestFit="1" customWidth="1"/>
    <col min="8" max="11" width="10.85546875" customWidth="1"/>
    <col min="12" max="12" width="11.5703125" style="4" bestFit="1" customWidth="1"/>
    <col min="13" max="13" width="11.28515625" style="5" bestFit="1" customWidth="1"/>
    <col min="14" max="14" width="10.85546875" style="5" customWidth="1"/>
  </cols>
  <sheetData>
    <row r="1" spans="1:15" x14ac:dyDescent="0.25">
      <c r="A1" s="17" t="s">
        <v>46</v>
      </c>
      <c r="B1" t="s">
        <v>47</v>
      </c>
      <c r="C1" t="s">
        <v>48</v>
      </c>
      <c r="D1" s="6" t="s">
        <v>49</v>
      </c>
      <c r="E1" s="6" t="s">
        <v>50</v>
      </c>
      <c r="F1" s="6" t="s">
        <v>51</v>
      </c>
    </row>
    <row r="2" spans="1:15" x14ac:dyDescent="0.25">
      <c r="A2" s="7" t="s">
        <v>5</v>
      </c>
      <c r="B2" s="8">
        <v>65035.675175000004</v>
      </c>
      <c r="C2" s="8">
        <v>65042.435205000002</v>
      </c>
      <c r="D2" s="8">
        <f>B2-C2</f>
        <v>-6.7600299999976414</v>
      </c>
      <c r="E2" s="9" t="str">
        <f>_xlfn.XLOOKUP(B2,Table1[unit bid],Table1[my_fi_name])</f>
        <v>GBTC</v>
      </c>
      <c r="F2" s="9" t="str">
        <f>_xlfn.XLOOKUP(C2,Table1[unit ask],Table1[my_fi_name])</f>
        <v>IBIT</v>
      </c>
      <c r="I2" s="10" t="s">
        <v>52</v>
      </c>
      <c r="J2" s="10" t="s">
        <v>53</v>
      </c>
      <c r="K2" s="10" t="s">
        <v>49</v>
      </c>
      <c r="L2" s="11" t="s">
        <v>54</v>
      </c>
      <c r="M2" s="12" t="s">
        <v>55</v>
      </c>
      <c r="N2" s="10" t="s">
        <v>56</v>
      </c>
    </row>
    <row r="3" spans="1:15" x14ac:dyDescent="0.25">
      <c r="A3" s="7" t="s">
        <v>15</v>
      </c>
      <c r="B3" s="8">
        <v>65033.308416000014</v>
      </c>
      <c r="C3" s="8">
        <v>65023.415331000004</v>
      </c>
      <c r="D3" s="8">
        <f t="shared" ref="D3:D28" si="0">B3-C3</f>
        <v>9.8930850000106147</v>
      </c>
      <c r="E3" s="9" t="str">
        <f>_xlfn.XLOOKUP(B3,Table1[unit bid],Table1[my_fi_name])</f>
        <v>BTC</v>
      </c>
      <c r="F3" s="9" t="str">
        <f>_xlfn.XLOOKUP(C3,Table1[unit ask],Table1[my_fi_name])</f>
        <v>HODL</v>
      </c>
      <c r="G3" s="13"/>
      <c r="H3" s="13" t="s">
        <v>4</v>
      </c>
      <c r="I3">
        <f>COUNTIF(E:E,H3)</f>
        <v>0</v>
      </c>
      <c r="J3">
        <f t="shared" ref="J3:J12" si="1">COUNTIF(F:F,H3)</f>
        <v>0</v>
      </c>
      <c r="K3">
        <f>I3-J3</f>
        <v>0</v>
      </c>
      <c r="L3" s="3"/>
      <c r="M3" s="5">
        <f>'ETF_2026-06-22'!C2</f>
        <v>21.58</v>
      </c>
      <c r="N3" s="5">
        <f>L3*M3</f>
        <v>0</v>
      </c>
      <c r="O3" s="14">
        <f t="shared" ref="O3:O12" si="2">N3/C3</f>
        <v>0</v>
      </c>
    </row>
    <row r="4" spans="1:15" x14ac:dyDescent="0.25">
      <c r="A4" s="7" t="s">
        <v>16</v>
      </c>
      <c r="B4" s="8">
        <v>65396.626394999992</v>
      </c>
      <c r="C4" s="8">
        <v>65381.235611999997</v>
      </c>
      <c r="D4" s="8">
        <f t="shared" si="0"/>
        <v>15.390782999995281</v>
      </c>
      <c r="E4" s="9" t="str">
        <f>_xlfn.XLOOKUP(B4,Table1[unit bid],Table1[my_fi_name])</f>
        <v>GBTC</v>
      </c>
      <c r="F4" s="9" t="str">
        <f>_xlfn.XLOOKUP(C4,Table1[unit ask],Table1[my_fi_name])</f>
        <v>FBTC</v>
      </c>
      <c r="G4" s="13"/>
      <c r="H4" s="13" t="s">
        <v>6</v>
      </c>
      <c r="I4">
        <f t="shared" ref="I4:I12" si="3">COUNTIF(E:E,H4)</f>
        <v>6</v>
      </c>
      <c r="J4">
        <f t="shared" si="1"/>
        <v>0</v>
      </c>
      <c r="K4">
        <f t="shared" ref="K4:K12" si="4">I4-J4</f>
        <v>6</v>
      </c>
      <c r="L4" s="3"/>
      <c r="M4" s="5">
        <f>'ETF_2026-06-22'!C3</f>
        <v>35.33</v>
      </c>
      <c r="N4" s="5">
        <f>L4*M4</f>
        <v>0</v>
      </c>
      <c r="O4" s="14">
        <f t="shared" si="2"/>
        <v>0</v>
      </c>
    </row>
    <row r="5" spans="1:15" x14ac:dyDescent="0.25">
      <c r="A5" s="7" t="s">
        <v>17</v>
      </c>
      <c r="B5" s="8">
        <v>65383.735280000001</v>
      </c>
      <c r="C5" s="8">
        <v>65369.747080000001</v>
      </c>
      <c r="D5" s="8">
        <f t="shared" si="0"/>
        <v>13.988199999999779</v>
      </c>
      <c r="E5" s="9" t="str">
        <f>_xlfn.XLOOKUP(B5,Table1[unit bid],Table1[my_fi_name])</f>
        <v>GBTC</v>
      </c>
      <c r="F5" s="9" t="str">
        <f>_xlfn.XLOOKUP(C5,Table1[unit ask],Table1[my_fi_name])</f>
        <v>FBTC</v>
      </c>
      <c r="G5" s="13"/>
      <c r="H5" s="13" t="s">
        <v>7</v>
      </c>
      <c r="I5">
        <f t="shared" si="3"/>
        <v>1</v>
      </c>
      <c r="J5">
        <f t="shared" si="1"/>
        <v>0</v>
      </c>
      <c r="K5">
        <f t="shared" si="4"/>
        <v>1</v>
      </c>
      <c r="L5" s="3"/>
      <c r="M5" s="5">
        <f>'ETF_2026-06-22'!C4</f>
        <v>18.350000000000001</v>
      </c>
      <c r="N5" s="5">
        <f t="shared" ref="N5:N12" si="5">L5*M5</f>
        <v>0</v>
      </c>
      <c r="O5" s="14">
        <f t="shared" si="2"/>
        <v>0</v>
      </c>
    </row>
    <row r="6" spans="1:15" x14ac:dyDescent="0.25">
      <c r="A6" s="7" t="s">
        <v>18</v>
      </c>
      <c r="B6" s="8">
        <v>65160.413868000003</v>
      </c>
      <c r="C6" s="8">
        <v>65151.464972000002</v>
      </c>
      <c r="D6" s="8">
        <f t="shared" si="0"/>
        <v>8.9488960000016959</v>
      </c>
      <c r="E6" s="9" t="str">
        <f>_xlfn.XLOOKUP(B6,Table1[unit bid],Table1[my_fi_name])</f>
        <v>BTCW</v>
      </c>
      <c r="F6" s="9" t="str">
        <f>_xlfn.XLOOKUP(C6,Table1[unit ask],Table1[my_fi_name])</f>
        <v>FBTC</v>
      </c>
      <c r="G6" s="13"/>
      <c r="H6" s="13" t="s">
        <v>8</v>
      </c>
      <c r="I6">
        <f t="shared" si="3"/>
        <v>3</v>
      </c>
      <c r="J6">
        <f t="shared" si="1"/>
        <v>0</v>
      </c>
      <c r="K6">
        <f t="shared" si="4"/>
        <v>3</v>
      </c>
      <c r="L6" s="3">
        <v>-0.1</v>
      </c>
      <c r="M6" s="5">
        <f>'ETF_2026-06-22'!C5</f>
        <v>28.8</v>
      </c>
      <c r="N6" s="5">
        <f t="shared" si="5"/>
        <v>-2.8800000000000003</v>
      </c>
      <c r="O6" s="14">
        <f t="shared" si="2"/>
        <v>-4.4204685209115886E-5</v>
      </c>
    </row>
    <row r="7" spans="1:15" x14ac:dyDescent="0.25">
      <c r="A7" s="7" t="s">
        <v>19</v>
      </c>
      <c r="B7" s="8">
        <v>64842.641600000003</v>
      </c>
      <c r="C7" s="8">
        <v>64829.786076000004</v>
      </c>
      <c r="D7" s="8">
        <f t="shared" si="0"/>
        <v>12.855523999998695</v>
      </c>
      <c r="E7" s="9" t="str">
        <f>_xlfn.XLOOKUP(B7,Table1[unit bid],Table1[my_fi_name])</f>
        <v>BITB</v>
      </c>
      <c r="F7" s="9" t="str">
        <f>_xlfn.XLOOKUP(C7,Table1[unit ask],Table1[my_fi_name])</f>
        <v>FBTC</v>
      </c>
      <c r="G7" s="13"/>
      <c r="H7" s="13" t="s">
        <v>9</v>
      </c>
      <c r="I7">
        <f t="shared" si="3"/>
        <v>1</v>
      </c>
      <c r="J7">
        <f t="shared" si="1"/>
        <v>0</v>
      </c>
      <c r="K7">
        <f t="shared" si="4"/>
        <v>1</v>
      </c>
      <c r="L7" s="3"/>
      <c r="M7" s="5">
        <f>'ETF_2026-06-22'!C6</f>
        <v>69.099999999999994</v>
      </c>
      <c r="N7" s="5">
        <f t="shared" si="5"/>
        <v>0</v>
      </c>
      <c r="O7" s="14">
        <f t="shared" si="2"/>
        <v>0</v>
      </c>
    </row>
    <row r="8" spans="1:15" x14ac:dyDescent="0.25">
      <c r="A8" s="7" t="s">
        <v>20</v>
      </c>
      <c r="B8" s="8">
        <v>64868.090680000001</v>
      </c>
      <c r="C8" s="8">
        <v>64864.251671999999</v>
      </c>
      <c r="D8" s="8">
        <f t="shared" si="0"/>
        <v>3.8390080000026501</v>
      </c>
      <c r="E8" s="9" t="str">
        <f>_xlfn.XLOOKUP(B8,Table1[unit bid],Table1[my_fi_name])</f>
        <v>GBTC</v>
      </c>
      <c r="F8" s="9" t="str">
        <f>_xlfn.XLOOKUP(C8,Table1[unit ask],Table1[my_fi_name])</f>
        <v>FBTC</v>
      </c>
      <c r="G8" s="13"/>
      <c r="H8" s="13" t="s">
        <v>10</v>
      </c>
      <c r="I8">
        <f t="shared" si="3"/>
        <v>0</v>
      </c>
      <c r="J8">
        <f t="shared" si="1"/>
        <v>0</v>
      </c>
      <c r="K8">
        <f t="shared" si="4"/>
        <v>0</v>
      </c>
      <c r="L8" s="3"/>
      <c r="M8" s="5">
        <f>'ETF_2026-06-22'!C7</f>
        <v>37.659999999999997</v>
      </c>
      <c r="N8" s="5">
        <f t="shared" si="5"/>
        <v>0</v>
      </c>
      <c r="O8" s="14">
        <f t="shared" si="2"/>
        <v>0</v>
      </c>
    </row>
    <row r="9" spans="1:15" x14ac:dyDescent="0.25">
      <c r="A9" s="7" t="s">
        <v>21</v>
      </c>
      <c r="B9" s="8">
        <v>65009.892945</v>
      </c>
      <c r="C9" s="8">
        <v>64990.625524000003</v>
      </c>
      <c r="D9" s="8">
        <f t="shared" si="0"/>
        <v>19.26742099999683</v>
      </c>
      <c r="E9" s="9" t="str">
        <f>_xlfn.XLOOKUP(B9,Table1[unit bid],Table1[my_fi_name])</f>
        <v>GBTC</v>
      </c>
      <c r="F9" s="9" t="str">
        <f>_xlfn.XLOOKUP(C9,Table1[unit ask],Table1[my_fi_name])</f>
        <v>FBTC</v>
      </c>
      <c r="G9" s="13"/>
      <c r="H9" s="13" t="s">
        <v>11</v>
      </c>
      <c r="I9">
        <f t="shared" si="3"/>
        <v>0</v>
      </c>
      <c r="J9">
        <f t="shared" si="1"/>
        <v>13</v>
      </c>
      <c r="K9">
        <f t="shared" si="4"/>
        <v>-13</v>
      </c>
      <c r="L9" s="3"/>
      <c r="M9" s="5">
        <f>'ETF_2026-06-22'!C8</f>
        <v>56.62</v>
      </c>
      <c r="N9" s="5">
        <f t="shared" si="5"/>
        <v>0</v>
      </c>
      <c r="O9" s="14">
        <f t="shared" si="2"/>
        <v>0</v>
      </c>
    </row>
    <row r="10" spans="1:15" x14ac:dyDescent="0.25">
      <c r="A10" s="7" t="s">
        <v>22</v>
      </c>
      <c r="B10" s="8">
        <v>64971.219599999997</v>
      </c>
      <c r="C10" s="8">
        <v>64956.159928000001</v>
      </c>
      <c r="D10" s="8">
        <f t="shared" si="0"/>
        <v>15.059671999995771</v>
      </c>
      <c r="E10" s="9" t="str">
        <f>_xlfn.XLOOKUP(B10,Table1[unit bid],Table1[my_fi_name])</f>
        <v>GBTC</v>
      </c>
      <c r="F10" s="9" t="str">
        <f>_xlfn.XLOOKUP(C10,Table1[unit ask],Table1[my_fi_name])</f>
        <v>FBTC</v>
      </c>
      <c r="G10" s="13"/>
      <c r="H10" s="13" t="s">
        <v>12</v>
      </c>
      <c r="I10">
        <f t="shared" si="3"/>
        <v>16</v>
      </c>
      <c r="J10">
        <f t="shared" si="1"/>
        <v>0</v>
      </c>
      <c r="K10">
        <f t="shared" si="4"/>
        <v>16</v>
      </c>
      <c r="L10" s="3">
        <v>0.05</v>
      </c>
      <c r="M10" s="5">
        <f>'ETF_2026-06-22'!C9</f>
        <v>50.48</v>
      </c>
      <c r="N10" s="5">
        <f t="shared" si="5"/>
        <v>2.524</v>
      </c>
      <c r="O10" s="14">
        <f t="shared" si="2"/>
        <v>3.8856976810170153E-5</v>
      </c>
    </row>
    <row r="11" spans="1:15" x14ac:dyDescent="0.25">
      <c r="A11" s="7" t="s">
        <v>23</v>
      </c>
      <c r="B11" s="8">
        <v>64973.464679999997</v>
      </c>
      <c r="C11" s="8">
        <v>64967.648459999997</v>
      </c>
      <c r="D11" s="8">
        <f t="shared" si="0"/>
        <v>5.8162200000006123</v>
      </c>
      <c r="E11" s="9" t="str">
        <f>_xlfn.XLOOKUP(B11,Table1[unit bid],Table1[my_fi_name])</f>
        <v>BRRR</v>
      </c>
      <c r="F11" s="9" t="str">
        <f>_xlfn.XLOOKUP(C11,Table1[unit ask],Table1[my_fi_name])</f>
        <v>FBTC</v>
      </c>
      <c r="G11" s="13"/>
      <c r="H11" s="13" t="s">
        <v>13</v>
      </c>
      <c r="I11">
        <f t="shared" si="3"/>
        <v>0</v>
      </c>
      <c r="J11">
        <f t="shared" si="1"/>
        <v>1</v>
      </c>
      <c r="K11">
        <f t="shared" si="4"/>
        <v>-1</v>
      </c>
      <c r="L11" s="3"/>
      <c r="M11" s="5">
        <f>'ETF_2026-06-22'!C10</f>
        <v>18.41</v>
      </c>
      <c r="N11" s="5">
        <f t="shared" si="5"/>
        <v>0</v>
      </c>
      <c r="O11" s="14">
        <f t="shared" si="2"/>
        <v>0</v>
      </c>
    </row>
    <row r="12" spans="1:15" x14ac:dyDescent="0.25">
      <c r="A12" s="7" t="s">
        <v>24</v>
      </c>
      <c r="B12" s="8">
        <v>64965.471168000011</v>
      </c>
      <c r="C12" s="8">
        <v>64944.671396000005</v>
      </c>
      <c r="D12" s="8">
        <f>B12-C12</f>
        <v>20.79977200000576</v>
      </c>
      <c r="E12" s="9" t="str">
        <f>_xlfn.XLOOKUP(B12,Table1[unit bid],Table1[my_fi_name])</f>
        <v>BTC</v>
      </c>
      <c r="F12" s="9" t="str">
        <f>_xlfn.XLOOKUP(C12,Table1[unit ask],Table1[my_fi_name])</f>
        <v>FBTC</v>
      </c>
      <c r="G12" s="13"/>
      <c r="H12" s="13" t="s">
        <v>14</v>
      </c>
      <c r="I12" s="15">
        <f t="shared" si="3"/>
        <v>0</v>
      </c>
      <c r="J12" s="15">
        <f t="shared" si="1"/>
        <v>13</v>
      </c>
      <c r="K12" s="15">
        <f t="shared" si="4"/>
        <v>-13</v>
      </c>
      <c r="L12" s="3"/>
      <c r="M12" s="5">
        <f>'ETF_2026-06-22'!C11</f>
        <v>36.85</v>
      </c>
      <c r="N12" s="5">
        <f t="shared" si="5"/>
        <v>0</v>
      </c>
      <c r="O12" s="14">
        <f t="shared" si="2"/>
        <v>0</v>
      </c>
    </row>
    <row r="13" spans="1:15" x14ac:dyDescent="0.25">
      <c r="A13" s="7" t="s">
        <v>25</v>
      </c>
      <c r="B13" s="8">
        <v>64694.122176000004</v>
      </c>
      <c r="C13" s="8">
        <v>64680.435160000001</v>
      </c>
      <c r="D13" s="8">
        <f t="shared" si="0"/>
        <v>13.687016000003496</v>
      </c>
      <c r="E13" s="9" t="str">
        <f>_xlfn.XLOOKUP(B13,Table1[unit bid],Table1[my_fi_name])</f>
        <v>BTC</v>
      </c>
      <c r="F13" s="9" t="str">
        <f>_xlfn.XLOOKUP(C13,Table1[unit ask],Table1[my_fi_name])</f>
        <v>FBTC</v>
      </c>
      <c r="G13" s="13"/>
      <c r="H13" s="13"/>
      <c r="I13">
        <f>SUM(I3:I12)</f>
        <v>27</v>
      </c>
      <c r="J13">
        <f t="shared" ref="J13:K13" si="6">SUM(J3:J12)</f>
        <v>27</v>
      </c>
      <c r="K13">
        <f t="shared" si="6"/>
        <v>0</v>
      </c>
    </row>
    <row r="14" spans="1:15" x14ac:dyDescent="0.25">
      <c r="A14" s="7" t="s">
        <v>26</v>
      </c>
      <c r="B14" s="8">
        <v>64584.744730000006</v>
      </c>
      <c r="C14" s="8">
        <v>64577.038372000003</v>
      </c>
      <c r="D14" s="8">
        <f t="shared" si="0"/>
        <v>7.7063580000030925</v>
      </c>
      <c r="E14" s="9" t="str">
        <f>_xlfn.XLOOKUP(B14,Table1[unit bid],Table1[my_fi_name])</f>
        <v>BITB</v>
      </c>
      <c r="F14" s="9" t="str">
        <f>_xlfn.XLOOKUP(C14,Table1[unit ask],Table1[my_fi_name])</f>
        <v>FBTC</v>
      </c>
    </row>
    <row r="15" spans="1:15" x14ac:dyDescent="0.25">
      <c r="A15" s="7" t="s">
        <v>27</v>
      </c>
      <c r="B15" s="8">
        <v>64584.744730000006</v>
      </c>
      <c r="C15" s="8">
        <v>64583.519787000005</v>
      </c>
      <c r="D15" s="8">
        <f t="shared" si="0"/>
        <v>1.2249430000010761</v>
      </c>
      <c r="E15" s="9" t="str">
        <f>_xlfn.XLOOKUP(B15,Table1[unit bid],Table1[my_fi_name])</f>
        <v>BITB</v>
      </c>
      <c r="F15" s="9" t="str">
        <f>_xlfn.XLOOKUP(C15,Table1[unit ask],Table1[my_fi_name])</f>
        <v>IBIT</v>
      </c>
    </row>
    <row r="16" spans="1:15" x14ac:dyDescent="0.25">
      <c r="A16" s="7" t="s">
        <v>28</v>
      </c>
      <c r="B16" s="8">
        <v>64494.248345</v>
      </c>
      <c r="C16" s="8">
        <v>64477.616228999999</v>
      </c>
      <c r="D16" s="8">
        <f t="shared" si="0"/>
        <v>16.632116000000678</v>
      </c>
      <c r="E16" s="9" t="str">
        <f>_xlfn.XLOOKUP(B16,Table1[unit bid],Table1[my_fi_name])</f>
        <v>GBTC</v>
      </c>
      <c r="F16" s="9" t="str">
        <f>_xlfn.XLOOKUP(C16,Table1[unit ask],Table1[my_fi_name])</f>
        <v>IBIT</v>
      </c>
    </row>
    <row r="17" spans="1:6" x14ac:dyDescent="0.25">
      <c r="A17" s="7" t="s">
        <v>29</v>
      </c>
      <c r="B17" s="8">
        <v>64597.377264999996</v>
      </c>
      <c r="C17" s="8">
        <v>64577.038372000003</v>
      </c>
      <c r="D17" s="8">
        <f t="shared" si="0"/>
        <v>20.338892999992822</v>
      </c>
      <c r="E17" s="9" t="str">
        <f>_xlfn.XLOOKUP(B17,Table1[unit bid],Table1[my_fi_name])</f>
        <v>GBTC</v>
      </c>
      <c r="F17" s="9" t="str">
        <f>_xlfn.XLOOKUP(C17,Table1[unit ask],Table1[my_fi_name])</f>
        <v>FBTC</v>
      </c>
    </row>
    <row r="18" spans="1:6" x14ac:dyDescent="0.25">
      <c r="A18" s="7" t="s">
        <v>30</v>
      </c>
      <c r="B18" s="8">
        <v>64597.377264999996</v>
      </c>
      <c r="C18" s="8">
        <v>64583.519787000005</v>
      </c>
      <c r="D18" s="8">
        <f t="shared" si="0"/>
        <v>13.857477999990806</v>
      </c>
      <c r="E18" s="9" t="str">
        <f>_xlfn.XLOOKUP(B18,Table1[unit bid],Table1[my_fi_name])</f>
        <v>GBTC</v>
      </c>
      <c r="F18" s="9" t="str">
        <f>_xlfn.XLOOKUP(C18,Table1[unit ask],Table1[my_fi_name])</f>
        <v>IBIT</v>
      </c>
    </row>
    <row r="19" spans="1:6" x14ac:dyDescent="0.25">
      <c r="A19" s="7" t="s">
        <v>31</v>
      </c>
      <c r="B19" s="8">
        <v>64345.269065</v>
      </c>
      <c r="C19" s="8">
        <v>64335.779200000004</v>
      </c>
      <c r="D19" s="8">
        <f t="shared" si="0"/>
        <v>9.4898649999959162</v>
      </c>
      <c r="E19" s="9" t="str">
        <f>_xlfn.XLOOKUP(B19,Table1[unit bid],Table1[my_fi_name])</f>
        <v>BITB</v>
      </c>
      <c r="F19" s="9" t="str">
        <f>_xlfn.XLOOKUP(C19,Table1[unit ask],Table1[my_fi_name])</f>
        <v>FBTC</v>
      </c>
    </row>
    <row r="20" spans="1:6" x14ac:dyDescent="0.25">
      <c r="A20" s="7" t="s">
        <v>32</v>
      </c>
      <c r="B20" s="8">
        <v>64429.792769999993</v>
      </c>
      <c r="C20" s="8">
        <v>64407.013856999998</v>
      </c>
      <c r="D20" s="8">
        <f t="shared" si="0"/>
        <v>22.778912999994645</v>
      </c>
      <c r="E20" s="9" t="str">
        <f>_xlfn.XLOOKUP(B20,Table1[unit bid],Table1[my_fi_name])</f>
        <v>GBTC</v>
      </c>
      <c r="F20" s="9" t="str">
        <f>_xlfn.XLOOKUP(C20,Table1[unit ask],Table1[my_fi_name])</f>
        <v>IBIT</v>
      </c>
    </row>
    <row r="21" spans="1:6" x14ac:dyDescent="0.25">
      <c r="A21" s="7" t="s">
        <v>33</v>
      </c>
      <c r="B21" s="8">
        <v>64545.812805000001</v>
      </c>
      <c r="C21" s="8">
        <v>64530.568008000002</v>
      </c>
      <c r="D21" s="8">
        <f t="shared" si="0"/>
        <v>15.24479699999938</v>
      </c>
      <c r="E21" s="9" t="str">
        <f>_xlfn.XLOOKUP(B21,Table1[unit bid],Table1[my_fi_name])</f>
        <v>GBTC</v>
      </c>
      <c r="F21" s="9" t="str">
        <f>_xlfn.XLOOKUP(C21,Table1[unit ask],Table1[my_fi_name])</f>
        <v>IBIT</v>
      </c>
    </row>
    <row r="22" spans="1:6" x14ac:dyDescent="0.25">
      <c r="A22" s="7" t="s">
        <v>34</v>
      </c>
      <c r="B22" s="8">
        <v>64648.941724999997</v>
      </c>
      <c r="C22" s="8">
        <v>64618.820972999994</v>
      </c>
      <c r="D22" s="8">
        <f t="shared" si="0"/>
        <v>30.12075200000254</v>
      </c>
      <c r="E22" s="9" t="str">
        <f>_xlfn.XLOOKUP(B22,Table1[unit bid],Table1[my_fi_name])</f>
        <v>GBTC</v>
      </c>
      <c r="F22" s="9" t="str">
        <f>_xlfn.XLOOKUP(C22,Table1[unit ask],Table1[my_fi_name])</f>
        <v>IBIT</v>
      </c>
    </row>
    <row r="23" spans="1:6" x14ac:dyDescent="0.25">
      <c r="A23" s="7" t="s">
        <v>35</v>
      </c>
      <c r="B23" s="8">
        <v>64545.812805000001</v>
      </c>
      <c r="C23" s="8">
        <v>64530.568008000002</v>
      </c>
      <c r="D23" s="8">
        <f t="shared" si="0"/>
        <v>15.24479699999938</v>
      </c>
      <c r="E23" s="9" t="str">
        <f>_xlfn.XLOOKUP(B23,Table1[unit bid],Table1[my_fi_name])</f>
        <v>GBTC</v>
      </c>
      <c r="F23" s="9" t="str">
        <f>_xlfn.XLOOKUP(C23,Table1[unit ask],Table1[my_fi_name])</f>
        <v>IBIT</v>
      </c>
    </row>
    <row r="24" spans="1:6" x14ac:dyDescent="0.25">
      <c r="A24" s="7" t="s">
        <v>36</v>
      </c>
      <c r="B24" s="8">
        <v>64326.847860000002</v>
      </c>
      <c r="C24" s="8">
        <v>64318.760891999991</v>
      </c>
      <c r="D24" s="8">
        <f t="shared" si="0"/>
        <v>8.0869680000105291</v>
      </c>
      <c r="E24" s="9" t="str">
        <f>_xlfn.XLOOKUP(B24,Table1[unit bid],Table1[my_fi_name])</f>
        <v>BITB</v>
      </c>
      <c r="F24" s="9" t="str">
        <f>_xlfn.XLOOKUP(C24,Table1[unit ask],Table1[my_fi_name])</f>
        <v>IBIT</v>
      </c>
    </row>
    <row r="25" spans="1:6" x14ac:dyDescent="0.25">
      <c r="A25" s="7" t="s">
        <v>37</v>
      </c>
      <c r="B25" s="8">
        <v>64275.099389999996</v>
      </c>
      <c r="C25" s="8">
        <v>64265.809112999988</v>
      </c>
      <c r="D25" s="8">
        <f t="shared" si="0"/>
        <v>9.290277000007336</v>
      </c>
      <c r="E25" s="9" t="str">
        <f>_xlfn.XLOOKUP(B25,Table1[unit bid],Table1[my_fi_name])</f>
        <v>GBTC</v>
      </c>
      <c r="F25" s="9" t="str">
        <f>_xlfn.XLOOKUP(C25,Table1[unit ask],Table1[my_fi_name])</f>
        <v>IBIT</v>
      </c>
    </row>
    <row r="26" spans="1:6" x14ac:dyDescent="0.25">
      <c r="A26" s="7" t="s">
        <v>38</v>
      </c>
      <c r="B26" s="8">
        <v>64290.005449999997</v>
      </c>
      <c r="C26" s="8">
        <v>64265.809112999988</v>
      </c>
      <c r="D26" s="8">
        <f t="shared" si="0"/>
        <v>24.196337000008498</v>
      </c>
      <c r="E26" s="9" t="str">
        <f>_xlfn.XLOOKUP(B26,Table1[unit bid],Table1[my_fi_name])</f>
        <v>BITB</v>
      </c>
      <c r="F26" s="9" t="str">
        <f>_xlfn.XLOOKUP(C26,Table1[unit ask],Table1[my_fi_name])</f>
        <v>IBIT</v>
      </c>
    </row>
    <row r="27" spans="1:6" x14ac:dyDescent="0.25">
      <c r="A27" s="7" t="s">
        <v>39</v>
      </c>
      <c r="B27" s="8">
        <v>64275.099389999996</v>
      </c>
      <c r="C27" s="8">
        <v>64265.809112999988</v>
      </c>
      <c r="D27" s="8">
        <f t="shared" si="0"/>
        <v>9.290277000007336</v>
      </c>
      <c r="E27" s="9" t="str">
        <f>_xlfn.XLOOKUP(B27,Table1[unit bid],Table1[my_fi_name])</f>
        <v>GBTC</v>
      </c>
      <c r="F27" s="9" t="str">
        <f>_xlfn.XLOOKUP(C27,Table1[unit ask],Table1[my_fi_name])</f>
        <v>IBIT</v>
      </c>
    </row>
    <row r="28" spans="1:6" ht="17.25" x14ac:dyDescent="0.4">
      <c r="A28" s="7" t="s">
        <v>40</v>
      </c>
      <c r="B28" s="8">
        <v>64275.099389999996</v>
      </c>
      <c r="C28" s="8">
        <v>64248.158519999997</v>
      </c>
      <c r="D28" s="16">
        <f t="shared" si="0"/>
        <v>26.94086999999854</v>
      </c>
      <c r="E28" s="9" t="str">
        <f>_xlfn.XLOOKUP(B28,Table1[unit bid],Table1[my_fi_name])</f>
        <v>GBTC</v>
      </c>
      <c r="F28" s="9" t="str">
        <f>_xlfn.XLOOKUP(C28,Table1[unit ask],Table1[my_fi_name])</f>
        <v>IBIT</v>
      </c>
    </row>
    <row r="29" spans="1:6" x14ac:dyDescent="0.25">
      <c r="D29" s="8">
        <f>SUM(D2:D28)</f>
        <v>363.22920800002612</v>
      </c>
    </row>
  </sheetData>
  <conditionalFormatting sqref="K3:K12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2026-06-23T14:16:37Z</dcterms:created>
  <dcterms:modified xsi:type="dcterms:W3CDTF">2026-06-23T14:21:35Z</dcterms:modified>
</cp:coreProperties>
</file>