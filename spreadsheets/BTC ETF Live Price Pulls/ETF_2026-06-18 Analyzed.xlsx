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2B774F39-D58F-4147-A3A4-2BD5FFC3EFE6}" xr6:coauthVersionLast="47" xr6:coauthVersionMax="47" xr10:uidLastSave="{00000000-0000-0000-0000-000000000000}"/>
  <bookViews>
    <workbookView xWindow="31560" yWindow="1470" windowWidth="25740" windowHeight="11640" activeTab="1" xr2:uid="{2AD11E8B-9DA3-4598-9553-8EDB5FE764CD}"/>
  </bookViews>
  <sheets>
    <sheet name="ETF_2026-06-18" sheetId="1" r:id="rId1"/>
    <sheet name="Sheet1" sheetId="2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3" i="2"/>
  <c r="I3" i="2"/>
  <c r="F11" i="1"/>
  <c r="F10" i="1"/>
  <c r="F9" i="1"/>
  <c r="F8" i="1"/>
  <c r="F7" i="1"/>
  <c r="F6" i="1"/>
  <c r="F5" i="1"/>
  <c r="F4" i="1"/>
  <c r="F3" i="1"/>
  <c r="F2" i="1"/>
  <c r="D29" i="2"/>
  <c r="D21" i="2"/>
  <c r="D22" i="2"/>
  <c r="D23" i="2"/>
  <c r="D24" i="2"/>
  <c r="D25" i="2"/>
  <c r="D26" i="2"/>
  <c r="D27" i="2"/>
  <c r="D28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21" i="1"/>
  <c r="E20" i="1"/>
  <c r="E19" i="1"/>
  <c r="E18" i="1"/>
  <c r="E17" i="1"/>
  <c r="E16" i="1"/>
  <c r="E15" i="1"/>
  <c r="E14" i="1"/>
  <c r="E13" i="1"/>
  <c r="E12" i="1"/>
  <c r="N5" i="2" l="1"/>
  <c r="O5" i="2" s="1"/>
  <c r="N10" i="2"/>
  <c r="O10" i="2" s="1"/>
  <c r="N9" i="2"/>
  <c r="O9" i="2" s="1"/>
  <c r="N4" i="2"/>
  <c r="O4" i="2" s="1"/>
  <c r="N8" i="2"/>
  <c r="O8" i="2" s="1"/>
  <c r="N7" i="2"/>
  <c r="O7" i="2" s="1"/>
  <c r="N12" i="2"/>
  <c r="O12" i="2" s="1"/>
  <c r="N11" i="2"/>
  <c r="O11" i="2" s="1"/>
  <c r="N6" i="2"/>
  <c r="O6" i="2" s="1"/>
  <c r="N3" i="2"/>
  <c r="O3" i="2" s="1"/>
  <c r="G11" i="1"/>
  <c r="G10" i="1"/>
  <c r="G5" i="1"/>
  <c r="G2" i="1"/>
  <c r="E23" i="1"/>
  <c r="E27" i="1"/>
  <c r="E22" i="1"/>
  <c r="E28" i="1"/>
  <c r="F18" i="1"/>
  <c r="F28" i="1" s="1"/>
  <c r="F38" i="1" s="1"/>
  <c r="F48" i="1" s="1"/>
  <c r="F58" i="1" s="1"/>
  <c r="F68" i="1" s="1"/>
  <c r="F78" i="1" s="1"/>
  <c r="F88" i="1" s="1"/>
  <c r="F98" i="1" s="1"/>
  <c r="F108" i="1" s="1"/>
  <c r="F118" i="1" s="1"/>
  <c r="F128" i="1" s="1"/>
  <c r="F138" i="1" s="1"/>
  <c r="F148" i="1" s="1"/>
  <c r="F158" i="1" s="1"/>
  <c r="F168" i="1" s="1"/>
  <c r="F178" i="1" s="1"/>
  <c r="F188" i="1" s="1"/>
  <c r="F198" i="1" s="1"/>
  <c r="F208" i="1" s="1"/>
  <c r="F218" i="1" s="1"/>
  <c r="F228" i="1" s="1"/>
  <c r="F238" i="1" s="1"/>
  <c r="F248" i="1" s="1"/>
  <c r="F258" i="1" s="1"/>
  <c r="F268" i="1" s="1"/>
  <c r="F17" i="1"/>
  <c r="F27" i="1" s="1"/>
  <c r="F37" i="1" s="1"/>
  <c r="F47" i="1" s="1"/>
  <c r="F16" i="1"/>
  <c r="F26" i="1" s="1"/>
  <c r="F36" i="1" s="1"/>
  <c r="F46" i="1" s="1"/>
  <c r="F56" i="1" s="1"/>
  <c r="F66" i="1" s="1"/>
  <c r="F76" i="1" s="1"/>
  <c r="F86" i="1" s="1"/>
  <c r="F96" i="1" s="1"/>
  <c r="F106" i="1" s="1"/>
  <c r="F116" i="1" s="1"/>
  <c r="F126" i="1" s="1"/>
  <c r="F136" i="1" s="1"/>
  <c r="F146" i="1" s="1"/>
  <c r="F156" i="1" s="1"/>
  <c r="F166" i="1" s="1"/>
  <c r="F176" i="1" s="1"/>
  <c r="F186" i="1" s="1"/>
  <c r="F196" i="1" s="1"/>
  <c r="F206" i="1" s="1"/>
  <c r="F216" i="1" s="1"/>
  <c r="F226" i="1" s="1"/>
  <c r="F236" i="1" s="1"/>
  <c r="F246" i="1" s="1"/>
  <c r="F256" i="1" s="1"/>
  <c r="F266" i="1" s="1"/>
  <c r="F13" i="1"/>
  <c r="F23" i="1" s="1"/>
  <c r="F33" i="1" s="1"/>
  <c r="F43" i="1" s="1"/>
  <c r="F53" i="1" s="1"/>
  <c r="F63" i="1" s="1"/>
  <c r="F73" i="1" s="1"/>
  <c r="F83" i="1" s="1"/>
  <c r="F93" i="1" s="1"/>
  <c r="F12" i="1"/>
  <c r="F103" i="1"/>
  <c r="F113" i="1" s="1"/>
  <c r="F123" i="1" s="1"/>
  <c r="F133" i="1" s="1"/>
  <c r="F143" i="1" s="1"/>
  <c r="F153" i="1" s="1"/>
  <c r="F163" i="1" s="1"/>
  <c r="F173" i="1" s="1"/>
  <c r="F183" i="1" s="1"/>
  <c r="F193" i="1" s="1"/>
  <c r="F203" i="1" s="1"/>
  <c r="F213" i="1" s="1"/>
  <c r="F223" i="1" s="1"/>
  <c r="F233" i="1" s="1"/>
  <c r="F243" i="1" s="1"/>
  <c r="F253" i="1" s="1"/>
  <c r="F263" i="1" s="1"/>
  <c r="F57" i="1"/>
  <c r="F67" i="1" s="1"/>
  <c r="F77" i="1" s="1"/>
  <c r="F87" i="1" s="1"/>
  <c r="F97" i="1" s="1"/>
  <c r="F107" i="1" s="1"/>
  <c r="F117" i="1" s="1"/>
  <c r="F127" i="1" s="1"/>
  <c r="F137" i="1" s="1"/>
  <c r="F147" i="1" s="1"/>
  <c r="F157" i="1" s="1"/>
  <c r="F167" i="1" s="1"/>
  <c r="F177" i="1" s="1"/>
  <c r="F187" i="1" s="1"/>
  <c r="F197" i="1" s="1"/>
  <c r="F207" i="1" s="1"/>
  <c r="F217" i="1" s="1"/>
  <c r="F227" i="1" s="1"/>
  <c r="F237" i="1" s="1"/>
  <c r="F247" i="1" s="1"/>
  <c r="F257" i="1" s="1"/>
  <c r="F267" i="1" s="1"/>
  <c r="E30" i="1"/>
  <c r="E26" i="1"/>
  <c r="F21" i="1"/>
  <c r="F31" i="1" s="1"/>
  <c r="F41" i="1" s="1"/>
  <c r="F51" i="1" s="1"/>
  <c r="F61" i="1" s="1"/>
  <c r="F71" i="1" s="1"/>
  <c r="F81" i="1" s="1"/>
  <c r="F91" i="1" s="1"/>
  <c r="F101" i="1" s="1"/>
  <c r="F111" i="1" s="1"/>
  <c r="F121" i="1" s="1"/>
  <c r="F131" i="1" s="1"/>
  <c r="F141" i="1" s="1"/>
  <c r="F151" i="1" s="1"/>
  <c r="F161" i="1" s="1"/>
  <c r="F171" i="1" s="1"/>
  <c r="F181" i="1" s="1"/>
  <c r="F191" i="1" s="1"/>
  <c r="F201" i="1" s="1"/>
  <c r="F211" i="1" s="1"/>
  <c r="F221" i="1" s="1"/>
  <c r="F231" i="1" s="1"/>
  <c r="F241" i="1" s="1"/>
  <c r="F251" i="1" s="1"/>
  <c r="F261" i="1" s="1"/>
  <c r="F271" i="1" s="1"/>
  <c r="F20" i="1"/>
  <c r="F30" i="1" s="1"/>
  <c r="F15" i="1"/>
  <c r="F25" i="1" s="1"/>
  <c r="F35" i="1" s="1"/>
  <c r="F45" i="1" s="1"/>
  <c r="F55" i="1" s="1"/>
  <c r="F65" i="1" s="1"/>
  <c r="F75" i="1" s="1"/>
  <c r="F85" i="1" s="1"/>
  <c r="F95" i="1" s="1"/>
  <c r="F105" i="1" s="1"/>
  <c r="F115" i="1" s="1"/>
  <c r="F125" i="1" s="1"/>
  <c r="F14" i="1"/>
  <c r="F24" i="1" s="1"/>
  <c r="F34" i="1" s="1"/>
  <c r="F44" i="1" s="1"/>
  <c r="F54" i="1" s="1"/>
  <c r="F64" i="1" s="1"/>
  <c r="F74" i="1" s="1"/>
  <c r="F84" i="1" s="1"/>
  <c r="F94" i="1" s="1"/>
  <c r="F104" i="1" s="1"/>
  <c r="F114" i="1" s="1"/>
  <c r="F124" i="1" s="1"/>
  <c r="F134" i="1" s="1"/>
  <c r="F144" i="1" s="1"/>
  <c r="F154" i="1" s="1"/>
  <c r="F164" i="1" s="1"/>
  <c r="F174" i="1" s="1"/>
  <c r="F184" i="1" s="1"/>
  <c r="F194" i="1" s="1"/>
  <c r="F204" i="1" s="1"/>
  <c r="F214" i="1" s="1"/>
  <c r="F224" i="1" s="1"/>
  <c r="F234" i="1" s="1"/>
  <c r="F244" i="1" s="1"/>
  <c r="F254" i="1" s="1"/>
  <c r="F264" i="1" s="1"/>
  <c r="G9" i="1"/>
  <c r="G8" i="1"/>
  <c r="G7" i="1"/>
  <c r="G4" i="1"/>
  <c r="G3" i="1"/>
  <c r="E31" i="1"/>
  <c r="E29" i="1"/>
  <c r="E25" i="1"/>
  <c r="E24" i="1"/>
  <c r="F19" i="1"/>
  <c r="F29" i="1" s="1"/>
  <c r="F39" i="1" s="1"/>
  <c r="F49" i="1" s="1"/>
  <c r="F59" i="1" s="1"/>
  <c r="F69" i="1" s="1"/>
  <c r="F79" i="1" s="1"/>
  <c r="F89" i="1" s="1"/>
  <c r="F99" i="1" s="1"/>
  <c r="F109" i="1" s="1"/>
  <c r="F119" i="1" s="1"/>
  <c r="F129" i="1" s="1"/>
  <c r="F139" i="1" s="1"/>
  <c r="F149" i="1" s="1"/>
  <c r="F159" i="1" s="1"/>
  <c r="F169" i="1" s="1"/>
  <c r="F179" i="1" s="1"/>
  <c r="F189" i="1" s="1"/>
  <c r="F199" i="1" s="1"/>
  <c r="F209" i="1" s="1"/>
  <c r="F219" i="1" s="1"/>
  <c r="F229" i="1" s="1"/>
  <c r="F239" i="1" s="1"/>
  <c r="F249" i="1" s="1"/>
  <c r="F259" i="1" s="1"/>
  <c r="F269" i="1" s="1"/>
  <c r="G6" i="1"/>
  <c r="F40" i="1" l="1"/>
  <c r="F50" i="1" s="1"/>
  <c r="F60" i="1" s="1"/>
  <c r="F70" i="1" s="1"/>
  <c r="F80" i="1" s="1"/>
  <c r="F90" i="1" s="1"/>
  <c r="F100" i="1" s="1"/>
  <c r="F110" i="1" s="1"/>
  <c r="F120" i="1" s="1"/>
  <c r="F130" i="1" s="1"/>
  <c r="F140" i="1" s="1"/>
  <c r="F150" i="1" s="1"/>
  <c r="F160" i="1" s="1"/>
  <c r="F170" i="1" s="1"/>
  <c r="F180" i="1" s="1"/>
  <c r="F190" i="1" s="1"/>
  <c r="F200" i="1" s="1"/>
  <c r="F210" i="1" s="1"/>
  <c r="F220" i="1" s="1"/>
  <c r="F230" i="1" s="1"/>
  <c r="F240" i="1" s="1"/>
  <c r="F250" i="1" s="1"/>
  <c r="F260" i="1" s="1"/>
  <c r="F270" i="1" s="1"/>
  <c r="G21" i="1"/>
  <c r="G20" i="1"/>
  <c r="F135" i="1"/>
  <c r="F145" i="1" s="1"/>
  <c r="F155" i="1" s="1"/>
  <c r="F165" i="1" s="1"/>
  <c r="F175" i="1" s="1"/>
  <c r="F185" i="1" s="1"/>
  <c r="F195" i="1" s="1"/>
  <c r="F205" i="1" s="1"/>
  <c r="F215" i="1" s="1"/>
  <c r="F225" i="1" s="1"/>
  <c r="F235" i="1" s="1"/>
  <c r="F245" i="1" s="1"/>
  <c r="F255" i="1" s="1"/>
  <c r="F265" i="1" s="1"/>
  <c r="G19" i="1"/>
  <c r="I11" i="1"/>
  <c r="H11" i="1"/>
  <c r="H10" i="1"/>
  <c r="I10" i="1"/>
  <c r="H5" i="1"/>
  <c r="I5" i="1"/>
  <c r="H2" i="1"/>
  <c r="I2" i="1"/>
  <c r="E33" i="1"/>
  <c r="G23" i="1"/>
  <c r="E37" i="1"/>
  <c r="G27" i="1"/>
  <c r="E32" i="1"/>
  <c r="G28" i="1"/>
  <c r="E38" i="1"/>
  <c r="F22" i="1"/>
  <c r="F32" i="1" s="1"/>
  <c r="F42" i="1" s="1"/>
  <c r="F52" i="1" s="1"/>
  <c r="F62" i="1" s="1"/>
  <c r="F72" i="1" s="1"/>
  <c r="F82" i="1" s="1"/>
  <c r="F92" i="1" s="1"/>
  <c r="F102" i="1" s="1"/>
  <c r="F112" i="1" s="1"/>
  <c r="F122" i="1" s="1"/>
  <c r="F132" i="1" s="1"/>
  <c r="F142" i="1" s="1"/>
  <c r="F152" i="1" s="1"/>
  <c r="F162" i="1" s="1"/>
  <c r="F172" i="1" s="1"/>
  <c r="F182" i="1" s="1"/>
  <c r="F192" i="1" s="1"/>
  <c r="F202" i="1" s="1"/>
  <c r="F212" i="1" s="1"/>
  <c r="F222" i="1" s="1"/>
  <c r="F232" i="1" s="1"/>
  <c r="F242" i="1" s="1"/>
  <c r="F252" i="1" s="1"/>
  <c r="F262" i="1" s="1"/>
  <c r="G12" i="1"/>
  <c r="G30" i="1"/>
  <c r="E40" i="1"/>
  <c r="G26" i="1"/>
  <c r="E36" i="1"/>
  <c r="H19" i="1"/>
  <c r="I19" i="1"/>
  <c r="I9" i="1"/>
  <c r="H9" i="1"/>
  <c r="I8" i="1"/>
  <c r="H8" i="1"/>
  <c r="H7" i="1"/>
  <c r="I7" i="1"/>
  <c r="H4" i="1"/>
  <c r="I4" i="1"/>
  <c r="I3" i="1"/>
  <c r="H3" i="1"/>
  <c r="E41" i="1"/>
  <c r="G31" i="1"/>
  <c r="E39" i="1"/>
  <c r="G29" i="1"/>
  <c r="G25" i="1"/>
  <c r="E35" i="1"/>
  <c r="G24" i="1"/>
  <c r="E34" i="1"/>
  <c r="I21" i="1"/>
  <c r="H21" i="1"/>
  <c r="I20" i="1"/>
  <c r="H20" i="1"/>
  <c r="H6" i="1"/>
  <c r="I6" i="1"/>
  <c r="G18" i="1"/>
  <c r="G17" i="1"/>
  <c r="G16" i="1"/>
  <c r="G13" i="1"/>
  <c r="G15" i="1"/>
  <c r="G14" i="1"/>
  <c r="E2" i="2" l="1"/>
  <c r="F2" i="2"/>
  <c r="G33" i="1"/>
  <c r="E43" i="1"/>
  <c r="H23" i="1"/>
  <c r="I23" i="1"/>
  <c r="E47" i="1"/>
  <c r="G37" i="1"/>
  <c r="H27" i="1"/>
  <c r="I27" i="1"/>
  <c r="G32" i="1"/>
  <c r="E42" i="1"/>
  <c r="H28" i="1"/>
  <c r="I28" i="1"/>
  <c r="G38" i="1"/>
  <c r="E48" i="1"/>
  <c r="I12" i="1"/>
  <c r="H12" i="1"/>
  <c r="I30" i="1"/>
  <c r="H30" i="1"/>
  <c r="G40" i="1"/>
  <c r="E50" i="1"/>
  <c r="I26" i="1"/>
  <c r="H26" i="1"/>
  <c r="E46" i="1"/>
  <c r="G36" i="1"/>
  <c r="G41" i="1"/>
  <c r="E51" i="1"/>
  <c r="H31" i="1"/>
  <c r="I31" i="1"/>
  <c r="E49" i="1"/>
  <c r="G39" i="1"/>
  <c r="H29" i="1"/>
  <c r="I29" i="1"/>
  <c r="H25" i="1"/>
  <c r="I25" i="1"/>
  <c r="E45" i="1"/>
  <c r="G35" i="1"/>
  <c r="I24" i="1"/>
  <c r="H24" i="1"/>
  <c r="G34" i="1"/>
  <c r="E44" i="1"/>
  <c r="I18" i="1"/>
  <c r="H18" i="1"/>
  <c r="H17" i="1"/>
  <c r="I17" i="1"/>
  <c r="H16" i="1"/>
  <c r="I16" i="1"/>
  <c r="I13" i="1"/>
  <c r="H13" i="1"/>
  <c r="H15" i="1"/>
  <c r="I15" i="1"/>
  <c r="I14" i="1"/>
  <c r="H14" i="1"/>
  <c r="G22" i="1"/>
  <c r="E4" i="2" l="1"/>
  <c r="E3" i="2"/>
  <c r="F4" i="2"/>
  <c r="F3" i="2"/>
  <c r="I33" i="1"/>
  <c r="H33" i="1"/>
  <c r="E53" i="1"/>
  <c r="G43" i="1"/>
  <c r="E57" i="1"/>
  <c r="G47" i="1"/>
  <c r="I37" i="1"/>
  <c r="H37" i="1"/>
  <c r="I32" i="1"/>
  <c r="H32" i="1"/>
  <c r="G42" i="1"/>
  <c r="E52" i="1"/>
  <c r="H38" i="1"/>
  <c r="I38" i="1"/>
  <c r="G48" i="1"/>
  <c r="E58" i="1"/>
  <c r="H40" i="1"/>
  <c r="I40" i="1"/>
  <c r="G50" i="1"/>
  <c r="E60" i="1"/>
  <c r="E56" i="1"/>
  <c r="G46" i="1"/>
  <c r="H36" i="1"/>
  <c r="I36" i="1"/>
  <c r="H41" i="1"/>
  <c r="I41" i="1"/>
  <c r="G51" i="1"/>
  <c r="E61" i="1"/>
  <c r="E59" i="1"/>
  <c r="G49" i="1"/>
  <c r="I39" i="1"/>
  <c r="H39" i="1"/>
  <c r="E55" i="1"/>
  <c r="G45" i="1"/>
  <c r="I35" i="1"/>
  <c r="H35" i="1"/>
  <c r="I34" i="1"/>
  <c r="H34" i="1"/>
  <c r="E54" i="1"/>
  <c r="G44" i="1"/>
  <c r="I22" i="1"/>
  <c r="H22" i="1"/>
  <c r="F5" i="2" l="1"/>
  <c r="E5" i="2"/>
  <c r="E63" i="1"/>
  <c r="G53" i="1"/>
  <c r="H43" i="1"/>
  <c r="I43" i="1"/>
  <c r="G57" i="1"/>
  <c r="E67" i="1"/>
  <c r="I47" i="1"/>
  <c r="H47" i="1"/>
  <c r="I42" i="1"/>
  <c r="H42" i="1"/>
  <c r="G52" i="1"/>
  <c r="E62" i="1"/>
  <c r="I48" i="1"/>
  <c r="H48" i="1"/>
  <c r="E68" i="1"/>
  <c r="G58" i="1"/>
  <c r="H50" i="1"/>
  <c r="I50" i="1"/>
  <c r="E70" i="1"/>
  <c r="G60" i="1"/>
  <c r="G56" i="1"/>
  <c r="E66" i="1"/>
  <c r="I46" i="1"/>
  <c r="H46" i="1"/>
  <c r="I51" i="1"/>
  <c r="H51" i="1"/>
  <c r="E71" i="1"/>
  <c r="G61" i="1"/>
  <c r="G59" i="1"/>
  <c r="E69" i="1"/>
  <c r="H49" i="1"/>
  <c r="I49" i="1"/>
  <c r="E65" i="1"/>
  <c r="G55" i="1"/>
  <c r="I45" i="1"/>
  <c r="H45" i="1"/>
  <c r="E64" i="1"/>
  <c r="G54" i="1"/>
  <c r="I44" i="1"/>
  <c r="H44" i="1"/>
  <c r="F7" i="2" l="1"/>
  <c r="E6" i="2"/>
  <c r="F6" i="2"/>
  <c r="G63" i="1"/>
  <c r="E73" i="1"/>
  <c r="H53" i="1"/>
  <c r="I53" i="1"/>
  <c r="I57" i="1"/>
  <c r="H57" i="1"/>
  <c r="G67" i="1"/>
  <c r="E77" i="1"/>
  <c r="H52" i="1"/>
  <c r="I52" i="1"/>
  <c r="E72" i="1"/>
  <c r="G62" i="1"/>
  <c r="E78" i="1"/>
  <c r="G68" i="1"/>
  <c r="I58" i="1"/>
  <c r="H58" i="1"/>
  <c r="E80" i="1"/>
  <c r="G70" i="1"/>
  <c r="H60" i="1"/>
  <c r="I60" i="1"/>
  <c r="H56" i="1"/>
  <c r="I56" i="1"/>
  <c r="G66" i="1"/>
  <c r="E76" i="1"/>
  <c r="G71" i="1"/>
  <c r="E81" i="1"/>
  <c r="H61" i="1"/>
  <c r="I61" i="1"/>
  <c r="H59" i="1"/>
  <c r="I59" i="1"/>
  <c r="E79" i="1"/>
  <c r="G69" i="1"/>
  <c r="E75" i="1"/>
  <c r="G65" i="1"/>
  <c r="I55" i="1"/>
  <c r="H55" i="1"/>
  <c r="E74" i="1"/>
  <c r="G64" i="1"/>
  <c r="H54" i="1"/>
  <c r="I54" i="1"/>
  <c r="E7" i="2" l="1"/>
  <c r="H63" i="1"/>
  <c r="I63" i="1"/>
  <c r="E83" i="1"/>
  <c r="G73" i="1"/>
  <c r="I67" i="1"/>
  <c r="H67" i="1"/>
  <c r="G77" i="1"/>
  <c r="E87" i="1"/>
  <c r="E82" i="1"/>
  <c r="G72" i="1"/>
  <c r="I62" i="1"/>
  <c r="H62" i="1"/>
  <c r="G78" i="1"/>
  <c r="E88" i="1"/>
  <c r="I68" i="1"/>
  <c r="H68" i="1"/>
  <c r="E90" i="1"/>
  <c r="G80" i="1"/>
  <c r="I70" i="1"/>
  <c r="H70" i="1"/>
  <c r="H66" i="1"/>
  <c r="I66" i="1"/>
  <c r="E86" i="1"/>
  <c r="G76" i="1"/>
  <c r="H71" i="1"/>
  <c r="I71" i="1"/>
  <c r="E91" i="1"/>
  <c r="G81" i="1"/>
  <c r="E89" i="1"/>
  <c r="G79" i="1"/>
  <c r="I69" i="1"/>
  <c r="H69" i="1"/>
  <c r="E85" i="1"/>
  <c r="G75" i="1"/>
  <c r="H65" i="1"/>
  <c r="I65" i="1"/>
  <c r="E84" i="1"/>
  <c r="G74" i="1"/>
  <c r="H64" i="1"/>
  <c r="I64" i="1"/>
  <c r="G83" i="1" l="1"/>
  <c r="E93" i="1"/>
  <c r="I73" i="1"/>
  <c r="H73" i="1"/>
  <c r="H77" i="1"/>
  <c r="I77" i="1"/>
  <c r="G87" i="1"/>
  <c r="E97" i="1"/>
  <c r="E92" i="1"/>
  <c r="G82" i="1"/>
  <c r="H72" i="1"/>
  <c r="I72" i="1"/>
  <c r="H78" i="1"/>
  <c r="I78" i="1"/>
  <c r="G88" i="1"/>
  <c r="E98" i="1"/>
  <c r="G90" i="1"/>
  <c r="E100" i="1"/>
  <c r="I80" i="1"/>
  <c r="H80" i="1"/>
  <c r="G86" i="1"/>
  <c r="E96" i="1"/>
  <c r="H76" i="1"/>
  <c r="I76" i="1"/>
  <c r="G91" i="1"/>
  <c r="E101" i="1"/>
  <c r="H81" i="1"/>
  <c r="I81" i="1"/>
  <c r="G89" i="1"/>
  <c r="E99" i="1"/>
  <c r="H79" i="1"/>
  <c r="I79" i="1"/>
  <c r="E95" i="1"/>
  <c r="G85" i="1"/>
  <c r="H75" i="1"/>
  <c r="I75" i="1"/>
  <c r="E94" i="1"/>
  <c r="G84" i="1"/>
  <c r="I74" i="1"/>
  <c r="H74" i="1"/>
  <c r="H83" i="1" l="1"/>
  <c r="I83" i="1"/>
  <c r="E103" i="1"/>
  <c r="G93" i="1"/>
  <c r="I87" i="1"/>
  <c r="H87" i="1"/>
  <c r="G97" i="1"/>
  <c r="E107" i="1"/>
  <c r="G92" i="1"/>
  <c r="E102" i="1"/>
  <c r="H82" i="1"/>
  <c r="I82" i="1"/>
  <c r="I88" i="1"/>
  <c r="H88" i="1"/>
  <c r="E108" i="1"/>
  <c r="G98" i="1"/>
  <c r="H90" i="1"/>
  <c r="I90" i="1"/>
  <c r="E110" i="1"/>
  <c r="G100" i="1"/>
  <c r="I86" i="1"/>
  <c r="H86" i="1"/>
  <c r="E106" i="1"/>
  <c r="G96" i="1"/>
  <c r="H91" i="1"/>
  <c r="I91" i="1"/>
  <c r="G101" i="1"/>
  <c r="E111" i="1"/>
  <c r="I89" i="1"/>
  <c r="H89" i="1"/>
  <c r="E109" i="1"/>
  <c r="G99" i="1"/>
  <c r="G95" i="1"/>
  <c r="E105" i="1"/>
  <c r="I85" i="1"/>
  <c r="H85" i="1"/>
  <c r="E104" i="1"/>
  <c r="G94" i="1"/>
  <c r="H84" i="1"/>
  <c r="I84" i="1"/>
  <c r="E113" i="1" l="1"/>
  <c r="G103" i="1"/>
  <c r="H93" i="1"/>
  <c r="I93" i="1"/>
  <c r="H97" i="1"/>
  <c r="I97" i="1"/>
  <c r="G107" i="1"/>
  <c r="E117" i="1"/>
  <c r="H92" i="1"/>
  <c r="I92" i="1"/>
  <c r="E112" i="1"/>
  <c r="G102" i="1"/>
  <c r="E118" i="1"/>
  <c r="G108" i="1"/>
  <c r="I98" i="1"/>
  <c r="H98" i="1"/>
  <c r="G110" i="1"/>
  <c r="E120" i="1"/>
  <c r="I100" i="1"/>
  <c r="H100" i="1"/>
  <c r="G106" i="1"/>
  <c r="E116" i="1"/>
  <c r="H96" i="1"/>
  <c r="I96" i="1"/>
  <c r="H101" i="1"/>
  <c r="I101" i="1"/>
  <c r="G111" i="1"/>
  <c r="E121" i="1"/>
  <c r="G109" i="1"/>
  <c r="E119" i="1"/>
  <c r="H99" i="1"/>
  <c r="I99" i="1"/>
  <c r="I95" i="1"/>
  <c r="H95" i="1"/>
  <c r="G105" i="1"/>
  <c r="E115" i="1"/>
  <c r="G104" i="1"/>
  <c r="E114" i="1"/>
  <c r="H94" i="1"/>
  <c r="I94" i="1"/>
  <c r="E123" i="1" l="1"/>
  <c r="G113" i="1"/>
  <c r="I103" i="1"/>
  <c r="H103" i="1"/>
  <c r="H107" i="1"/>
  <c r="I107" i="1"/>
  <c r="G117" i="1"/>
  <c r="E127" i="1"/>
  <c r="G112" i="1"/>
  <c r="E122" i="1"/>
  <c r="H102" i="1"/>
  <c r="I102" i="1"/>
  <c r="G118" i="1"/>
  <c r="E128" i="1"/>
  <c r="I108" i="1"/>
  <c r="H108" i="1"/>
  <c r="H110" i="1"/>
  <c r="I110" i="1"/>
  <c r="G120" i="1"/>
  <c r="E130" i="1"/>
  <c r="I106" i="1"/>
  <c r="H106" i="1"/>
  <c r="E126" i="1"/>
  <c r="G116" i="1"/>
  <c r="H111" i="1"/>
  <c r="I111" i="1"/>
  <c r="G121" i="1"/>
  <c r="E131" i="1"/>
  <c r="H109" i="1"/>
  <c r="I109" i="1"/>
  <c r="E129" i="1"/>
  <c r="G119" i="1"/>
  <c r="H105" i="1"/>
  <c r="I105" i="1"/>
  <c r="E125" i="1"/>
  <c r="G115" i="1"/>
  <c r="H104" i="1"/>
  <c r="I104" i="1"/>
  <c r="G114" i="1"/>
  <c r="E124" i="1"/>
  <c r="E133" i="1" l="1"/>
  <c r="G123" i="1"/>
  <c r="H113" i="1"/>
  <c r="I113" i="1"/>
  <c r="I117" i="1"/>
  <c r="H117" i="1"/>
  <c r="G127" i="1"/>
  <c r="E137" i="1"/>
  <c r="H112" i="1"/>
  <c r="I112" i="1"/>
  <c r="G122" i="1"/>
  <c r="E132" i="1"/>
  <c r="H118" i="1"/>
  <c r="I118" i="1"/>
  <c r="E138" i="1"/>
  <c r="G128" i="1"/>
  <c r="I120" i="1"/>
  <c r="H120" i="1"/>
  <c r="G130" i="1"/>
  <c r="E140" i="1"/>
  <c r="G126" i="1"/>
  <c r="E136" i="1"/>
  <c r="H116" i="1"/>
  <c r="I116" i="1"/>
  <c r="I121" i="1"/>
  <c r="H121" i="1"/>
  <c r="G131" i="1"/>
  <c r="E141" i="1"/>
  <c r="E139" i="1"/>
  <c r="G129" i="1"/>
  <c r="H119" i="1"/>
  <c r="I119" i="1"/>
  <c r="E135" i="1"/>
  <c r="G125" i="1"/>
  <c r="H115" i="1"/>
  <c r="I115" i="1"/>
  <c r="I114" i="1"/>
  <c r="H114" i="1"/>
  <c r="E134" i="1"/>
  <c r="G124" i="1"/>
  <c r="E143" i="1" l="1"/>
  <c r="G133" i="1"/>
  <c r="I123" i="1"/>
  <c r="H123" i="1"/>
  <c r="I127" i="1"/>
  <c r="H127" i="1"/>
  <c r="G137" i="1"/>
  <c r="E147" i="1"/>
  <c r="H122" i="1"/>
  <c r="I122" i="1"/>
  <c r="G132" i="1"/>
  <c r="E142" i="1"/>
  <c r="E148" i="1"/>
  <c r="G138" i="1"/>
  <c r="H128" i="1"/>
  <c r="I128" i="1"/>
  <c r="H130" i="1"/>
  <c r="I130" i="1"/>
  <c r="E150" i="1"/>
  <c r="G140" i="1"/>
  <c r="H126" i="1"/>
  <c r="I126" i="1"/>
  <c r="G136" i="1"/>
  <c r="E146" i="1"/>
  <c r="H131" i="1"/>
  <c r="I131" i="1"/>
  <c r="E151" i="1"/>
  <c r="G141" i="1"/>
  <c r="E149" i="1"/>
  <c r="G139" i="1"/>
  <c r="H129" i="1"/>
  <c r="I129" i="1"/>
  <c r="E145" i="1"/>
  <c r="G135" i="1"/>
  <c r="I125" i="1"/>
  <c r="H125" i="1"/>
  <c r="E144" i="1"/>
  <c r="G134" i="1"/>
  <c r="I124" i="1"/>
  <c r="H124" i="1"/>
  <c r="G143" i="1" l="1"/>
  <c r="E153" i="1"/>
  <c r="H133" i="1"/>
  <c r="I133" i="1"/>
  <c r="I137" i="1"/>
  <c r="H137" i="1"/>
  <c r="G147" i="1"/>
  <c r="E157" i="1"/>
  <c r="I132" i="1"/>
  <c r="H132" i="1"/>
  <c r="G142" i="1"/>
  <c r="E152" i="1"/>
  <c r="E158" i="1"/>
  <c r="G148" i="1"/>
  <c r="I138" i="1"/>
  <c r="H138" i="1"/>
  <c r="G150" i="1"/>
  <c r="E160" i="1"/>
  <c r="H140" i="1"/>
  <c r="I140" i="1"/>
  <c r="I136" i="1"/>
  <c r="H136" i="1"/>
  <c r="E156" i="1"/>
  <c r="G146" i="1"/>
  <c r="E161" i="1"/>
  <c r="G151" i="1"/>
  <c r="H141" i="1"/>
  <c r="I141" i="1"/>
  <c r="E159" i="1"/>
  <c r="G149" i="1"/>
  <c r="I139" i="1"/>
  <c r="H139" i="1"/>
  <c r="E155" i="1"/>
  <c r="G145" i="1"/>
  <c r="H135" i="1"/>
  <c r="I135" i="1"/>
  <c r="G144" i="1"/>
  <c r="E154" i="1"/>
  <c r="H134" i="1"/>
  <c r="I134" i="1"/>
  <c r="H143" i="1" l="1"/>
  <c r="I143" i="1"/>
  <c r="G153" i="1"/>
  <c r="E163" i="1"/>
  <c r="I147" i="1"/>
  <c r="H147" i="1"/>
  <c r="E167" i="1"/>
  <c r="G157" i="1"/>
  <c r="I142" i="1"/>
  <c r="H142" i="1"/>
  <c r="G152" i="1"/>
  <c r="E162" i="1"/>
  <c r="G158" i="1"/>
  <c r="E168" i="1"/>
  <c r="I148" i="1"/>
  <c r="H148" i="1"/>
  <c r="H150" i="1"/>
  <c r="I150" i="1"/>
  <c r="G160" i="1"/>
  <c r="E170" i="1"/>
  <c r="E166" i="1"/>
  <c r="G156" i="1"/>
  <c r="I146" i="1"/>
  <c r="H146" i="1"/>
  <c r="G161" i="1"/>
  <c r="E171" i="1"/>
  <c r="I151" i="1"/>
  <c r="H151" i="1"/>
  <c r="E169" i="1"/>
  <c r="G159" i="1"/>
  <c r="I149" i="1"/>
  <c r="H149" i="1"/>
  <c r="G155" i="1"/>
  <c r="E165" i="1"/>
  <c r="I145" i="1"/>
  <c r="H145" i="1"/>
  <c r="I144" i="1"/>
  <c r="H144" i="1"/>
  <c r="G154" i="1"/>
  <c r="E164" i="1"/>
  <c r="H153" i="1" l="1"/>
  <c r="I153" i="1"/>
  <c r="G163" i="1"/>
  <c r="E173" i="1"/>
  <c r="G167" i="1"/>
  <c r="E177" i="1"/>
  <c r="I157" i="1"/>
  <c r="H157" i="1"/>
  <c r="I152" i="1"/>
  <c r="H152" i="1"/>
  <c r="G162" i="1"/>
  <c r="E172" i="1"/>
  <c r="H158" i="1"/>
  <c r="I158" i="1"/>
  <c r="G168" i="1"/>
  <c r="E178" i="1"/>
  <c r="H160" i="1"/>
  <c r="I160" i="1"/>
  <c r="G170" i="1"/>
  <c r="E180" i="1"/>
  <c r="G166" i="1"/>
  <c r="E176" i="1"/>
  <c r="H156" i="1"/>
  <c r="I156" i="1"/>
  <c r="H161" i="1"/>
  <c r="I161" i="1"/>
  <c r="G171" i="1"/>
  <c r="E181" i="1"/>
  <c r="E179" i="1"/>
  <c r="G169" i="1"/>
  <c r="I159" i="1"/>
  <c r="H159" i="1"/>
  <c r="I155" i="1"/>
  <c r="H155" i="1"/>
  <c r="G165" i="1"/>
  <c r="E175" i="1"/>
  <c r="I154" i="1"/>
  <c r="H154" i="1"/>
  <c r="E174" i="1"/>
  <c r="G164" i="1"/>
  <c r="I163" i="1" l="1"/>
  <c r="H163" i="1"/>
  <c r="G173" i="1"/>
  <c r="E183" i="1"/>
  <c r="I167" i="1"/>
  <c r="H167" i="1"/>
  <c r="G177" i="1"/>
  <c r="E187" i="1"/>
  <c r="I162" i="1"/>
  <c r="H162" i="1"/>
  <c r="E182" i="1"/>
  <c r="G172" i="1"/>
  <c r="H168" i="1"/>
  <c r="I168" i="1"/>
  <c r="E188" i="1"/>
  <c r="G178" i="1"/>
  <c r="I170" i="1"/>
  <c r="H170" i="1"/>
  <c r="E190" i="1"/>
  <c r="G180" i="1"/>
  <c r="I166" i="1"/>
  <c r="H166" i="1"/>
  <c r="G176" i="1"/>
  <c r="E186" i="1"/>
  <c r="I171" i="1"/>
  <c r="H171" i="1"/>
  <c r="E191" i="1"/>
  <c r="G181" i="1"/>
  <c r="G179" i="1"/>
  <c r="E189" i="1"/>
  <c r="H169" i="1"/>
  <c r="I169" i="1"/>
  <c r="I165" i="1"/>
  <c r="H165" i="1"/>
  <c r="G175" i="1"/>
  <c r="E185" i="1"/>
  <c r="G174" i="1"/>
  <c r="E184" i="1"/>
  <c r="H164" i="1"/>
  <c r="I164" i="1"/>
  <c r="H173" i="1" l="1"/>
  <c r="I173" i="1"/>
  <c r="E193" i="1"/>
  <c r="G183" i="1"/>
  <c r="H177" i="1"/>
  <c r="I177" i="1"/>
  <c r="G187" i="1"/>
  <c r="E197" i="1"/>
  <c r="G182" i="1"/>
  <c r="E192" i="1"/>
  <c r="H172" i="1"/>
  <c r="I172" i="1"/>
  <c r="G188" i="1"/>
  <c r="E198" i="1"/>
  <c r="H178" i="1"/>
  <c r="I178" i="1"/>
  <c r="E200" i="1"/>
  <c r="G190" i="1"/>
  <c r="I180" i="1"/>
  <c r="H180" i="1"/>
  <c r="H176" i="1"/>
  <c r="I176" i="1"/>
  <c r="G186" i="1"/>
  <c r="E196" i="1"/>
  <c r="G191" i="1"/>
  <c r="E201" i="1"/>
  <c r="H181" i="1"/>
  <c r="I181" i="1"/>
  <c r="H179" i="1"/>
  <c r="I179" i="1"/>
  <c r="G189" i="1"/>
  <c r="E199" i="1"/>
  <c r="H175" i="1"/>
  <c r="I175" i="1"/>
  <c r="E195" i="1"/>
  <c r="G185" i="1"/>
  <c r="H174" i="1"/>
  <c r="I174" i="1"/>
  <c r="G184" i="1"/>
  <c r="E194" i="1"/>
  <c r="G193" i="1" l="1"/>
  <c r="E203" i="1"/>
  <c r="G197" i="1"/>
  <c r="E207" i="1"/>
  <c r="G192" i="1"/>
  <c r="E202" i="1"/>
  <c r="G198" i="1"/>
  <c r="E208" i="1"/>
  <c r="G200" i="1"/>
  <c r="E210" i="1"/>
  <c r="G196" i="1"/>
  <c r="E206" i="1"/>
  <c r="G201" i="1"/>
  <c r="E211" i="1"/>
  <c r="G199" i="1"/>
  <c r="E209" i="1"/>
  <c r="G195" i="1"/>
  <c r="E205" i="1"/>
  <c r="G194" i="1"/>
  <c r="E204" i="1"/>
  <c r="H193" i="1"/>
  <c r="I183" i="1"/>
  <c r="H183" i="1"/>
  <c r="I187" i="1"/>
  <c r="H187" i="1"/>
  <c r="H197" i="1"/>
  <c r="I197" i="1"/>
  <c r="H182" i="1"/>
  <c r="I182" i="1"/>
  <c r="H192" i="1"/>
  <c r="I192" i="1"/>
  <c r="H188" i="1"/>
  <c r="I188" i="1"/>
  <c r="H198" i="1"/>
  <c r="H200" i="1"/>
  <c r="I200" i="1"/>
  <c r="I190" i="1"/>
  <c r="H190" i="1"/>
  <c r="I186" i="1"/>
  <c r="H186" i="1"/>
  <c r="I196" i="1"/>
  <c r="H196" i="1"/>
  <c r="H191" i="1"/>
  <c r="I191" i="1"/>
  <c r="I201" i="1"/>
  <c r="H189" i="1"/>
  <c r="I189" i="1"/>
  <c r="H185" i="1"/>
  <c r="I185" i="1"/>
  <c r="I184" i="1"/>
  <c r="H184" i="1"/>
  <c r="H194" i="1"/>
  <c r="I193" i="1" l="1"/>
  <c r="H199" i="1"/>
  <c r="I199" i="1"/>
  <c r="H195" i="1"/>
  <c r="I195" i="1"/>
  <c r="I198" i="1"/>
  <c r="H201" i="1"/>
  <c r="I194" i="1"/>
  <c r="E213" i="1"/>
  <c r="G203" i="1"/>
  <c r="E217" i="1"/>
  <c r="G207" i="1"/>
  <c r="E212" i="1"/>
  <c r="G202" i="1"/>
  <c r="E218" i="1"/>
  <c r="G208" i="1"/>
  <c r="E220" i="1"/>
  <c r="G210" i="1"/>
  <c r="E216" i="1"/>
  <c r="G206" i="1"/>
  <c r="E221" i="1"/>
  <c r="G211" i="1"/>
  <c r="E219" i="1"/>
  <c r="G209" i="1"/>
  <c r="E215" i="1"/>
  <c r="G205" i="1"/>
  <c r="E214" i="1"/>
  <c r="G204" i="1"/>
  <c r="E223" i="1" l="1"/>
  <c r="G213" i="1"/>
  <c r="I203" i="1"/>
  <c r="H203" i="1"/>
  <c r="E227" i="1"/>
  <c r="G217" i="1"/>
  <c r="I207" i="1"/>
  <c r="H207" i="1"/>
  <c r="E222" i="1"/>
  <c r="G212" i="1"/>
  <c r="I202" i="1"/>
  <c r="H202" i="1"/>
  <c r="E228" i="1"/>
  <c r="G218" i="1"/>
  <c r="I208" i="1"/>
  <c r="H208" i="1"/>
  <c r="E230" i="1"/>
  <c r="G220" i="1"/>
  <c r="I210" i="1"/>
  <c r="H210" i="1"/>
  <c r="E226" i="1"/>
  <c r="G216" i="1"/>
  <c r="I206" i="1"/>
  <c r="H206" i="1"/>
  <c r="E231" i="1"/>
  <c r="G221" i="1"/>
  <c r="I211" i="1"/>
  <c r="H211" i="1"/>
  <c r="E229" i="1"/>
  <c r="G219" i="1"/>
  <c r="I209" i="1"/>
  <c r="H209" i="1"/>
  <c r="E225" i="1"/>
  <c r="G215" i="1"/>
  <c r="I205" i="1"/>
  <c r="H205" i="1"/>
  <c r="E224" i="1"/>
  <c r="G214" i="1"/>
  <c r="I204" i="1"/>
  <c r="H204" i="1"/>
  <c r="E233" i="1" l="1"/>
  <c r="G223" i="1"/>
  <c r="I213" i="1"/>
  <c r="H213" i="1"/>
  <c r="E237" i="1"/>
  <c r="G227" i="1"/>
  <c r="I217" i="1"/>
  <c r="H217" i="1"/>
  <c r="E232" i="1"/>
  <c r="G222" i="1"/>
  <c r="I212" i="1"/>
  <c r="H212" i="1"/>
  <c r="E238" i="1"/>
  <c r="G228" i="1"/>
  <c r="I218" i="1"/>
  <c r="H218" i="1"/>
  <c r="E240" i="1"/>
  <c r="G230" i="1"/>
  <c r="I220" i="1"/>
  <c r="H220" i="1"/>
  <c r="E236" i="1"/>
  <c r="G226" i="1"/>
  <c r="I216" i="1"/>
  <c r="H216" i="1"/>
  <c r="G231" i="1"/>
  <c r="E241" i="1"/>
  <c r="I221" i="1"/>
  <c r="H221" i="1"/>
  <c r="E239" i="1"/>
  <c r="G229" i="1"/>
  <c r="I219" i="1"/>
  <c r="H219" i="1"/>
  <c r="E235" i="1"/>
  <c r="G225" i="1"/>
  <c r="I215" i="1"/>
  <c r="H215" i="1"/>
  <c r="E234" i="1"/>
  <c r="G224" i="1"/>
  <c r="I214" i="1"/>
  <c r="H214" i="1"/>
  <c r="G233" i="1" l="1"/>
  <c r="E243" i="1"/>
  <c r="I223" i="1"/>
  <c r="H223" i="1"/>
  <c r="E247" i="1"/>
  <c r="G237" i="1"/>
  <c r="H227" i="1"/>
  <c r="I227" i="1"/>
  <c r="E242" i="1"/>
  <c r="G232" i="1"/>
  <c r="I222" i="1"/>
  <c r="H222" i="1"/>
  <c r="G238" i="1"/>
  <c r="E248" i="1"/>
  <c r="I228" i="1"/>
  <c r="H228" i="1"/>
  <c r="G240" i="1"/>
  <c r="E250" i="1"/>
  <c r="H230" i="1"/>
  <c r="I230" i="1"/>
  <c r="E246" i="1"/>
  <c r="G236" i="1"/>
  <c r="H226" i="1"/>
  <c r="I226" i="1"/>
  <c r="H231" i="1"/>
  <c r="I231" i="1"/>
  <c r="E251" i="1"/>
  <c r="G241" i="1"/>
  <c r="E249" i="1"/>
  <c r="G239" i="1"/>
  <c r="H229" i="1"/>
  <c r="I229" i="1"/>
  <c r="G235" i="1"/>
  <c r="E245" i="1"/>
  <c r="I225" i="1"/>
  <c r="H225" i="1"/>
  <c r="G234" i="1"/>
  <c r="E244" i="1"/>
  <c r="I224" i="1"/>
  <c r="H224" i="1"/>
  <c r="H233" i="1" l="1"/>
  <c r="I233" i="1"/>
  <c r="G243" i="1"/>
  <c r="E253" i="1"/>
  <c r="G247" i="1"/>
  <c r="E257" i="1"/>
  <c r="I237" i="1"/>
  <c r="H237" i="1"/>
  <c r="G242" i="1"/>
  <c r="E252" i="1"/>
  <c r="H232" i="1"/>
  <c r="I232" i="1"/>
  <c r="H238" i="1"/>
  <c r="I238" i="1"/>
  <c r="E258" i="1"/>
  <c r="G248" i="1"/>
  <c r="H240" i="1"/>
  <c r="I240" i="1"/>
  <c r="E260" i="1"/>
  <c r="G250" i="1"/>
  <c r="G246" i="1"/>
  <c r="E256" i="1"/>
  <c r="H236" i="1"/>
  <c r="I236" i="1"/>
  <c r="E261" i="1"/>
  <c r="G251" i="1"/>
  <c r="H241" i="1"/>
  <c r="I241" i="1"/>
  <c r="E259" i="1"/>
  <c r="G249" i="1"/>
  <c r="I239" i="1"/>
  <c r="H239" i="1"/>
  <c r="H235" i="1"/>
  <c r="I235" i="1"/>
  <c r="E255" i="1"/>
  <c r="G245" i="1"/>
  <c r="H234" i="1"/>
  <c r="I234" i="1"/>
  <c r="G244" i="1"/>
  <c r="E254" i="1"/>
  <c r="H243" i="1" l="1"/>
  <c r="I243" i="1"/>
  <c r="G253" i="1"/>
  <c r="E263" i="1"/>
  <c r="G263" i="1" s="1"/>
  <c r="H247" i="1"/>
  <c r="I247" i="1"/>
  <c r="E267" i="1"/>
  <c r="G267" i="1" s="1"/>
  <c r="G257" i="1"/>
  <c r="I242" i="1"/>
  <c r="H242" i="1"/>
  <c r="E262" i="1"/>
  <c r="G262" i="1" s="1"/>
  <c r="G252" i="1"/>
  <c r="G258" i="1"/>
  <c r="E268" i="1"/>
  <c r="G268" i="1" s="1"/>
  <c r="I248" i="1"/>
  <c r="H248" i="1"/>
  <c r="E270" i="1"/>
  <c r="G270" i="1" s="1"/>
  <c r="G260" i="1"/>
  <c r="H250" i="1"/>
  <c r="I250" i="1"/>
  <c r="H246" i="1"/>
  <c r="I246" i="1"/>
  <c r="E266" i="1"/>
  <c r="G266" i="1" s="1"/>
  <c r="G256" i="1"/>
  <c r="G261" i="1"/>
  <c r="E271" i="1"/>
  <c r="G271" i="1" s="1"/>
  <c r="I251" i="1"/>
  <c r="H251" i="1"/>
  <c r="E269" i="1"/>
  <c r="G269" i="1" s="1"/>
  <c r="G259" i="1"/>
  <c r="H249" i="1"/>
  <c r="I249" i="1"/>
  <c r="E265" i="1"/>
  <c r="G265" i="1" s="1"/>
  <c r="G255" i="1"/>
  <c r="H245" i="1"/>
  <c r="I245" i="1"/>
  <c r="H244" i="1"/>
  <c r="I244" i="1"/>
  <c r="G254" i="1"/>
  <c r="E264" i="1"/>
  <c r="G264" i="1" s="1"/>
  <c r="H253" i="1" l="1"/>
  <c r="I253" i="1"/>
  <c r="I263" i="1"/>
  <c r="H263" i="1"/>
  <c r="H267" i="1"/>
  <c r="I267" i="1"/>
  <c r="H257" i="1"/>
  <c r="I257" i="1"/>
  <c r="H262" i="1"/>
  <c r="I262" i="1"/>
  <c r="H252" i="1"/>
  <c r="I252" i="1"/>
  <c r="H258" i="1"/>
  <c r="I258" i="1"/>
  <c r="I268" i="1"/>
  <c r="H268" i="1"/>
  <c r="I270" i="1"/>
  <c r="H270" i="1"/>
  <c r="H260" i="1"/>
  <c r="I260" i="1"/>
  <c r="H266" i="1"/>
  <c r="I266" i="1"/>
  <c r="H256" i="1"/>
  <c r="I256" i="1"/>
  <c r="I261" i="1"/>
  <c r="H261" i="1"/>
  <c r="H271" i="1"/>
  <c r="I271" i="1"/>
  <c r="I269" i="1"/>
  <c r="H269" i="1"/>
  <c r="H259" i="1"/>
  <c r="I259" i="1"/>
  <c r="H265" i="1"/>
  <c r="I265" i="1"/>
  <c r="H255" i="1"/>
  <c r="I255" i="1"/>
  <c r="H254" i="1"/>
  <c r="I254" i="1"/>
  <c r="H264" i="1"/>
  <c r="I264" i="1"/>
  <c r="E21" i="2" l="1"/>
  <c r="E20" i="2"/>
  <c r="E19" i="2"/>
  <c r="E15" i="2"/>
  <c r="E14" i="2"/>
  <c r="E10" i="2"/>
  <c r="E8" i="2"/>
  <c r="E23" i="2"/>
  <c r="E13" i="2"/>
  <c r="E16" i="2"/>
  <c r="E25" i="2"/>
  <c r="E27" i="2"/>
  <c r="E22" i="2"/>
  <c r="E18" i="2"/>
  <c r="E26" i="2"/>
  <c r="E9" i="2"/>
  <c r="E12" i="2"/>
  <c r="E28" i="2"/>
  <c r="E24" i="2"/>
  <c r="E11" i="2"/>
  <c r="E17" i="2"/>
  <c r="F13" i="2"/>
  <c r="F15" i="2"/>
  <c r="F23" i="2"/>
  <c r="F10" i="2"/>
  <c r="F11" i="2"/>
  <c r="F19" i="2"/>
  <c r="F24" i="2"/>
  <c r="F21" i="2"/>
  <c r="F28" i="2"/>
  <c r="F9" i="2"/>
  <c r="F17" i="2"/>
  <c r="F27" i="2"/>
  <c r="F22" i="2"/>
  <c r="F26" i="2"/>
  <c r="F16" i="2"/>
  <c r="F14" i="2"/>
  <c r="F25" i="2"/>
  <c r="F20" i="2"/>
  <c r="F12" i="2"/>
  <c r="F18" i="2"/>
  <c r="F8" i="2"/>
  <c r="J8" i="2" s="1"/>
  <c r="I10" i="2" l="1"/>
  <c r="I9" i="2"/>
  <c r="I8" i="2"/>
  <c r="K8" i="2" s="1"/>
  <c r="I7" i="2"/>
  <c r="I5" i="2"/>
  <c r="K5" i="2" s="1"/>
  <c r="I4" i="2"/>
  <c r="I12" i="2"/>
  <c r="I11" i="2"/>
  <c r="I6" i="2"/>
  <c r="J11" i="2"/>
  <c r="J5" i="2"/>
  <c r="J3" i="2"/>
  <c r="J7" i="2"/>
  <c r="J4" i="2"/>
  <c r="J6" i="2"/>
  <c r="J10" i="2"/>
  <c r="J9" i="2"/>
  <c r="J12" i="2"/>
  <c r="K3" i="2" l="1"/>
  <c r="I13" i="2"/>
  <c r="K9" i="2"/>
  <c r="K6" i="2"/>
  <c r="K11" i="2"/>
  <c r="J13" i="2"/>
  <c r="K10" i="2"/>
  <c r="K7" i="2"/>
  <c r="K4" i="2"/>
  <c r="K12" i="2"/>
  <c r="K13" i="2" l="1"/>
</calcChain>
</file>

<file path=xl/sharedStrings.xml><?xml version="1.0" encoding="utf-8"?>
<sst xmlns="http://schemas.openxmlformats.org/spreadsheetml/2006/main" count="598" uniqueCount="57">
  <si>
    <t>my_fi_name</t>
  </si>
  <si>
    <t>price_screen_bid</t>
  </si>
  <si>
    <t>price_screen_ask</t>
  </si>
  <si>
    <t>time</t>
  </si>
  <si>
    <t>ARKB</t>
  </si>
  <si>
    <t>2026-06-18_09-21-25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</si>
  <si>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</si>
  <si>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</si>
  <si>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</si>
  <si>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</si>
  <si>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</si>
  <si>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</si>
  <si>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</si>
  <si>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</si>
  <si>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</si>
  <si>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2026-06-18_09-36-25</t>
  </si>
  <si>
    <t>2026-06-18_09-51-25</t>
  </si>
  <si>
    <t>2026-06-18_10-06-25</t>
  </si>
  <si>
    <t>2026-06-18_10-21-25</t>
  </si>
  <si>
    <t>2026-06-18_10-36-25</t>
  </si>
  <si>
    <t>2026-06-18_10-51-25</t>
  </si>
  <si>
    <t>2026-06-18_11-06-25</t>
  </si>
  <si>
    <t>2026-06-18_11-21-25</t>
  </si>
  <si>
    <t>2026-06-18_11-36-25</t>
  </si>
  <si>
    <t>2026-06-18_11-51-25</t>
  </si>
  <si>
    <t>2026-06-18_12-06-25</t>
  </si>
  <si>
    <t>2026-06-18_12-21-25</t>
  </si>
  <si>
    <t>2026-06-18_12-36-25</t>
  </si>
  <si>
    <t>2026-06-18_12-51-25</t>
  </si>
  <si>
    <t>2026-06-18_13-06-25</t>
  </si>
  <si>
    <t>2026-06-18_13-21-25</t>
  </si>
  <si>
    <t>2026-06-18_13-36-25</t>
  </si>
  <si>
    <t>2026-06-18_13-51-25</t>
  </si>
  <si>
    <t>2026-06-18_14-06-25</t>
  </si>
  <si>
    <t>2026-06-18_14-21-25</t>
  </si>
  <si>
    <t>2026-06-18_14-36-25</t>
  </si>
  <si>
    <t>2026-06-18_14-51-25</t>
  </si>
  <si>
    <t>2026-06-18_15-06-25</t>
  </si>
  <si>
    <t>2026-06-18_15-21-25</t>
  </si>
  <si>
    <t>2026-06-18_15-36-25</t>
  </si>
  <si>
    <t>2026-06-18_15-51-25</t>
  </si>
  <si>
    <t>scalar</t>
  </si>
  <si>
    <t>adj</t>
  </si>
  <si>
    <t>adj scalar</t>
  </si>
  <si>
    <t>unit bid</t>
  </si>
  <si>
    <t>unit ask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</si>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</sst>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4" fontId="0" fillId="33" borderId="0" xfId="1" applyNumberFormat="1" applyFont="1" applyFill="1"/>
    <xf numFmtId="164" fontId="0" fillId="0" borderId="0" xfId="1" applyNumberFormat="1" applyFont="1"/>
    <xf numFmtId="44" fontId="0" fillId="0" borderId="0" xfId="2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5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96.422872453702" createdVersion="8" refreshedVersion="8" minRefreshableVersion="3" recordCount="270" xr:uid="{A870DD85-59D5-403D-8D83-EC77EEDF47CB}">
  <cacheSource type="worksheet">
    <worksheetSource name="table1"/>
  </cacheSource>
  <cacheFields count="9">
    <cacheField name="my_fi_name" numFmtId="0">
      <sharedItems/>
    </cacheField>
    <cacheField name="price_screen_bid" numFmtId="0">
      <sharedItems containsSemiMixedTypes="0" containsString="0" containsNumber="1" minValue="17.61" maxValue="67.67"/>
    </cacheField>
    <cacheField name="price_screen_ask" numFmtId="0">
      <sharedItems containsSemiMixedTypes="0" containsString="0" containsNumber="1" minValue="17.62" maxValue="68.36"/>
    </cacheField>
    <cacheField name="time" numFmtId="0">
      <sharedItems count="27">
        <s v="2026-06-18_09-21-25"/>
        <s v="2026-06-18_09-36-25"/>
        <s v="2026-06-18_09-51-25"/>
        <s v="2026-06-18_10-06-25"/>
        <s v="2026-06-18_10-21-25"/>
        <s v="2026-06-18_10-36-25"/>
        <s v="2026-06-18_10-51-25"/>
        <s v="2026-06-18_11-06-25"/>
        <s v="2026-06-18_11-21-25"/>
        <s v="2026-06-18_11-36-25"/>
        <s v="2026-06-18_11-51-25"/>
        <s v="2026-06-18_12-06-25"/>
        <s v="2026-06-18_12-21-25"/>
        <s v="2026-06-18_12-36-25"/>
        <s v="2026-06-18_12-51-25"/>
        <s v="2026-06-18_13-06-25"/>
        <s v="2026-06-18_13-21-25"/>
        <s v="2026-06-18_13-36-25"/>
        <s v="2026-06-18_13-51-25"/>
        <s v="2026-06-18_14-06-25"/>
        <s v="2026-06-18_14-21-25"/>
        <s v="2026-06-18_14-36-25"/>
        <s v="2026-06-18_14-51-25"/>
        <s v="2026-06-18_15-06-25"/>
        <s v="2026-06-18_15-21-25"/>
        <s v="2026-06-18_15-36-25"/>
        <s v="2026-06-18_15-51-25"/>
      </sharedItems>
    </cacheField>
    <cacheField name="scalar" numFmtId="164">
      <sharedItems containsSemiMixedTypes="0" containsString="0" containsNumber="1" minValue="946.12990000000002" maxValue="3546.5621999999998"/>
    </cacheField>
    <cacheField name="adj" numFmtId="164">
      <sharedItems containsSemiMixedTypes="0" containsString="0" containsNumber="1" minValue="-0.1" maxValue="0.05"/>
    </cacheField>
    <cacheField name="adj scalar" numFmtId="164">
      <sharedItems containsSemiMixedTypes="0" containsString="0" containsNumber="1" minValue="946.12990000000002" maxValue="3546.5621999999998"/>
    </cacheField>
    <cacheField name="unit bid" numFmtId="44">
      <sharedItems containsSemiMixedTypes="0" containsString="0" containsNumber="1" minValue="62454.960341999998" maxValue="64338.638210000005"/>
    </cacheField>
    <cacheField name="unit ask" numFmtId="44">
      <sharedItems containsSemiMixedTypes="0" containsString="0" containsNumber="1" minValue="62490.425964000002" maxValue="64677.439963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s v="ARKB"/>
    <n v="21.34"/>
    <n v="21.35"/>
    <x v="0"/>
    <n v="3014.9315000000001"/>
    <n v="0"/>
    <n v="3014.9315000000001"/>
    <n v="64338.638210000005"/>
    <n v="64368.787525000007"/>
  </r>
  <r>
    <s v="BITB"/>
    <n v="34.92"/>
    <n v="34.94"/>
    <x v="0"/>
    <n v="1842.1104"/>
    <n v="0"/>
    <n v="1842.1104"/>
    <n v="64326.495168000001"/>
    <n v="64363.337375999996"/>
  </r>
  <r>
    <s v="BRRR"/>
    <n v="18.14"/>
    <n v="18.149999999999999"/>
    <x v="0"/>
    <n v="3546.5621999999998"/>
    <n v="0"/>
    <n v="3546.5621999999998"/>
    <n v="64334.638308000001"/>
    <n v="64370.10392999999"/>
  </r>
  <r>
    <s v="BTC"/>
    <n v="28.45"/>
    <n v="28.47"/>
    <x v="0"/>
    <n v="2261.3323"/>
    <n v="-0.1"/>
    <n v="2261.2323000000001"/>
    <n v="64332.058935000001"/>
    <n v="64377.283581000003"/>
  </r>
  <r>
    <s v="BTCW"/>
    <n v="67.66"/>
    <n v="68.36"/>
    <x v="0"/>
    <n v="946.12990000000002"/>
    <n v="0"/>
    <n v="946.12990000000002"/>
    <n v="64015.149033999995"/>
    <n v="64677.439963999997"/>
  </r>
  <r>
    <s v="EZBC"/>
    <n v="37.17"/>
    <n v="37.200000000000003"/>
    <x v="0"/>
    <n v="1730.2188000000001"/>
    <n v="0"/>
    <n v="1730.2188000000001"/>
    <n v="64312.232796000004"/>
    <n v="64364.139360000008"/>
  </r>
  <r>
    <s v="FBTC"/>
    <n v="55.98"/>
    <n v="56.02"/>
    <x v="0"/>
    <n v="1148.8453"/>
    <n v="0"/>
    <n v="1148.8453"/>
    <n v="64312.359893999994"/>
    <n v="64358.313706000001"/>
  </r>
  <r>
    <s v="GBTC"/>
    <n v="49.9"/>
    <n v="49.93"/>
    <x v="0"/>
    <n v="1289.0084999999999"/>
    <n v="0.05"/>
    <n v="1289.0584999999999"/>
    <n v="64324.019149999993"/>
    <n v="64362.690904999996"/>
  </r>
  <r>
    <s v="HODL"/>
    <n v="18.190000000000001"/>
    <n v="18.2"/>
    <x v="0"/>
    <n v="3535.8029000000001"/>
    <n v="0"/>
    <n v="3535.8029000000001"/>
    <n v="64316.254751000008"/>
    <n v="64351.612780000003"/>
  </r>
  <r>
    <s v="IBIT"/>
    <n v="36.44"/>
    <n v="36.44"/>
    <x v="0"/>
    <n v="1765.0472"/>
    <n v="0"/>
    <n v="1765.0472"/>
    <n v="64318.319967999996"/>
    <n v="64318.319967999996"/>
  </r>
  <r>
    <s v="ARKB"/>
    <n v="21.22"/>
    <n v="21.23"/>
    <x v="1"/>
    <n v="3014.9315000000001"/>
    <n v="0"/>
    <n v="3014.9315000000001"/>
    <n v="63976.846429999998"/>
    <n v="64006.995745000007"/>
  </r>
  <r>
    <s v="BITB"/>
    <n v="34.729999999999997"/>
    <n v="34.74"/>
    <x v="1"/>
    <n v="1842.1104"/>
    <n v="0"/>
    <n v="1842.1104"/>
    <n v="63976.494191999998"/>
    <n v="63994.915296000006"/>
  </r>
  <r>
    <s v="BRRR"/>
    <n v="18.04"/>
    <n v="18.05"/>
    <x v="1"/>
    <n v="3546.5621999999998"/>
    <n v="0"/>
    <n v="3546.5621999999998"/>
    <n v="63979.982087999997"/>
    <n v="64015.44771"/>
  </r>
  <r>
    <s v="BTC"/>
    <n v="28.29"/>
    <n v="28.3"/>
    <x v="1"/>
    <n v="2261.3323"/>
    <n v="-0.1"/>
    <n v="2261.2323000000001"/>
    <n v="63970.261767000004"/>
    <n v="63992.874090000005"/>
  </r>
  <r>
    <s v="BTCW"/>
    <n v="67.61"/>
    <n v="67.680000000000007"/>
    <x v="1"/>
    <n v="946.12990000000002"/>
    <n v="0"/>
    <n v="946.12990000000002"/>
    <n v="63967.842538999997"/>
    <n v="64034.071632000007"/>
  </r>
  <r>
    <s v="EZBC"/>
    <n v="36.979999999999997"/>
    <n v="36.99"/>
    <x v="1"/>
    <n v="1730.2188000000001"/>
    <n v="0"/>
    <n v="1730.2188000000001"/>
    <n v="63983.491223999998"/>
    <n v="64000.793412000006"/>
  </r>
  <r>
    <s v="FBTC"/>
    <n v="55.69"/>
    <n v="55.71"/>
    <x v="1"/>
    <n v="1148.8453"/>
    <n v="0"/>
    <n v="1148.8453"/>
    <n v="63979.194756999997"/>
    <n v="64002.171663000001"/>
  </r>
  <r>
    <s v="GBTC"/>
    <n v="49.65"/>
    <n v="49.66"/>
    <x v="1"/>
    <n v="1289.0084999999999"/>
    <n v="0.05"/>
    <n v="1289.0584999999999"/>
    <n v="64001.754524999989"/>
    <n v="64014.64510999999"/>
  </r>
  <r>
    <s v="HODL"/>
    <n v="18.09"/>
    <n v="18.100000000000001"/>
    <x v="1"/>
    <n v="3535.8029000000001"/>
    <n v="0"/>
    <n v="3535.8029000000001"/>
    <n v="63962.674461000002"/>
    <n v="63998.032490000005"/>
  </r>
  <r>
    <s v="IBIT"/>
    <n v="36.24"/>
    <n v="36.25"/>
    <x v="1"/>
    <n v="1765.0472"/>
    <n v="0"/>
    <n v="1765.0472"/>
    <n v="63965.310528000002"/>
    <n v="63982.960999999996"/>
  </r>
  <r>
    <s v="ARKB"/>
    <n v="21.24"/>
    <n v="21.25"/>
    <x v="2"/>
    <n v="3014.9315000000001"/>
    <n v="0"/>
    <n v="3014.9315000000001"/>
    <n v="64037.145059999995"/>
    <n v="64067.294375000005"/>
  </r>
  <r>
    <s v="BITB"/>
    <n v="34.770000000000003"/>
    <n v="34.78"/>
    <x v="2"/>
    <n v="1842.1104"/>
    <n v="0"/>
    <n v="1842.1104"/>
    <n v="64050.178608000009"/>
    <n v="64068.599712000003"/>
  </r>
  <r>
    <s v="BRRR"/>
    <n v="18.05"/>
    <n v="18.059999999999999"/>
    <x v="2"/>
    <n v="3546.5621999999998"/>
    <n v="0"/>
    <n v="3546.5621999999998"/>
    <n v="64015.44771"/>
    <n v="64050.913331999989"/>
  </r>
  <r>
    <s v="BTC"/>
    <n v="28.32"/>
    <n v="28.33"/>
    <x v="2"/>
    <n v="2261.3323"/>
    <n v="-0.1"/>
    <n v="2261.2323000000001"/>
    <n v="64038.098736000007"/>
    <n v="64060.711059000001"/>
  </r>
  <r>
    <s v="BTCW"/>
    <n v="67.67"/>
    <n v="67.77"/>
    <x v="2"/>
    <n v="946.12990000000002"/>
    <n v="0"/>
    <n v="946.12990000000002"/>
    <n v="64024.610333000004"/>
    <n v="64119.223322999998"/>
  </r>
  <r>
    <s v="EZBC"/>
    <n v="37.01"/>
    <n v="37.04"/>
    <x v="2"/>
    <n v="1730.2188000000001"/>
    <n v="0"/>
    <n v="1730.2188000000001"/>
    <n v="64035.397788000002"/>
    <n v="64087.304351999999"/>
  </r>
  <r>
    <s v="FBTC"/>
    <n v="55.75"/>
    <n v="55.76"/>
    <x v="2"/>
    <n v="1148.8453"/>
    <n v="0"/>
    <n v="1148.8453"/>
    <n v="64048.125475000001"/>
    <n v="64059.613927999992"/>
  </r>
  <r>
    <s v="GBTC"/>
    <n v="49.7"/>
    <n v="49.71"/>
    <x v="2"/>
    <n v="1289.0084999999999"/>
    <n v="0.05"/>
    <n v="1289.0584999999999"/>
    <n v="64066.207449999994"/>
    <n v="64079.098034999995"/>
  </r>
  <r>
    <s v="HODL"/>
    <n v="18.11"/>
    <n v="18.12"/>
    <x v="2"/>
    <n v="3535.8029000000001"/>
    <n v="0"/>
    <n v="3535.8029000000001"/>
    <n v="64033.390519"/>
    <n v="64068.748548000003"/>
  </r>
  <r>
    <s v="IBIT"/>
    <n v="36.270000000000003"/>
    <n v="36.28"/>
    <x v="2"/>
    <n v="1765.0472"/>
    <n v="0"/>
    <n v="1765.0472"/>
    <n v="64018.261944000005"/>
    <n v="64035.912415999999"/>
  </r>
  <r>
    <s v="ARKB"/>
    <n v="21.18"/>
    <n v="21.19"/>
    <x v="3"/>
    <n v="3014.9315000000001"/>
    <n v="0"/>
    <n v="3014.9315000000001"/>
    <n v="63856.249170000003"/>
    <n v="63886.398485000005"/>
  </r>
  <r>
    <s v="BITB"/>
    <n v="34.67"/>
    <n v="34.68"/>
    <x v="3"/>
    <n v="1842.1104"/>
    <n v="0"/>
    <n v="1842.1104"/>
    <n v="63865.967568000007"/>
    <n v="63884.388672000001"/>
  </r>
  <r>
    <s v="BRRR"/>
    <n v="18.010000000000002"/>
    <n v="18.02"/>
    <x v="3"/>
    <n v="3546.5621999999998"/>
    <n v="0"/>
    <n v="3546.5621999999998"/>
    <n v="63873.585222000002"/>
    <n v="63909.050843999998"/>
  </r>
  <r>
    <s v="BTC"/>
    <n v="28.25"/>
    <n v="28.26"/>
    <x v="3"/>
    <n v="2261.3323"/>
    <n v="-0.1"/>
    <n v="2261.2323000000001"/>
    <n v="63879.812475000006"/>
    <n v="63902.424798000007"/>
  </r>
  <r>
    <s v="BTCW"/>
    <n v="67.45"/>
    <n v="67.56"/>
    <x v="3"/>
    <n v="946.12990000000002"/>
    <n v="0"/>
    <n v="946.12990000000002"/>
    <n v="63816.461755000004"/>
    <n v="63920.536044"/>
  </r>
  <r>
    <s v="EZBC"/>
    <n v="36.909999999999997"/>
    <n v="36.93"/>
    <x v="3"/>
    <n v="1730.2188000000001"/>
    <n v="0"/>
    <n v="1730.2188000000001"/>
    <n v="63862.375907999995"/>
    <n v="63896.980284000005"/>
  </r>
  <r>
    <s v="FBTC"/>
    <n v="55.59"/>
    <n v="55.6"/>
    <x v="3"/>
    <n v="1148.8453"/>
    <n v="0"/>
    <n v="1148.8453"/>
    <n v="63864.310227000002"/>
    <n v="63875.79868"/>
  </r>
  <r>
    <s v="GBTC"/>
    <n v="49.56"/>
    <n v="49.57"/>
    <x v="3"/>
    <n v="1289.0084999999999"/>
    <n v="0.05"/>
    <n v="1289.0584999999999"/>
    <n v="63885.739259999995"/>
    <n v="63898.629844999996"/>
  </r>
  <r>
    <s v="HODL"/>
    <n v="18.059999999999999"/>
    <n v="18.07"/>
    <x v="3"/>
    <n v="3535.8029000000001"/>
    <n v="0"/>
    <n v="3535.8029000000001"/>
    <n v="63856.600374000001"/>
    <n v="63891.958403000004"/>
  </r>
  <r>
    <s v="IBIT"/>
    <n v="36.17"/>
    <n v="36.18"/>
    <x v="3"/>
    <n v="1765.0472"/>
    <n v="0"/>
    <n v="1765.0472"/>
    <n v="63841.757224000001"/>
    <n v="63859.407696000002"/>
  </r>
  <r>
    <s v="ARKB"/>
    <n v="21.2"/>
    <n v="21.21"/>
    <x v="4"/>
    <n v="3014.9315000000001"/>
    <n v="0"/>
    <n v="3014.9315000000001"/>
    <n v="63916.5478"/>
    <n v="63946.697115000003"/>
  </r>
  <r>
    <s v="BITB"/>
    <n v="34.69"/>
    <n v="34.700000000000003"/>
    <x v="4"/>
    <n v="1842.1104"/>
    <n v="0"/>
    <n v="1842.1104"/>
    <n v="63902.809775999995"/>
    <n v="63921.230880000003"/>
  </r>
  <r>
    <s v="BRRR"/>
    <n v="18.02"/>
    <n v="18.03"/>
    <x v="4"/>
    <n v="3546.5621999999998"/>
    <n v="0"/>
    <n v="3546.5621999999998"/>
    <n v="63909.050843999998"/>
    <n v="63944.516466000001"/>
  </r>
  <r>
    <s v="BTC"/>
    <n v="28.27"/>
    <n v="28.28"/>
    <x v="4"/>
    <n v="2261.3323"/>
    <n v="-0.1"/>
    <n v="2261.2323000000001"/>
    <n v="63925.037121000001"/>
    <n v="63947.64944400001"/>
  </r>
  <r>
    <s v="BTCW"/>
    <n v="67.53"/>
    <n v="67.62"/>
    <x v="4"/>
    <n v="946.12990000000002"/>
    <n v="0"/>
    <n v="946.12990000000002"/>
    <n v="63892.152147000001"/>
    <n v="63977.303838000007"/>
  </r>
  <r>
    <s v="EZBC"/>
    <n v="36.93"/>
    <n v="36.96"/>
    <x v="4"/>
    <n v="1730.2188000000001"/>
    <n v="0"/>
    <n v="1730.2188000000001"/>
    <n v="63896.980284000005"/>
    <n v="63948.886848000002"/>
  </r>
  <r>
    <s v="FBTC"/>
    <n v="55.63"/>
    <n v="55.64"/>
    <x v="4"/>
    <n v="1148.8453"/>
    <n v="0"/>
    <n v="1148.8453"/>
    <n v="63910.264039000002"/>
    <n v="63921.752492"/>
  </r>
  <r>
    <s v="GBTC"/>
    <n v="49.58"/>
    <n v="49.59"/>
    <x v="4"/>
    <n v="1289.0084999999999"/>
    <n v="0.05"/>
    <n v="1289.0584999999999"/>
    <n v="63911.52042999999"/>
    <n v="63924.411014999998"/>
  </r>
  <r>
    <s v="HODL"/>
    <n v="18.07"/>
    <n v="18.079999999999998"/>
    <x v="4"/>
    <n v="3535.8029000000001"/>
    <n v="0"/>
    <n v="3535.8029000000001"/>
    <n v="63891.958403000004"/>
    <n v="63927.316432"/>
  </r>
  <r>
    <s v="IBIT"/>
    <n v="36.200000000000003"/>
    <n v="36.21"/>
    <x v="4"/>
    <n v="1765.0472"/>
    <n v="0"/>
    <n v="1765.0472"/>
    <n v="63894.708640000004"/>
    <n v="63912.359111999998"/>
  </r>
  <r>
    <s v="ARKB"/>
    <n v="21.16"/>
    <n v="21.17"/>
    <x v="5"/>
    <n v="3014.9315000000001"/>
    <n v="0"/>
    <n v="3014.9315000000001"/>
    <n v="63795.950540000005"/>
    <n v="63826.099855000008"/>
  </r>
  <r>
    <s v="BITB"/>
    <n v="34.64"/>
    <n v="34.65"/>
    <x v="5"/>
    <n v="1842.1104"/>
    <n v="0"/>
    <n v="1842.1104"/>
    <n v="63810.704256000005"/>
    <n v="63829.125359999998"/>
  </r>
  <r>
    <s v="BRRR"/>
    <n v="17.98"/>
    <n v="17.989999999999998"/>
    <x v="5"/>
    <n v="3546.5621999999998"/>
    <n v="0"/>
    <n v="3546.5621999999998"/>
    <n v="63767.188355999999"/>
    <n v="63802.653977999995"/>
  </r>
  <r>
    <s v="BTC"/>
    <n v="28.21"/>
    <n v="28.22"/>
    <x v="5"/>
    <n v="2261.3323"/>
    <n v="-0.1"/>
    <n v="2261.2323000000001"/>
    <n v="63789.363183000009"/>
    <n v="63811.975506000002"/>
  </r>
  <r>
    <s v="BTCW"/>
    <n v="67.400000000000006"/>
    <n v="67.5"/>
    <x v="5"/>
    <n v="946.12990000000002"/>
    <n v="0"/>
    <n v="946.12990000000002"/>
    <n v="63769.155260000007"/>
    <n v="63863.768250000001"/>
  </r>
  <r>
    <s v="EZBC"/>
    <n v="36.86"/>
    <n v="36.880000000000003"/>
    <x v="5"/>
    <n v="1730.2188000000001"/>
    <n v="0"/>
    <n v="1730.2188000000001"/>
    <n v="63775.864968000002"/>
    <n v="63810.469344000005"/>
  </r>
  <r>
    <s v="FBTC"/>
    <n v="55.52"/>
    <n v="55.53"/>
    <x v="5"/>
    <n v="1148.8453"/>
    <n v="0"/>
    <n v="1148.8453"/>
    <n v="63783.891056"/>
    <n v="63795.379508999999"/>
  </r>
  <r>
    <s v="GBTC"/>
    <n v="49.5"/>
    <n v="49.51"/>
    <x v="5"/>
    <n v="1289.0084999999999"/>
    <n v="0.05"/>
    <n v="1289.0584999999999"/>
    <n v="63808.395749999996"/>
    <n v="63821.28633499999"/>
  </r>
  <r>
    <s v="HODL"/>
    <n v="18.03"/>
    <n v="18.04"/>
    <x v="5"/>
    <n v="3535.8029000000001"/>
    <n v="0"/>
    <n v="3535.8029000000001"/>
    <n v="63750.526287000008"/>
    <n v="63785.884315999996"/>
  </r>
  <r>
    <s v="IBIT"/>
    <n v="36.14"/>
    <n v="36.15"/>
    <x v="5"/>
    <n v="1765.0472"/>
    <n v="0"/>
    <n v="1765.0472"/>
    <n v="63788.805807999997"/>
    <n v="63806.456279999999"/>
  </r>
  <r>
    <s v="ARKB"/>
    <n v="21.15"/>
    <n v="21.16"/>
    <x v="6"/>
    <n v="3014.9315000000001"/>
    <n v="0"/>
    <n v="3014.9315000000001"/>
    <n v="63765.801224999996"/>
    <n v="63795.950540000005"/>
  </r>
  <r>
    <s v="BITB"/>
    <n v="34.619999999999997"/>
    <n v="34.630000000000003"/>
    <x v="6"/>
    <n v="1842.1104"/>
    <n v="0"/>
    <n v="1842.1104"/>
    <n v="63773.862047999995"/>
    <n v="63792.283152000004"/>
  </r>
  <r>
    <s v="BRRR"/>
    <n v="17.98"/>
    <n v="17.989999999999998"/>
    <x v="6"/>
    <n v="3546.5621999999998"/>
    <n v="0"/>
    <n v="3546.5621999999998"/>
    <n v="63767.188355999999"/>
    <n v="63802.653977999995"/>
  </r>
  <r>
    <s v="BTC"/>
    <n v="28.2"/>
    <n v="28.21"/>
    <x v="6"/>
    <n v="2261.3323"/>
    <n v="-0.1"/>
    <n v="2261.2323000000001"/>
    <n v="63766.75086"/>
    <n v="63789.363183000009"/>
  </r>
  <r>
    <s v="BTCW"/>
    <n v="67.400000000000006"/>
    <n v="67.47"/>
    <x v="6"/>
    <n v="946.12990000000002"/>
    <n v="0"/>
    <n v="946.12990000000002"/>
    <n v="63769.155260000007"/>
    <n v="63835.384353000001"/>
  </r>
  <r>
    <s v="EZBC"/>
    <n v="36.85"/>
    <n v="36.869999999999997"/>
    <x v="6"/>
    <n v="1730.2188000000001"/>
    <n v="0"/>
    <n v="1730.2188000000001"/>
    <n v="63758.562780000007"/>
    <n v="63793.167155999996"/>
  </r>
  <r>
    <s v="FBTC"/>
    <n v="55.49"/>
    <n v="55.5"/>
    <x v="6"/>
    <n v="1148.8453"/>
    <n v="0"/>
    <n v="1148.8453"/>
    <n v="63749.425696999999"/>
    <n v="63760.914149999997"/>
  </r>
  <r>
    <s v="GBTC"/>
    <n v="49.47"/>
    <n v="49.48"/>
    <x v="6"/>
    <n v="1289.0084999999999"/>
    <n v="0.05"/>
    <n v="1289.0584999999999"/>
    <n v="63769.723994999993"/>
    <n v="63782.614579999987"/>
  </r>
  <r>
    <s v="HODL"/>
    <n v="18.03"/>
    <n v="18.04"/>
    <x v="6"/>
    <n v="3535.8029000000001"/>
    <n v="0"/>
    <n v="3535.8029000000001"/>
    <n v="63750.526287000008"/>
    <n v="63785.884315999996"/>
  </r>
  <r>
    <s v="IBIT"/>
    <n v="36.119999999999997"/>
    <n v="36.130000000000003"/>
    <x v="6"/>
    <n v="1765.0472"/>
    <n v="0"/>
    <n v="1765.0472"/>
    <n v="63753.504863999995"/>
    <n v="63771.155336000003"/>
  </r>
  <r>
    <s v="ARKB"/>
    <n v="21.08"/>
    <n v="21.09"/>
    <x v="7"/>
    <n v="3014.9315000000001"/>
    <n v="0"/>
    <n v="3014.9315000000001"/>
    <n v="63554.756020000001"/>
    <n v="63584.905335000003"/>
  </r>
  <r>
    <s v="BITB"/>
    <n v="34.51"/>
    <n v="34.51"/>
    <x v="7"/>
    <n v="1842.1104"/>
    <n v="0"/>
    <n v="1842.1104"/>
    <n v="63571.229904"/>
    <n v="63571.229904"/>
  </r>
  <r>
    <s v="BRRR"/>
    <n v="17.920000000000002"/>
    <n v="17.93"/>
    <x v="7"/>
    <n v="3546.5621999999998"/>
    <n v="0"/>
    <n v="3546.5621999999998"/>
    <n v="63554.394624"/>
    <n v="63589.860245999997"/>
  </r>
  <r>
    <s v="BTC"/>
    <n v="28.11"/>
    <n v="28.12"/>
    <x v="7"/>
    <n v="2261.3323"/>
    <n v="-0.1"/>
    <n v="2261.2323000000001"/>
    <n v="63563.239953000004"/>
    <n v="63585.852276000005"/>
  </r>
  <r>
    <s v="BTCW"/>
    <n v="67.13"/>
    <n v="67.239999999999995"/>
    <x v="7"/>
    <n v="946.12990000000002"/>
    <n v="0"/>
    <n v="946.12990000000002"/>
    <n v="63513.700186999995"/>
    <n v="63617.774475999999"/>
  </r>
  <r>
    <s v="EZBC"/>
    <n v="36.729999999999997"/>
    <n v="36.75"/>
    <x v="7"/>
    <n v="1730.2188000000001"/>
    <n v="0"/>
    <n v="1730.2188000000001"/>
    <n v="63550.936523999997"/>
    <n v="63585.540900000007"/>
  </r>
  <r>
    <s v="FBTC"/>
    <n v="55.31"/>
    <n v="55.32"/>
    <x v="7"/>
    <n v="1148.8453"/>
    <n v="0"/>
    <n v="1148.8453"/>
    <n v="63542.633543000004"/>
    <n v="63554.121995999994"/>
  </r>
  <r>
    <s v="GBTC"/>
    <n v="49.32"/>
    <n v="49.33"/>
    <x v="7"/>
    <n v="1289.0084999999999"/>
    <n v="0.05"/>
    <n v="1289.0584999999999"/>
    <n v="63576.365219999992"/>
    <n v="63589.255804999993"/>
  </r>
  <r>
    <s v="HODL"/>
    <n v="17.97"/>
    <n v="17.98"/>
    <x v="7"/>
    <n v="3535.8029000000001"/>
    <n v="0"/>
    <n v="3535.8029000000001"/>
    <n v="63538.378112999999"/>
    <n v="63573.736142000002"/>
  </r>
  <r>
    <s v="IBIT"/>
    <n v="36"/>
    <n v="36.01"/>
    <x v="7"/>
    <n v="1765.0472"/>
    <n v="0"/>
    <n v="1765.0472"/>
    <n v="63541.699200000003"/>
    <n v="63559.349671999997"/>
  </r>
  <r>
    <s v="ARKB"/>
    <n v="20.99"/>
    <n v="21"/>
    <x v="8"/>
    <n v="3014.9315000000001"/>
    <n v="0"/>
    <n v="3014.9315000000001"/>
    <n v="63283.412185000001"/>
    <n v="63313.561500000003"/>
  </r>
  <r>
    <s v="BITB"/>
    <n v="34.369999999999997"/>
    <n v="34.380000000000003"/>
    <x v="8"/>
    <n v="1842.1104"/>
    <n v="0"/>
    <n v="1842.1104"/>
    <n v="63313.334447999994"/>
    <n v="63331.755552000002"/>
  </r>
  <r>
    <s v="BRRR"/>
    <n v="17.84"/>
    <n v="17.850000000000001"/>
    <x v="8"/>
    <n v="3546.5621999999998"/>
    <n v="0"/>
    <n v="3546.5621999999998"/>
    <n v="63270.669647999996"/>
    <n v="63306.135269999999"/>
  </r>
  <r>
    <s v="BTC"/>
    <n v="27.99"/>
    <n v="28"/>
    <x v="8"/>
    <n v="2261.3323"/>
    <n v="-0.1"/>
    <n v="2261.2323000000001"/>
    <n v="63291.892076999997"/>
    <n v="63314.504400000005"/>
  </r>
  <r>
    <s v="BTCW"/>
    <n v="66.89"/>
    <n v="66.98"/>
    <x v="8"/>
    <n v="946.12990000000002"/>
    <n v="0"/>
    <n v="946.12990000000002"/>
    <n v="63286.629011000005"/>
    <n v="63371.780702000004"/>
  </r>
  <r>
    <s v="EZBC"/>
    <n v="36.57"/>
    <n v="36.61"/>
    <x v="8"/>
    <n v="1730.2188000000001"/>
    <n v="0"/>
    <n v="1730.2188000000001"/>
    <n v="63274.101516000002"/>
    <n v="63343.310268000001"/>
  </r>
  <r>
    <s v="FBTC"/>
    <n v="55.09"/>
    <n v="55.1"/>
    <x v="8"/>
    <n v="1148.8453"/>
    <n v="0"/>
    <n v="1148.8453"/>
    <n v="63289.887577000001"/>
    <n v="63301.376029999999"/>
  </r>
  <r>
    <s v="GBTC"/>
    <n v="49.12"/>
    <n v="49.13"/>
    <x v="8"/>
    <n v="1289.0084999999999"/>
    <n v="0.05"/>
    <n v="1289.0584999999999"/>
    <n v="63318.553519999987"/>
    <n v="63331.444104999995"/>
  </r>
  <r>
    <s v="HODL"/>
    <n v="17.899999999999999"/>
    <n v="17.91"/>
    <x v="8"/>
    <n v="3535.8029000000001"/>
    <n v="0"/>
    <n v="3535.8029000000001"/>
    <n v="63290.871909999994"/>
    <n v="63326.229939000004"/>
  </r>
  <r>
    <s v="IBIT"/>
    <n v="35.85"/>
    <n v="35.86"/>
    <x v="8"/>
    <n v="1765.0472"/>
    <n v="0"/>
    <n v="1765.0472"/>
    <n v="63276.94212"/>
    <n v="63294.592592000001"/>
  </r>
  <r>
    <s v="ARKB"/>
    <n v="20.92"/>
    <n v="20.93"/>
    <x v="9"/>
    <n v="3014.9315000000001"/>
    <n v="0"/>
    <n v="3014.9315000000001"/>
    <n v="63072.366980000006"/>
    <n v="63102.516295000001"/>
  </r>
  <r>
    <s v="BITB"/>
    <n v="34.24"/>
    <n v="34.25"/>
    <x v="9"/>
    <n v="1842.1104"/>
    <n v="0"/>
    <n v="1842.1104"/>
    <n v="63073.860096000004"/>
    <n v="63092.281199999998"/>
  </r>
  <r>
    <s v="BRRR"/>
    <n v="17.78"/>
    <n v="17.79"/>
    <x v="9"/>
    <n v="3546.5621999999998"/>
    <n v="0"/>
    <n v="3546.5621999999998"/>
    <n v="63057.875916000005"/>
    <n v="63093.341537999993"/>
  </r>
  <r>
    <s v="BTC"/>
    <n v="27.9"/>
    <n v="27.91"/>
    <x v="9"/>
    <n v="2261.3323"/>
    <n v="-0.1"/>
    <n v="2261.2323000000001"/>
    <n v="63088.381170000001"/>
    <n v="63110.993493000002"/>
  </r>
  <r>
    <s v="BTCW"/>
    <n v="66.66"/>
    <n v="66.73"/>
    <x v="9"/>
    <n v="946.12990000000002"/>
    <n v="0"/>
    <n v="946.12990000000002"/>
    <n v="63069.019133999995"/>
    <n v="63135.248227000004"/>
  </r>
  <r>
    <s v="EZBC"/>
    <n v="36.450000000000003"/>
    <n v="36.479999999999997"/>
    <x v="9"/>
    <n v="1730.2188000000001"/>
    <n v="0"/>
    <n v="1730.2188000000001"/>
    <n v="63066.475260000007"/>
    <n v="63118.381823999996"/>
  </r>
  <r>
    <s v="FBTC"/>
    <n v="54.9"/>
    <n v="54.91"/>
    <x v="9"/>
    <n v="1148.8453"/>
    <n v="0"/>
    <n v="1148.8453"/>
    <n v="63071.606969999993"/>
    <n v="63083.095422999992"/>
  </r>
  <r>
    <s v="GBTC"/>
    <n v="48.95"/>
    <n v="48.96"/>
    <x v="9"/>
    <n v="1289.0084999999999"/>
    <n v="0.05"/>
    <n v="1289.0584999999999"/>
    <n v="63099.413574999999"/>
    <n v="63112.304159999992"/>
  </r>
  <r>
    <s v="HODL"/>
    <n v="17.84"/>
    <n v="17.850000000000001"/>
    <x v="9"/>
    <n v="3535.8029000000001"/>
    <n v="0"/>
    <n v="3535.8029000000001"/>
    <n v="63078.723736"/>
    <n v="63114.08176500001"/>
  </r>
  <r>
    <s v="IBIT"/>
    <n v="35.729999999999997"/>
    <n v="35.74"/>
    <x v="9"/>
    <n v="1765.0472"/>
    <n v="0"/>
    <n v="1765.0472"/>
    <n v="63065.136455999993"/>
    <n v="63082.786928000001"/>
  </r>
  <r>
    <s v="ARKB"/>
    <n v="20.74"/>
    <n v="20.75"/>
    <x v="10"/>
    <n v="3014.9315000000001"/>
    <n v="0"/>
    <n v="3014.9315000000001"/>
    <n v="62529.67931"/>
    <n v="62559.828625000002"/>
  </r>
  <r>
    <s v="BITB"/>
    <n v="33.94"/>
    <n v="33.950000000000003"/>
    <x v="10"/>
    <n v="1842.1104"/>
    <n v="0"/>
    <n v="1842.1104"/>
    <n v="62521.226975999998"/>
    <n v="62539.648080000006"/>
  </r>
  <r>
    <s v="BRRR"/>
    <n v="17.62"/>
    <n v="17.63"/>
    <x v="10"/>
    <n v="3546.5621999999998"/>
    <n v="0"/>
    <n v="3546.5621999999998"/>
    <n v="62490.425964000002"/>
    <n v="62525.891585999991"/>
  </r>
  <r>
    <s v="BTC"/>
    <n v="27.65"/>
    <n v="27.66"/>
    <x v="10"/>
    <n v="2261.3323"/>
    <n v="-0.1"/>
    <n v="2261.2323000000001"/>
    <n v="62523.073095"/>
    <n v="62545.685418000001"/>
  </r>
  <r>
    <s v="BTCW"/>
    <n v="66.06"/>
    <n v="66.16"/>
    <x v="10"/>
    <n v="946.12990000000002"/>
    <n v="0"/>
    <n v="946.12990000000002"/>
    <n v="62501.341194000001"/>
    <n v="62595.954183999995"/>
  </r>
  <r>
    <s v="EZBC"/>
    <n v="36.130000000000003"/>
    <n v="36.17"/>
    <x v="10"/>
    <n v="1730.2188000000001"/>
    <n v="0"/>
    <n v="1730.2188000000001"/>
    <n v="62512.80524400001"/>
    <n v="62582.013996000009"/>
  </r>
  <r>
    <s v="FBTC"/>
    <n v="54.41"/>
    <n v="54.43"/>
    <x v="10"/>
    <n v="1148.8453"/>
    <n v="0"/>
    <n v="1148.8453"/>
    <n v="62508.672772999991"/>
    <n v="62531.649678999995"/>
  </r>
  <r>
    <s v="GBTC"/>
    <n v="48.53"/>
    <n v="48.54"/>
    <x v="10"/>
    <n v="1289.0084999999999"/>
    <n v="0.05"/>
    <n v="1289.0584999999999"/>
    <n v="62558.009004999993"/>
    <n v="62570.899589999994"/>
  </r>
  <r>
    <s v="HODL"/>
    <n v="17.68"/>
    <n v="17.690000000000001"/>
    <x v="10"/>
    <n v="3535.8029000000001"/>
    <n v="0"/>
    <n v="3535.8029000000001"/>
    <n v="62512.995272"/>
    <n v="62548.35330100001"/>
  </r>
  <r>
    <s v="IBIT"/>
    <n v="35.42"/>
    <n v="35.43"/>
    <x v="10"/>
    <n v="1765.0472"/>
    <n v="0"/>
    <n v="1765.0472"/>
    <n v="62517.971824"/>
    <n v="62535.622296000001"/>
  </r>
  <r>
    <s v="ARKB"/>
    <n v="20.75"/>
    <n v="20.76"/>
    <x v="11"/>
    <n v="3014.9315000000001"/>
    <n v="0"/>
    <n v="3014.9315000000001"/>
    <n v="62559.828625000002"/>
    <n v="62589.977940000004"/>
  </r>
  <r>
    <s v="BITB"/>
    <n v="33.96"/>
    <n v="33.97"/>
    <x v="11"/>
    <n v="1842.1104"/>
    <n v="0"/>
    <n v="1842.1104"/>
    <n v="62558.069184"/>
    <n v="62576.490288000001"/>
  </r>
  <r>
    <s v="BRRR"/>
    <n v="17.63"/>
    <n v="17.64"/>
    <x v="11"/>
    <n v="3546.5621999999998"/>
    <n v="0"/>
    <n v="3546.5621999999998"/>
    <n v="62525.891585999991"/>
    <n v="62561.357208000001"/>
  </r>
  <r>
    <s v="BTC"/>
    <n v="27.67"/>
    <n v="27.68"/>
    <x v="11"/>
    <n v="2261.3323"/>
    <n v="-0.1"/>
    <n v="2261.2323000000001"/>
    <n v="62568.297741000009"/>
    <n v="62590.910064000003"/>
  </r>
  <r>
    <s v="BTCW"/>
    <n v="66.12"/>
    <n v="66.19"/>
    <x v="11"/>
    <n v="946.12990000000002"/>
    <n v="0"/>
    <n v="946.12990000000002"/>
    <n v="62558.108988000007"/>
    <n v="62624.338081000002"/>
  </r>
  <r>
    <s v="EZBC"/>
    <n v="36.15"/>
    <n v="36.18"/>
    <x v="11"/>
    <n v="1730.2188000000001"/>
    <n v="0"/>
    <n v="1730.2188000000001"/>
    <n v="62547.409619999999"/>
    <n v="62599.316184000003"/>
  </r>
  <r>
    <s v="FBTC"/>
    <n v="54.45"/>
    <n v="54.46"/>
    <x v="11"/>
    <n v="1148.8453"/>
    <n v="0"/>
    <n v="1148.8453"/>
    <n v="62554.626584999998"/>
    <n v="62566.115037999996"/>
  </r>
  <r>
    <s v="GBTC"/>
    <n v="48.54"/>
    <n v="48.55"/>
    <x v="11"/>
    <n v="1289.0084999999999"/>
    <n v="0.05"/>
    <n v="1289.0584999999999"/>
    <n v="62570.899589999994"/>
    <n v="62583.790174999987"/>
  </r>
  <r>
    <s v="HODL"/>
    <n v="17.690000000000001"/>
    <n v="17.7"/>
    <x v="11"/>
    <n v="3535.8029000000001"/>
    <n v="0"/>
    <n v="3535.8029000000001"/>
    <n v="62548.35330100001"/>
    <n v="62583.711329999998"/>
  </r>
  <r>
    <s v="IBIT"/>
    <n v="35.44"/>
    <n v="35.450000000000003"/>
    <x v="11"/>
    <n v="1765.0472"/>
    <n v="0"/>
    <n v="1765.0472"/>
    <n v="62553.272767999995"/>
    <n v="62570.923240000004"/>
  </r>
  <r>
    <s v="ARKB"/>
    <n v="20.77"/>
    <n v="20.78"/>
    <x v="12"/>
    <n v="3014.9315000000001"/>
    <n v="0"/>
    <n v="3014.9315000000001"/>
    <n v="62620.127254999999"/>
    <n v="62650.276570000009"/>
  </r>
  <r>
    <s v="BITB"/>
    <n v="33.99"/>
    <n v="34"/>
    <x v="12"/>
    <n v="1842.1104"/>
    <n v="0"/>
    <n v="1842.1104"/>
    <n v="62613.332496000003"/>
    <n v="62631.753600000004"/>
  </r>
  <r>
    <s v="BRRR"/>
    <n v="17.649999999999999"/>
    <n v="17.66"/>
    <x v="12"/>
    <n v="3546.5621999999998"/>
    <n v="0"/>
    <n v="3546.5621999999998"/>
    <n v="62596.82282999999"/>
    <n v="62632.288452000001"/>
  </r>
  <r>
    <s v="BTC"/>
    <n v="27.69"/>
    <n v="27.7"/>
    <x v="12"/>
    <n v="2261.3323"/>
    <n v="-0.1"/>
    <n v="2261.2323000000001"/>
    <n v="62613.522387000005"/>
    <n v="62636.134709999998"/>
  </r>
  <r>
    <s v="BTCW"/>
    <n v="66.17"/>
    <n v="66.239999999999995"/>
    <x v="12"/>
    <n v="946.12990000000002"/>
    <n v="0"/>
    <n v="946.12990000000002"/>
    <n v="62605.415483000004"/>
    <n v="62671.644575999999"/>
  </r>
  <r>
    <s v="EZBC"/>
    <n v="36.18"/>
    <n v="36.21"/>
    <x v="12"/>
    <n v="1730.2188000000001"/>
    <n v="0"/>
    <n v="1730.2188000000001"/>
    <n v="62599.316184000003"/>
    <n v="62651.222748000007"/>
  </r>
  <r>
    <s v="FBTC"/>
    <n v="54.49"/>
    <n v="54.5"/>
    <x v="12"/>
    <n v="1148.8453"/>
    <n v="0"/>
    <n v="1148.8453"/>
    <n v="62600.580396999998"/>
    <n v="62612.068849999996"/>
  </r>
  <r>
    <s v="GBTC"/>
    <n v="48.58"/>
    <n v="48.59"/>
    <x v="12"/>
    <n v="1289.0084999999999"/>
    <n v="0.05"/>
    <n v="1289.0584999999999"/>
    <n v="62622.46192999999"/>
    <n v="62635.352514999999"/>
  </r>
  <r>
    <s v="HODL"/>
    <n v="17.71"/>
    <n v="17.72"/>
    <x v="12"/>
    <n v="3535.8029000000001"/>
    <n v="0"/>
    <n v="3535.8029000000001"/>
    <n v="62619.069359000008"/>
    <n v="62654.427387999996"/>
  </r>
  <r>
    <s v="IBIT"/>
    <n v="35.47"/>
    <n v="35.479999999999997"/>
    <x v="12"/>
    <n v="1765.0472"/>
    <n v="0"/>
    <n v="1765.0472"/>
    <n v="62606.224183999999"/>
    <n v="62623.874655999993"/>
  </r>
  <r>
    <s v="ARKB"/>
    <n v="20.74"/>
    <n v="20.75"/>
    <x v="13"/>
    <n v="3014.9315000000001"/>
    <n v="0"/>
    <n v="3014.9315000000001"/>
    <n v="62529.67931"/>
    <n v="62559.828625000002"/>
  </r>
  <r>
    <s v="BITB"/>
    <n v="33.96"/>
    <n v="33.97"/>
    <x v="13"/>
    <n v="1842.1104"/>
    <n v="0"/>
    <n v="1842.1104"/>
    <n v="62558.069184"/>
    <n v="62576.490288000001"/>
  </r>
  <r>
    <s v="BRRR"/>
    <n v="17.63"/>
    <n v="17.64"/>
    <x v="13"/>
    <n v="3546.5621999999998"/>
    <n v="0"/>
    <n v="3546.5621999999998"/>
    <n v="62525.891585999991"/>
    <n v="62561.357208000001"/>
  </r>
  <r>
    <s v="BTC"/>
    <n v="27.66"/>
    <n v="27.67"/>
    <x v="13"/>
    <n v="2261.3323"/>
    <n v="-0.1"/>
    <n v="2261.2323000000001"/>
    <n v="62545.685418000001"/>
    <n v="62568.297741000009"/>
  </r>
  <r>
    <s v="BTCW"/>
    <n v="66.099999999999994"/>
    <n v="66.17"/>
    <x v="13"/>
    <n v="946.12990000000002"/>
    <n v="0"/>
    <n v="946.12990000000002"/>
    <n v="62539.186389999995"/>
    <n v="62605.415483000004"/>
  </r>
  <r>
    <s v="EZBC"/>
    <n v="36.15"/>
    <n v="36.17"/>
    <x v="13"/>
    <n v="1730.2188000000001"/>
    <n v="0"/>
    <n v="1730.2188000000001"/>
    <n v="62547.409619999999"/>
    <n v="62582.013996000009"/>
  </r>
  <r>
    <s v="FBTC"/>
    <n v="54.44"/>
    <n v="54.45"/>
    <x v="13"/>
    <n v="1148.8453"/>
    <n v="0"/>
    <n v="1148.8453"/>
    <n v="62543.138131999993"/>
    <n v="62554.626584999998"/>
  </r>
  <r>
    <s v="GBTC"/>
    <n v="48.53"/>
    <n v="48.54"/>
    <x v="13"/>
    <n v="1289.0084999999999"/>
    <n v="0.05"/>
    <n v="1289.0584999999999"/>
    <n v="62558.009004999993"/>
    <n v="62570.899589999994"/>
  </r>
  <r>
    <s v="HODL"/>
    <n v="17.690000000000001"/>
    <n v="17.7"/>
    <x v="13"/>
    <n v="3535.8029000000001"/>
    <n v="0"/>
    <n v="3535.8029000000001"/>
    <n v="62548.35330100001"/>
    <n v="62583.711329999998"/>
  </r>
  <r>
    <s v="IBIT"/>
    <n v="35.43"/>
    <n v="35.44"/>
    <x v="13"/>
    <n v="1765.0472"/>
    <n v="0"/>
    <n v="1765.0472"/>
    <n v="62535.622296000001"/>
    <n v="62553.272767999995"/>
  </r>
  <r>
    <s v="ARKB"/>
    <n v="20.76"/>
    <n v="20.77"/>
    <x v="14"/>
    <n v="3014.9315000000001"/>
    <n v="0"/>
    <n v="3014.9315000000001"/>
    <n v="62589.977940000004"/>
    <n v="62620.127254999999"/>
  </r>
  <r>
    <s v="BITB"/>
    <n v="33.979999999999997"/>
    <n v="33.99"/>
    <x v="14"/>
    <n v="1842.1104"/>
    <n v="0"/>
    <n v="1842.1104"/>
    <n v="62594.911391999995"/>
    <n v="62613.332496000003"/>
  </r>
  <r>
    <s v="BRRR"/>
    <n v="17.64"/>
    <n v="17.649999999999999"/>
    <x v="14"/>
    <n v="3546.5621999999998"/>
    <n v="0"/>
    <n v="3546.5621999999998"/>
    <n v="62561.357208000001"/>
    <n v="62596.82282999999"/>
  </r>
  <r>
    <s v="BTC"/>
    <n v="27.68"/>
    <n v="27.69"/>
    <x v="14"/>
    <n v="2261.3323"/>
    <n v="-0.1"/>
    <n v="2261.2323000000001"/>
    <n v="62590.910064000003"/>
    <n v="62613.522387000005"/>
  </r>
  <r>
    <s v="BTCW"/>
    <n v="66.150000000000006"/>
    <n v="66.22"/>
    <x v="14"/>
    <n v="946.12990000000002"/>
    <n v="0"/>
    <n v="946.12990000000002"/>
    <n v="62586.492885000007"/>
    <n v="62652.721978000001"/>
  </r>
  <r>
    <s v="EZBC"/>
    <n v="36.17"/>
    <n v="36.19"/>
    <x v="14"/>
    <n v="1730.2188000000001"/>
    <n v="0"/>
    <n v="1730.2188000000001"/>
    <n v="62582.013996000009"/>
    <n v="62616.618371999997"/>
  </r>
  <r>
    <s v="FBTC"/>
    <n v="54.46"/>
    <n v="54.47"/>
    <x v="14"/>
    <n v="1148.8453"/>
    <n v="0"/>
    <n v="1148.8453"/>
    <n v="62566.115037999996"/>
    <n v="62577.603490999994"/>
  </r>
  <r>
    <s v="GBTC"/>
    <n v="48.56"/>
    <n v="48.57"/>
    <x v="14"/>
    <n v="1289.0084999999999"/>
    <n v="0.05"/>
    <n v="1289.0584999999999"/>
    <n v="62596.680759999996"/>
    <n v="62609.571344999997"/>
  </r>
  <r>
    <s v="HODL"/>
    <n v="17.7"/>
    <n v="17.71"/>
    <x v="14"/>
    <n v="3535.8029000000001"/>
    <n v="0"/>
    <n v="3535.8029000000001"/>
    <n v="62583.711329999998"/>
    <n v="62619.069359000008"/>
  </r>
  <r>
    <s v="IBIT"/>
    <n v="35.450000000000003"/>
    <n v="35.46"/>
    <x v="14"/>
    <n v="1765.0472"/>
    <n v="0"/>
    <n v="1765.0472"/>
    <n v="62570.923240000004"/>
    <n v="62588.573711999998"/>
  </r>
  <r>
    <s v="ARKB"/>
    <n v="20.73"/>
    <n v="20.74"/>
    <x v="15"/>
    <n v="3014.9315000000001"/>
    <n v="0"/>
    <n v="3014.9315000000001"/>
    <n v="62499.529995000004"/>
    <n v="62529.67931"/>
  </r>
  <r>
    <s v="BITB"/>
    <n v="33.92"/>
    <n v="33.93"/>
    <x v="15"/>
    <n v="1842.1104"/>
    <n v="0"/>
    <n v="1842.1104"/>
    <n v="62484.384768000004"/>
    <n v="62502.805871999997"/>
  </r>
  <r>
    <s v="BRRR"/>
    <n v="17.61"/>
    <n v="17.62"/>
    <x v="15"/>
    <n v="3546.5621999999998"/>
    <n v="0"/>
    <n v="3546.5621999999998"/>
    <n v="62454.960341999998"/>
    <n v="62490.425964000002"/>
  </r>
  <r>
    <s v="BTC"/>
    <n v="27.64"/>
    <n v="27.65"/>
    <x v="15"/>
    <n v="2261.3323"/>
    <n v="-0.1"/>
    <n v="2261.2323000000001"/>
    <n v="62500.460772000006"/>
    <n v="62523.073095"/>
  </r>
  <r>
    <s v="BTCW"/>
    <n v="66.040000000000006"/>
    <n v="66.11"/>
    <x v="15"/>
    <n v="946.12990000000002"/>
    <n v="0"/>
    <n v="946.12990000000002"/>
    <n v="62482.41859600001"/>
    <n v="62548.647688999998"/>
  </r>
  <r>
    <s v="EZBC"/>
    <n v="36.11"/>
    <n v="36.14"/>
    <x v="15"/>
    <n v="1730.2188000000001"/>
    <n v="0"/>
    <n v="1730.2188000000001"/>
    <n v="62478.200868"/>
    <n v="62530.107432000004"/>
  </r>
  <r>
    <s v="FBTC"/>
    <n v="54.39"/>
    <n v="54.4"/>
    <x v="15"/>
    <n v="1148.8453"/>
    <n v="0"/>
    <n v="1148.8453"/>
    <n v="62485.695866999995"/>
    <n v="62497.184319999993"/>
  </r>
  <r>
    <s v="GBTC"/>
    <n v="48.49"/>
    <n v="48.5"/>
    <x v="15"/>
    <n v="1289.0084999999999"/>
    <n v="0.05"/>
    <n v="1289.0584999999999"/>
    <n v="62506.446664999996"/>
    <n v="62519.337249999997"/>
  </r>
  <r>
    <s v="HODL"/>
    <n v="17.670000000000002"/>
    <n v="17.68"/>
    <x v="15"/>
    <n v="3535.8029000000001"/>
    <n v="0"/>
    <n v="3535.8029000000001"/>
    <n v="62477.637243000012"/>
    <n v="62512.995272"/>
  </r>
  <r>
    <s v="IBIT"/>
    <n v="35.4"/>
    <n v="35.409999999999997"/>
    <x v="15"/>
    <n v="1765.0472"/>
    <n v="0"/>
    <n v="1765.0472"/>
    <n v="62482.670879999998"/>
    <n v="62500.321351999992"/>
  </r>
  <r>
    <s v="ARKB"/>
    <n v="20.73"/>
    <n v="20.74"/>
    <x v="16"/>
    <n v="3014.9315000000001"/>
    <n v="0"/>
    <n v="3014.9315000000001"/>
    <n v="62499.529995000004"/>
    <n v="62529.67931"/>
  </r>
  <r>
    <s v="BITB"/>
    <n v="33.94"/>
    <n v="33.950000000000003"/>
    <x v="16"/>
    <n v="1842.1104"/>
    <n v="0"/>
    <n v="1842.1104"/>
    <n v="62521.226975999998"/>
    <n v="62539.648080000006"/>
  </r>
  <r>
    <s v="BRRR"/>
    <n v="17.62"/>
    <n v="17.63"/>
    <x v="16"/>
    <n v="3546.5621999999998"/>
    <n v="0"/>
    <n v="3546.5621999999998"/>
    <n v="62490.425964000002"/>
    <n v="62525.891585999991"/>
  </r>
  <r>
    <s v="BTC"/>
    <n v="27.65"/>
    <n v="27.66"/>
    <x v="16"/>
    <n v="2261.3323"/>
    <n v="-0.1"/>
    <n v="2261.2323000000001"/>
    <n v="62523.073095"/>
    <n v="62545.685418000001"/>
  </r>
  <r>
    <s v="BTCW"/>
    <n v="66.069999999999993"/>
    <n v="66.13"/>
    <x v="16"/>
    <n v="946.12990000000002"/>
    <n v="0"/>
    <n v="946.12990000000002"/>
    <n v="62510.802492999996"/>
    <n v="62567.570286999995"/>
  </r>
  <r>
    <s v="EZBC"/>
    <n v="36.130000000000003"/>
    <n v="36.14"/>
    <x v="16"/>
    <n v="1730.2188000000001"/>
    <n v="0"/>
    <n v="1730.2188000000001"/>
    <n v="62512.80524400001"/>
    <n v="62530.107432000004"/>
  </r>
  <r>
    <s v="FBTC"/>
    <n v="54.42"/>
    <n v="54.43"/>
    <x v="16"/>
    <n v="1148.8453"/>
    <n v="0"/>
    <n v="1148.8453"/>
    <n v="62520.161225999997"/>
    <n v="62531.649678999995"/>
  </r>
  <r>
    <s v="GBTC"/>
    <n v="48.5"/>
    <n v="48.51"/>
    <x v="16"/>
    <n v="1289.0084999999999"/>
    <n v="0.05"/>
    <n v="1289.0584999999999"/>
    <n v="62519.337249999997"/>
    <n v="62532.227834999991"/>
  </r>
  <r>
    <s v="HODL"/>
    <n v="17.68"/>
    <n v="17.690000000000001"/>
    <x v="16"/>
    <n v="3535.8029000000001"/>
    <n v="0"/>
    <n v="3535.8029000000001"/>
    <n v="62512.995272"/>
    <n v="62548.35330100001"/>
  </r>
  <r>
    <s v="IBIT"/>
    <n v="35.409999999999997"/>
    <n v="35.42"/>
    <x v="16"/>
    <n v="1765.0472"/>
    <n v="0"/>
    <n v="1765.0472"/>
    <n v="62500.321351999992"/>
    <n v="62517.971824"/>
  </r>
  <r>
    <s v="ARKB"/>
    <n v="20.76"/>
    <n v="20.77"/>
    <x v="17"/>
    <n v="3014.9315000000001"/>
    <n v="0"/>
    <n v="3014.9315000000001"/>
    <n v="62589.977940000004"/>
    <n v="62620.127254999999"/>
  </r>
  <r>
    <s v="BITB"/>
    <n v="33.979999999999997"/>
    <n v="33.99"/>
    <x v="17"/>
    <n v="1842.1104"/>
    <n v="0"/>
    <n v="1842.1104"/>
    <n v="62594.911391999995"/>
    <n v="62613.332496000003"/>
  </r>
  <r>
    <s v="BRRR"/>
    <n v="17.64"/>
    <n v="17.649999999999999"/>
    <x v="17"/>
    <n v="3546.5621999999998"/>
    <n v="0"/>
    <n v="3546.5621999999998"/>
    <n v="62561.357208000001"/>
    <n v="62596.82282999999"/>
  </r>
  <r>
    <s v="BTC"/>
    <n v="27.68"/>
    <n v="27.69"/>
    <x v="17"/>
    <n v="2261.3323"/>
    <n v="-0.1"/>
    <n v="2261.2323000000001"/>
    <n v="62590.910064000003"/>
    <n v="62613.522387000005"/>
  </r>
  <r>
    <s v="BTCW"/>
    <n v="66.150000000000006"/>
    <n v="66.209999999999994"/>
    <x v="17"/>
    <n v="946.12990000000002"/>
    <n v="0"/>
    <n v="946.12990000000002"/>
    <n v="62586.492885000007"/>
    <n v="62643.260678999999"/>
  </r>
  <r>
    <s v="EZBC"/>
    <n v="36.17"/>
    <n v="36.19"/>
    <x v="17"/>
    <n v="1730.2188000000001"/>
    <n v="0"/>
    <n v="1730.2188000000001"/>
    <n v="62582.013996000009"/>
    <n v="62616.618371999997"/>
  </r>
  <r>
    <s v="FBTC"/>
    <n v="54.48"/>
    <n v="54.49"/>
    <x v="17"/>
    <n v="1148.8453"/>
    <n v="0"/>
    <n v="1148.8453"/>
    <n v="62589.091943999993"/>
    <n v="62600.580396999998"/>
  </r>
  <r>
    <s v="GBTC"/>
    <n v="48.56"/>
    <n v="48.57"/>
    <x v="17"/>
    <n v="1289.0084999999999"/>
    <n v="0.05"/>
    <n v="1289.0584999999999"/>
    <n v="62596.680759999996"/>
    <n v="62609.571344999997"/>
  </r>
  <r>
    <s v="HODL"/>
    <n v="17.7"/>
    <n v="17.71"/>
    <x v="17"/>
    <n v="3535.8029000000001"/>
    <n v="0"/>
    <n v="3535.8029000000001"/>
    <n v="62583.711329999998"/>
    <n v="62619.069359000008"/>
  </r>
  <r>
    <s v="IBIT"/>
    <n v="35.450000000000003"/>
    <n v="35.46"/>
    <x v="17"/>
    <n v="1765.0472"/>
    <n v="0"/>
    <n v="1765.0472"/>
    <n v="62570.923240000004"/>
    <n v="62588.573711999998"/>
  </r>
  <r>
    <s v="ARKB"/>
    <n v="20.76"/>
    <n v="20.77"/>
    <x v="18"/>
    <n v="3014.9315000000001"/>
    <n v="0"/>
    <n v="3014.9315000000001"/>
    <n v="62589.977940000004"/>
    <n v="62620.127254999999"/>
  </r>
  <r>
    <s v="BITB"/>
    <n v="33.99"/>
    <n v="34"/>
    <x v="18"/>
    <n v="1842.1104"/>
    <n v="0"/>
    <n v="1842.1104"/>
    <n v="62613.332496000003"/>
    <n v="62631.753600000004"/>
  </r>
  <r>
    <s v="BRRR"/>
    <n v="17.64"/>
    <n v="17.649999999999999"/>
    <x v="18"/>
    <n v="3546.5621999999998"/>
    <n v="0"/>
    <n v="3546.5621999999998"/>
    <n v="62561.357208000001"/>
    <n v="62596.82282999999"/>
  </r>
  <r>
    <s v="BTC"/>
    <n v="27.69"/>
    <n v="27.7"/>
    <x v="18"/>
    <n v="2261.3323"/>
    <n v="-0.1"/>
    <n v="2261.2323000000001"/>
    <n v="62613.522387000005"/>
    <n v="62636.134709999998"/>
  </r>
  <r>
    <s v="BTCW"/>
    <n v="66.150000000000006"/>
    <n v="66.23"/>
    <x v="18"/>
    <n v="946.12990000000002"/>
    <n v="0"/>
    <n v="946.12990000000002"/>
    <n v="62586.492885000007"/>
    <n v="62662.183277000004"/>
  </r>
  <r>
    <s v="EZBC"/>
    <n v="36.18"/>
    <n v="36.200000000000003"/>
    <x v="18"/>
    <n v="1730.2188000000001"/>
    <n v="0"/>
    <n v="1730.2188000000001"/>
    <n v="62599.316184000003"/>
    <n v="62633.920560000006"/>
  </r>
  <r>
    <s v="FBTC"/>
    <n v="54.5"/>
    <n v="54.51"/>
    <x v="18"/>
    <n v="1148.8453"/>
    <n v="0"/>
    <n v="1148.8453"/>
    <n v="62612.068849999996"/>
    <n v="62623.557302999994"/>
  </r>
  <r>
    <s v="GBTC"/>
    <n v="48.58"/>
    <n v="48.59"/>
    <x v="18"/>
    <n v="1289.0084999999999"/>
    <n v="0.05"/>
    <n v="1289.0584999999999"/>
    <n v="62622.46192999999"/>
    <n v="62635.352514999999"/>
  </r>
  <r>
    <s v="HODL"/>
    <n v="17.7"/>
    <n v="17.71"/>
    <x v="18"/>
    <n v="3535.8029000000001"/>
    <n v="0"/>
    <n v="3535.8029000000001"/>
    <n v="62583.711329999998"/>
    <n v="62619.069359000008"/>
  </r>
  <r>
    <s v="IBIT"/>
    <n v="35.46"/>
    <n v="35.47"/>
    <x v="18"/>
    <n v="1765.0472"/>
    <n v="0"/>
    <n v="1765.0472"/>
    <n v="62588.573711999998"/>
    <n v="62606.224183999999"/>
  </r>
  <r>
    <s v="ARKB"/>
    <n v="20.76"/>
    <n v="20.77"/>
    <x v="19"/>
    <n v="3014.9315000000001"/>
    <n v="0"/>
    <n v="3014.9315000000001"/>
    <n v="62589.977940000004"/>
    <n v="62620.127254999999"/>
  </r>
  <r>
    <s v="BITB"/>
    <n v="33.99"/>
    <n v="34"/>
    <x v="19"/>
    <n v="1842.1104"/>
    <n v="0"/>
    <n v="1842.1104"/>
    <n v="62613.332496000003"/>
    <n v="62631.753600000004"/>
  </r>
  <r>
    <s v="BRRR"/>
    <n v="17.64"/>
    <n v="17.649999999999999"/>
    <x v="19"/>
    <n v="3546.5621999999998"/>
    <n v="0"/>
    <n v="3546.5621999999998"/>
    <n v="62561.357208000001"/>
    <n v="62596.82282999999"/>
  </r>
  <r>
    <s v="BTC"/>
    <n v="27.69"/>
    <n v="27.7"/>
    <x v="19"/>
    <n v="2261.3323"/>
    <n v="-0.1"/>
    <n v="2261.2323000000001"/>
    <n v="62613.522387000005"/>
    <n v="62636.134709999998"/>
  </r>
  <r>
    <s v="BTCW"/>
    <n v="66.150000000000006"/>
    <n v="66.22"/>
    <x v="19"/>
    <n v="946.12990000000002"/>
    <n v="0"/>
    <n v="946.12990000000002"/>
    <n v="62586.492885000007"/>
    <n v="62652.721978000001"/>
  </r>
  <r>
    <s v="EZBC"/>
    <n v="36.18"/>
    <n v="36.200000000000003"/>
    <x v="19"/>
    <n v="1730.2188000000001"/>
    <n v="0"/>
    <n v="1730.2188000000001"/>
    <n v="62599.316184000003"/>
    <n v="62633.920560000006"/>
  </r>
  <r>
    <s v="FBTC"/>
    <n v="54.5"/>
    <n v="54.51"/>
    <x v="19"/>
    <n v="1148.8453"/>
    <n v="0"/>
    <n v="1148.8453"/>
    <n v="62612.068849999996"/>
    <n v="62623.557302999994"/>
  </r>
  <r>
    <s v="GBTC"/>
    <n v="48.58"/>
    <n v="48.59"/>
    <x v="19"/>
    <n v="1289.0084999999999"/>
    <n v="0.05"/>
    <n v="1289.0584999999999"/>
    <n v="62622.46192999999"/>
    <n v="62635.352514999999"/>
  </r>
  <r>
    <s v="HODL"/>
    <n v="17.7"/>
    <n v="17.71"/>
    <x v="19"/>
    <n v="3535.8029000000001"/>
    <n v="0"/>
    <n v="3535.8029000000001"/>
    <n v="62583.711329999998"/>
    <n v="62619.069359000008"/>
  </r>
  <r>
    <s v="IBIT"/>
    <n v="35.46"/>
    <n v="35.47"/>
    <x v="19"/>
    <n v="1765.0472"/>
    <n v="0"/>
    <n v="1765.0472"/>
    <n v="62588.573711999998"/>
    <n v="62606.224183999999"/>
  </r>
  <r>
    <s v="ARKB"/>
    <n v="20.83"/>
    <n v="20.84"/>
    <x v="20"/>
    <n v="3014.9315000000001"/>
    <n v="0"/>
    <n v="3014.9315000000001"/>
    <n v="62801.023144999999"/>
    <n v="62831.172460000002"/>
  </r>
  <r>
    <s v="BITB"/>
    <n v="34.1"/>
    <n v="34.11"/>
    <x v="20"/>
    <n v="1842.1104"/>
    <n v="0"/>
    <n v="1842.1104"/>
    <n v="62815.964640000006"/>
    <n v="62834.385743999999"/>
  </r>
  <r>
    <s v="BRRR"/>
    <n v="17.7"/>
    <n v="17.71"/>
    <x v="20"/>
    <n v="3546.5621999999998"/>
    <n v="0"/>
    <n v="3546.5621999999998"/>
    <n v="62774.150939999992"/>
    <n v="62809.616562000003"/>
  </r>
  <r>
    <s v="BTC"/>
    <n v="27.78"/>
    <n v="27.79"/>
    <x v="20"/>
    <n v="2261.3323"/>
    <n v="-0.1"/>
    <n v="2261.2323000000001"/>
    <n v="62817.033294000008"/>
    <n v="62839.645617000002"/>
  </r>
  <r>
    <s v="BTCW"/>
    <n v="66.38"/>
    <n v="66.45"/>
    <x v="20"/>
    <n v="946.12990000000002"/>
    <n v="0"/>
    <n v="946.12990000000002"/>
    <n v="62804.102761999995"/>
    <n v="62870.331855000004"/>
  </r>
  <r>
    <s v="EZBC"/>
    <n v="36.299999999999997"/>
    <n v="36.32"/>
    <x v="20"/>
    <n v="1730.2188000000001"/>
    <n v="0"/>
    <n v="1730.2188000000001"/>
    <n v="62806.942439999999"/>
    <n v="62841.546816000002"/>
  </r>
  <r>
    <s v="FBTC"/>
    <n v="54.67"/>
    <n v="54.68"/>
    <x v="20"/>
    <n v="1148.8453"/>
    <n v="0"/>
    <n v="1148.8453"/>
    <n v="62807.372551"/>
    <n v="62818.861003999999"/>
  </r>
  <r>
    <s v="GBTC"/>
    <n v="48.74"/>
    <n v="48.75"/>
    <x v="20"/>
    <n v="1289.0084999999999"/>
    <n v="0.05"/>
    <n v="1289.0584999999999"/>
    <n v="62828.711289999999"/>
    <n v="62841.601874999993"/>
  </r>
  <r>
    <s v="HODL"/>
    <n v="17.760000000000002"/>
    <n v="17.77"/>
    <x v="20"/>
    <n v="3535.8029000000001"/>
    <n v="0"/>
    <n v="3535.8029000000001"/>
    <n v="62795.859504000007"/>
    <n v="62831.217533000003"/>
  </r>
  <r>
    <s v="IBIT"/>
    <n v="35.58"/>
    <n v="35.590000000000003"/>
    <x v="20"/>
    <n v="1765.0472"/>
    <n v="0"/>
    <n v="1765.0472"/>
    <n v="62800.379375999997"/>
    <n v="62818.029848000006"/>
  </r>
  <r>
    <s v="ARKB"/>
    <n v="20.8"/>
    <n v="20.81"/>
    <x v="21"/>
    <n v="3014.9315000000001"/>
    <n v="0"/>
    <n v="3014.9315000000001"/>
    <n v="62710.575200000007"/>
    <n v="62740.724515000002"/>
  </r>
  <r>
    <s v="BITB"/>
    <n v="34.049999999999997"/>
    <n v="34.06"/>
    <x v="21"/>
    <n v="1842.1104"/>
    <n v="0"/>
    <n v="1842.1104"/>
    <n v="62723.859119999994"/>
    <n v="62742.280224000002"/>
  </r>
  <r>
    <s v="BRRR"/>
    <n v="17.68"/>
    <n v="17.690000000000001"/>
    <x v="21"/>
    <n v="3546.5621999999998"/>
    <n v="0"/>
    <n v="3546.5621999999998"/>
    <n v="62703.219695999993"/>
    <n v="62738.685318000003"/>
  </r>
  <r>
    <s v="BTC"/>
    <n v="27.74"/>
    <n v="27.75"/>
    <x v="21"/>
    <n v="2261.3323"/>
    <n v="-0.1"/>
    <n v="2261.2323000000001"/>
    <n v="62726.584002000003"/>
    <n v="62749.196325000004"/>
  </r>
  <r>
    <s v="BTCW"/>
    <n v="66.28"/>
    <n v="66.349999999999994"/>
    <x v="21"/>
    <n v="946.12990000000002"/>
    <n v="0"/>
    <n v="946.12990000000002"/>
    <n v="62709.489772000001"/>
    <n v="62775.718864999995"/>
  </r>
  <r>
    <s v="EZBC"/>
    <n v="36.24"/>
    <n v="36.270000000000003"/>
    <x v="21"/>
    <n v="1730.2188000000001"/>
    <n v="0"/>
    <n v="1730.2188000000001"/>
    <n v="62703.129312000005"/>
    <n v="62755.035876000009"/>
  </r>
  <r>
    <s v="FBTC"/>
    <n v="54.59"/>
    <n v="54.6"/>
    <x v="21"/>
    <n v="1148.8453"/>
    <n v="0"/>
    <n v="1148.8453"/>
    <n v="62715.464927000001"/>
    <n v="62726.953379999999"/>
  </r>
  <r>
    <s v="GBTC"/>
    <n v="48.66"/>
    <n v="48.67"/>
    <x v="21"/>
    <n v="1289.0084999999999"/>
    <n v="0.05"/>
    <n v="1289.0584999999999"/>
    <n v="62725.586609999991"/>
    <n v="62738.477194999992"/>
  </r>
  <r>
    <s v="HODL"/>
    <n v="17.73"/>
    <n v="17.739999999999998"/>
    <x v="21"/>
    <n v="3535.8029000000001"/>
    <n v="0"/>
    <n v="3535.8029000000001"/>
    <n v="62689.785417000006"/>
    <n v="62725.143445999995"/>
  </r>
  <r>
    <s v="IBIT"/>
    <n v="35.53"/>
    <n v="35.54"/>
    <x v="21"/>
    <n v="1765.0472"/>
    <n v="0"/>
    <n v="1765.0472"/>
    <n v="62712.127015999999"/>
    <n v="62729.777488"/>
  </r>
  <r>
    <s v="ARKB"/>
    <n v="20.81"/>
    <n v="20.82"/>
    <x v="22"/>
    <n v="3014.9315000000001"/>
    <n v="0"/>
    <n v="3014.9315000000001"/>
    <n v="62740.724515000002"/>
    <n v="62770.873830000004"/>
  </r>
  <r>
    <s v="BITB"/>
    <n v="34.06"/>
    <n v="34.07"/>
    <x v="22"/>
    <n v="1842.1104"/>
    <n v="0"/>
    <n v="1842.1104"/>
    <n v="62742.280224000002"/>
    <n v="62760.701328000003"/>
  </r>
  <r>
    <s v="BRRR"/>
    <n v="17.68"/>
    <n v="17.690000000000001"/>
    <x v="22"/>
    <n v="3546.5621999999998"/>
    <n v="0"/>
    <n v="3546.5621999999998"/>
    <n v="62703.219695999993"/>
    <n v="62738.685318000003"/>
  </r>
  <r>
    <s v="BTC"/>
    <n v="27.75"/>
    <n v="27.76"/>
    <x v="22"/>
    <n v="2261.3323"/>
    <n v="-0.1"/>
    <n v="2261.2323000000001"/>
    <n v="62749.196325000004"/>
    <n v="62771.808648000006"/>
  </r>
  <r>
    <s v="BTCW"/>
    <n v="66.31"/>
    <n v="66.37"/>
    <x v="22"/>
    <n v="946.12990000000002"/>
    <n v="0"/>
    <n v="946.12990000000002"/>
    <n v="62737.873669000001"/>
    <n v="62794.641463000007"/>
  </r>
  <r>
    <s v="EZBC"/>
    <n v="36.26"/>
    <n v="36.28"/>
    <x v="22"/>
    <n v="1730.2188000000001"/>
    <n v="0"/>
    <n v="1730.2188000000001"/>
    <n v="62737.733688"/>
    <n v="62772.338064000003"/>
  </r>
  <r>
    <s v="FBTC"/>
    <n v="54.6"/>
    <n v="54.61"/>
    <x v="22"/>
    <n v="1148.8453"/>
    <n v="0"/>
    <n v="1148.8453"/>
    <n v="62726.953379999999"/>
    <n v="62738.441832999997"/>
  </r>
  <r>
    <s v="GBTC"/>
    <n v="48.68"/>
    <n v="48.68"/>
    <x v="22"/>
    <n v="1289.0084999999999"/>
    <n v="0.05"/>
    <n v="1289.0584999999999"/>
    <n v="62751.367779999993"/>
    <n v="62751.367779999993"/>
  </r>
  <r>
    <s v="HODL"/>
    <n v="17.739999999999998"/>
    <n v="17.75"/>
    <x v="22"/>
    <n v="3535.8029000000001"/>
    <n v="0"/>
    <n v="3535.8029000000001"/>
    <n v="62725.143445999995"/>
    <n v="62760.501475000005"/>
  </r>
  <r>
    <s v="IBIT"/>
    <n v="35.54"/>
    <n v="35.549999999999997"/>
    <x v="22"/>
    <n v="1765.0472"/>
    <n v="0"/>
    <n v="1765.0472"/>
    <n v="62729.777488"/>
    <n v="62747.427959999994"/>
  </r>
  <r>
    <s v="ARKB"/>
    <n v="20.76"/>
    <n v="20.77"/>
    <x v="23"/>
    <n v="3014.9315000000001"/>
    <n v="0"/>
    <n v="3014.9315000000001"/>
    <n v="62589.977940000004"/>
    <n v="62620.127254999999"/>
  </r>
  <r>
    <s v="BITB"/>
    <n v="33.979999999999997"/>
    <n v="33.99"/>
    <x v="23"/>
    <n v="1842.1104"/>
    <n v="0"/>
    <n v="1842.1104"/>
    <n v="62594.911391999995"/>
    <n v="62613.332496000003"/>
  </r>
  <r>
    <s v="BRRR"/>
    <n v="17.64"/>
    <n v="17.649999999999999"/>
    <x v="23"/>
    <n v="3546.5621999999998"/>
    <n v="0"/>
    <n v="3546.5621999999998"/>
    <n v="62561.357208000001"/>
    <n v="62596.82282999999"/>
  </r>
  <r>
    <s v="BTC"/>
    <n v="27.68"/>
    <n v="27.69"/>
    <x v="23"/>
    <n v="2261.3323"/>
    <n v="-0.1"/>
    <n v="2261.2323000000001"/>
    <n v="62590.910064000003"/>
    <n v="62613.522387000005"/>
  </r>
  <r>
    <s v="BTCW"/>
    <n v="66.14"/>
    <n v="66.209999999999994"/>
    <x v="23"/>
    <n v="946.12990000000002"/>
    <n v="0"/>
    <n v="946.12990000000002"/>
    <n v="62577.031586000005"/>
    <n v="62643.260678999999"/>
  </r>
  <r>
    <s v="EZBC"/>
    <n v="36.17"/>
    <n v="36.19"/>
    <x v="23"/>
    <n v="1730.2188000000001"/>
    <n v="0"/>
    <n v="1730.2188000000001"/>
    <n v="62582.013996000009"/>
    <n v="62616.618371999997"/>
  </r>
  <r>
    <s v="FBTC"/>
    <n v="54.48"/>
    <n v="54.49"/>
    <x v="23"/>
    <n v="1148.8453"/>
    <n v="0"/>
    <n v="1148.8453"/>
    <n v="62589.091943999993"/>
    <n v="62600.580396999998"/>
  </r>
  <r>
    <s v="GBTC"/>
    <n v="48.56"/>
    <n v="48.57"/>
    <x v="23"/>
    <n v="1289.0084999999999"/>
    <n v="0.05"/>
    <n v="1289.0584999999999"/>
    <n v="62596.680759999996"/>
    <n v="62609.571344999997"/>
  </r>
  <r>
    <s v="HODL"/>
    <n v="17.7"/>
    <n v="17.71"/>
    <x v="23"/>
    <n v="3535.8029000000001"/>
    <n v="0"/>
    <n v="3535.8029000000001"/>
    <n v="62583.711329999998"/>
    <n v="62619.069359000008"/>
  </r>
  <r>
    <s v="IBIT"/>
    <n v="35.450000000000003"/>
    <n v="35.46"/>
    <x v="23"/>
    <n v="1765.0472"/>
    <n v="0"/>
    <n v="1765.0472"/>
    <n v="62570.923240000004"/>
    <n v="62588.573711999998"/>
  </r>
  <r>
    <s v="ARKB"/>
    <n v="20.78"/>
    <n v="20.79"/>
    <x v="24"/>
    <n v="3014.9315000000001"/>
    <n v="0"/>
    <n v="3014.9315000000001"/>
    <n v="62650.276570000009"/>
    <n v="62680.425884999997"/>
  </r>
  <r>
    <s v="BITB"/>
    <n v="34.020000000000003"/>
    <n v="34.03"/>
    <x v="24"/>
    <n v="1842.1104"/>
    <n v="0"/>
    <n v="1842.1104"/>
    <n v="62668.595808000005"/>
    <n v="62687.016912000006"/>
  </r>
  <r>
    <s v="BRRR"/>
    <n v="17.66"/>
    <n v="17.670000000000002"/>
    <x v="24"/>
    <n v="3546.5621999999998"/>
    <n v="0"/>
    <n v="3546.5621999999998"/>
    <n v="62632.288452000001"/>
    <n v="62667.754074000004"/>
  </r>
  <r>
    <s v="BTC"/>
    <n v="27.71"/>
    <n v="27.72"/>
    <x v="24"/>
    <n v="2261.3323"/>
    <n v="-0.1"/>
    <n v="2261.2323000000001"/>
    <n v="62658.747033000007"/>
    <n v="62681.359356000001"/>
  </r>
  <r>
    <s v="BTCW"/>
    <n v="66.22"/>
    <n v="66.28"/>
    <x v="24"/>
    <n v="946.12990000000002"/>
    <n v="0"/>
    <n v="946.12990000000002"/>
    <n v="62652.721978000001"/>
    <n v="62709.489772000001"/>
  </r>
  <r>
    <s v="EZBC"/>
    <n v="36.21"/>
    <n v="36.229999999999997"/>
    <x v="24"/>
    <n v="1730.2188000000001"/>
    <n v="0"/>
    <n v="1730.2188000000001"/>
    <n v="62651.222748000007"/>
    <n v="62685.827123999996"/>
  </r>
  <r>
    <s v="FBTC"/>
    <n v="54.53"/>
    <n v="54.54"/>
    <x v="24"/>
    <n v="1148.8453"/>
    <n v="0"/>
    <n v="1148.8453"/>
    <n v="62646.534208999998"/>
    <n v="62658.022661999996"/>
  </r>
  <r>
    <s v="GBTC"/>
    <n v="48.61"/>
    <n v="48.62"/>
    <x v="24"/>
    <n v="1289.0084999999999"/>
    <n v="0.05"/>
    <n v="1289.0584999999999"/>
    <n v="62661.133684999993"/>
    <n v="62674.024269999987"/>
  </r>
  <r>
    <s v="HODL"/>
    <n v="17.72"/>
    <n v="17.73"/>
    <x v="24"/>
    <n v="3535.8029000000001"/>
    <n v="0"/>
    <n v="3535.8029000000001"/>
    <n v="62654.427387999996"/>
    <n v="62689.785417000006"/>
  </r>
  <r>
    <s v="IBIT"/>
    <n v="35.49"/>
    <n v="35.5"/>
    <x v="24"/>
    <n v="1765.0472"/>
    <n v="0"/>
    <n v="1765.0472"/>
    <n v="62641.525128000001"/>
    <n v="62659.175600000002"/>
  </r>
  <r>
    <s v="ARKB"/>
    <n v="20.81"/>
    <n v="20.82"/>
    <x v="25"/>
    <n v="3014.9315000000001"/>
    <n v="0"/>
    <n v="3014.9315000000001"/>
    <n v="62740.724515000002"/>
    <n v="62770.873830000004"/>
  </r>
  <r>
    <s v="BITB"/>
    <n v="34.06"/>
    <n v="34.07"/>
    <x v="25"/>
    <n v="1842.1104"/>
    <n v="0"/>
    <n v="1842.1104"/>
    <n v="62742.280224000002"/>
    <n v="62760.701328000003"/>
  </r>
  <r>
    <s v="BRRR"/>
    <n v="17.690000000000001"/>
    <n v="17.7"/>
    <x v="25"/>
    <n v="3546.5621999999998"/>
    <n v="0"/>
    <n v="3546.5621999999998"/>
    <n v="62738.685318000003"/>
    <n v="62774.150939999992"/>
  </r>
  <r>
    <s v="BTC"/>
    <n v="27.75"/>
    <n v="27.76"/>
    <x v="25"/>
    <n v="2261.3323"/>
    <n v="-0.1"/>
    <n v="2261.2323000000001"/>
    <n v="62749.196325000004"/>
    <n v="62771.808648000006"/>
  </r>
  <r>
    <s v="BTCW"/>
    <n v="66.319999999999993"/>
    <n v="66.38"/>
    <x v="25"/>
    <n v="946.12990000000002"/>
    <n v="0"/>
    <n v="946.12990000000002"/>
    <n v="62747.334967999996"/>
    <n v="62804.102761999995"/>
  </r>
  <r>
    <s v="EZBC"/>
    <n v="36.26"/>
    <n v="36.28"/>
    <x v="25"/>
    <n v="1730.2188000000001"/>
    <n v="0"/>
    <n v="1730.2188000000001"/>
    <n v="62737.733688"/>
    <n v="62772.338064000003"/>
  </r>
  <r>
    <s v="FBTC"/>
    <n v="54.61"/>
    <n v="54.62"/>
    <x v="25"/>
    <n v="1148.8453"/>
    <n v="0"/>
    <n v="1148.8453"/>
    <n v="62738.441832999997"/>
    <n v="62749.930285999995"/>
  </r>
  <r>
    <s v="GBTC"/>
    <n v="48.68"/>
    <n v="48.69"/>
    <x v="25"/>
    <n v="1289.0084999999999"/>
    <n v="0.05"/>
    <n v="1289.0584999999999"/>
    <n v="62751.367779999993"/>
    <n v="62764.258364999994"/>
  </r>
  <r>
    <s v="HODL"/>
    <n v="17.75"/>
    <n v="17.760000000000002"/>
    <x v="25"/>
    <n v="3535.8029000000001"/>
    <n v="0"/>
    <n v="3535.8029000000001"/>
    <n v="62760.501475000005"/>
    <n v="62795.859504000007"/>
  </r>
  <r>
    <s v="IBIT"/>
    <n v="35.54"/>
    <n v="35.549999999999997"/>
    <x v="25"/>
    <n v="1765.0472"/>
    <n v="0"/>
    <n v="1765.0472"/>
    <n v="62729.777488"/>
    <n v="62747.427959999994"/>
  </r>
  <r>
    <s v="ARKB"/>
    <n v="20.86"/>
    <n v="20.87"/>
    <x v="26"/>
    <n v="3014.9315000000001"/>
    <n v="0"/>
    <n v="3014.9315000000001"/>
    <n v="62891.471089999999"/>
    <n v="62921.620405000009"/>
  </r>
  <r>
    <s v="BITB"/>
    <n v="34.14"/>
    <n v="34.15"/>
    <x v="26"/>
    <n v="1842.1104"/>
    <n v="0"/>
    <n v="1842.1104"/>
    <n v="62889.649056000002"/>
    <n v="62908.070159999996"/>
  </r>
  <r>
    <s v="BRRR"/>
    <n v="17.72"/>
    <n v="17.73"/>
    <x v="26"/>
    <n v="3546.5621999999998"/>
    <n v="0"/>
    <n v="3546.5621999999998"/>
    <n v="62845.082183999992"/>
    <n v="62880.547806000002"/>
  </r>
  <r>
    <s v="BTC"/>
    <n v="27.81"/>
    <n v="27.82"/>
    <x v="26"/>
    <n v="2261.3323"/>
    <n v="-0.1"/>
    <n v="2261.2323000000001"/>
    <n v="62884.870262999997"/>
    <n v="62907.482586000006"/>
  </r>
  <r>
    <s v="BTCW"/>
    <n v="66.41"/>
    <n v="66.510000000000005"/>
    <x v="26"/>
    <n v="946.12990000000002"/>
    <n v="0"/>
    <n v="946.12990000000002"/>
    <n v="62832.486658999995"/>
    <n v="62927.099649000003"/>
  </r>
  <r>
    <s v="EZBC"/>
    <n v="36.340000000000003"/>
    <n v="36.36"/>
    <x v="26"/>
    <n v="1730.2188000000001"/>
    <n v="0"/>
    <n v="1730.2188000000001"/>
    <n v="62876.151192000012"/>
    <n v="62910.755568"/>
  </r>
  <r>
    <s v="FBTC"/>
    <n v="54.72"/>
    <n v="54.73"/>
    <x v="26"/>
    <n v="1148.8453"/>
    <n v="0"/>
    <n v="1148.8453"/>
    <n v="62864.814815999998"/>
    <n v="62876.303268999996"/>
  </r>
  <r>
    <s v="GBTC"/>
    <n v="48.78"/>
    <n v="48.79"/>
    <x v="26"/>
    <n v="1289.0084999999999"/>
    <n v="0.05"/>
    <n v="1289.0584999999999"/>
    <n v="62880.273629999996"/>
    <n v="62893.16421499999"/>
  </r>
  <r>
    <s v="HODL"/>
    <n v="17.79"/>
    <n v="17.8"/>
    <x v="26"/>
    <n v="3535.8029000000001"/>
    <n v="0"/>
    <n v="3535.8029000000001"/>
    <n v="62901.933591000001"/>
    <n v="62937.291620000004"/>
  </r>
  <r>
    <s v="IBIT"/>
    <n v="35.619999999999997"/>
    <n v="35.630000000000003"/>
    <x v="26"/>
    <n v="1765.0472"/>
    <n v="0"/>
    <n v="1765.0472"/>
    <n v="62870.981263999995"/>
    <n v="62888.631736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4551C-3A98-4BCF-98A9-62FA30320424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8" firstHeaderRow="0" firstDataRow="1" firstDataCol="1"/>
  <pivotFields count="9">
    <pivotField showAll="0"/>
    <pivotField numFmtId="44" showAll="0"/>
    <pivotField numFmtId="44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3165C-44F1-42E9-90A6-2D18EE32EBBC}" name="Table1" displayName="Table1" ref="A1:I271" totalsRowShown="0">
  <autoFilter ref="A1:I271" xr:uid="{29C3165C-44F1-42E9-90A6-2D18EE32EBBC}"/>
  <tableColumns count="9">
    <tableColumn id="1" xr3:uid="{C70002D8-D66C-49B0-B0D2-6020A13D3503}" name="my_fi_name"/>
    <tableColumn id="2" xr3:uid="{6258C9FC-BBF2-41F7-ACA4-3A04F45785D9}" name="price_screen_bid"/>
    <tableColumn id="3" xr3:uid="{D9243C11-178F-45C9-AC6B-68135E0E533D}" name="price_screen_ask"/>
    <tableColumn id="4" xr3:uid="{742BFC1E-07C8-4B34-A22D-D3D53C1F66FB}" name="time"/>
    <tableColumn id="5" xr3:uid="{0CADDC1E-B875-4751-B702-6680FE394D80}" name="scalar" dataDxfId="6" dataCellStyle="Comma"/>
    <tableColumn id="6" xr3:uid="{E5EF3535-1507-4558-B717-5F216B271175}" name="adj" dataDxfId="5" dataCellStyle="Comma"/>
    <tableColumn id="7" xr3:uid="{5B3DA15E-EF09-44B9-B26A-AC96B1CCDE46}" name="adj scalar" dataDxfId="4" dataCellStyle="Comma">
      <calculatedColumnFormula>E2+F2</calculatedColumnFormula>
    </tableColumn>
    <tableColumn id="8" xr3:uid="{CC23DF78-5169-4FDE-A78F-56BF7E9E53A8}" name="unit bid" dataDxfId="3" dataCellStyle="Currency">
      <calculatedColumnFormula>B2*G2</calculatedColumnFormula>
    </tableColumn>
    <tableColumn id="9" xr3:uid="{7E843E7E-C986-43A5-BD88-B94326974111}" name="unit ask" dataDxfId="2" dataCellStyle="Currency">
      <calculatedColumnFormula>C2*G2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CEDC-3F87-473D-8982-422A3F64EE73}">
  <dimension ref="A1:I271"/>
  <sheetViews>
    <sheetView workbookViewId="0">
      <selection activeCell="F2" sqref="F2"/>
    </sheetView>
  </sheetViews>
  <sheetFormatPr defaultRowHeight="15" x14ac:dyDescent="0.25"/>
  <cols>
    <col min="1" max="1" width="14" bestFit="1" customWidth="1"/>
    <col min="2" max="2" width="18.7109375" bestFit="1" customWidth="1"/>
    <col min="3" max="3" width="18.85546875" bestFit="1" customWidth="1"/>
    <col min="4" max="4" width="19" bestFit="1" customWidth="1"/>
    <col min="5" max="5" width="12.28515625" bestFit="1" customWidth="1"/>
    <col min="6" max="6" width="9.7109375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41</v>
      </c>
      <c r="F1" s="1" t="s">
        <v>42</v>
      </c>
      <c r="G1" s="1" t="s">
        <v>43</v>
      </c>
      <c r="H1" s="2" t="s">
        <v>44</v>
      </c>
      <c r="I1" s="2" t="s">
        <v>45</v>
      </c>
    </row>
    <row r="2" spans="1:9" x14ac:dyDescent="0.25">
      <c r="A2" t="s">
        <v>4</v>
      </c>
      <c r="B2">
        <v>21.34</v>
      </c>
      <c r="C2">
        <v>21.35</v>
      </c>
      <c r="D2" t="s">
        <v>5</v>
      </c>
      <c r="E2" s="3">
        <v>3014.9315000000001</v>
      </c>
      <c r="F2" s="3">
        <f>Sheet1!L3</f>
        <v>0</v>
      </c>
      <c r="G2" s="4">
        <f t="shared" ref="G2:G65" si="0">E2+F2</f>
        <v>3014.9315000000001</v>
      </c>
      <c r="H2" s="5">
        <f t="shared" ref="H2:H65" si="1">B2*G2</f>
        <v>64338.638210000005</v>
      </c>
      <c r="I2" s="5">
        <f t="shared" ref="I2:I65" si="2">C2*G2</f>
        <v>64368.787525000007</v>
      </c>
    </row>
    <row r="3" spans="1:9" x14ac:dyDescent="0.25">
      <c r="A3" t="s">
        <v>6</v>
      </c>
      <c r="B3">
        <v>34.92</v>
      </c>
      <c r="C3">
        <v>34.94</v>
      </c>
      <c r="D3" t="s">
        <v>5</v>
      </c>
      <c r="E3" s="3">
        <v>1842.1104</v>
      </c>
      <c r="F3" s="3">
        <f>Sheet1!L4</f>
        <v>0</v>
      </c>
      <c r="G3" s="4">
        <f t="shared" si="0"/>
        <v>1842.1104</v>
      </c>
      <c r="H3" s="5">
        <f t="shared" si="1"/>
        <v>64326.495168000001</v>
      </c>
      <c r="I3" s="5">
        <f t="shared" si="2"/>
        <v>64363.337375999996</v>
      </c>
    </row>
    <row r="4" spans="1:9" x14ac:dyDescent="0.25">
      <c r="A4" t="s">
        <v>7</v>
      </c>
      <c r="B4">
        <v>18.14</v>
      </c>
      <c r="C4">
        <v>18.149999999999999</v>
      </c>
      <c r="D4" t="s">
        <v>5</v>
      </c>
      <c r="E4" s="3">
        <v>3546.5621999999998</v>
      </c>
      <c r="F4" s="3">
        <f>Sheet1!L5</f>
        <v>0</v>
      </c>
      <c r="G4" s="4">
        <f t="shared" si="0"/>
        <v>3546.5621999999998</v>
      </c>
      <c r="H4" s="5">
        <f t="shared" si="1"/>
        <v>64334.638308000001</v>
      </c>
      <c r="I4" s="5">
        <f t="shared" si="2"/>
        <v>64370.10392999999</v>
      </c>
    </row>
    <row r="5" spans="1:9" x14ac:dyDescent="0.25">
      <c r="A5" t="s">
        <v>8</v>
      </c>
      <c r="B5">
        <v>28.45</v>
      </c>
      <c r="C5">
        <v>28.47</v>
      </c>
      <c r="D5" t="s">
        <v>5</v>
      </c>
      <c r="E5" s="3">
        <v>2261.3323</v>
      </c>
      <c r="F5" s="3">
        <f>Sheet1!L6</f>
        <v>-0.1</v>
      </c>
      <c r="G5" s="4">
        <f t="shared" si="0"/>
        <v>2261.2323000000001</v>
      </c>
      <c r="H5" s="5">
        <f t="shared" si="1"/>
        <v>64332.058935000001</v>
      </c>
      <c r="I5" s="5">
        <f t="shared" si="2"/>
        <v>64377.283581000003</v>
      </c>
    </row>
    <row r="6" spans="1:9" x14ac:dyDescent="0.25">
      <c r="A6" t="s">
        <v>9</v>
      </c>
      <c r="B6">
        <v>67.66</v>
      </c>
      <c r="C6">
        <v>68.36</v>
      </c>
      <c r="D6" t="s">
        <v>5</v>
      </c>
      <c r="E6" s="3">
        <v>946.12990000000002</v>
      </c>
      <c r="F6" s="3">
        <f>Sheet1!L7</f>
        <v>0</v>
      </c>
      <c r="G6" s="4">
        <f t="shared" si="0"/>
        <v>946.12990000000002</v>
      </c>
      <c r="H6" s="5">
        <f t="shared" si="1"/>
        <v>64015.149033999995</v>
      </c>
      <c r="I6" s="5">
        <f t="shared" si="2"/>
        <v>64677.439963999997</v>
      </c>
    </row>
    <row r="7" spans="1:9" x14ac:dyDescent="0.25">
      <c r="A7" t="s">
        <v>10</v>
      </c>
      <c r="B7">
        <v>37.17</v>
      </c>
      <c r="C7">
        <v>37.200000000000003</v>
      </c>
      <c r="D7" t="s">
        <v>5</v>
      </c>
      <c r="E7" s="3">
        <v>1730.2188000000001</v>
      </c>
      <c r="F7" s="3">
        <f>Sheet1!L8</f>
        <v>0</v>
      </c>
      <c r="G7" s="4">
        <f t="shared" si="0"/>
        <v>1730.2188000000001</v>
      </c>
      <c r="H7" s="5">
        <f t="shared" si="1"/>
        <v>64312.232796000004</v>
      </c>
      <c r="I7" s="5">
        <f t="shared" si="2"/>
        <v>64364.139360000008</v>
      </c>
    </row>
    <row r="8" spans="1:9" x14ac:dyDescent="0.25">
      <c r="A8" t="s">
        <v>11</v>
      </c>
      <c r="B8">
        <v>55.98</v>
      </c>
      <c r="C8">
        <v>56.02</v>
      </c>
      <c r="D8" t="s">
        <v>5</v>
      </c>
      <c r="E8" s="3">
        <v>1148.8453</v>
      </c>
      <c r="F8" s="3">
        <f>Sheet1!L9</f>
        <v>0</v>
      </c>
      <c r="G8" s="4">
        <f t="shared" si="0"/>
        <v>1148.8453</v>
      </c>
      <c r="H8" s="5">
        <f t="shared" si="1"/>
        <v>64312.359893999994</v>
      </c>
      <c r="I8" s="5">
        <f t="shared" si="2"/>
        <v>64358.313706000001</v>
      </c>
    </row>
    <row r="9" spans="1:9" x14ac:dyDescent="0.25">
      <c r="A9" t="s">
        <v>12</v>
      </c>
      <c r="B9">
        <v>49.9</v>
      </c>
      <c r="C9">
        <v>49.93</v>
      </c>
      <c r="D9" t="s">
        <v>5</v>
      </c>
      <c r="E9" s="3">
        <v>1289.0084999999999</v>
      </c>
      <c r="F9" s="3">
        <f>Sheet1!L10</f>
        <v>0.05</v>
      </c>
      <c r="G9" s="4">
        <f t="shared" si="0"/>
        <v>1289.0584999999999</v>
      </c>
      <c r="H9" s="5">
        <f t="shared" si="1"/>
        <v>64324.019149999993</v>
      </c>
      <c r="I9" s="5">
        <f t="shared" si="2"/>
        <v>64362.690904999996</v>
      </c>
    </row>
    <row r="10" spans="1:9" x14ac:dyDescent="0.25">
      <c r="A10" t="s">
        <v>13</v>
      </c>
      <c r="B10">
        <v>18.190000000000001</v>
      </c>
      <c r="C10">
        <v>18.2</v>
      </c>
      <c r="D10" t="s">
        <v>5</v>
      </c>
      <c r="E10" s="3">
        <v>3535.8029000000001</v>
      </c>
      <c r="F10" s="3">
        <f>Sheet1!L11</f>
        <v>0</v>
      </c>
      <c r="G10" s="4">
        <f t="shared" si="0"/>
        <v>3535.8029000000001</v>
      </c>
      <c r="H10" s="5">
        <f t="shared" si="1"/>
        <v>64316.254751000008</v>
      </c>
      <c r="I10" s="5">
        <f t="shared" si="2"/>
        <v>64351.612780000003</v>
      </c>
    </row>
    <row r="11" spans="1:9" x14ac:dyDescent="0.25">
      <c r="A11" t="s">
        <v>14</v>
      </c>
      <c r="B11">
        <v>36.44</v>
      </c>
      <c r="C11">
        <v>36.44</v>
      </c>
      <c r="D11" t="s">
        <v>5</v>
      </c>
      <c r="E11" s="3">
        <v>1765.0472</v>
      </c>
      <c r="F11" s="3">
        <f>Sheet1!L12</f>
        <v>0</v>
      </c>
      <c r="G11" s="4">
        <f t="shared" si="0"/>
        <v>1765.0472</v>
      </c>
      <c r="H11" s="5">
        <f t="shared" si="1"/>
        <v>64318.319967999996</v>
      </c>
      <c r="I11" s="5">
        <f t="shared" si="2"/>
        <v>64318.319967999996</v>
      </c>
    </row>
    <row r="12" spans="1:9" x14ac:dyDescent="0.25">
      <c r="A12" t="s">
        <v>4</v>
      </c>
      <c r="B12">
        <v>21.22</v>
      </c>
      <c r="C12">
        <v>21.23</v>
      </c>
      <c r="D12" t="s">
        <v>15</v>
      </c>
      <c r="E12" s="4">
        <f>E2</f>
        <v>3014.9315000000001</v>
      </c>
      <c r="F12" s="4">
        <f>F2</f>
        <v>0</v>
      </c>
      <c r="G12" s="4">
        <f t="shared" si="0"/>
        <v>3014.9315000000001</v>
      </c>
      <c r="H12" s="5">
        <f t="shared" si="1"/>
        <v>63976.846429999998</v>
      </c>
      <c r="I12" s="5">
        <f t="shared" si="2"/>
        <v>64006.995745000007</v>
      </c>
    </row>
    <row r="13" spans="1:9" x14ac:dyDescent="0.25">
      <c r="A13" t="s">
        <v>6</v>
      </c>
      <c r="B13">
        <v>34.729999999999997</v>
      </c>
      <c r="C13">
        <v>34.74</v>
      </c>
      <c r="D13" t="s">
        <v>15</v>
      </c>
      <c r="E13" s="4">
        <f t="shared" ref="E13:F28" si="3">E3</f>
        <v>1842.1104</v>
      </c>
      <c r="F13" s="4">
        <f t="shared" si="3"/>
        <v>0</v>
      </c>
      <c r="G13" s="4">
        <f t="shared" si="0"/>
        <v>1842.1104</v>
      </c>
      <c r="H13" s="5">
        <f t="shared" si="1"/>
        <v>63976.494191999998</v>
      </c>
      <c r="I13" s="5">
        <f t="shared" si="2"/>
        <v>63994.915296000006</v>
      </c>
    </row>
    <row r="14" spans="1:9" x14ac:dyDescent="0.25">
      <c r="A14" t="s">
        <v>7</v>
      </c>
      <c r="B14">
        <v>18.04</v>
      </c>
      <c r="C14">
        <v>18.05</v>
      </c>
      <c r="D14" t="s">
        <v>15</v>
      </c>
      <c r="E14" s="4">
        <f t="shared" si="3"/>
        <v>3546.5621999999998</v>
      </c>
      <c r="F14" s="4">
        <f t="shared" si="3"/>
        <v>0</v>
      </c>
      <c r="G14" s="4">
        <f t="shared" si="0"/>
        <v>3546.5621999999998</v>
      </c>
      <c r="H14" s="5">
        <f t="shared" si="1"/>
        <v>63979.982087999997</v>
      </c>
      <c r="I14" s="5">
        <f t="shared" si="2"/>
        <v>64015.44771</v>
      </c>
    </row>
    <row r="15" spans="1:9" x14ac:dyDescent="0.25">
      <c r="A15" t="s">
        <v>8</v>
      </c>
      <c r="B15">
        <v>28.29</v>
      </c>
      <c r="C15">
        <v>28.3</v>
      </c>
      <c r="D15" t="s">
        <v>15</v>
      </c>
      <c r="E15" s="4">
        <f t="shared" si="3"/>
        <v>2261.3323</v>
      </c>
      <c r="F15" s="4">
        <f t="shared" si="3"/>
        <v>-0.1</v>
      </c>
      <c r="G15" s="4">
        <f t="shared" si="0"/>
        <v>2261.2323000000001</v>
      </c>
      <c r="H15" s="5">
        <f t="shared" si="1"/>
        <v>63970.261767000004</v>
      </c>
      <c r="I15" s="5">
        <f t="shared" si="2"/>
        <v>63992.874090000005</v>
      </c>
    </row>
    <row r="16" spans="1:9" x14ac:dyDescent="0.25">
      <c r="A16" t="s">
        <v>9</v>
      </c>
      <c r="B16">
        <v>67.61</v>
      </c>
      <c r="C16">
        <v>67.680000000000007</v>
      </c>
      <c r="D16" t="s">
        <v>15</v>
      </c>
      <c r="E16" s="4">
        <f t="shared" si="3"/>
        <v>946.12990000000002</v>
      </c>
      <c r="F16" s="4">
        <f t="shared" si="3"/>
        <v>0</v>
      </c>
      <c r="G16" s="4">
        <f t="shared" si="0"/>
        <v>946.12990000000002</v>
      </c>
      <c r="H16" s="5">
        <f t="shared" si="1"/>
        <v>63967.842538999997</v>
      </c>
      <c r="I16" s="5">
        <f t="shared" si="2"/>
        <v>64034.071632000007</v>
      </c>
    </row>
    <row r="17" spans="1:9" x14ac:dyDescent="0.25">
      <c r="A17" t="s">
        <v>10</v>
      </c>
      <c r="B17">
        <v>36.979999999999997</v>
      </c>
      <c r="C17">
        <v>36.99</v>
      </c>
      <c r="D17" t="s">
        <v>15</v>
      </c>
      <c r="E17" s="4">
        <f t="shared" si="3"/>
        <v>1730.2188000000001</v>
      </c>
      <c r="F17" s="4">
        <f t="shared" si="3"/>
        <v>0</v>
      </c>
      <c r="G17" s="4">
        <f t="shared" si="0"/>
        <v>1730.2188000000001</v>
      </c>
      <c r="H17" s="5">
        <f t="shared" si="1"/>
        <v>63983.491223999998</v>
      </c>
      <c r="I17" s="5">
        <f t="shared" si="2"/>
        <v>64000.793412000006</v>
      </c>
    </row>
    <row r="18" spans="1:9" x14ac:dyDescent="0.25">
      <c r="A18" t="s">
        <v>11</v>
      </c>
      <c r="B18">
        <v>55.69</v>
      </c>
      <c r="C18">
        <v>55.71</v>
      </c>
      <c r="D18" t="s">
        <v>15</v>
      </c>
      <c r="E18" s="4">
        <f t="shared" si="3"/>
        <v>1148.8453</v>
      </c>
      <c r="F18" s="4">
        <f t="shared" si="3"/>
        <v>0</v>
      </c>
      <c r="G18" s="4">
        <f t="shared" si="0"/>
        <v>1148.8453</v>
      </c>
      <c r="H18" s="5">
        <f t="shared" si="1"/>
        <v>63979.194756999997</v>
      </c>
      <c r="I18" s="5">
        <f t="shared" si="2"/>
        <v>64002.171663000001</v>
      </c>
    </row>
    <row r="19" spans="1:9" x14ac:dyDescent="0.25">
      <c r="A19" t="s">
        <v>12</v>
      </c>
      <c r="B19">
        <v>49.65</v>
      </c>
      <c r="C19">
        <v>49.66</v>
      </c>
      <c r="D19" t="s">
        <v>15</v>
      </c>
      <c r="E19" s="4">
        <f t="shared" si="3"/>
        <v>1289.0084999999999</v>
      </c>
      <c r="F19" s="4">
        <f t="shared" si="3"/>
        <v>0.05</v>
      </c>
      <c r="G19" s="4">
        <f t="shared" si="0"/>
        <v>1289.0584999999999</v>
      </c>
      <c r="H19" s="5">
        <f t="shared" si="1"/>
        <v>64001.754524999989</v>
      </c>
      <c r="I19" s="5">
        <f t="shared" si="2"/>
        <v>64014.64510999999</v>
      </c>
    </row>
    <row r="20" spans="1:9" x14ac:dyDescent="0.25">
      <c r="A20" t="s">
        <v>13</v>
      </c>
      <c r="B20">
        <v>18.09</v>
      </c>
      <c r="C20">
        <v>18.100000000000001</v>
      </c>
      <c r="D20" t="s">
        <v>15</v>
      </c>
      <c r="E20" s="4">
        <f t="shared" si="3"/>
        <v>3535.8029000000001</v>
      </c>
      <c r="F20" s="4">
        <f t="shared" si="3"/>
        <v>0</v>
      </c>
      <c r="G20" s="4">
        <f t="shared" si="0"/>
        <v>3535.8029000000001</v>
      </c>
      <c r="H20" s="5">
        <f t="shared" si="1"/>
        <v>63962.674461000002</v>
      </c>
      <c r="I20" s="5">
        <f t="shared" si="2"/>
        <v>63998.032490000005</v>
      </c>
    </row>
    <row r="21" spans="1:9" x14ac:dyDescent="0.25">
      <c r="A21" t="s">
        <v>14</v>
      </c>
      <c r="B21">
        <v>36.24</v>
      </c>
      <c r="C21">
        <v>36.25</v>
      </c>
      <c r="D21" t="s">
        <v>15</v>
      </c>
      <c r="E21" s="4">
        <f t="shared" si="3"/>
        <v>1765.0472</v>
      </c>
      <c r="F21" s="4">
        <f t="shared" si="3"/>
        <v>0</v>
      </c>
      <c r="G21" s="4">
        <f t="shared" si="0"/>
        <v>1765.0472</v>
      </c>
      <c r="H21" s="5">
        <f t="shared" si="1"/>
        <v>63965.310528000002</v>
      </c>
      <c r="I21" s="5">
        <f t="shared" si="2"/>
        <v>63982.960999999996</v>
      </c>
    </row>
    <row r="22" spans="1:9" x14ac:dyDescent="0.25">
      <c r="A22" t="s">
        <v>4</v>
      </c>
      <c r="B22">
        <v>21.24</v>
      </c>
      <c r="C22">
        <v>21.25</v>
      </c>
      <c r="D22" t="s">
        <v>16</v>
      </c>
      <c r="E22" s="4">
        <f t="shared" si="3"/>
        <v>3014.9315000000001</v>
      </c>
      <c r="F22" s="4">
        <f t="shared" si="3"/>
        <v>0</v>
      </c>
      <c r="G22" s="4">
        <f t="shared" si="0"/>
        <v>3014.9315000000001</v>
      </c>
      <c r="H22" s="5">
        <f t="shared" si="1"/>
        <v>64037.145059999995</v>
      </c>
      <c r="I22" s="5">
        <f t="shared" si="2"/>
        <v>64067.294375000005</v>
      </c>
    </row>
    <row r="23" spans="1:9" x14ac:dyDescent="0.25">
      <c r="A23" t="s">
        <v>6</v>
      </c>
      <c r="B23">
        <v>34.770000000000003</v>
      </c>
      <c r="C23">
        <v>34.78</v>
      </c>
      <c r="D23" t="s">
        <v>16</v>
      </c>
      <c r="E23" s="4">
        <f t="shared" si="3"/>
        <v>1842.1104</v>
      </c>
      <c r="F23" s="4">
        <f t="shared" si="3"/>
        <v>0</v>
      </c>
      <c r="G23" s="4">
        <f t="shared" si="0"/>
        <v>1842.1104</v>
      </c>
      <c r="H23" s="5">
        <f t="shared" si="1"/>
        <v>64050.178608000009</v>
      </c>
      <c r="I23" s="5">
        <f t="shared" si="2"/>
        <v>64068.599712000003</v>
      </c>
    </row>
    <row r="24" spans="1:9" x14ac:dyDescent="0.25">
      <c r="A24" t="s">
        <v>7</v>
      </c>
      <c r="B24">
        <v>18.05</v>
      </c>
      <c r="C24">
        <v>18.059999999999999</v>
      </c>
      <c r="D24" t="s">
        <v>16</v>
      </c>
      <c r="E24" s="4">
        <f t="shared" si="3"/>
        <v>3546.5621999999998</v>
      </c>
      <c r="F24" s="4">
        <f t="shared" si="3"/>
        <v>0</v>
      </c>
      <c r="G24" s="4">
        <f t="shared" si="0"/>
        <v>3546.5621999999998</v>
      </c>
      <c r="H24" s="5">
        <f t="shared" si="1"/>
        <v>64015.44771</v>
      </c>
      <c r="I24" s="5">
        <f t="shared" si="2"/>
        <v>64050.913331999989</v>
      </c>
    </row>
    <row r="25" spans="1:9" x14ac:dyDescent="0.25">
      <c r="A25" t="s">
        <v>8</v>
      </c>
      <c r="B25">
        <v>28.32</v>
      </c>
      <c r="C25">
        <v>28.33</v>
      </c>
      <c r="D25" t="s">
        <v>16</v>
      </c>
      <c r="E25" s="4">
        <f t="shared" si="3"/>
        <v>2261.3323</v>
      </c>
      <c r="F25" s="4">
        <f t="shared" si="3"/>
        <v>-0.1</v>
      </c>
      <c r="G25" s="4">
        <f t="shared" si="0"/>
        <v>2261.2323000000001</v>
      </c>
      <c r="H25" s="5">
        <f t="shared" si="1"/>
        <v>64038.098736000007</v>
      </c>
      <c r="I25" s="5">
        <f t="shared" si="2"/>
        <v>64060.711059000001</v>
      </c>
    </row>
    <row r="26" spans="1:9" x14ac:dyDescent="0.25">
      <c r="A26" t="s">
        <v>9</v>
      </c>
      <c r="B26">
        <v>67.67</v>
      </c>
      <c r="C26">
        <v>67.77</v>
      </c>
      <c r="D26" t="s">
        <v>16</v>
      </c>
      <c r="E26" s="4">
        <f t="shared" si="3"/>
        <v>946.12990000000002</v>
      </c>
      <c r="F26" s="4">
        <f t="shared" si="3"/>
        <v>0</v>
      </c>
      <c r="G26" s="4">
        <f t="shared" si="0"/>
        <v>946.12990000000002</v>
      </c>
      <c r="H26" s="5">
        <f t="shared" si="1"/>
        <v>64024.610333000004</v>
      </c>
      <c r="I26" s="5">
        <f t="shared" si="2"/>
        <v>64119.223322999998</v>
      </c>
    </row>
    <row r="27" spans="1:9" x14ac:dyDescent="0.25">
      <c r="A27" t="s">
        <v>10</v>
      </c>
      <c r="B27">
        <v>37.01</v>
      </c>
      <c r="C27">
        <v>37.04</v>
      </c>
      <c r="D27" t="s">
        <v>16</v>
      </c>
      <c r="E27" s="4">
        <f t="shared" si="3"/>
        <v>1730.2188000000001</v>
      </c>
      <c r="F27" s="4">
        <f t="shared" si="3"/>
        <v>0</v>
      </c>
      <c r="G27" s="4">
        <f t="shared" si="0"/>
        <v>1730.2188000000001</v>
      </c>
      <c r="H27" s="5">
        <f t="shared" si="1"/>
        <v>64035.397788000002</v>
      </c>
      <c r="I27" s="5">
        <f t="shared" si="2"/>
        <v>64087.304351999999</v>
      </c>
    </row>
    <row r="28" spans="1:9" x14ac:dyDescent="0.25">
      <c r="A28" t="s">
        <v>11</v>
      </c>
      <c r="B28">
        <v>55.75</v>
      </c>
      <c r="C28">
        <v>55.76</v>
      </c>
      <c r="D28" t="s">
        <v>16</v>
      </c>
      <c r="E28" s="4">
        <f t="shared" si="3"/>
        <v>1148.8453</v>
      </c>
      <c r="F28" s="4">
        <f t="shared" si="3"/>
        <v>0</v>
      </c>
      <c r="G28" s="4">
        <f t="shared" si="0"/>
        <v>1148.8453</v>
      </c>
      <c r="H28" s="5">
        <f t="shared" si="1"/>
        <v>64048.125475000001</v>
      </c>
      <c r="I28" s="5">
        <f t="shared" si="2"/>
        <v>64059.613927999992</v>
      </c>
    </row>
    <row r="29" spans="1:9" x14ac:dyDescent="0.25">
      <c r="A29" t="s">
        <v>12</v>
      </c>
      <c r="B29">
        <v>49.7</v>
      </c>
      <c r="C29">
        <v>49.71</v>
      </c>
      <c r="D29" t="s">
        <v>16</v>
      </c>
      <c r="E29" s="4">
        <f t="shared" ref="E29:F44" si="4">E19</f>
        <v>1289.0084999999999</v>
      </c>
      <c r="F29" s="4">
        <f t="shared" si="4"/>
        <v>0.05</v>
      </c>
      <c r="G29" s="4">
        <f t="shared" si="0"/>
        <v>1289.0584999999999</v>
      </c>
      <c r="H29" s="5">
        <f t="shared" si="1"/>
        <v>64066.207449999994</v>
      </c>
      <c r="I29" s="5">
        <f t="shared" si="2"/>
        <v>64079.098034999995</v>
      </c>
    </row>
    <row r="30" spans="1:9" x14ac:dyDescent="0.25">
      <c r="A30" t="s">
        <v>13</v>
      </c>
      <c r="B30">
        <v>18.11</v>
      </c>
      <c r="C30">
        <v>18.12</v>
      </c>
      <c r="D30" t="s">
        <v>16</v>
      </c>
      <c r="E30" s="4">
        <f t="shared" si="4"/>
        <v>3535.8029000000001</v>
      </c>
      <c r="F30" s="4">
        <f t="shared" si="4"/>
        <v>0</v>
      </c>
      <c r="G30" s="4">
        <f t="shared" si="0"/>
        <v>3535.8029000000001</v>
      </c>
      <c r="H30" s="5">
        <f t="shared" si="1"/>
        <v>64033.390519</v>
      </c>
      <c r="I30" s="5">
        <f t="shared" si="2"/>
        <v>64068.748548000003</v>
      </c>
    </row>
    <row r="31" spans="1:9" x14ac:dyDescent="0.25">
      <c r="A31" t="s">
        <v>14</v>
      </c>
      <c r="B31">
        <v>36.270000000000003</v>
      </c>
      <c r="C31">
        <v>36.28</v>
      </c>
      <c r="D31" t="s">
        <v>16</v>
      </c>
      <c r="E31" s="4">
        <f t="shared" si="4"/>
        <v>1765.0472</v>
      </c>
      <c r="F31" s="4">
        <f t="shared" si="4"/>
        <v>0</v>
      </c>
      <c r="G31" s="4">
        <f t="shared" si="0"/>
        <v>1765.0472</v>
      </c>
      <c r="H31" s="5">
        <f t="shared" si="1"/>
        <v>64018.261944000005</v>
      </c>
      <c r="I31" s="5">
        <f t="shared" si="2"/>
        <v>64035.912415999999</v>
      </c>
    </row>
    <row r="32" spans="1:9" x14ac:dyDescent="0.25">
      <c r="A32" t="s">
        <v>4</v>
      </c>
      <c r="B32">
        <v>21.18</v>
      </c>
      <c r="C32">
        <v>21.19</v>
      </c>
      <c r="D32" t="s">
        <v>17</v>
      </c>
      <c r="E32" s="4">
        <f t="shared" si="4"/>
        <v>3014.9315000000001</v>
      </c>
      <c r="F32" s="4">
        <f t="shared" si="4"/>
        <v>0</v>
      </c>
      <c r="G32" s="4">
        <f t="shared" si="0"/>
        <v>3014.9315000000001</v>
      </c>
      <c r="H32" s="5">
        <f t="shared" si="1"/>
        <v>63856.249170000003</v>
      </c>
      <c r="I32" s="5">
        <f t="shared" si="2"/>
        <v>63886.398485000005</v>
      </c>
    </row>
    <row r="33" spans="1:9" x14ac:dyDescent="0.25">
      <c r="A33" t="s">
        <v>6</v>
      </c>
      <c r="B33">
        <v>34.67</v>
      </c>
      <c r="C33">
        <v>34.68</v>
      </c>
      <c r="D33" t="s">
        <v>17</v>
      </c>
      <c r="E33" s="4">
        <f t="shared" si="4"/>
        <v>1842.1104</v>
      </c>
      <c r="F33" s="4">
        <f t="shared" si="4"/>
        <v>0</v>
      </c>
      <c r="G33" s="4">
        <f t="shared" si="0"/>
        <v>1842.1104</v>
      </c>
      <c r="H33" s="5">
        <f t="shared" si="1"/>
        <v>63865.967568000007</v>
      </c>
      <c r="I33" s="5">
        <f t="shared" si="2"/>
        <v>63884.388672000001</v>
      </c>
    </row>
    <row r="34" spans="1:9" x14ac:dyDescent="0.25">
      <c r="A34" t="s">
        <v>7</v>
      </c>
      <c r="B34">
        <v>18.010000000000002</v>
      </c>
      <c r="C34">
        <v>18.02</v>
      </c>
      <c r="D34" t="s">
        <v>17</v>
      </c>
      <c r="E34" s="4">
        <f t="shared" si="4"/>
        <v>3546.5621999999998</v>
      </c>
      <c r="F34" s="4">
        <f t="shared" si="4"/>
        <v>0</v>
      </c>
      <c r="G34" s="4">
        <f t="shared" si="0"/>
        <v>3546.5621999999998</v>
      </c>
      <c r="H34" s="5">
        <f t="shared" si="1"/>
        <v>63873.585222000002</v>
      </c>
      <c r="I34" s="5">
        <f t="shared" si="2"/>
        <v>63909.050843999998</v>
      </c>
    </row>
    <row r="35" spans="1:9" x14ac:dyDescent="0.25">
      <c r="A35" t="s">
        <v>8</v>
      </c>
      <c r="B35">
        <v>28.25</v>
      </c>
      <c r="C35">
        <v>28.26</v>
      </c>
      <c r="D35" t="s">
        <v>17</v>
      </c>
      <c r="E35" s="4">
        <f t="shared" si="4"/>
        <v>2261.3323</v>
      </c>
      <c r="F35" s="4">
        <f t="shared" si="4"/>
        <v>-0.1</v>
      </c>
      <c r="G35" s="4">
        <f t="shared" si="0"/>
        <v>2261.2323000000001</v>
      </c>
      <c r="H35" s="5">
        <f t="shared" si="1"/>
        <v>63879.812475000006</v>
      </c>
      <c r="I35" s="5">
        <f t="shared" si="2"/>
        <v>63902.424798000007</v>
      </c>
    </row>
    <row r="36" spans="1:9" x14ac:dyDescent="0.25">
      <c r="A36" t="s">
        <v>9</v>
      </c>
      <c r="B36">
        <v>67.45</v>
      </c>
      <c r="C36">
        <v>67.56</v>
      </c>
      <c r="D36" t="s">
        <v>17</v>
      </c>
      <c r="E36" s="4">
        <f t="shared" si="4"/>
        <v>946.12990000000002</v>
      </c>
      <c r="F36" s="4">
        <f t="shared" si="4"/>
        <v>0</v>
      </c>
      <c r="G36" s="4">
        <f t="shared" si="0"/>
        <v>946.12990000000002</v>
      </c>
      <c r="H36" s="5">
        <f t="shared" si="1"/>
        <v>63816.461755000004</v>
      </c>
      <c r="I36" s="5">
        <f t="shared" si="2"/>
        <v>63920.536044</v>
      </c>
    </row>
    <row r="37" spans="1:9" x14ac:dyDescent="0.25">
      <c r="A37" t="s">
        <v>10</v>
      </c>
      <c r="B37">
        <v>36.909999999999997</v>
      </c>
      <c r="C37">
        <v>36.93</v>
      </c>
      <c r="D37" t="s">
        <v>17</v>
      </c>
      <c r="E37" s="4">
        <f t="shared" si="4"/>
        <v>1730.2188000000001</v>
      </c>
      <c r="F37" s="4">
        <f t="shared" si="4"/>
        <v>0</v>
      </c>
      <c r="G37" s="4">
        <f t="shared" si="0"/>
        <v>1730.2188000000001</v>
      </c>
      <c r="H37" s="5">
        <f t="shared" si="1"/>
        <v>63862.375907999995</v>
      </c>
      <c r="I37" s="5">
        <f t="shared" si="2"/>
        <v>63896.980284000005</v>
      </c>
    </row>
    <row r="38" spans="1:9" x14ac:dyDescent="0.25">
      <c r="A38" t="s">
        <v>11</v>
      </c>
      <c r="B38">
        <v>55.59</v>
      </c>
      <c r="C38">
        <v>55.6</v>
      </c>
      <c r="D38" t="s">
        <v>17</v>
      </c>
      <c r="E38" s="4">
        <f t="shared" si="4"/>
        <v>1148.8453</v>
      </c>
      <c r="F38" s="4">
        <f t="shared" si="4"/>
        <v>0</v>
      </c>
      <c r="G38" s="4">
        <f t="shared" si="0"/>
        <v>1148.8453</v>
      </c>
      <c r="H38" s="5">
        <f t="shared" si="1"/>
        <v>63864.310227000002</v>
      </c>
      <c r="I38" s="5">
        <f t="shared" si="2"/>
        <v>63875.79868</v>
      </c>
    </row>
    <row r="39" spans="1:9" x14ac:dyDescent="0.25">
      <c r="A39" t="s">
        <v>12</v>
      </c>
      <c r="B39">
        <v>49.56</v>
      </c>
      <c r="C39">
        <v>49.57</v>
      </c>
      <c r="D39" t="s">
        <v>17</v>
      </c>
      <c r="E39" s="4">
        <f t="shared" si="4"/>
        <v>1289.0084999999999</v>
      </c>
      <c r="F39" s="4">
        <f t="shared" si="4"/>
        <v>0.05</v>
      </c>
      <c r="G39" s="4">
        <f t="shared" si="0"/>
        <v>1289.0584999999999</v>
      </c>
      <c r="H39" s="5">
        <f t="shared" si="1"/>
        <v>63885.739259999995</v>
      </c>
      <c r="I39" s="5">
        <f t="shared" si="2"/>
        <v>63898.629844999996</v>
      </c>
    </row>
    <row r="40" spans="1:9" x14ac:dyDescent="0.25">
      <c r="A40" t="s">
        <v>13</v>
      </c>
      <c r="B40">
        <v>18.059999999999999</v>
      </c>
      <c r="C40">
        <v>18.07</v>
      </c>
      <c r="D40" t="s">
        <v>17</v>
      </c>
      <c r="E40" s="4">
        <f t="shared" si="4"/>
        <v>3535.8029000000001</v>
      </c>
      <c r="F40" s="4">
        <f t="shared" si="4"/>
        <v>0</v>
      </c>
      <c r="G40" s="4">
        <f t="shared" si="0"/>
        <v>3535.8029000000001</v>
      </c>
      <c r="H40" s="5">
        <f t="shared" si="1"/>
        <v>63856.600374000001</v>
      </c>
      <c r="I40" s="5">
        <f t="shared" si="2"/>
        <v>63891.958403000004</v>
      </c>
    </row>
    <row r="41" spans="1:9" x14ac:dyDescent="0.25">
      <c r="A41" t="s">
        <v>14</v>
      </c>
      <c r="B41">
        <v>36.17</v>
      </c>
      <c r="C41">
        <v>36.18</v>
      </c>
      <c r="D41" t="s">
        <v>17</v>
      </c>
      <c r="E41" s="4">
        <f t="shared" si="4"/>
        <v>1765.0472</v>
      </c>
      <c r="F41" s="4">
        <f t="shared" si="4"/>
        <v>0</v>
      </c>
      <c r="G41" s="4">
        <f t="shared" si="0"/>
        <v>1765.0472</v>
      </c>
      <c r="H41" s="5">
        <f t="shared" si="1"/>
        <v>63841.757224000001</v>
      </c>
      <c r="I41" s="5">
        <f t="shared" si="2"/>
        <v>63859.407696000002</v>
      </c>
    </row>
    <row r="42" spans="1:9" x14ac:dyDescent="0.25">
      <c r="A42" t="s">
        <v>4</v>
      </c>
      <c r="B42">
        <v>21.2</v>
      </c>
      <c r="C42">
        <v>21.21</v>
      </c>
      <c r="D42" t="s">
        <v>18</v>
      </c>
      <c r="E42" s="4">
        <f t="shared" si="4"/>
        <v>3014.9315000000001</v>
      </c>
      <c r="F42" s="4">
        <f t="shared" si="4"/>
        <v>0</v>
      </c>
      <c r="G42" s="4">
        <f t="shared" si="0"/>
        <v>3014.9315000000001</v>
      </c>
      <c r="H42" s="5">
        <f t="shared" si="1"/>
        <v>63916.5478</v>
      </c>
      <c r="I42" s="5">
        <f t="shared" si="2"/>
        <v>63946.697115000003</v>
      </c>
    </row>
    <row r="43" spans="1:9" x14ac:dyDescent="0.25">
      <c r="A43" t="s">
        <v>6</v>
      </c>
      <c r="B43">
        <v>34.69</v>
      </c>
      <c r="C43">
        <v>34.700000000000003</v>
      </c>
      <c r="D43" t="s">
        <v>18</v>
      </c>
      <c r="E43" s="4">
        <f t="shared" si="4"/>
        <v>1842.1104</v>
      </c>
      <c r="F43" s="4">
        <f t="shared" si="4"/>
        <v>0</v>
      </c>
      <c r="G43" s="4">
        <f t="shared" si="0"/>
        <v>1842.1104</v>
      </c>
      <c r="H43" s="5">
        <f t="shared" si="1"/>
        <v>63902.809775999995</v>
      </c>
      <c r="I43" s="5">
        <f t="shared" si="2"/>
        <v>63921.230880000003</v>
      </c>
    </row>
    <row r="44" spans="1:9" x14ac:dyDescent="0.25">
      <c r="A44" t="s">
        <v>7</v>
      </c>
      <c r="B44">
        <v>18.02</v>
      </c>
      <c r="C44">
        <v>18.03</v>
      </c>
      <c r="D44" t="s">
        <v>18</v>
      </c>
      <c r="E44" s="4">
        <f t="shared" si="4"/>
        <v>3546.5621999999998</v>
      </c>
      <c r="F44" s="4">
        <f t="shared" si="4"/>
        <v>0</v>
      </c>
      <c r="G44" s="4">
        <f t="shared" si="0"/>
        <v>3546.5621999999998</v>
      </c>
      <c r="H44" s="5">
        <f t="shared" si="1"/>
        <v>63909.050843999998</v>
      </c>
      <c r="I44" s="5">
        <f t="shared" si="2"/>
        <v>63944.516466000001</v>
      </c>
    </row>
    <row r="45" spans="1:9" x14ac:dyDescent="0.25">
      <c r="A45" t="s">
        <v>8</v>
      </c>
      <c r="B45">
        <v>28.27</v>
      </c>
      <c r="C45">
        <v>28.28</v>
      </c>
      <c r="D45" t="s">
        <v>18</v>
      </c>
      <c r="E45" s="4">
        <f t="shared" ref="E45:F60" si="5">E35</f>
        <v>2261.3323</v>
      </c>
      <c r="F45" s="4">
        <f t="shared" si="5"/>
        <v>-0.1</v>
      </c>
      <c r="G45" s="4">
        <f t="shared" si="0"/>
        <v>2261.2323000000001</v>
      </c>
      <c r="H45" s="5">
        <f t="shared" si="1"/>
        <v>63925.037121000001</v>
      </c>
      <c r="I45" s="5">
        <f t="shared" si="2"/>
        <v>63947.64944400001</v>
      </c>
    </row>
    <row r="46" spans="1:9" x14ac:dyDescent="0.25">
      <c r="A46" t="s">
        <v>9</v>
      </c>
      <c r="B46">
        <v>67.53</v>
      </c>
      <c r="C46">
        <v>67.62</v>
      </c>
      <c r="D46" t="s">
        <v>18</v>
      </c>
      <c r="E46" s="4">
        <f t="shared" si="5"/>
        <v>946.12990000000002</v>
      </c>
      <c r="F46" s="4">
        <f t="shared" si="5"/>
        <v>0</v>
      </c>
      <c r="G46" s="4">
        <f t="shared" si="0"/>
        <v>946.12990000000002</v>
      </c>
      <c r="H46" s="5">
        <f t="shared" si="1"/>
        <v>63892.152147000001</v>
      </c>
      <c r="I46" s="5">
        <f t="shared" si="2"/>
        <v>63977.303838000007</v>
      </c>
    </row>
    <row r="47" spans="1:9" x14ac:dyDescent="0.25">
      <c r="A47" t="s">
        <v>10</v>
      </c>
      <c r="B47">
        <v>36.93</v>
      </c>
      <c r="C47">
        <v>36.96</v>
      </c>
      <c r="D47" t="s">
        <v>18</v>
      </c>
      <c r="E47" s="4">
        <f t="shared" si="5"/>
        <v>1730.2188000000001</v>
      </c>
      <c r="F47" s="4">
        <f t="shared" si="5"/>
        <v>0</v>
      </c>
      <c r="G47" s="4">
        <f t="shared" si="0"/>
        <v>1730.2188000000001</v>
      </c>
      <c r="H47" s="5">
        <f t="shared" si="1"/>
        <v>63896.980284000005</v>
      </c>
      <c r="I47" s="5">
        <f t="shared" si="2"/>
        <v>63948.886848000002</v>
      </c>
    </row>
    <row r="48" spans="1:9" x14ac:dyDescent="0.25">
      <c r="A48" t="s">
        <v>11</v>
      </c>
      <c r="B48">
        <v>55.63</v>
      </c>
      <c r="C48">
        <v>55.64</v>
      </c>
      <c r="D48" t="s">
        <v>18</v>
      </c>
      <c r="E48" s="4">
        <f t="shared" si="5"/>
        <v>1148.8453</v>
      </c>
      <c r="F48" s="4">
        <f t="shared" si="5"/>
        <v>0</v>
      </c>
      <c r="G48" s="4">
        <f t="shared" si="0"/>
        <v>1148.8453</v>
      </c>
      <c r="H48" s="5">
        <f t="shared" si="1"/>
        <v>63910.264039000002</v>
      </c>
      <c r="I48" s="5">
        <f t="shared" si="2"/>
        <v>63921.752492</v>
      </c>
    </row>
    <row r="49" spans="1:9" x14ac:dyDescent="0.25">
      <c r="A49" t="s">
        <v>12</v>
      </c>
      <c r="B49">
        <v>49.58</v>
      </c>
      <c r="C49">
        <v>49.59</v>
      </c>
      <c r="D49" t="s">
        <v>18</v>
      </c>
      <c r="E49" s="4">
        <f t="shared" si="5"/>
        <v>1289.0084999999999</v>
      </c>
      <c r="F49" s="4">
        <f t="shared" si="5"/>
        <v>0.05</v>
      </c>
      <c r="G49" s="4">
        <f t="shared" si="0"/>
        <v>1289.0584999999999</v>
      </c>
      <c r="H49" s="5">
        <f t="shared" si="1"/>
        <v>63911.52042999999</v>
      </c>
      <c r="I49" s="5">
        <f t="shared" si="2"/>
        <v>63924.411014999998</v>
      </c>
    </row>
    <row r="50" spans="1:9" x14ac:dyDescent="0.25">
      <c r="A50" t="s">
        <v>13</v>
      </c>
      <c r="B50">
        <v>18.07</v>
      </c>
      <c r="C50">
        <v>18.079999999999998</v>
      </c>
      <c r="D50" t="s">
        <v>18</v>
      </c>
      <c r="E50" s="4">
        <f t="shared" si="5"/>
        <v>3535.8029000000001</v>
      </c>
      <c r="F50" s="4">
        <f t="shared" si="5"/>
        <v>0</v>
      </c>
      <c r="G50" s="4">
        <f t="shared" si="0"/>
        <v>3535.8029000000001</v>
      </c>
      <c r="H50" s="5">
        <f t="shared" si="1"/>
        <v>63891.958403000004</v>
      </c>
      <c r="I50" s="5">
        <f t="shared" si="2"/>
        <v>63927.316432</v>
      </c>
    </row>
    <row r="51" spans="1:9" x14ac:dyDescent="0.25">
      <c r="A51" t="s">
        <v>14</v>
      </c>
      <c r="B51">
        <v>36.200000000000003</v>
      </c>
      <c r="C51">
        <v>36.21</v>
      </c>
      <c r="D51" t="s">
        <v>18</v>
      </c>
      <c r="E51" s="4">
        <f t="shared" si="5"/>
        <v>1765.0472</v>
      </c>
      <c r="F51" s="4">
        <f t="shared" si="5"/>
        <v>0</v>
      </c>
      <c r="G51" s="4">
        <f t="shared" si="0"/>
        <v>1765.0472</v>
      </c>
      <c r="H51" s="5">
        <f t="shared" si="1"/>
        <v>63894.708640000004</v>
      </c>
      <c r="I51" s="5">
        <f t="shared" si="2"/>
        <v>63912.359111999998</v>
      </c>
    </row>
    <row r="52" spans="1:9" x14ac:dyDescent="0.25">
      <c r="A52" t="s">
        <v>4</v>
      </c>
      <c r="B52">
        <v>21.16</v>
      </c>
      <c r="C52">
        <v>21.17</v>
      </c>
      <c r="D52" t="s">
        <v>19</v>
      </c>
      <c r="E52" s="4">
        <f t="shared" si="5"/>
        <v>3014.9315000000001</v>
      </c>
      <c r="F52" s="4">
        <f t="shared" si="5"/>
        <v>0</v>
      </c>
      <c r="G52" s="4">
        <f t="shared" si="0"/>
        <v>3014.9315000000001</v>
      </c>
      <c r="H52" s="5">
        <f t="shared" si="1"/>
        <v>63795.950540000005</v>
      </c>
      <c r="I52" s="5">
        <f t="shared" si="2"/>
        <v>63826.099855000008</v>
      </c>
    </row>
    <row r="53" spans="1:9" x14ac:dyDescent="0.25">
      <c r="A53" t="s">
        <v>6</v>
      </c>
      <c r="B53">
        <v>34.64</v>
      </c>
      <c r="C53">
        <v>34.65</v>
      </c>
      <c r="D53" t="s">
        <v>19</v>
      </c>
      <c r="E53" s="4">
        <f t="shared" si="5"/>
        <v>1842.1104</v>
      </c>
      <c r="F53" s="4">
        <f t="shared" si="5"/>
        <v>0</v>
      </c>
      <c r="G53" s="4">
        <f t="shared" si="0"/>
        <v>1842.1104</v>
      </c>
      <c r="H53" s="5">
        <f t="shared" si="1"/>
        <v>63810.704256000005</v>
      </c>
      <c r="I53" s="5">
        <f t="shared" si="2"/>
        <v>63829.125359999998</v>
      </c>
    </row>
    <row r="54" spans="1:9" x14ac:dyDescent="0.25">
      <c r="A54" t="s">
        <v>7</v>
      </c>
      <c r="B54">
        <v>17.98</v>
      </c>
      <c r="C54">
        <v>17.989999999999998</v>
      </c>
      <c r="D54" t="s">
        <v>19</v>
      </c>
      <c r="E54" s="4">
        <f t="shared" si="5"/>
        <v>3546.5621999999998</v>
      </c>
      <c r="F54" s="4">
        <f t="shared" si="5"/>
        <v>0</v>
      </c>
      <c r="G54" s="4">
        <f t="shared" si="0"/>
        <v>3546.5621999999998</v>
      </c>
      <c r="H54" s="5">
        <f t="shared" si="1"/>
        <v>63767.188355999999</v>
      </c>
      <c r="I54" s="5">
        <f t="shared" si="2"/>
        <v>63802.653977999995</v>
      </c>
    </row>
    <row r="55" spans="1:9" x14ac:dyDescent="0.25">
      <c r="A55" t="s">
        <v>8</v>
      </c>
      <c r="B55">
        <v>28.21</v>
      </c>
      <c r="C55">
        <v>28.22</v>
      </c>
      <c r="D55" t="s">
        <v>19</v>
      </c>
      <c r="E55" s="4">
        <f t="shared" si="5"/>
        <v>2261.3323</v>
      </c>
      <c r="F55" s="4">
        <f t="shared" si="5"/>
        <v>-0.1</v>
      </c>
      <c r="G55" s="4">
        <f t="shared" si="0"/>
        <v>2261.2323000000001</v>
      </c>
      <c r="H55" s="5">
        <f t="shared" si="1"/>
        <v>63789.363183000009</v>
      </c>
      <c r="I55" s="5">
        <f t="shared" si="2"/>
        <v>63811.975506000002</v>
      </c>
    </row>
    <row r="56" spans="1:9" x14ac:dyDescent="0.25">
      <c r="A56" t="s">
        <v>9</v>
      </c>
      <c r="B56">
        <v>67.400000000000006</v>
      </c>
      <c r="C56">
        <v>67.5</v>
      </c>
      <c r="D56" t="s">
        <v>19</v>
      </c>
      <c r="E56" s="4">
        <f t="shared" si="5"/>
        <v>946.12990000000002</v>
      </c>
      <c r="F56" s="4">
        <f t="shared" si="5"/>
        <v>0</v>
      </c>
      <c r="G56" s="4">
        <f t="shared" si="0"/>
        <v>946.12990000000002</v>
      </c>
      <c r="H56" s="5">
        <f t="shared" si="1"/>
        <v>63769.155260000007</v>
      </c>
      <c r="I56" s="5">
        <f t="shared" si="2"/>
        <v>63863.768250000001</v>
      </c>
    </row>
    <row r="57" spans="1:9" x14ac:dyDescent="0.25">
      <c r="A57" t="s">
        <v>10</v>
      </c>
      <c r="B57">
        <v>36.86</v>
      </c>
      <c r="C57">
        <v>36.880000000000003</v>
      </c>
      <c r="D57" t="s">
        <v>19</v>
      </c>
      <c r="E57" s="4">
        <f t="shared" si="5"/>
        <v>1730.2188000000001</v>
      </c>
      <c r="F57" s="4">
        <f t="shared" si="5"/>
        <v>0</v>
      </c>
      <c r="G57" s="4">
        <f t="shared" si="0"/>
        <v>1730.2188000000001</v>
      </c>
      <c r="H57" s="5">
        <f t="shared" si="1"/>
        <v>63775.864968000002</v>
      </c>
      <c r="I57" s="5">
        <f t="shared" si="2"/>
        <v>63810.469344000005</v>
      </c>
    </row>
    <row r="58" spans="1:9" x14ac:dyDescent="0.25">
      <c r="A58" t="s">
        <v>11</v>
      </c>
      <c r="B58">
        <v>55.52</v>
      </c>
      <c r="C58">
        <v>55.53</v>
      </c>
      <c r="D58" t="s">
        <v>19</v>
      </c>
      <c r="E58" s="4">
        <f t="shared" si="5"/>
        <v>1148.8453</v>
      </c>
      <c r="F58" s="4">
        <f t="shared" si="5"/>
        <v>0</v>
      </c>
      <c r="G58" s="4">
        <f t="shared" si="0"/>
        <v>1148.8453</v>
      </c>
      <c r="H58" s="5">
        <f t="shared" si="1"/>
        <v>63783.891056</v>
      </c>
      <c r="I58" s="5">
        <f t="shared" si="2"/>
        <v>63795.379508999999</v>
      </c>
    </row>
    <row r="59" spans="1:9" x14ac:dyDescent="0.25">
      <c r="A59" t="s">
        <v>12</v>
      </c>
      <c r="B59">
        <v>49.5</v>
      </c>
      <c r="C59">
        <v>49.51</v>
      </c>
      <c r="D59" t="s">
        <v>19</v>
      </c>
      <c r="E59" s="4">
        <f t="shared" si="5"/>
        <v>1289.0084999999999</v>
      </c>
      <c r="F59" s="4">
        <f t="shared" si="5"/>
        <v>0.05</v>
      </c>
      <c r="G59" s="4">
        <f t="shared" si="0"/>
        <v>1289.0584999999999</v>
      </c>
      <c r="H59" s="5">
        <f t="shared" si="1"/>
        <v>63808.395749999996</v>
      </c>
      <c r="I59" s="5">
        <f t="shared" si="2"/>
        <v>63821.28633499999</v>
      </c>
    </row>
    <row r="60" spans="1:9" x14ac:dyDescent="0.25">
      <c r="A60" t="s">
        <v>13</v>
      </c>
      <c r="B60">
        <v>18.03</v>
      </c>
      <c r="C60">
        <v>18.04</v>
      </c>
      <c r="D60" t="s">
        <v>19</v>
      </c>
      <c r="E60" s="4">
        <f t="shared" si="5"/>
        <v>3535.8029000000001</v>
      </c>
      <c r="F60" s="4">
        <f t="shared" si="5"/>
        <v>0</v>
      </c>
      <c r="G60" s="4">
        <f t="shared" si="0"/>
        <v>3535.8029000000001</v>
      </c>
      <c r="H60" s="5">
        <f t="shared" si="1"/>
        <v>63750.526287000008</v>
      </c>
      <c r="I60" s="5">
        <f t="shared" si="2"/>
        <v>63785.884315999996</v>
      </c>
    </row>
    <row r="61" spans="1:9" x14ac:dyDescent="0.25">
      <c r="A61" t="s">
        <v>14</v>
      </c>
      <c r="B61">
        <v>36.14</v>
      </c>
      <c r="C61">
        <v>36.15</v>
      </c>
      <c r="D61" t="s">
        <v>19</v>
      </c>
      <c r="E61" s="4">
        <f t="shared" ref="E61:F76" si="6">E51</f>
        <v>1765.0472</v>
      </c>
      <c r="F61" s="4">
        <f t="shared" si="6"/>
        <v>0</v>
      </c>
      <c r="G61" s="4">
        <f t="shared" si="0"/>
        <v>1765.0472</v>
      </c>
      <c r="H61" s="5">
        <f t="shared" si="1"/>
        <v>63788.805807999997</v>
      </c>
      <c r="I61" s="5">
        <f t="shared" si="2"/>
        <v>63806.456279999999</v>
      </c>
    </row>
    <row r="62" spans="1:9" x14ac:dyDescent="0.25">
      <c r="A62" t="s">
        <v>4</v>
      </c>
      <c r="B62">
        <v>21.15</v>
      </c>
      <c r="C62">
        <v>21.16</v>
      </c>
      <c r="D62" t="s">
        <v>20</v>
      </c>
      <c r="E62" s="4">
        <f t="shared" si="6"/>
        <v>3014.9315000000001</v>
      </c>
      <c r="F62" s="4">
        <f t="shared" si="6"/>
        <v>0</v>
      </c>
      <c r="G62" s="4">
        <f t="shared" si="0"/>
        <v>3014.9315000000001</v>
      </c>
      <c r="H62" s="5">
        <f t="shared" si="1"/>
        <v>63765.801224999996</v>
      </c>
      <c r="I62" s="5">
        <f t="shared" si="2"/>
        <v>63795.950540000005</v>
      </c>
    </row>
    <row r="63" spans="1:9" x14ac:dyDescent="0.25">
      <c r="A63" t="s">
        <v>6</v>
      </c>
      <c r="B63">
        <v>34.619999999999997</v>
      </c>
      <c r="C63">
        <v>34.630000000000003</v>
      </c>
      <c r="D63" t="s">
        <v>20</v>
      </c>
      <c r="E63" s="4">
        <f t="shared" si="6"/>
        <v>1842.1104</v>
      </c>
      <c r="F63" s="4">
        <f t="shared" si="6"/>
        <v>0</v>
      </c>
      <c r="G63" s="4">
        <f t="shared" si="0"/>
        <v>1842.1104</v>
      </c>
      <c r="H63" s="5">
        <f t="shared" si="1"/>
        <v>63773.862047999995</v>
      </c>
      <c r="I63" s="5">
        <f t="shared" si="2"/>
        <v>63792.283152000004</v>
      </c>
    </row>
    <row r="64" spans="1:9" x14ac:dyDescent="0.25">
      <c r="A64" t="s">
        <v>7</v>
      </c>
      <c r="B64">
        <v>17.98</v>
      </c>
      <c r="C64">
        <v>17.989999999999998</v>
      </c>
      <c r="D64" t="s">
        <v>20</v>
      </c>
      <c r="E64" s="4">
        <f t="shared" si="6"/>
        <v>3546.5621999999998</v>
      </c>
      <c r="F64" s="4">
        <f t="shared" si="6"/>
        <v>0</v>
      </c>
      <c r="G64" s="4">
        <f t="shared" si="0"/>
        <v>3546.5621999999998</v>
      </c>
      <c r="H64" s="5">
        <f t="shared" si="1"/>
        <v>63767.188355999999</v>
      </c>
      <c r="I64" s="5">
        <f t="shared" si="2"/>
        <v>63802.653977999995</v>
      </c>
    </row>
    <row r="65" spans="1:9" x14ac:dyDescent="0.25">
      <c r="A65" t="s">
        <v>8</v>
      </c>
      <c r="B65">
        <v>28.2</v>
      </c>
      <c r="C65">
        <v>28.21</v>
      </c>
      <c r="D65" t="s">
        <v>20</v>
      </c>
      <c r="E65" s="4">
        <f t="shared" si="6"/>
        <v>2261.3323</v>
      </c>
      <c r="F65" s="4">
        <f t="shared" si="6"/>
        <v>-0.1</v>
      </c>
      <c r="G65" s="4">
        <f t="shared" si="0"/>
        <v>2261.2323000000001</v>
      </c>
      <c r="H65" s="5">
        <f t="shared" si="1"/>
        <v>63766.75086</v>
      </c>
      <c r="I65" s="5">
        <f t="shared" si="2"/>
        <v>63789.363183000009</v>
      </c>
    </row>
    <row r="66" spans="1:9" x14ac:dyDescent="0.25">
      <c r="A66" t="s">
        <v>9</v>
      </c>
      <c r="B66">
        <v>67.400000000000006</v>
      </c>
      <c r="C66">
        <v>67.47</v>
      </c>
      <c r="D66" t="s">
        <v>20</v>
      </c>
      <c r="E66" s="4">
        <f t="shared" si="6"/>
        <v>946.12990000000002</v>
      </c>
      <c r="F66" s="4">
        <f t="shared" si="6"/>
        <v>0</v>
      </c>
      <c r="G66" s="4">
        <f t="shared" ref="G66:G129" si="7">E66+F66</f>
        <v>946.12990000000002</v>
      </c>
      <c r="H66" s="5">
        <f t="shared" ref="H66:H129" si="8">B66*G66</f>
        <v>63769.155260000007</v>
      </c>
      <c r="I66" s="5">
        <f t="shared" ref="I66:I129" si="9">C66*G66</f>
        <v>63835.384353000001</v>
      </c>
    </row>
    <row r="67" spans="1:9" x14ac:dyDescent="0.25">
      <c r="A67" t="s">
        <v>10</v>
      </c>
      <c r="B67">
        <v>36.85</v>
      </c>
      <c r="C67">
        <v>36.869999999999997</v>
      </c>
      <c r="D67" t="s">
        <v>20</v>
      </c>
      <c r="E67" s="4">
        <f t="shared" si="6"/>
        <v>1730.2188000000001</v>
      </c>
      <c r="F67" s="4">
        <f t="shared" si="6"/>
        <v>0</v>
      </c>
      <c r="G67" s="4">
        <f t="shared" si="7"/>
        <v>1730.2188000000001</v>
      </c>
      <c r="H67" s="5">
        <f t="shared" si="8"/>
        <v>63758.562780000007</v>
      </c>
      <c r="I67" s="5">
        <f t="shared" si="9"/>
        <v>63793.167155999996</v>
      </c>
    </row>
    <row r="68" spans="1:9" x14ac:dyDescent="0.25">
      <c r="A68" t="s">
        <v>11</v>
      </c>
      <c r="B68">
        <v>55.49</v>
      </c>
      <c r="C68">
        <v>55.5</v>
      </c>
      <c r="D68" t="s">
        <v>20</v>
      </c>
      <c r="E68" s="4">
        <f t="shared" si="6"/>
        <v>1148.8453</v>
      </c>
      <c r="F68" s="4">
        <f t="shared" si="6"/>
        <v>0</v>
      </c>
      <c r="G68" s="4">
        <f t="shared" si="7"/>
        <v>1148.8453</v>
      </c>
      <c r="H68" s="5">
        <f t="shared" si="8"/>
        <v>63749.425696999999</v>
      </c>
      <c r="I68" s="5">
        <f t="shared" si="9"/>
        <v>63760.914149999997</v>
      </c>
    </row>
    <row r="69" spans="1:9" x14ac:dyDescent="0.25">
      <c r="A69" t="s">
        <v>12</v>
      </c>
      <c r="B69">
        <v>49.47</v>
      </c>
      <c r="C69">
        <v>49.48</v>
      </c>
      <c r="D69" t="s">
        <v>20</v>
      </c>
      <c r="E69" s="4">
        <f t="shared" si="6"/>
        <v>1289.0084999999999</v>
      </c>
      <c r="F69" s="4">
        <f t="shared" si="6"/>
        <v>0.05</v>
      </c>
      <c r="G69" s="4">
        <f t="shared" si="7"/>
        <v>1289.0584999999999</v>
      </c>
      <c r="H69" s="5">
        <f t="shared" si="8"/>
        <v>63769.723994999993</v>
      </c>
      <c r="I69" s="5">
        <f t="shared" si="9"/>
        <v>63782.614579999987</v>
      </c>
    </row>
    <row r="70" spans="1:9" x14ac:dyDescent="0.25">
      <c r="A70" t="s">
        <v>13</v>
      </c>
      <c r="B70">
        <v>18.03</v>
      </c>
      <c r="C70">
        <v>18.04</v>
      </c>
      <c r="D70" t="s">
        <v>20</v>
      </c>
      <c r="E70" s="4">
        <f t="shared" si="6"/>
        <v>3535.8029000000001</v>
      </c>
      <c r="F70" s="4">
        <f t="shared" si="6"/>
        <v>0</v>
      </c>
      <c r="G70" s="4">
        <f t="shared" si="7"/>
        <v>3535.8029000000001</v>
      </c>
      <c r="H70" s="5">
        <f t="shared" si="8"/>
        <v>63750.526287000008</v>
      </c>
      <c r="I70" s="5">
        <f t="shared" si="9"/>
        <v>63785.884315999996</v>
      </c>
    </row>
    <row r="71" spans="1:9" x14ac:dyDescent="0.25">
      <c r="A71" t="s">
        <v>14</v>
      </c>
      <c r="B71">
        <v>36.119999999999997</v>
      </c>
      <c r="C71">
        <v>36.130000000000003</v>
      </c>
      <c r="D71" t="s">
        <v>20</v>
      </c>
      <c r="E71" s="4">
        <f t="shared" si="6"/>
        <v>1765.0472</v>
      </c>
      <c r="F71" s="4">
        <f t="shared" si="6"/>
        <v>0</v>
      </c>
      <c r="G71" s="4">
        <f t="shared" si="7"/>
        <v>1765.0472</v>
      </c>
      <c r="H71" s="5">
        <f t="shared" si="8"/>
        <v>63753.504863999995</v>
      </c>
      <c r="I71" s="5">
        <f t="shared" si="9"/>
        <v>63771.155336000003</v>
      </c>
    </row>
    <row r="72" spans="1:9" x14ac:dyDescent="0.25">
      <c r="A72" t="s">
        <v>4</v>
      </c>
      <c r="B72">
        <v>21.08</v>
      </c>
      <c r="C72">
        <v>21.09</v>
      </c>
      <c r="D72" t="s">
        <v>21</v>
      </c>
      <c r="E72" s="4">
        <f t="shared" si="6"/>
        <v>3014.9315000000001</v>
      </c>
      <c r="F72" s="4">
        <f t="shared" si="6"/>
        <v>0</v>
      </c>
      <c r="G72" s="4">
        <f t="shared" si="7"/>
        <v>3014.9315000000001</v>
      </c>
      <c r="H72" s="5">
        <f t="shared" si="8"/>
        <v>63554.756020000001</v>
      </c>
      <c r="I72" s="5">
        <f t="shared" si="9"/>
        <v>63584.905335000003</v>
      </c>
    </row>
    <row r="73" spans="1:9" x14ac:dyDescent="0.25">
      <c r="A73" t="s">
        <v>6</v>
      </c>
      <c r="B73">
        <v>34.51</v>
      </c>
      <c r="C73">
        <v>34.51</v>
      </c>
      <c r="D73" t="s">
        <v>21</v>
      </c>
      <c r="E73" s="4">
        <f t="shared" si="6"/>
        <v>1842.1104</v>
      </c>
      <c r="F73" s="4">
        <f t="shared" si="6"/>
        <v>0</v>
      </c>
      <c r="G73" s="4">
        <f t="shared" si="7"/>
        <v>1842.1104</v>
      </c>
      <c r="H73" s="5">
        <f t="shared" si="8"/>
        <v>63571.229904</v>
      </c>
      <c r="I73" s="5">
        <f t="shared" si="9"/>
        <v>63571.229904</v>
      </c>
    </row>
    <row r="74" spans="1:9" x14ac:dyDescent="0.25">
      <c r="A74" t="s">
        <v>7</v>
      </c>
      <c r="B74">
        <v>17.920000000000002</v>
      </c>
      <c r="C74">
        <v>17.93</v>
      </c>
      <c r="D74" t="s">
        <v>21</v>
      </c>
      <c r="E74" s="4">
        <f t="shared" si="6"/>
        <v>3546.5621999999998</v>
      </c>
      <c r="F74" s="4">
        <f t="shared" si="6"/>
        <v>0</v>
      </c>
      <c r="G74" s="4">
        <f t="shared" si="7"/>
        <v>3546.5621999999998</v>
      </c>
      <c r="H74" s="5">
        <f t="shared" si="8"/>
        <v>63554.394624</v>
      </c>
      <c r="I74" s="5">
        <f t="shared" si="9"/>
        <v>63589.860245999997</v>
      </c>
    </row>
    <row r="75" spans="1:9" x14ac:dyDescent="0.25">
      <c r="A75" t="s">
        <v>8</v>
      </c>
      <c r="B75">
        <v>28.11</v>
      </c>
      <c r="C75">
        <v>28.12</v>
      </c>
      <c r="D75" t="s">
        <v>21</v>
      </c>
      <c r="E75" s="4">
        <f t="shared" si="6"/>
        <v>2261.3323</v>
      </c>
      <c r="F75" s="4">
        <f t="shared" si="6"/>
        <v>-0.1</v>
      </c>
      <c r="G75" s="4">
        <f t="shared" si="7"/>
        <v>2261.2323000000001</v>
      </c>
      <c r="H75" s="5">
        <f t="shared" si="8"/>
        <v>63563.239953000004</v>
      </c>
      <c r="I75" s="5">
        <f t="shared" si="9"/>
        <v>63585.852276000005</v>
      </c>
    </row>
    <row r="76" spans="1:9" x14ac:dyDescent="0.25">
      <c r="A76" t="s">
        <v>9</v>
      </c>
      <c r="B76">
        <v>67.13</v>
      </c>
      <c r="C76">
        <v>67.239999999999995</v>
      </c>
      <c r="D76" t="s">
        <v>21</v>
      </c>
      <c r="E76" s="4">
        <f t="shared" si="6"/>
        <v>946.12990000000002</v>
      </c>
      <c r="F76" s="4">
        <f t="shared" si="6"/>
        <v>0</v>
      </c>
      <c r="G76" s="4">
        <f t="shared" si="7"/>
        <v>946.12990000000002</v>
      </c>
      <c r="H76" s="5">
        <f t="shared" si="8"/>
        <v>63513.700186999995</v>
      </c>
      <c r="I76" s="5">
        <f t="shared" si="9"/>
        <v>63617.774475999999</v>
      </c>
    </row>
    <row r="77" spans="1:9" x14ac:dyDescent="0.25">
      <c r="A77" t="s">
        <v>10</v>
      </c>
      <c r="B77">
        <v>36.729999999999997</v>
      </c>
      <c r="C77">
        <v>36.75</v>
      </c>
      <c r="D77" t="s">
        <v>21</v>
      </c>
      <c r="E77" s="4">
        <f t="shared" ref="E77:F92" si="10">E67</f>
        <v>1730.2188000000001</v>
      </c>
      <c r="F77" s="4">
        <f t="shared" si="10"/>
        <v>0</v>
      </c>
      <c r="G77" s="4">
        <f t="shared" si="7"/>
        <v>1730.2188000000001</v>
      </c>
      <c r="H77" s="5">
        <f t="shared" si="8"/>
        <v>63550.936523999997</v>
      </c>
      <c r="I77" s="5">
        <f t="shared" si="9"/>
        <v>63585.540900000007</v>
      </c>
    </row>
    <row r="78" spans="1:9" x14ac:dyDescent="0.25">
      <c r="A78" t="s">
        <v>11</v>
      </c>
      <c r="B78">
        <v>55.31</v>
      </c>
      <c r="C78">
        <v>55.32</v>
      </c>
      <c r="D78" t="s">
        <v>21</v>
      </c>
      <c r="E78" s="4">
        <f t="shared" si="10"/>
        <v>1148.8453</v>
      </c>
      <c r="F78" s="4">
        <f t="shared" si="10"/>
        <v>0</v>
      </c>
      <c r="G78" s="4">
        <f t="shared" si="7"/>
        <v>1148.8453</v>
      </c>
      <c r="H78" s="5">
        <f t="shared" si="8"/>
        <v>63542.633543000004</v>
      </c>
      <c r="I78" s="5">
        <f t="shared" si="9"/>
        <v>63554.121995999994</v>
      </c>
    </row>
    <row r="79" spans="1:9" x14ac:dyDescent="0.25">
      <c r="A79" t="s">
        <v>12</v>
      </c>
      <c r="B79">
        <v>49.32</v>
      </c>
      <c r="C79">
        <v>49.33</v>
      </c>
      <c r="D79" t="s">
        <v>21</v>
      </c>
      <c r="E79" s="4">
        <f t="shared" si="10"/>
        <v>1289.0084999999999</v>
      </c>
      <c r="F79" s="4">
        <f t="shared" si="10"/>
        <v>0.05</v>
      </c>
      <c r="G79" s="4">
        <f t="shared" si="7"/>
        <v>1289.0584999999999</v>
      </c>
      <c r="H79" s="5">
        <f t="shared" si="8"/>
        <v>63576.365219999992</v>
      </c>
      <c r="I79" s="5">
        <f t="shared" si="9"/>
        <v>63589.255804999993</v>
      </c>
    </row>
    <row r="80" spans="1:9" x14ac:dyDescent="0.25">
      <c r="A80" t="s">
        <v>13</v>
      </c>
      <c r="B80">
        <v>17.97</v>
      </c>
      <c r="C80">
        <v>17.98</v>
      </c>
      <c r="D80" t="s">
        <v>21</v>
      </c>
      <c r="E80" s="4">
        <f t="shared" si="10"/>
        <v>3535.8029000000001</v>
      </c>
      <c r="F80" s="4">
        <f t="shared" si="10"/>
        <v>0</v>
      </c>
      <c r="G80" s="4">
        <f t="shared" si="7"/>
        <v>3535.8029000000001</v>
      </c>
      <c r="H80" s="5">
        <f t="shared" si="8"/>
        <v>63538.378112999999</v>
      </c>
      <c r="I80" s="5">
        <f t="shared" si="9"/>
        <v>63573.736142000002</v>
      </c>
    </row>
    <row r="81" spans="1:9" x14ac:dyDescent="0.25">
      <c r="A81" t="s">
        <v>14</v>
      </c>
      <c r="B81">
        <v>36</v>
      </c>
      <c r="C81">
        <v>36.01</v>
      </c>
      <c r="D81" t="s">
        <v>21</v>
      </c>
      <c r="E81" s="4">
        <f t="shared" si="10"/>
        <v>1765.0472</v>
      </c>
      <c r="F81" s="4">
        <f t="shared" si="10"/>
        <v>0</v>
      </c>
      <c r="G81" s="4">
        <f t="shared" si="7"/>
        <v>1765.0472</v>
      </c>
      <c r="H81" s="5">
        <f t="shared" si="8"/>
        <v>63541.699200000003</v>
      </c>
      <c r="I81" s="5">
        <f t="shared" si="9"/>
        <v>63559.349671999997</v>
      </c>
    </row>
    <row r="82" spans="1:9" x14ac:dyDescent="0.25">
      <c r="A82" t="s">
        <v>4</v>
      </c>
      <c r="B82">
        <v>20.99</v>
      </c>
      <c r="C82">
        <v>21</v>
      </c>
      <c r="D82" t="s">
        <v>22</v>
      </c>
      <c r="E82" s="4">
        <f t="shared" si="10"/>
        <v>3014.9315000000001</v>
      </c>
      <c r="F82" s="4">
        <f t="shared" si="10"/>
        <v>0</v>
      </c>
      <c r="G82" s="4">
        <f t="shared" si="7"/>
        <v>3014.9315000000001</v>
      </c>
      <c r="H82" s="5">
        <f t="shared" si="8"/>
        <v>63283.412185000001</v>
      </c>
      <c r="I82" s="5">
        <f t="shared" si="9"/>
        <v>63313.561500000003</v>
      </c>
    </row>
    <row r="83" spans="1:9" x14ac:dyDescent="0.25">
      <c r="A83" t="s">
        <v>6</v>
      </c>
      <c r="B83">
        <v>34.369999999999997</v>
      </c>
      <c r="C83">
        <v>34.380000000000003</v>
      </c>
      <c r="D83" t="s">
        <v>22</v>
      </c>
      <c r="E83" s="4">
        <f t="shared" si="10"/>
        <v>1842.1104</v>
      </c>
      <c r="F83" s="4">
        <f t="shared" si="10"/>
        <v>0</v>
      </c>
      <c r="G83" s="4">
        <f t="shared" si="7"/>
        <v>1842.1104</v>
      </c>
      <c r="H83" s="5">
        <f t="shared" si="8"/>
        <v>63313.334447999994</v>
      </c>
      <c r="I83" s="5">
        <f t="shared" si="9"/>
        <v>63331.755552000002</v>
      </c>
    </row>
    <row r="84" spans="1:9" x14ac:dyDescent="0.25">
      <c r="A84" t="s">
        <v>7</v>
      </c>
      <c r="B84">
        <v>17.84</v>
      </c>
      <c r="C84">
        <v>17.850000000000001</v>
      </c>
      <c r="D84" t="s">
        <v>22</v>
      </c>
      <c r="E84" s="4">
        <f t="shared" si="10"/>
        <v>3546.5621999999998</v>
      </c>
      <c r="F84" s="4">
        <f t="shared" si="10"/>
        <v>0</v>
      </c>
      <c r="G84" s="4">
        <f t="shared" si="7"/>
        <v>3546.5621999999998</v>
      </c>
      <c r="H84" s="5">
        <f t="shared" si="8"/>
        <v>63270.669647999996</v>
      </c>
      <c r="I84" s="5">
        <f t="shared" si="9"/>
        <v>63306.135269999999</v>
      </c>
    </row>
    <row r="85" spans="1:9" x14ac:dyDescent="0.25">
      <c r="A85" t="s">
        <v>8</v>
      </c>
      <c r="B85">
        <v>27.99</v>
      </c>
      <c r="C85">
        <v>28</v>
      </c>
      <c r="D85" t="s">
        <v>22</v>
      </c>
      <c r="E85" s="4">
        <f t="shared" si="10"/>
        <v>2261.3323</v>
      </c>
      <c r="F85" s="4">
        <f t="shared" si="10"/>
        <v>-0.1</v>
      </c>
      <c r="G85" s="4">
        <f t="shared" si="7"/>
        <v>2261.2323000000001</v>
      </c>
      <c r="H85" s="5">
        <f t="shared" si="8"/>
        <v>63291.892076999997</v>
      </c>
      <c r="I85" s="5">
        <f t="shared" si="9"/>
        <v>63314.504400000005</v>
      </c>
    </row>
    <row r="86" spans="1:9" x14ac:dyDescent="0.25">
      <c r="A86" t="s">
        <v>9</v>
      </c>
      <c r="B86">
        <v>66.89</v>
      </c>
      <c r="C86">
        <v>66.98</v>
      </c>
      <c r="D86" t="s">
        <v>22</v>
      </c>
      <c r="E86" s="4">
        <f t="shared" si="10"/>
        <v>946.12990000000002</v>
      </c>
      <c r="F86" s="4">
        <f t="shared" si="10"/>
        <v>0</v>
      </c>
      <c r="G86" s="4">
        <f t="shared" si="7"/>
        <v>946.12990000000002</v>
      </c>
      <c r="H86" s="5">
        <f t="shared" si="8"/>
        <v>63286.629011000005</v>
      </c>
      <c r="I86" s="5">
        <f t="shared" si="9"/>
        <v>63371.780702000004</v>
      </c>
    </row>
    <row r="87" spans="1:9" x14ac:dyDescent="0.25">
      <c r="A87" t="s">
        <v>10</v>
      </c>
      <c r="B87">
        <v>36.57</v>
      </c>
      <c r="C87">
        <v>36.61</v>
      </c>
      <c r="D87" t="s">
        <v>22</v>
      </c>
      <c r="E87" s="4">
        <f t="shared" si="10"/>
        <v>1730.2188000000001</v>
      </c>
      <c r="F87" s="4">
        <f t="shared" si="10"/>
        <v>0</v>
      </c>
      <c r="G87" s="4">
        <f t="shared" si="7"/>
        <v>1730.2188000000001</v>
      </c>
      <c r="H87" s="5">
        <f t="shared" si="8"/>
        <v>63274.101516000002</v>
      </c>
      <c r="I87" s="5">
        <f t="shared" si="9"/>
        <v>63343.310268000001</v>
      </c>
    </row>
    <row r="88" spans="1:9" x14ac:dyDescent="0.25">
      <c r="A88" t="s">
        <v>11</v>
      </c>
      <c r="B88">
        <v>55.09</v>
      </c>
      <c r="C88">
        <v>55.1</v>
      </c>
      <c r="D88" t="s">
        <v>22</v>
      </c>
      <c r="E88" s="4">
        <f t="shared" si="10"/>
        <v>1148.8453</v>
      </c>
      <c r="F88" s="4">
        <f t="shared" si="10"/>
        <v>0</v>
      </c>
      <c r="G88" s="4">
        <f t="shared" si="7"/>
        <v>1148.8453</v>
      </c>
      <c r="H88" s="5">
        <f t="shared" si="8"/>
        <v>63289.887577000001</v>
      </c>
      <c r="I88" s="5">
        <f t="shared" si="9"/>
        <v>63301.376029999999</v>
      </c>
    </row>
    <row r="89" spans="1:9" x14ac:dyDescent="0.25">
      <c r="A89" t="s">
        <v>12</v>
      </c>
      <c r="B89">
        <v>49.12</v>
      </c>
      <c r="C89">
        <v>49.13</v>
      </c>
      <c r="D89" t="s">
        <v>22</v>
      </c>
      <c r="E89" s="4">
        <f t="shared" si="10"/>
        <v>1289.0084999999999</v>
      </c>
      <c r="F89" s="4">
        <f t="shared" si="10"/>
        <v>0.05</v>
      </c>
      <c r="G89" s="4">
        <f t="shared" si="7"/>
        <v>1289.0584999999999</v>
      </c>
      <c r="H89" s="5">
        <f t="shared" si="8"/>
        <v>63318.553519999987</v>
      </c>
      <c r="I89" s="5">
        <f t="shared" si="9"/>
        <v>63331.444104999995</v>
      </c>
    </row>
    <row r="90" spans="1:9" x14ac:dyDescent="0.25">
      <c r="A90" t="s">
        <v>13</v>
      </c>
      <c r="B90">
        <v>17.899999999999999</v>
      </c>
      <c r="C90">
        <v>17.91</v>
      </c>
      <c r="D90" t="s">
        <v>22</v>
      </c>
      <c r="E90" s="4">
        <f t="shared" si="10"/>
        <v>3535.8029000000001</v>
      </c>
      <c r="F90" s="4">
        <f t="shared" si="10"/>
        <v>0</v>
      </c>
      <c r="G90" s="4">
        <f t="shared" si="7"/>
        <v>3535.8029000000001</v>
      </c>
      <c r="H90" s="5">
        <f t="shared" si="8"/>
        <v>63290.871909999994</v>
      </c>
      <c r="I90" s="5">
        <f t="shared" si="9"/>
        <v>63326.229939000004</v>
      </c>
    </row>
    <row r="91" spans="1:9" x14ac:dyDescent="0.25">
      <c r="A91" t="s">
        <v>14</v>
      </c>
      <c r="B91">
        <v>35.85</v>
      </c>
      <c r="C91">
        <v>35.86</v>
      </c>
      <c r="D91" t="s">
        <v>22</v>
      </c>
      <c r="E91" s="4">
        <f t="shared" si="10"/>
        <v>1765.0472</v>
      </c>
      <c r="F91" s="4">
        <f t="shared" si="10"/>
        <v>0</v>
      </c>
      <c r="G91" s="4">
        <f t="shared" si="7"/>
        <v>1765.0472</v>
      </c>
      <c r="H91" s="5">
        <f t="shared" si="8"/>
        <v>63276.94212</v>
      </c>
      <c r="I91" s="5">
        <f t="shared" si="9"/>
        <v>63294.592592000001</v>
      </c>
    </row>
    <row r="92" spans="1:9" x14ac:dyDescent="0.25">
      <c r="A92" t="s">
        <v>4</v>
      </c>
      <c r="B92">
        <v>20.92</v>
      </c>
      <c r="C92">
        <v>20.93</v>
      </c>
      <c r="D92" t="s">
        <v>23</v>
      </c>
      <c r="E92" s="4">
        <f t="shared" si="10"/>
        <v>3014.9315000000001</v>
      </c>
      <c r="F92" s="4">
        <f t="shared" si="10"/>
        <v>0</v>
      </c>
      <c r="G92" s="4">
        <f t="shared" si="7"/>
        <v>3014.9315000000001</v>
      </c>
      <c r="H92" s="5">
        <f t="shared" si="8"/>
        <v>63072.366980000006</v>
      </c>
      <c r="I92" s="5">
        <f t="shared" si="9"/>
        <v>63102.516295000001</v>
      </c>
    </row>
    <row r="93" spans="1:9" x14ac:dyDescent="0.25">
      <c r="A93" t="s">
        <v>6</v>
      </c>
      <c r="B93">
        <v>34.24</v>
      </c>
      <c r="C93">
        <v>34.25</v>
      </c>
      <c r="D93" t="s">
        <v>23</v>
      </c>
      <c r="E93" s="4">
        <f t="shared" ref="E93:F108" si="11">E83</f>
        <v>1842.1104</v>
      </c>
      <c r="F93" s="4">
        <f t="shared" si="11"/>
        <v>0</v>
      </c>
      <c r="G93" s="4">
        <f t="shared" si="7"/>
        <v>1842.1104</v>
      </c>
      <c r="H93" s="5">
        <f t="shared" si="8"/>
        <v>63073.860096000004</v>
      </c>
      <c r="I93" s="5">
        <f t="shared" si="9"/>
        <v>63092.281199999998</v>
      </c>
    </row>
    <row r="94" spans="1:9" x14ac:dyDescent="0.25">
      <c r="A94" t="s">
        <v>7</v>
      </c>
      <c r="B94">
        <v>17.78</v>
      </c>
      <c r="C94">
        <v>17.79</v>
      </c>
      <c r="D94" t="s">
        <v>23</v>
      </c>
      <c r="E94" s="4">
        <f t="shared" si="11"/>
        <v>3546.5621999999998</v>
      </c>
      <c r="F94" s="4">
        <f t="shared" si="11"/>
        <v>0</v>
      </c>
      <c r="G94" s="4">
        <f t="shared" si="7"/>
        <v>3546.5621999999998</v>
      </c>
      <c r="H94" s="5">
        <f t="shared" si="8"/>
        <v>63057.875916000005</v>
      </c>
      <c r="I94" s="5">
        <f t="shared" si="9"/>
        <v>63093.341537999993</v>
      </c>
    </row>
    <row r="95" spans="1:9" x14ac:dyDescent="0.25">
      <c r="A95" t="s">
        <v>8</v>
      </c>
      <c r="B95">
        <v>27.9</v>
      </c>
      <c r="C95">
        <v>27.91</v>
      </c>
      <c r="D95" t="s">
        <v>23</v>
      </c>
      <c r="E95" s="4">
        <f t="shared" si="11"/>
        <v>2261.3323</v>
      </c>
      <c r="F95" s="4">
        <f t="shared" si="11"/>
        <v>-0.1</v>
      </c>
      <c r="G95" s="4">
        <f t="shared" si="7"/>
        <v>2261.2323000000001</v>
      </c>
      <c r="H95" s="5">
        <f t="shared" si="8"/>
        <v>63088.381170000001</v>
      </c>
      <c r="I95" s="5">
        <f t="shared" si="9"/>
        <v>63110.993493000002</v>
      </c>
    </row>
    <row r="96" spans="1:9" x14ac:dyDescent="0.25">
      <c r="A96" t="s">
        <v>9</v>
      </c>
      <c r="B96">
        <v>66.66</v>
      </c>
      <c r="C96">
        <v>66.73</v>
      </c>
      <c r="D96" t="s">
        <v>23</v>
      </c>
      <c r="E96" s="4">
        <f t="shared" si="11"/>
        <v>946.12990000000002</v>
      </c>
      <c r="F96" s="4">
        <f t="shared" si="11"/>
        <v>0</v>
      </c>
      <c r="G96" s="4">
        <f t="shared" si="7"/>
        <v>946.12990000000002</v>
      </c>
      <c r="H96" s="5">
        <f t="shared" si="8"/>
        <v>63069.019133999995</v>
      </c>
      <c r="I96" s="5">
        <f t="shared" si="9"/>
        <v>63135.248227000004</v>
      </c>
    </row>
    <row r="97" spans="1:9" x14ac:dyDescent="0.25">
      <c r="A97" t="s">
        <v>10</v>
      </c>
      <c r="B97">
        <v>36.450000000000003</v>
      </c>
      <c r="C97">
        <v>36.479999999999997</v>
      </c>
      <c r="D97" t="s">
        <v>23</v>
      </c>
      <c r="E97" s="4">
        <f t="shared" si="11"/>
        <v>1730.2188000000001</v>
      </c>
      <c r="F97" s="4">
        <f t="shared" si="11"/>
        <v>0</v>
      </c>
      <c r="G97" s="4">
        <f t="shared" si="7"/>
        <v>1730.2188000000001</v>
      </c>
      <c r="H97" s="5">
        <f t="shared" si="8"/>
        <v>63066.475260000007</v>
      </c>
      <c r="I97" s="5">
        <f t="shared" si="9"/>
        <v>63118.381823999996</v>
      </c>
    </row>
    <row r="98" spans="1:9" x14ac:dyDescent="0.25">
      <c r="A98" t="s">
        <v>11</v>
      </c>
      <c r="B98">
        <v>54.9</v>
      </c>
      <c r="C98">
        <v>54.91</v>
      </c>
      <c r="D98" t="s">
        <v>23</v>
      </c>
      <c r="E98" s="4">
        <f t="shared" si="11"/>
        <v>1148.8453</v>
      </c>
      <c r="F98" s="4">
        <f t="shared" si="11"/>
        <v>0</v>
      </c>
      <c r="G98" s="4">
        <f t="shared" si="7"/>
        <v>1148.8453</v>
      </c>
      <c r="H98" s="5">
        <f t="shared" si="8"/>
        <v>63071.606969999993</v>
      </c>
      <c r="I98" s="5">
        <f t="shared" si="9"/>
        <v>63083.095422999992</v>
      </c>
    </row>
    <row r="99" spans="1:9" x14ac:dyDescent="0.25">
      <c r="A99" t="s">
        <v>12</v>
      </c>
      <c r="B99">
        <v>48.95</v>
      </c>
      <c r="C99">
        <v>48.96</v>
      </c>
      <c r="D99" t="s">
        <v>23</v>
      </c>
      <c r="E99" s="4">
        <f t="shared" si="11"/>
        <v>1289.0084999999999</v>
      </c>
      <c r="F99" s="4">
        <f t="shared" si="11"/>
        <v>0.05</v>
      </c>
      <c r="G99" s="4">
        <f t="shared" si="7"/>
        <v>1289.0584999999999</v>
      </c>
      <c r="H99" s="5">
        <f t="shared" si="8"/>
        <v>63099.413574999999</v>
      </c>
      <c r="I99" s="5">
        <f t="shared" si="9"/>
        <v>63112.304159999992</v>
      </c>
    </row>
    <row r="100" spans="1:9" x14ac:dyDescent="0.25">
      <c r="A100" t="s">
        <v>13</v>
      </c>
      <c r="B100">
        <v>17.84</v>
      </c>
      <c r="C100">
        <v>17.850000000000001</v>
      </c>
      <c r="D100" t="s">
        <v>23</v>
      </c>
      <c r="E100" s="4">
        <f t="shared" si="11"/>
        <v>3535.8029000000001</v>
      </c>
      <c r="F100" s="4">
        <f t="shared" si="11"/>
        <v>0</v>
      </c>
      <c r="G100" s="4">
        <f t="shared" si="7"/>
        <v>3535.8029000000001</v>
      </c>
      <c r="H100" s="5">
        <f t="shared" si="8"/>
        <v>63078.723736</v>
      </c>
      <c r="I100" s="5">
        <f t="shared" si="9"/>
        <v>63114.08176500001</v>
      </c>
    </row>
    <row r="101" spans="1:9" x14ac:dyDescent="0.25">
      <c r="A101" t="s">
        <v>14</v>
      </c>
      <c r="B101">
        <v>35.729999999999997</v>
      </c>
      <c r="C101">
        <v>35.74</v>
      </c>
      <c r="D101" t="s">
        <v>23</v>
      </c>
      <c r="E101" s="4">
        <f t="shared" si="11"/>
        <v>1765.0472</v>
      </c>
      <c r="F101" s="4">
        <f t="shared" si="11"/>
        <v>0</v>
      </c>
      <c r="G101" s="4">
        <f t="shared" si="7"/>
        <v>1765.0472</v>
      </c>
      <c r="H101" s="5">
        <f t="shared" si="8"/>
        <v>63065.136455999993</v>
      </c>
      <c r="I101" s="5">
        <f t="shared" si="9"/>
        <v>63082.786928000001</v>
      </c>
    </row>
    <row r="102" spans="1:9" x14ac:dyDescent="0.25">
      <c r="A102" t="s">
        <v>4</v>
      </c>
      <c r="B102">
        <v>20.74</v>
      </c>
      <c r="C102">
        <v>20.75</v>
      </c>
      <c r="D102" t="s">
        <v>24</v>
      </c>
      <c r="E102" s="4">
        <f t="shared" si="11"/>
        <v>3014.9315000000001</v>
      </c>
      <c r="F102" s="4">
        <f t="shared" si="11"/>
        <v>0</v>
      </c>
      <c r="G102" s="4">
        <f t="shared" si="7"/>
        <v>3014.9315000000001</v>
      </c>
      <c r="H102" s="5">
        <f t="shared" si="8"/>
        <v>62529.67931</v>
      </c>
      <c r="I102" s="5">
        <f t="shared" si="9"/>
        <v>62559.828625000002</v>
      </c>
    </row>
    <row r="103" spans="1:9" x14ac:dyDescent="0.25">
      <c r="A103" t="s">
        <v>6</v>
      </c>
      <c r="B103">
        <v>33.94</v>
      </c>
      <c r="C103">
        <v>33.950000000000003</v>
      </c>
      <c r="D103" t="s">
        <v>24</v>
      </c>
      <c r="E103" s="4">
        <f t="shared" si="11"/>
        <v>1842.1104</v>
      </c>
      <c r="F103" s="4">
        <f t="shared" si="11"/>
        <v>0</v>
      </c>
      <c r="G103" s="4">
        <f t="shared" si="7"/>
        <v>1842.1104</v>
      </c>
      <c r="H103" s="5">
        <f t="shared" si="8"/>
        <v>62521.226975999998</v>
      </c>
      <c r="I103" s="5">
        <f t="shared" si="9"/>
        <v>62539.648080000006</v>
      </c>
    </row>
    <row r="104" spans="1:9" x14ac:dyDescent="0.25">
      <c r="A104" t="s">
        <v>7</v>
      </c>
      <c r="B104">
        <v>17.62</v>
      </c>
      <c r="C104">
        <v>17.63</v>
      </c>
      <c r="D104" t="s">
        <v>24</v>
      </c>
      <c r="E104" s="4">
        <f t="shared" si="11"/>
        <v>3546.5621999999998</v>
      </c>
      <c r="F104" s="4">
        <f t="shared" si="11"/>
        <v>0</v>
      </c>
      <c r="G104" s="4">
        <f t="shared" si="7"/>
        <v>3546.5621999999998</v>
      </c>
      <c r="H104" s="5">
        <f t="shared" si="8"/>
        <v>62490.425964000002</v>
      </c>
      <c r="I104" s="5">
        <f t="shared" si="9"/>
        <v>62525.891585999991</v>
      </c>
    </row>
    <row r="105" spans="1:9" x14ac:dyDescent="0.25">
      <c r="A105" t="s">
        <v>8</v>
      </c>
      <c r="B105">
        <v>27.65</v>
      </c>
      <c r="C105">
        <v>27.66</v>
      </c>
      <c r="D105" t="s">
        <v>24</v>
      </c>
      <c r="E105" s="4">
        <f t="shared" si="11"/>
        <v>2261.3323</v>
      </c>
      <c r="F105" s="4">
        <f t="shared" si="11"/>
        <v>-0.1</v>
      </c>
      <c r="G105" s="4">
        <f t="shared" si="7"/>
        <v>2261.2323000000001</v>
      </c>
      <c r="H105" s="5">
        <f t="shared" si="8"/>
        <v>62523.073095</v>
      </c>
      <c r="I105" s="5">
        <f t="shared" si="9"/>
        <v>62545.685418000001</v>
      </c>
    </row>
    <row r="106" spans="1:9" x14ac:dyDescent="0.25">
      <c r="A106" t="s">
        <v>9</v>
      </c>
      <c r="B106">
        <v>66.06</v>
      </c>
      <c r="C106">
        <v>66.16</v>
      </c>
      <c r="D106" t="s">
        <v>24</v>
      </c>
      <c r="E106" s="4">
        <f t="shared" si="11"/>
        <v>946.12990000000002</v>
      </c>
      <c r="F106" s="4">
        <f t="shared" si="11"/>
        <v>0</v>
      </c>
      <c r="G106" s="4">
        <f t="shared" si="7"/>
        <v>946.12990000000002</v>
      </c>
      <c r="H106" s="5">
        <f t="shared" si="8"/>
        <v>62501.341194000001</v>
      </c>
      <c r="I106" s="5">
        <f t="shared" si="9"/>
        <v>62595.954183999995</v>
      </c>
    </row>
    <row r="107" spans="1:9" x14ac:dyDescent="0.25">
      <c r="A107" t="s">
        <v>10</v>
      </c>
      <c r="B107">
        <v>36.130000000000003</v>
      </c>
      <c r="C107">
        <v>36.17</v>
      </c>
      <c r="D107" t="s">
        <v>24</v>
      </c>
      <c r="E107" s="4">
        <f t="shared" si="11"/>
        <v>1730.2188000000001</v>
      </c>
      <c r="F107" s="4">
        <f t="shared" si="11"/>
        <v>0</v>
      </c>
      <c r="G107" s="4">
        <f t="shared" si="7"/>
        <v>1730.2188000000001</v>
      </c>
      <c r="H107" s="5">
        <f t="shared" si="8"/>
        <v>62512.80524400001</v>
      </c>
      <c r="I107" s="5">
        <f t="shared" si="9"/>
        <v>62582.013996000009</v>
      </c>
    </row>
    <row r="108" spans="1:9" x14ac:dyDescent="0.25">
      <c r="A108" t="s">
        <v>11</v>
      </c>
      <c r="B108">
        <v>54.41</v>
      </c>
      <c r="C108">
        <v>54.43</v>
      </c>
      <c r="D108" t="s">
        <v>24</v>
      </c>
      <c r="E108" s="4">
        <f t="shared" si="11"/>
        <v>1148.8453</v>
      </c>
      <c r="F108" s="4">
        <f t="shared" si="11"/>
        <v>0</v>
      </c>
      <c r="G108" s="4">
        <f t="shared" si="7"/>
        <v>1148.8453</v>
      </c>
      <c r="H108" s="5">
        <f t="shared" si="8"/>
        <v>62508.672772999991</v>
      </c>
      <c r="I108" s="5">
        <f t="shared" si="9"/>
        <v>62531.649678999995</v>
      </c>
    </row>
    <row r="109" spans="1:9" x14ac:dyDescent="0.25">
      <c r="A109" t="s">
        <v>12</v>
      </c>
      <c r="B109">
        <v>48.53</v>
      </c>
      <c r="C109">
        <v>48.54</v>
      </c>
      <c r="D109" t="s">
        <v>24</v>
      </c>
      <c r="E109" s="4">
        <f t="shared" ref="E109:F124" si="12">E99</f>
        <v>1289.0084999999999</v>
      </c>
      <c r="F109" s="4">
        <f t="shared" si="12"/>
        <v>0.05</v>
      </c>
      <c r="G109" s="4">
        <f t="shared" si="7"/>
        <v>1289.0584999999999</v>
      </c>
      <c r="H109" s="5">
        <f t="shared" si="8"/>
        <v>62558.009004999993</v>
      </c>
      <c r="I109" s="5">
        <f t="shared" si="9"/>
        <v>62570.899589999994</v>
      </c>
    </row>
    <row r="110" spans="1:9" x14ac:dyDescent="0.25">
      <c r="A110" t="s">
        <v>13</v>
      </c>
      <c r="B110">
        <v>17.68</v>
      </c>
      <c r="C110">
        <v>17.690000000000001</v>
      </c>
      <c r="D110" t="s">
        <v>24</v>
      </c>
      <c r="E110" s="4">
        <f t="shared" si="12"/>
        <v>3535.8029000000001</v>
      </c>
      <c r="F110" s="4">
        <f t="shared" si="12"/>
        <v>0</v>
      </c>
      <c r="G110" s="4">
        <f t="shared" si="7"/>
        <v>3535.8029000000001</v>
      </c>
      <c r="H110" s="5">
        <f t="shared" si="8"/>
        <v>62512.995272</v>
      </c>
      <c r="I110" s="5">
        <f t="shared" si="9"/>
        <v>62548.35330100001</v>
      </c>
    </row>
    <row r="111" spans="1:9" x14ac:dyDescent="0.25">
      <c r="A111" t="s">
        <v>14</v>
      </c>
      <c r="B111">
        <v>35.42</v>
      </c>
      <c r="C111">
        <v>35.43</v>
      </c>
      <c r="D111" t="s">
        <v>24</v>
      </c>
      <c r="E111" s="4">
        <f t="shared" si="12"/>
        <v>1765.0472</v>
      </c>
      <c r="F111" s="4">
        <f t="shared" si="12"/>
        <v>0</v>
      </c>
      <c r="G111" s="4">
        <f t="shared" si="7"/>
        <v>1765.0472</v>
      </c>
      <c r="H111" s="5">
        <f t="shared" si="8"/>
        <v>62517.971824</v>
      </c>
      <c r="I111" s="5">
        <f t="shared" si="9"/>
        <v>62535.622296000001</v>
      </c>
    </row>
    <row r="112" spans="1:9" x14ac:dyDescent="0.25">
      <c r="A112" t="s">
        <v>4</v>
      </c>
      <c r="B112">
        <v>20.75</v>
      </c>
      <c r="C112">
        <v>20.76</v>
      </c>
      <c r="D112" t="s">
        <v>25</v>
      </c>
      <c r="E112" s="4">
        <f t="shared" si="12"/>
        <v>3014.9315000000001</v>
      </c>
      <c r="F112" s="4">
        <f t="shared" si="12"/>
        <v>0</v>
      </c>
      <c r="G112" s="4">
        <f t="shared" si="7"/>
        <v>3014.9315000000001</v>
      </c>
      <c r="H112" s="5">
        <f t="shared" si="8"/>
        <v>62559.828625000002</v>
      </c>
      <c r="I112" s="5">
        <f t="shared" si="9"/>
        <v>62589.977940000004</v>
      </c>
    </row>
    <row r="113" spans="1:9" x14ac:dyDescent="0.25">
      <c r="A113" t="s">
        <v>6</v>
      </c>
      <c r="B113">
        <v>33.96</v>
      </c>
      <c r="C113">
        <v>33.97</v>
      </c>
      <c r="D113" t="s">
        <v>25</v>
      </c>
      <c r="E113" s="4">
        <f t="shared" si="12"/>
        <v>1842.1104</v>
      </c>
      <c r="F113" s="4">
        <f t="shared" si="12"/>
        <v>0</v>
      </c>
      <c r="G113" s="4">
        <f t="shared" si="7"/>
        <v>1842.1104</v>
      </c>
      <c r="H113" s="5">
        <f t="shared" si="8"/>
        <v>62558.069184</v>
      </c>
      <c r="I113" s="5">
        <f t="shared" si="9"/>
        <v>62576.490288000001</v>
      </c>
    </row>
    <row r="114" spans="1:9" x14ac:dyDescent="0.25">
      <c r="A114" t="s">
        <v>7</v>
      </c>
      <c r="B114">
        <v>17.63</v>
      </c>
      <c r="C114">
        <v>17.64</v>
      </c>
      <c r="D114" t="s">
        <v>25</v>
      </c>
      <c r="E114" s="4">
        <f t="shared" si="12"/>
        <v>3546.5621999999998</v>
      </c>
      <c r="F114" s="4">
        <f t="shared" si="12"/>
        <v>0</v>
      </c>
      <c r="G114" s="4">
        <f t="shared" si="7"/>
        <v>3546.5621999999998</v>
      </c>
      <c r="H114" s="5">
        <f t="shared" si="8"/>
        <v>62525.891585999991</v>
      </c>
      <c r="I114" s="5">
        <f t="shared" si="9"/>
        <v>62561.357208000001</v>
      </c>
    </row>
    <row r="115" spans="1:9" x14ac:dyDescent="0.25">
      <c r="A115" t="s">
        <v>8</v>
      </c>
      <c r="B115">
        <v>27.67</v>
      </c>
      <c r="C115">
        <v>27.68</v>
      </c>
      <c r="D115" t="s">
        <v>25</v>
      </c>
      <c r="E115" s="4">
        <f t="shared" si="12"/>
        <v>2261.3323</v>
      </c>
      <c r="F115" s="4">
        <f t="shared" si="12"/>
        <v>-0.1</v>
      </c>
      <c r="G115" s="4">
        <f t="shared" si="7"/>
        <v>2261.2323000000001</v>
      </c>
      <c r="H115" s="5">
        <f t="shared" si="8"/>
        <v>62568.297741000009</v>
      </c>
      <c r="I115" s="5">
        <f t="shared" si="9"/>
        <v>62590.910064000003</v>
      </c>
    </row>
    <row r="116" spans="1:9" x14ac:dyDescent="0.25">
      <c r="A116" t="s">
        <v>9</v>
      </c>
      <c r="B116">
        <v>66.12</v>
      </c>
      <c r="C116">
        <v>66.19</v>
      </c>
      <c r="D116" t="s">
        <v>25</v>
      </c>
      <c r="E116" s="4">
        <f t="shared" si="12"/>
        <v>946.12990000000002</v>
      </c>
      <c r="F116" s="4">
        <f t="shared" si="12"/>
        <v>0</v>
      </c>
      <c r="G116" s="4">
        <f t="shared" si="7"/>
        <v>946.12990000000002</v>
      </c>
      <c r="H116" s="5">
        <f t="shared" si="8"/>
        <v>62558.108988000007</v>
      </c>
      <c r="I116" s="5">
        <f t="shared" si="9"/>
        <v>62624.338081000002</v>
      </c>
    </row>
    <row r="117" spans="1:9" x14ac:dyDescent="0.25">
      <c r="A117" t="s">
        <v>10</v>
      </c>
      <c r="B117">
        <v>36.15</v>
      </c>
      <c r="C117">
        <v>36.18</v>
      </c>
      <c r="D117" t="s">
        <v>25</v>
      </c>
      <c r="E117" s="4">
        <f t="shared" si="12"/>
        <v>1730.2188000000001</v>
      </c>
      <c r="F117" s="4">
        <f t="shared" si="12"/>
        <v>0</v>
      </c>
      <c r="G117" s="4">
        <f t="shared" si="7"/>
        <v>1730.2188000000001</v>
      </c>
      <c r="H117" s="5">
        <f t="shared" si="8"/>
        <v>62547.409619999999</v>
      </c>
      <c r="I117" s="5">
        <f t="shared" si="9"/>
        <v>62599.316184000003</v>
      </c>
    </row>
    <row r="118" spans="1:9" x14ac:dyDescent="0.25">
      <c r="A118" t="s">
        <v>11</v>
      </c>
      <c r="B118">
        <v>54.45</v>
      </c>
      <c r="C118">
        <v>54.46</v>
      </c>
      <c r="D118" t="s">
        <v>25</v>
      </c>
      <c r="E118" s="4">
        <f t="shared" si="12"/>
        <v>1148.8453</v>
      </c>
      <c r="F118" s="4">
        <f t="shared" si="12"/>
        <v>0</v>
      </c>
      <c r="G118" s="4">
        <f t="shared" si="7"/>
        <v>1148.8453</v>
      </c>
      <c r="H118" s="5">
        <f t="shared" si="8"/>
        <v>62554.626584999998</v>
      </c>
      <c r="I118" s="5">
        <f t="shared" si="9"/>
        <v>62566.115037999996</v>
      </c>
    </row>
    <row r="119" spans="1:9" x14ac:dyDescent="0.25">
      <c r="A119" t="s">
        <v>12</v>
      </c>
      <c r="B119">
        <v>48.54</v>
      </c>
      <c r="C119">
        <v>48.55</v>
      </c>
      <c r="D119" t="s">
        <v>25</v>
      </c>
      <c r="E119" s="4">
        <f t="shared" si="12"/>
        <v>1289.0084999999999</v>
      </c>
      <c r="F119" s="4">
        <f t="shared" si="12"/>
        <v>0.05</v>
      </c>
      <c r="G119" s="4">
        <f t="shared" si="7"/>
        <v>1289.0584999999999</v>
      </c>
      <c r="H119" s="5">
        <f t="shared" si="8"/>
        <v>62570.899589999994</v>
      </c>
      <c r="I119" s="5">
        <f t="shared" si="9"/>
        <v>62583.790174999987</v>
      </c>
    </row>
    <row r="120" spans="1:9" x14ac:dyDescent="0.25">
      <c r="A120" t="s">
        <v>13</v>
      </c>
      <c r="B120">
        <v>17.690000000000001</v>
      </c>
      <c r="C120">
        <v>17.7</v>
      </c>
      <c r="D120" t="s">
        <v>25</v>
      </c>
      <c r="E120" s="4">
        <f t="shared" si="12"/>
        <v>3535.8029000000001</v>
      </c>
      <c r="F120" s="4">
        <f t="shared" si="12"/>
        <v>0</v>
      </c>
      <c r="G120" s="4">
        <f t="shared" si="7"/>
        <v>3535.8029000000001</v>
      </c>
      <c r="H120" s="5">
        <f t="shared" si="8"/>
        <v>62548.35330100001</v>
      </c>
      <c r="I120" s="5">
        <f t="shared" si="9"/>
        <v>62583.711329999998</v>
      </c>
    </row>
    <row r="121" spans="1:9" x14ac:dyDescent="0.25">
      <c r="A121" t="s">
        <v>14</v>
      </c>
      <c r="B121">
        <v>35.44</v>
      </c>
      <c r="C121">
        <v>35.450000000000003</v>
      </c>
      <c r="D121" t="s">
        <v>25</v>
      </c>
      <c r="E121" s="4">
        <f t="shared" si="12"/>
        <v>1765.0472</v>
      </c>
      <c r="F121" s="4">
        <f t="shared" si="12"/>
        <v>0</v>
      </c>
      <c r="G121" s="4">
        <f t="shared" si="7"/>
        <v>1765.0472</v>
      </c>
      <c r="H121" s="5">
        <f t="shared" si="8"/>
        <v>62553.272767999995</v>
      </c>
      <c r="I121" s="5">
        <f t="shared" si="9"/>
        <v>62570.923240000004</v>
      </c>
    </row>
    <row r="122" spans="1:9" x14ac:dyDescent="0.25">
      <c r="A122" t="s">
        <v>4</v>
      </c>
      <c r="B122">
        <v>20.77</v>
      </c>
      <c r="C122">
        <v>20.78</v>
      </c>
      <c r="D122" t="s">
        <v>26</v>
      </c>
      <c r="E122" s="4">
        <f t="shared" si="12"/>
        <v>3014.9315000000001</v>
      </c>
      <c r="F122" s="4">
        <f t="shared" si="12"/>
        <v>0</v>
      </c>
      <c r="G122" s="4">
        <f t="shared" si="7"/>
        <v>3014.9315000000001</v>
      </c>
      <c r="H122" s="5">
        <f t="shared" si="8"/>
        <v>62620.127254999999</v>
      </c>
      <c r="I122" s="5">
        <f t="shared" si="9"/>
        <v>62650.276570000009</v>
      </c>
    </row>
    <row r="123" spans="1:9" x14ac:dyDescent="0.25">
      <c r="A123" t="s">
        <v>6</v>
      </c>
      <c r="B123">
        <v>33.99</v>
      </c>
      <c r="C123">
        <v>34</v>
      </c>
      <c r="D123" t="s">
        <v>26</v>
      </c>
      <c r="E123" s="4">
        <f t="shared" si="12"/>
        <v>1842.1104</v>
      </c>
      <c r="F123" s="4">
        <f t="shared" si="12"/>
        <v>0</v>
      </c>
      <c r="G123" s="4">
        <f t="shared" si="7"/>
        <v>1842.1104</v>
      </c>
      <c r="H123" s="5">
        <f t="shared" si="8"/>
        <v>62613.332496000003</v>
      </c>
      <c r="I123" s="5">
        <f t="shared" si="9"/>
        <v>62631.753600000004</v>
      </c>
    </row>
    <row r="124" spans="1:9" x14ac:dyDescent="0.25">
      <c r="A124" t="s">
        <v>7</v>
      </c>
      <c r="B124">
        <v>17.649999999999999</v>
      </c>
      <c r="C124">
        <v>17.66</v>
      </c>
      <c r="D124" t="s">
        <v>26</v>
      </c>
      <c r="E124" s="4">
        <f t="shared" si="12"/>
        <v>3546.5621999999998</v>
      </c>
      <c r="F124" s="4">
        <f t="shared" si="12"/>
        <v>0</v>
      </c>
      <c r="G124" s="4">
        <f t="shared" si="7"/>
        <v>3546.5621999999998</v>
      </c>
      <c r="H124" s="5">
        <f t="shared" si="8"/>
        <v>62596.82282999999</v>
      </c>
      <c r="I124" s="5">
        <f t="shared" si="9"/>
        <v>62632.288452000001</v>
      </c>
    </row>
    <row r="125" spans="1:9" x14ac:dyDescent="0.25">
      <c r="A125" t="s">
        <v>8</v>
      </c>
      <c r="B125">
        <v>27.69</v>
      </c>
      <c r="C125">
        <v>27.7</v>
      </c>
      <c r="D125" t="s">
        <v>26</v>
      </c>
      <c r="E125" s="4">
        <f t="shared" ref="E125:F140" si="13">E115</f>
        <v>2261.3323</v>
      </c>
      <c r="F125" s="4">
        <f t="shared" si="13"/>
        <v>-0.1</v>
      </c>
      <c r="G125" s="4">
        <f t="shared" si="7"/>
        <v>2261.2323000000001</v>
      </c>
      <c r="H125" s="5">
        <f t="shared" si="8"/>
        <v>62613.522387000005</v>
      </c>
      <c r="I125" s="5">
        <f t="shared" si="9"/>
        <v>62636.134709999998</v>
      </c>
    </row>
    <row r="126" spans="1:9" x14ac:dyDescent="0.25">
      <c r="A126" t="s">
        <v>9</v>
      </c>
      <c r="B126">
        <v>66.17</v>
      </c>
      <c r="C126">
        <v>66.239999999999995</v>
      </c>
      <c r="D126" t="s">
        <v>26</v>
      </c>
      <c r="E126" s="4">
        <f t="shared" si="13"/>
        <v>946.12990000000002</v>
      </c>
      <c r="F126" s="4">
        <f t="shared" si="13"/>
        <v>0</v>
      </c>
      <c r="G126" s="4">
        <f t="shared" si="7"/>
        <v>946.12990000000002</v>
      </c>
      <c r="H126" s="5">
        <f t="shared" si="8"/>
        <v>62605.415483000004</v>
      </c>
      <c r="I126" s="5">
        <f t="shared" si="9"/>
        <v>62671.644575999999</v>
      </c>
    </row>
    <row r="127" spans="1:9" x14ac:dyDescent="0.25">
      <c r="A127" t="s">
        <v>10</v>
      </c>
      <c r="B127">
        <v>36.18</v>
      </c>
      <c r="C127">
        <v>36.21</v>
      </c>
      <c r="D127" t="s">
        <v>26</v>
      </c>
      <c r="E127" s="4">
        <f t="shared" si="13"/>
        <v>1730.2188000000001</v>
      </c>
      <c r="F127" s="4">
        <f t="shared" si="13"/>
        <v>0</v>
      </c>
      <c r="G127" s="4">
        <f t="shared" si="7"/>
        <v>1730.2188000000001</v>
      </c>
      <c r="H127" s="5">
        <f t="shared" si="8"/>
        <v>62599.316184000003</v>
      </c>
      <c r="I127" s="5">
        <f t="shared" si="9"/>
        <v>62651.222748000007</v>
      </c>
    </row>
    <row r="128" spans="1:9" x14ac:dyDescent="0.25">
      <c r="A128" t="s">
        <v>11</v>
      </c>
      <c r="B128">
        <v>54.49</v>
      </c>
      <c r="C128">
        <v>54.5</v>
      </c>
      <c r="D128" t="s">
        <v>26</v>
      </c>
      <c r="E128" s="4">
        <f t="shared" si="13"/>
        <v>1148.8453</v>
      </c>
      <c r="F128" s="4">
        <f t="shared" si="13"/>
        <v>0</v>
      </c>
      <c r="G128" s="4">
        <f t="shared" si="7"/>
        <v>1148.8453</v>
      </c>
      <c r="H128" s="5">
        <f t="shared" si="8"/>
        <v>62600.580396999998</v>
      </c>
      <c r="I128" s="5">
        <f t="shared" si="9"/>
        <v>62612.068849999996</v>
      </c>
    </row>
    <row r="129" spans="1:9" x14ac:dyDescent="0.25">
      <c r="A129" t="s">
        <v>12</v>
      </c>
      <c r="B129">
        <v>48.58</v>
      </c>
      <c r="C129">
        <v>48.59</v>
      </c>
      <c r="D129" t="s">
        <v>26</v>
      </c>
      <c r="E129" s="4">
        <f t="shared" si="13"/>
        <v>1289.0084999999999</v>
      </c>
      <c r="F129" s="4">
        <f t="shared" si="13"/>
        <v>0.05</v>
      </c>
      <c r="G129" s="4">
        <f t="shared" si="7"/>
        <v>1289.0584999999999</v>
      </c>
      <c r="H129" s="5">
        <f t="shared" si="8"/>
        <v>62622.46192999999</v>
      </c>
      <c r="I129" s="5">
        <f t="shared" si="9"/>
        <v>62635.352514999999</v>
      </c>
    </row>
    <row r="130" spans="1:9" x14ac:dyDescent="0.25">
      <c r="A130" t="s">
        <v>13</v>
      </c>
      <c r="B130">
        <v>17.71</v>
      </c>
      <c r="C130">
        <v>17.72</v>
      </c>
      <c r="D130" t="s">
        <v>26</v>
      </c>
      <c r="E130" s="4">
        <f t="shared" si="13"/>
        <v>3535.8029000000001</v>
      </c>
      <c r="F130" s="4">
        <f t="shared" si="13"/>
        <v>0</v>
      </c>
      <c r="G130" s="4">
        <f t="shared" ref="G130:G193" si="14">E130+F130</f>
        <v>3535.8029000000001</v>
      </c>
      <c r="H130" s="5">
        <f t="shared" ref="H130:H193" si="15">B130*G130</f>
        <v>62619.069359000008</v>
      </c>
      <c r="I130" s="5">
        <f t="shared" ref="I130:I193" si="16">C130*G130</f>
        <v>62654.427387999996</v>
      </c>
    </row>
    <row r="131" spans="1:9" x14ac:dyDescent="0.25">
      <c r="A131" t="s">
        <v>14</v>
      </c>
      <c r="B131">
        <v>35.47</v>
      </c>
      <c r="C131">
        <v>35.479999999999997</v>
      </c>
      <c r="D131" t="s">
        <v>26</v>
      </c>
      <c r="E131" s="4">
        <f t="shared" si="13"/>
        <v>1765.0472</v>
      </c>
      <c r="F131" s="4">
        <f t="shared" si="13"/>
        <v>0</v>
      </c>
      <c r="G131" s="4">
        <f t="shared" si="14"/>
        <v>1765.0472</v>
      </c>
      <c r="H131" s="5">
        <f t="shared" si="15"/>
        <v>62606.224183999999</v>
      </c>
      <c r="I131" s="5">
        <f t="shared" si="16"/>
        <v>62623.874655999993</v>
      </c>
    </row>
    <row r="132" spans="1:9" x14ac:dyDescent="0.25">
      <c r="A132" t="s">
        <v>4</v>
      </c>
      <c r="B132">
        <v>20.74</v>
      </c>
      <c r="C132">
        <v>20.75</v>
      </c>
      <c r="D132" t="s">
        <v>27</v>
      </c>
      <c r="E132" s="4">
        <f t="shared" si="13"/>
        <v>3014.9315000000001</v>
      </c>
      <c r="F132" s="4">
        <f t="shared" si="13"/>
        <v>0</v>
      </c>
      <c r="G132" s="4">
        <f t="shared" si="14"/>
        <v>3014.9315000000001</v>
      </c>
      <c r="H132" s="5">
        <f t="shared" si="15"/>
        <v>62529.67931</v>
      </c>
      <c r="I132" s="5">
        <f t="shared" si="16"/>
        <v>62559.828625000002</v>
      </c>
    </row>
    <row r="133" spans="1:9" x14ac:dyDescent="0.25">
      <c r="A133" t="s">
        <v>6</v>
      </c>
      <c r="B133">
        <v>33.96</v>
      </c>
      <c r="C133">
        <v>33.97</v>
      </c>
      <c r="D133" t="s">
        <v>27</v>
      </c>
      <c r="E133" s="4">
        <f t="shared" si="13"/>
        <v>1842.1104</v>
      </c>
      <c r="F133" s="4">
        <f t="shared" si="13"/>
        <v>0</v>
      </c>
      <c r="G133" s="4">
        <f t="shared" si="14"/>
        <v>1842.1104</v>
      </c>
      <c r="H133" s="5">
        <f t="shared" si="15"/>
        <v>62558.069184</v>
      </c>
      <c r="I133" s="5">
        <f t="shared" si="16"/>
        <v>62576.490288000001</v>
      </c>
    </row>
    <row r="134" spans="1:9" x14ac:dyDescent="0.25">
      <c r="A134" t="s">
        <v>7</v>
      </c>
      <c r="B134">
        <v>17.63</v>
      </c>
      <c r="C134">
        <v>17.64</v>
      </c>
      <c r="D134" t="s">
        <v>27</v>
      </c>
      <c r="E134" s="4">
        <f t="shared" si="13"/>
        <v>3546.5621999999998</v>
      </c>
      <c r="F134" s="4">
        <f t="shared" si="13"/>
        <v>0</v>
      </c>
      <c r="G134" s="4">
        <f t="shared" si="14"/>
        <v>3546.5621999999998</v>
      </c>
      <c r="H134" s="5">
        <f t="shared" si="15"/>
        <v>62525.891585999991</v>
      </c>
      <c r="I134" s="5">
        <f t="shared" si="16"/>
        <v>62561.357208000001</v>
      </c>
    </row>
    <row r="135" spans="1:9" x14ac:dyDescent="0.25">
      <c r="A135" t="s">
        <v>8</v>
      </c>
      <c r="B135">
        <v>27.66</v>
      </c>
      <c r="C135">
        <v>27.67</v>
      </c>
      <c r="D135" t="s">
        <v>27</v>
      </c>
      <c r="E135" s="4">
        <f t="shared" si="13"/>
        <v>2261.3323</v>
      </c>
      <c r="F135" s="4">
        <f t="shared" si="13"/>
        <v>-0.1</v>
      </c>
      <c r="G135" s="4">
        <f t="shared" si="14"/>
        <v>2261.2323000000001</v>
      </c>
      <c r="H135" s="5">
        <f t="shared" si="15"/>
        <v>62545.685418000001</v>
      </c>
      <c r="I135" s="5">
        <f t="shared" si="16"/>
        <v>62568.297741000009</v>
      </c>
    </row>
    <row r="136" spans="1:9" x14ac:dyDescent="0.25">
      <c r="A136" t="s">
        <v>9</v>
      </c>
      <c r="B136">
        <v>66.099999999999994</v>
      </c>
      <c r="C136">
        <v>66.17</v>
      </c>
      <c r="D136" t="s">
        <v>27</v>
      </c>
      <c r="E136" s="4">
        <f t="shared" si="13"/>
        <v>946.12990000000002</v>
      </c>
      <c r="F136" s="4">
        <f t="shared" si="13"/>
        <v>0</v>
      </c>
      <c r="G136" s="4">
        <f t="shared" si="14"/>
        <v>946.12990000000002</v>
      </c>
      <c r="H136" s="5">
        <f t="shared" si="15"/>
        <v>62539.186389999995</v>
      </c>
      <c r="I136" s="5">
        <f t="shared" si="16"/>
        <v>62605.415483000004</v>
      </c>
    </row>
    <row r="137" spans="1:9" x14ac:dyDescent="0.25">
      <c r="A137" t="s">
        <v>10</v>
      </c>
      <c r="B137">
        <v>36.15</v>
      </c>
      <c r="C137">
        <v>36.17</v>
      </c>
      <c r="D137" t="s">
        <v>27</v>
      </c>
      <c r="E137" s="4">
        <f t="shared" si="13"/>
        <v>1730.2188000000001</v>
      </c>
      <c r="F137" s="4">
        <f t="shared" si="13"/>
        <v>0</v>
      </c>
      <c r="G137" s="4">
        <f t="shared" si="14"/>
        <v>1730.2188000000001</v>
      </c>
      <c r="H137" s="5">
        <f t="shared" si="15"/>
        <v>62547.409619999999</v>
      </c>
      <c r="I137" s="5">
        <f t="shared" si="16"/>
        <v>62582.013996000009</v>
      </c>
    </row>
    <row r="138" spans="1:9" x14ac:dyDescent="0.25">
      <c r="A138" t="s">
        <v>11</v>
      </c>
      <c r="B138">
        <v>54.44</v>
      </c>
      <c r="C138">
        <v>54.45</v>
      </c>
      <c r="D138" t="s">
        <v>27</v>
      </c>
      <c r="E138" s="4">
        <f t="shared" si="13"/>
        <v>1148.8453</v>
      </c>
      <c r="F138" s="4">
        <f t="shared" si="13"/>
        <v>0</v>
      </c>
      <c r="G138" s="4">
        <f t="shared" si="14"/>
        <v>1148.8453</v>
      </c>
      <c r="H138" s="5">
        <f t="shared" si="15"/>
        <v>62543.138131999993</v>
      </c>
      <c r="I138" s="5">
        <f t="shared" si="16"/>
        <v>62554.626584999998</v>
      </c>
    </row>
    <row r="139" spans="1:9" x14ac:dyDescent="0.25">
      <c r="A139" t="s">
        <v>12</v>
      </c>
      <c r="B139">
        <v>48.53</v>
      </c>
      <c r="C139">
        <v>48.54</v>
      </c>
      <c r="D139" t="s">
        <v>27</v>
      </c>
      <c r="E139" s="4">
        <f t="shared" si="13"/>
        <v>1289.0084999999999</v>
      </c>
      <c r="F139" s="4">
        <f t="shared" si="13"/>
        <v>0.05</v>
      </c>
      <c r="G139" s="4">
        <f t="shared" si="14"/>
        <v>1289.0584999999999</v>
      </c>
      <c r="H139" s="5">
        <f t="shared" si="15"/>
        <v>62558.009004999993</v>
      </c>
      <c r="I139" s="5">
        <f t="shared" si="16"/>
        <v>62570.899589999994</v>
      </c>
    </row>
    <row r="140" spans="1:9" x14ac:dyDescent="0.25">
      <c r="A140" t="s">
        <v>13</v>
      </c>
      <c r="B140">
        <v>17.690000000000001</v>
      </c>
      <c r="C140">
        <v>17.7</v>
      </c>
      <c r="D140" t="s">
        <v>27</v>
      </c>
      <c r="E140" s="4">
        <f t="shared" si="13"/>
        <v>3535.8029000000001</v>
      </c>
      <c r="F140" s="4">
        <f t="shared" si="13"/>
        <v>0</v>
      </c>
      <c r="G140" s="4">
        <f t="shared" si="14"/>
        <v>3535.8029000000001</v>
      </c>
      <c r="H140" s="5">
        <f t="shared" si="15"/>
        <v>62548.35330100001</v>
      </c>
      <c r="I140" s="5">
        <f t="shared" si="16"/>
        <v>62583.711329999998</v>
      </c>
    </row>
    <row r="141" spans="1:9" x14ac:dyDescent="0.25">
      <c r="A141" t="s">
        <v>14</v>
      </c>
      <c r="B141">
        <v>35.43</v>
      </c>
      <c r="C141">
        <v>35.44</v>
      </c>
      <c r="D141" t="s">
        <v>27</v>
      </c>
      <c r="E141" s="4">
        <f t="shared" ref="E141:F156" si="17">E131</f>
        <v>1765.0472</v>
      </c>
      <c r="F141" s="4">
        <f t="shared" si="17"/>
        <v>0</v>
      </c>
      <c r="G141" s="4">
        <f t="shared" si="14"/>
        <v>1765.0472</v>
      </c>
      <c r="H141" s="5">
        <f t="shared" si="15"/>
        <v>62535.622296000001</v>
      </c>
      <c r="I141" s="5">
        <f t="shared" si="16"/>
        <v>62553.272767999995</v>
      </c>
    </row>
    <row r="142" spans="1:9" x14ac:dyDescent="0.25">
      <c r="A142" t="s">
        <v>4</v>
      </c>
      <c r="B142">
        <v>20.76</v>
      </c>
      <c r="C142">
        <v>20.77</v>
      </c>
      <c r="D142" t="s">
        <v>28</v>
      </c>
      <c r="E142" s="4">
        <f t="shared" si="17"/>
        <v>3014.9315000000001</v>
      </c>
      <c r="F142" s="4">
        <f t="shared" si="17"/>
        <v>0</v>
      </c>
      <c r="G142" s="4">
        <f t="shared" si="14"/>
        <v>3014.9315000000001</v>
      </c>
      <c r="H142" s="5">
        <f t="shared" si="15"/>
        <v>62589.977940000004</v>
      </c>
      <c r="I142" s="5">
        <f t="shared" si="16"/>
        <v>62620.127254999999</v>
      </c>
    </row>
    <row r="143" spans="1:9" x14ac:dyDescent="0.25">
      <c r="A143" t="s">
        <v>6</v>
      </c>
      <c r="B143">
        <v>33.979999999999997</v>
      </c>
      <c r="C143">
        <v>33.99</v>
      </c>
      <c r="D143" t="s">
        <v>28</v>
      </c>
      <c r="E143" s="4">
        <f t="shared" si="17"/>
        <v>1842.1104</v>
      </c>
      <c r="F143" s="4">
        <f t="shared" si="17"/>
        <v>0</v>
      </c>
      <c r="G143" s="4">
        <f t="shared" si="14"/>
        <v>1842.1104</v>
      </c>
      <c r="H143" s="5">
        <f t="shared" si="15"/>
        <v>62594.911391999995</v>
      </c>
      <c r="I143" s="5">
        <f t="shared" si="16"/>
        <v>62613.332496000003</v>
      </c>
    </row>
    <row r="144" spans="1:9" x14ac:dyDescent="0.25">
      <c r="A144" t="s">
        <v>7</v>
      </c>
      <c r="B144">
        <v>17.64</v>
      </c>
      <c r="C144">
        <v>17.649999999999999</v>
      </c>
      <c r="D144" t="s">
        <v>28</v>
      </c>
      <c r="E144" s="4">
        <f t="shared" si="17"/>
        <v>3546.5621999999998</v>
      </c>
      <c r="F144" s="4">
        <f t="shared" si="17"/>
        <v>0</v>
      </c>
      <c r="G144" s="4">
        <f t="shared" si="14"/>
        <v>3546.5621999999998</v>
      </c>
      <c r="H144" s="5">
        <f t="shared" si="15"/>
        <v>62561.357208000001</v>
      </c>
      <c r="I144" s="5">
        <f t="shared" si="16"/>
        <v>62596.82282999999</v>
      </c>
    </row>
    <row r="145" spans="1:9" x14ac:dyDescent="0.25">
      <c r="A145" t="s">
        <v>8</v>
      </c>
      <c r="B145">
        <v>27.68</v>
      </c>
      <c r="C145">
        <v>27.69</v>
      </c>
      <c r="D145" t="s">
        <v>28</v>
      </c>
      <c r="E145" s="4">
        <f t="shared" si="17"/>
        <v>2261.3323</v>
      </c>
      <c r="F145" s="4">
        <f t="shared" si="17"/>
        <v>-0.1</v>
      </c>
      <c r="G145" s="4">
        <f t="shared" si="14"/>
        <v>2261.2323000000001</v>
      </c>
      <c r="H145" s="5">
        <f t="shared" si="15"/>
        <v>62590.910064000003</v>
      </c>
      <c r="I145" s="5">
        <f t="shared" si="16"/>
        <v>62613.522387000005</v>
      </c>
    </row>
    <row r="146" spans="1:9" x14ac:dyDescent="0.25">
      <c r="A146" t="s">
        <v>9</v>
      </c>
      <c r="B146">
        <v>66.150000000000006</v>
      </c>
      <c r="C146">
        <v>66.22</v>
      </c>
      <c r="D146" t="s">
        <v>28</v>
      </c>
      <c r="E146" s="4">
        <f t="shared" si="17"/>
        <v>946.12990000000002</v>
      </c>
      <c r="F146" s="4">
        <f t="shared" si="17"/>
        <v>0</v>
      </c>
      <c r="G146" s="4">
        <f t="shared" si="14"/>
        <v>946.12990000000002</v>
      </c>
      <c r="H146" s="5">
        <f t="shared" si="15"/>
        <v>62586.492885000007</v>
      </c>
      <c r="I146" s="5">
        <f t="shared" si="16"/>
        <v>62652.721978000001</v>
      </c>
    </row>
    <row r="147" spans="1:9" x14ac:dyDescent="0.25">
      <c r="A147" t="s">
        <v>10</v>
      </c>
      <c r="B147">
        <v>36.17</v>
      </c>
      <c r="C147">
        <v>36.19</v>
      </c>
      <c r="D147" t="s">
        <v>28</v>
      </c>
      <c r="E147" s="4">
        <f t="shared" si="17"/>
        <v>1730.2188000000001</v>
      </c>
      <c r="F147" s="4">
        <f t="shared" si="17"/>
        <v>0</v>
      </c>
      <c r="G147" s="4">
        <f t="shared" si="14"/>
        <v>1730.2188000000001</v>
      </c>
      <c r="H147" s="5">
        <f t="shared" si="15"/>
        <v>62582.013996000009</v>
      </c>
      <c r="I147" s="5">
        <f t="shared" si="16"/>
        <v>62616.618371999997</v>
      </c>
    </row>
    <row r="148" spans="1:9" x14ac:dyDescent="0.25">
      <c r="A148" t="s">
        <v>11</v>
      </c>
      <c r="B148">
        <v>54.46</v>
      </c>
      <c r="C148">
        <v>54.47</v>
      </c>
      <c r="D148" t="s">
        <v>28</v>
      </c>
      <c r="E148" s="4">
        <f t="shared" si="17"/>
        <v>1148.8453</v>
      </c>
      <c r="F148" s="4">
        <f t="shared" si="17"/>
        <v>0</v>
      </c>
      <c r="G148" s="4">
        <f t="shared" si="14"/>
        <v>1148.8453</v>
      </c>
      <c r="H148" s="5">
        <f t="shared" si="15"/>
        <v>62566.115037999996</v>
      </c>
      <c r="I148" s="5">
        <f t="shared" si="16"/>
        <v>62577.603490999994</v>
      </c>
    </row>
    <row r="149" spans="1:9" x14ac:dyDescent="0.25">
      <c r="A149" t="s">
        <v>12</v>
      </c>
      <c r="B149">
        <v>48.56</v>
      </c>
      <c r="C149">
        <v>48.57</v>
      </c>
      <c r="D149" t="s">
        <v>28</v>
      </c>
      <c r="E149" s="4">
        <f t="shared" si="17"/>
        <v>1289.0084999999999</v>
      </c>
      <c r="F149" s="4">
        <f t="shared" si="17"/>
        <v>0.05</v>
      </c>
      <c r="G149" s="4">
        <f t="shared" si="14"/>
        <v>1289.0584999999999</v>
      </c>
      <c r="H149" s="5">
        <f t="shared" si="15"/>
        <v>62596.680759999996</v>
      </c>
      <c r="I149" s="5">
        <f t="shared" si="16"/>
        <v>62609.571344999997</v>
      </c>
    </row>
    <row r="150" spans="1:9" x14ac:dyDescent="0.25">
      <c r="A150" t="s">
        <v>13</v>
      </c>
      <c r="B150">
        <v>17.7</v>
      </c>
      <c r="C150">
        <v>17.71</v>
      </c>
      <c r="D150" t="s">
        <v>28</v>
      </c>
      <c r="E150" s="4">
        <f t="shared" si="17"/>
        <v>3535.8029000000001</v>
      </c>
      <c r="F150" s="4">
        <f t="shared" si="17"/>
        <v>0</v>
      </c>
      <c r="G150" s="4">
        <f t="shared" si="14"/>
        <v>3535.8029000000001</v>
      </c>
      <c r="H150" s="5">
        <f t="shared" si="15"/>
        <v>62583.711329999998</v>
      </c>
      <c r="I150" s="5">
        <f t="shared" si="16"/>
        <v>62619.069359000008</v>
      </c>
    </row>
    <row r="151" spans="1:9" x14ac:dyDescent="0.25">
      <c r="A151" t="s">
        <v>14</v>
      </c>
      <c r="B151">
        <v>35.450000000000003</v>
      </c>
      <c r="C151">
        <v>35.46</v>
      </c>
      <c r="D151" t="s">
        <v>28</v>
      </c>
      <c r="E151" s="4">
        <f t="shared" si="17"/>
        <v>1765.0472</v>
      </c>
      <c r="F151" s="4">
        <f t="shared" si="17"/>
        <v>0</v>
      </c>
      <c r="G151" s="4">
        <f t="shared" si="14"/>
        <v>1765.0472</v>
      </c>
      <c r="H151" s="5">
        <f t="shared" si="15"/>
        <v>62570.923240000004</v>
      </c>
      <c r="I151" s="5">
        <f t="shared" si="16"/>
        <v>62588.573711999998</v>
      </c>
    </row>
    <row r="152" spans="1:9" x14ac:dyDescent="0.25">
      <c r="A152" t="s">
        <v>4</v>
      </c>
      <c r="B152">
        <v>20.73</v>
      </c>
      <c r="C152">
        <v>20.74</v>
      </c>
      <c r="D152" t="s">
        <v>29</v>
      </c>
      <c r="E152" s="4">
        <f t="shared" si="17"/>
        <v>3014.9315000000001</v>
      </c>
      <c r="F152" s="4">
        <f t="shared" si="17"/>
        <v>0</v>
      </c>
      <c r="G152" s="4">
        <f t="shared" si="14"/>
        <v>3014.9315000000001</v>
      </c>
      <c r="H152" s="5">
        <f t="shared" si="15"/>
        <v>62499.529995000004</v>
      </c>
      <c r="I152" s="5">
        <f t="shared" si="16"/>
        <v>62529.67931</v>
      </c>
    </row>
    <row r="153" spans="1:9" x14ac:dyDescent="0.25">
      <c r="A153" t="s">
        <v>6</v>
      </c>
      <c r="B153">
        <v>33.92</v>
      </c>
      <c r="C153">
        <v>33.93</v>
      </c>
      <c r="D153" t="s">
        <v>29</v>
      </c>
      <c r="E153" s="4">
        <f t="shared" si="17"/>
        <v>1842.1104</v>
      </c>
      <c r="F153" s="4">
        <f t="shared" si="17"/>
        <v>0</v>
      </c>
      <c r="G153" s="4">
        <f t="shared" si="14"/>
        <v>1842.1104</v>
      </c>
      <c r="H153" s="5">
        <f t="shared" si="15"/>
        <v>62484.384768000004</v>
      </c>
      <c r="I153" s="5">
        <f t="shared" si="16"/>
        <v>62502.805871999997</v>
      </c>
    </row>
    <row r="154" spans="1:9" x14ac:dyDescent="0.25">
      <c r="A154" t="s">
        <v>7</v>
      </c>
      <c r="B154">
        <v>17.61</v>
      </c>
      <c r="C154">
        <v>17.62</v>
      </c>
      <c r="D154" t="s">
        <v>29</v>
      </c>
      <c r="E154" s="4">
        <f t="shared" si="17"/>
        <v>3546.5621999999998</v>
      </c>
      <c r="F154" s="4">
        <f t="shared" si="17"/>
        <v>0</v>
      </c>
      <c r="G154" s="4">
        <f t="shared" si="14"/>
        <v>3546.5621999999998</v>
      </c>
      <c r="H154" s="5">
        <f t="shared" si="15"/>
        <v>62454.960341999998</v>
      </c>
      <c r="I154" s="5">
        <f t="shared" si="16"/>
        <v>62490.425964000002</v>
      </c>
    </row>
    <row r="155" spans="1:9" x14ac:dyDescent="0.25">
      <c r="A155" t="s">
        <v>8</v>
      </c>
      <c r="B155">
        <v>27.64</v>
      </c>
      <c r="C155">
        <v>27.65</v>
      </c>
      <c r="D155" t="s">
        <v>29</v>
      </c>
      <c r="E155" s="4">
        <f t="shared" si="17"/>
        <v>2261.3323</v>
      </c>
      <c r="F155" s="4">
        <f t="shared" si="17"/>
        <v>-0.1</v>
      </c>
      <c r="G155" s="4">
        <f t="shared" si="14"/>
        <v>2261.2323000000001</v>
      </c>
      <c r="H155" s="5">
        <f t="shared" si="15"/>
        <v>62500.460772000006</v>
      </c>
      <c r="I155" s="5">
        <f t="shared" si="16"/>
        <v>62523.073095</v>
      </c>
    </row>
    <row r="156" spans="1:9" x14ac:dyDescent="0.25">
      <c r="A156" t="s">
        <v>9</v>
      </c>
      <c r="B156">
        <v>66.040000000000006</v>
      </c>
      <c r="C156">
        <v>66.11</v>
      </c>
      <c r="D156" t="s">
        <v>29</v>
      </c>
      <c r="E156" s="4">
        <f t="shared" si="17"/>
        <v>946.12990000000002</v>
      </c>
      <c r="F156" s="4">
        <f t="shared" si="17"/>
        <v>0</v>
      </c>
      <c r="G156" s="4">
        <f t="shared" si="14"/>
        <v>946.12990000000002</v>
      </c>
      <c r="H156" s="5">
        <f t="shared" si="15"/>
        <v>62482.41859600001</v>
      </c>
      <c r="I156" s="5">
        <f t="shared" si="16"/>
        <v>62548.647688999998</v>
      </c>
    </row>
    <row r="157" spans="1:9" x14ac:dyDescent="0.25">
      <c r="A157" t="s">
        <v>10</v>
      </c>
      <c r="B157">
        <v>36.11</v>
      </c>
      <c r="C157">
        <v>36.14</v>
      </c>
      <c r="D157" t="s">
        <v>29</v>
      </c>
      <c r="E157" s="4">
        <f t="shared" ref="E157:F172" si="18">E147</f>
        <v>1730.2188000000001</v>
      </c>
      <c r="F157" s="4">
        <f t="shared" si="18"/>
        <v>0</v>
      </c>
      <c r="G157" s="4">
        <f t="shared" si="14"/>
        <v>1730.2188000000001</v>
      </c>
      <c r="H157" s="5">
        <f t="shared" si="15"/>
        <v>62478.200868</v>
      </c>
      <c r="I157" s="5">
        <f t="shared" si="16"/>
        <v>62530.107432000004</v>
      </c>
    </row>
    <row r="158" spans="1:9" x14ac:dyDescent="0.25">
      <c r="A158" t="s">
        <v>11</v>
      </c>
      <c r="B158">
        <v>54.39</v>
      </c>
      <c r="C158">
        <v>54.4</v>
      </c>
      <c r="D158" t="s">
        <v>29</v>
      </c>
      <c r="E158" s="4">
        <f t="shared" si="18"/>
        <v>1148.8453</v>
      </c>
      <c r="F158" s="4">
        <f t="shared" si="18"/>
        <v>0</v>
      </c>
      <c r="G158" s="4">
        <f t="shared" si="14"/>
        <v>1148.8453</v>
      </c>
      <c r="H158" s="5">
        <f t="shared" si="15"/>
        <v>62485.695866999995</v>
      </c>
      <c r="I158" s="5">
        <f t="shared" si="16"/>
        <v>62497.184319999993</v>
      </c>
    </row>
    <row r="159" spans="1:9" x14ac:dyDescent="0.25">
      <c r="A159" t="s">
        <v>12</v>
      </c>
      <c r="B159">
        <v>48.49</v>
      </c>
      <c r="C159">
        <v>48.5</v>
      </c>
      <c r="D159" t="s">
        <v>29</v>
      </c>
      <c r="E159" s="4">
        <f t="shared" si="18"/>
        <v>1289.0084999999999</v>
      </c>
      <c r="F159" s="4">
        <f t="shared" si="18"/>
        <v>0.05</v>
      </c>
      <c r="G159" s="4">
        <f t="shared" si="14"/>
        <v>1289.0584999999999</v>
      </c>
      <c r="H159" s="5">
        <f t="shared" si="15"/>
        <v>62506.446664999996</v>
      </c>
      <c r="I159" s="5">
        <f t="shared" si="16"/>
        <v>62519.337249999997</v>
      </c>
    </row>
    <row r="160" spans="1:9" x14ac:dyDescent="0.25">
      <c r="A160" t="s">
        <v>13</v>
      </c>
      <c r="B160">
        <v>17.670000000000002</v>
      </c>
      <c r="C160">
        <v>17.68</v>
      </c>
      <c r="D160" t="s">
        <v>29</v>
      </c>
      <c r="E160" s="4">
        <f t="shared" si="18"/>
        <v>3535.8029000000001</v>
      </c>
      <c r="F160" s="4">
        <f t="shared" si="18"/>
        <v>0</v>
      </c>
      <c r="G160" s="4">
        <f t="shared" si="14"/>
        <v>3535.8029000000001</v>
      </c>
      <c r="H160" s="5">
        <f t="shared" si="15"/>
        <v>62477.637243000012</v>
      </c>
      <c r="I160" s="5">
        <f t="shared" si="16"/>
        <v>62512.995272</v>
      </c>
    </row>
    <row r="161" spans="1:9" x14ac:dyDescent="0.25">
      <c r="A161" t="s">
        <v>14</v>
      </c>
      <c r="B161">
        <v>35.4</v>
      </c>
      <c r="C161">
        <v>35.409999999999997</v>
      </c>
      <c r="D161" t="s">
        <v>29</v>
      </c>
      <c r="E161" s="4">
        <f t="shared" si="18"/>
        <v>1765.0472</v>
      </c>
      <c r="F161" s="4">
        <f t="shared" si="18"/>
        <v>0</v>
      </c>
      <c r="G161" s="4">
        <f t="shared" si="14"/>
        <v>1765.0472</v>
      </c>
      <c r="H161" s="5">
        <f t="shared" si="15"/>
        <v>62482.670879999998</v>
      </c>
      <c r="I161" s="5">
        <f t="shared" si="16"/>
        <v>62500.321351999992</v>
      </c>
    </row>
    <row r="162" spans="1:9" x14ac:dyDescent="0.25">
      <c r="A162" t="s">
        <v>4</v>
      </c>
      <c r="B162">
        <v>20.73</v>
      </c>
      <c r="C162">
        <v>20.74</v>
      </c>
      <c r="D162" t="s">
        <v>30</v>
      </c>
      <c r="E162" s="4">
        <f t="shared" si="18"/>
        <v>3014.9315000000001</v>
      </c>
      <c r="F162" s="4">
        <f t="shared" si="18"/>
        <v>0</v>
      </c>
      <c r="G162" s="4">
        <f t="shared" si="14"/>
        <v>3014.9315000000001</v>
      </c>
      <c r="H162" s="5">
        <f t="shared" si="15"/>
        <v>62499.529995000004</v>
      </c>
      <c r="I162" s="5">
        <f t="shared" si="16"/>
        <v>62529.67931</v>
      </c>
    </row>
    <row r="163" spans="1:9" x14ac:dyDescent="0.25">
      <c r="A163" t="s">
        <v>6</v>
      </c>
      <c r="B163">
        <v>33.94</v>
      </c>
      <c r="C163">
        <v>33.950000000000003</v>
      </c>
      <c r="D163" t="s">
        <v>30</v>
      </c>
      <c r="E163" s="4">
        <f t="shared" si="18"/>
        <v>1842.1104</v>
      </c>
      <c r="F163" s="4">
        <f t="shared" si="18"/>
        <v>0</v>
      </c>
      <c r="G163" s="4">
        <f t="shared" si="14"/>
        <v>1842.1104</v>
      </c>
      <c r="H163" s="5">
        <f t="shared" si="15"/>
        <v>62521.226975999998</v>
      </c>
      <c r="I163" s="5">
        <f t="shared" si="16"/>
        <v>62539.648080000006</v>
      </c>
    </row>
    <row r="164" spans="1:9" x14ac:dyDescent="0.25">
      <c r="A164" t="s">
        <v>7</v>
      </c>
      <c r="B164">
        <v>17.62</v>
      </c>
      <c r="C164">
        <v>17.63</v>
      </c>
      <c r="D164" t="s">
        <v>30</v>
      </c>
      <c r="E164" s="4">
        <f t="shared" si="18"/>
        <v>3546.5621999999998</v>
      </c>
      <c r="F164" s="4">
        <f t="shared" si="18"/>
        <v>0</v>
      </c>
      <c r="G164" s="4">
        <f t="shared" si="14"/>
        <v>3546.5621999999998</v>
      </c>
      <c r="H164" s="5">
        <f t="shared" si="15"/>
        <v>62490.425964000002</v>
      </c>
      <c r="I164" s="5">
        <f t="shared" si="16"/>
        <v>62525.891585999991</v>
      </c>
    </row>
    <row r="165" spans="1:9" x14ac:dyDescent="0.25">
      <c r="A165" t="s">
        <v>8</v>
      </c>
      <c r="B165">
        <v>27.65</v>
      </c>
      <c r="C165">
        <v>27.66</v>
      </c>
      <c r="D165" t="s">
        <v>30</v>
      </c>
      <c r="E165" s="4">
        <f t="shared" si="18"/>
        <v>2261.3323</v>
      </c>
      <c r="F165" s="4">
        <f t="shared" si="18"/>
        <v>-0.1</v>
      </c>
      <c r="G165" s="4">
        <f t="shared" si="14"/>
        <v>2261.2323000000001</v>
      </c>
      <c r="H165" s="5">
        <f t="shared" si="15"/>
        <v>62523.073095</v>
      </c>
      <c r="I165" s="5">
        <f t="shared" si="16"/>
        <v>62545.685418000001</v>
      </c>
    </row>
    <row r="166" spans="1:9" x14ac:dyDescent="0.25">
      <c r="A166" t="s">
        <v>9</v>
      </c>
      <c r="B166">
        <v>66.069999999999993</v>
      </c>
      <c r="C166">
        <v>66.13</v>
      </c>
      <c r="D166" t="s">
        <v>30</v>
      </c>
      <c r="E166" s="4">
        <f t="shared" si="18"/>
        <v>946.12990000000002</v>
      </c>
      <c r="F166" s="4">
        <f t="shared" si="18"/>
        <v>0</v>
      </c>
      <c r="G166" s="4">
        <f t="shared" si="14"/>
        <v>946.12990000000002</v>
      </c>
      <c r="H166" s="5">
        <f t="shared" si="15"/>
        <v>62510.802492999996</v>
      </c>
      <c r="I166" s="5">
        <f t="shared" si="16"/>
        <v>62567.570286999995</v>
      </c>
    </row>
    <row r="167" spans="1:9" x14ac:dyDescent="0.25">
      <c r="A167" t="s">
        <v>10</v>
      </c>
      <c r="B167">
        <v>36.130000000000003</v>
      </c>
      <c r="C167">
        <v>36.14</v>
      </c>
      <c r="D167" t="s">
        <v>30</v>
      </c>
      <c r="E167" s="4">
        <f t="shared" si="18"/>
        <v>1730.2188000000001</v>
      </c>
      <c r="F167" s="4">
        <f t="shared" si="18"/>
        <v>0</v>
      </c>
      <c r="G167" s="4">
        <f t="shared" si="14"/>
        <v>1730.2188000000001</v>
      </c>
      <c r="H167" s="5">
        <f t="shared" si="15"/>
        <v>62512.80524400001</v>
      </c>
      <c r="I167" s="5">
        <f t="shared" si="16"/>
        <v>62530.107432000004</v>
      </c>
    </row>
    <row r="168" spans="1:9" x14ac:dyDescent="0.25">
      <c r="A168" t="s">
        <v>11</v>
      </c>
      <c r="B168">
        <v>54.42</v>
      </c>
      <c r="C168">
        <v>54.43</v>
      </c>
      <c r="D168" t="s">
        <v>30</v>
      </c>
      <c r="E168" s="4">
        <f t="shared" si="18"/>
        <v>1148.8453</v>
      </c>
      <c r="F168" s="4">
        <f t="shared" si="18"/>
        <v>0</v>
      </c>
      <c r="G168" s="4">
        <f t="shared" si="14"/>
        <v>1148.8453</v>
      </c>
      <c r="H168" s="5">
        <f t="shared" si="15"/>
        <v>62520.161225999997</v>
      </c>
      <c r="I168" s="5">
        <f t="shared" si="16"/>
        <v>62531.649678999995</v>
      </c>
    </row>
    <row r="169" spans="1:9" x14ac:dyDescent="0.25">
      <c r="A169" t="s">
        <v>12</v>
      </c>
      <c r="B169">
        <v>48.5</v>
      </c>
      <c r="C169">
        <v>48.51</v>
      </c>
      <c r="D169" t="s">
        <v>30</v>
      </c>
      <c r="E169" s="4">
        <f t="shared" si="18"/>
        <v>1289.0084999999999</v>
      </c>
      <c r="F169" s="4">
        <f t="shared" si="18"/>
        <v>0.05</v>
      </c>
      <c r="G169" s="4">
        <f t="shared" si="14"/>
        <v>1289.0584999999999</v>
      </c>
      <c r="H169" s="5">
        <f t="shared" si="15"/>
        <v>62519.337249999997</v>
      </c>
      <c r="I169" s="5">
        <f t="shared" si="16"/>
        <v>62532.227834999991</v>
      </c>
    </row>
    <row r="170" spans="1:9" x14ac:dyDescent="0.25">
      <c r="A170" t="s">
        <v>13</v>
      </c>
      <c r="B170">
        <v>17.68</v>
      </c>
      <c r="C170">
        <v>17.690000000000001</v>
      </c>
      <c r="D170" t="s">
        <v>30</v>
      </c>
      <c r="E170" s="4">
        <f t="shared" si="18"/>
        <v>3535.8029000000001</v>
      </c>
      <c r="F170" s="4">
        <f t="shared" si="18"/>
        <v>0</v>
      </c>
      <c r="G170" s="4">
        <f t="shared" si="14"/>
        <v>3535.8029000000001</v>
      </c>
      <c r="H170" s="5">
        <f t="shared" si="15"/>
        <v>62512.995272</v>
      </c>
      <c r="I170" s="5">
        <f t="shared" si="16"/>
        <v>62548.35330100001</v>
      </c>
    </row>
    <row r="171" spans="1:9" x14ac:dyDescent="0.25">
      <c r="A171" t="s">
        <v>14</v>
      </c>
      <c r="B171">
        <v>35.409999999999997</v>
      </c>
      <c r="C171">
        <v>35.42</v>
      </c>
      <c r="D171" t="s">
        <v>30</v>
      </c>
      <c r="E171" s="4">
        <f t="shared" si="18"/>
        <v>1765.0472</v>
      </c>
      <c r="F171" s="4">
        <f t="shared" si="18"/>
        <v>0</v>
      </c>
      <c r="G171" s="4">
        <f t="shared" si="14"/>
        <v>1765.0472</v>
      </c>
      <c r="H171" s="5">
        <f t="shared" si="15"/>
        <v>62500.321351999992</v>
      </c>
      <c r="I171" s="5">
        <f t="shared" si="16"/>
        <v>62517.971824</v>
      </c>
    </row>
    <row r="172" spans="1:9" x14ac:dyDescent="0.25">
      <c r="A172" t="s">
        <v>4</v>
      </c>
      <c r="B172">
        <v>20.76</v>
      </c>
      <c r="C172">
        <v>20.77</v>
      </c>
      <c r="D172" t="s">
        <v>31</v>
      </c>
      <c r="E172" s="4">
        <f t="shared" si="18"/>
        <v>3014.9315000000001</v>
      </c>
      <c r="F172" s="4">
        <f t="shared" si="18"/>
        <v>0</v>
      </c>
      <c r="G172" s="4">
        <f t="shared" si="14"/>
        <v>3014.9315000000001</v>
      </c>
      <c r="H172" s="5">
        <f t="shared" si="15"/>
        <v>62589.977940000004</v>
      </c>
      <c r="I172" s="5">
        <f t="shared" si="16"/>
        <v>62620.127254999999</v>
      </c>
    </row>
    <row r="173" spans="1:9" x14ac:dyDescent="0.25">
      <c r="A173" t="s">
        <v>6</v>
      </c>
      <c r="B173">
        <v>33.979999999999997</v>
      </c>
      <c r="C173">
        <v>33.99</v>
      </c>
      <c r="D173" t="s">
        <v>31</v>
      </c>
      <c r="E173" s="4">
        <f t="shared" ref="E173:F186" si="19">E163</f>
        <v>1842.1104</v>
      </c>
      <c r="F173" s="4">
        <f t="shared" si="19"/>
        <v>0</v>
      </c>
      <c r="G173" s="4">
        <f t="shared" si="14"/>
        <v>1842.1104</v>
      </c>
      <c r="H173" s="5">
        <f t="shared" si="15"/>
        <v>62594.911391999995</v>
      </c>
      <c r="I173" s="5">
        <f t="shared" si="16"/>
        <v>62613.332496000003</v>
      </c>
    </row>
    <row r="174" spans="1:9" x14ac:dyDescent="0.25">
      <c r="A174" t="s">
        <v>7</v>
      </c>
      <c r="B174">
        <v>17.64</v>
      </c>
      <c r="C174">
        <v>17.649999999999999</v>
      </c>
      <c r="D174" t="s">
        <v>31</v>
      </c>
      <c r="E174" s="4">
        <f t="shared" si="19"/>
        <v>3546.5621999999998</v>
      </c>
      <c r="F174" s="4">
        <f t="shared" si="19"/>
        <v>0</v>
      </c>
      <c r="G174" s="4">
        <f t="shared" si="14"/>
        <v>3546.5621999999998</v>
      </c>
      <c r="H174" s="5">
        <f t="shared" si="15"/>
        <v>62561.357208000001</v>
      </c>
      <c r="I174" s="5">
        <f t="shared" si="16"/>
        <v>62596.82282999999</v>
      </c>
    </row>
    <row r="175" spans="1:9" x14ac:dyDescent="0.25">
      <c r="A175" t="s">
        <v>8</v>
      </c>
      <c r="B175">
        <v>27.68</v>
      </c>
      <c r="C175">
        <v>27.69</v>
      </c>
      <c r="D175" t="s">
        <v>31</v>
      </c>
      <c r="E175" s="4">
        <f t="shared" si="19"/>
        <v>2261.3323</v>
      </c>
      <c r="F175" s="4">
        <f t="shared" si="19"/>
        <v>-0.1</v>
      </c>
      <c r="G175" s="4">
        <f t="shared" si="14"/>
        <v>2261.2323000000001</v>
      </c>
      <c r="H175" s="5">
        <f t="shared" si="15"/>
        <v>62590.910064000003</v>
      </c>
      <c r="I175" s="5">
        <f t="shared" si="16"/>
        <v>62613.522387000005</v>
      </c>
    </row>
    <row r="176" spans="1:9" x14ac:dyDescent="0.25">
      <c r="A176" t="s">
        <v>9</v>
      </c>
      <c r="B176">
        <v>66.150000000000006</v>
      </c>
      <c r="C176">
        <v>66.209999999999994</v>
      </c>
      <c r="D176" t="s">
        <v>31</v>
      </c>
      <c r="E176" s="4">
        <f t="shared" si="19"/>
        <v>946.12990000000002</v>
      </c>
      <c r="F176" s="4">
        <f t="shared" si="19"/>
        <v>0</v>
      </c>
      <c r="G176" s="4">
        <f t="shared" si="14"/>
        <v>946.12990000000002</v>
      </c>
      <c r="H176" s="5">
        <f t="shared" si="15"/>
        <v>62586.492885000007</v>
      </c>
      <c r="I176" s="5">
        <f t="shared" si="16"/>
        <v>62643.260678999999</v>
      </c>
    </row>
    <row r="177" spans="1:9" x14ac:dyDescent="0.25">
      <c r="A177" t="s">
        <v>10</v>
      </c>
      <c r="B177">
        <v>36.17</v>
      </c>
      <c r="C177">
        <v>36.19</v>
      </c>
      <c r="D177" t="s">
        <v>31</v>
      </c>
      <c r="E177" s="4">
        <f t="shared" si="19"/>
        <v>1730.2188000000001</v>
      </c>
      <c r="F177" s="4">
        <f t="shared" si="19"/>
        <v>0</v>
      </c>
      <c r="G177" s="4">
        <f t="shared" si="14"/>
        <v>1730.2188000000001</v>
      </c>
      <c r="H177" s="5">
        <f t="shared" si="15"/>
        <v>62582.013996000009</v>
      </c>
      <c r="I177" s="5">
        <f t="shared" si="16"/>
        <v>62616.618371999997</v>
      </c>
    </row>
    <row r="178" spans="1:9" x14ac:dyDescent="0.25">
      <c r="A178" t="s">
        <v>11</v>
      </c>
      <c r="B178">
        <v>54.48</v>
      </c>
      <c r="C178">
        <v>54.49</v>
      </c>
      <c r="D178" t="s">
        <v>31</v>
      </c>
      <c r="E178" s="4">
        <f t="shared" si="19"/>
        <v>1148.8453</v>
      </c>
      <c r="F178" s="4">
        <f t="shared" si="19"/>
        <v>0</v>
      </c>
      <c r="G178" s="4">
        <f t="shared" si="14"/>
        <v>1148.8453</v>
      </c>
      <c r="H178" s="5">
        <f t="shared" si="15"/>
        <v>62589.091943999993</v>
      </c>
      <c r="I178" s="5">
        <f t="shared" si="16"/>
        <v>62600.580396999998</v>
      </c>
    </row>
    <row r="179" spans="1:9" x14ac:dyDescent="0.25">
      <c r="A179" t="s">
        <v>12</v>
      </c>
      <c r="B179">
        <v>48.56</v>
      </c>
      <c r="C179">
        <v>48.57</v>
      </c>
      <c r="D179" t="s">
        <v>31</v>
      </c>
      <c r="E179" s="4">
        <f t="shared" si="19"/>
        <v>1289.0084999999999</v>
      </c>
      <c r="F179" s="4">
        <f t="shared" si="19"/>
        <v>0.05</v>
      </c>
      <c r="G179" s="4">
        <f t="shared" si="14"/>
        <v>1289.0584999999999</v>
      </c>
      <c r="H179" s="5">
        <f t="shared" si="15"/>
        <v>62596.680759999996</v>
      </c>
      <c r="I179" s="5">
        <f t="shared" si="16"/>
        <v>62609.571344999997</v>
      </c>
    </row>
    <row r="180" spans="1:9" x14ac:dyDescent="0.25">
      <c r="A180" t="s">
        <v>13</v>
      </c>
      <c r="B180">
        <v>17.7</v>
      </c>
      <c r="C180">
        <v>17.71</v>
      </c>
      <c r="D180" t="s">
        <v>31</v>
      </c>
      <c r="E180" s="4">
        <f t="shared" si="19"/>
        <v>3535.8029000000001</v>
      </c>
      <c r="F180" s="4">
        <f t="shared" si="19"/>
        <v>0</v>
      </c>
      <c r="G180" s="4">
        <f t="shared" si="14"/>
        <v>3535.8029000000001</v>
      </c>
      <c r="H180" s="5">
        <f t="shared" si="15"/>
        <v>62583.711329999998</v>
      </c>
      <c r="I180" s="5">
        <f t="shared" si="16"/>
        <v>62619.069359000008</v>
      </c>
    </row>
    <row r="181" spans="1:9" x14ac:dyDescent="0.25">
      <c r="A181" t="s">
        <v>14</v>
      </c>
      <c r="B181">
        <v>35.450000000000003</v>
      </c>
      <c r="C181">
        <v>35.46</v>
      </c>
      <c r="D181" t="s">
        <v>31</v>
      </c>
      <c r="E181" s="4">
        <f t="shared" si="19"/>
        <v>1765.0472</v>
      </c>
      <c r="F181" s="4">
        <f t="shared" si="19"/>
        <v>0</v>
      </c>
      <c r="G181" s="4">
        <f t="shared" si="14"/>
        <v>1765.0472</v>
      </c>
      <c r="H181" s="5">
        <f t="shared" si="15"/>
        <v>62570.923240000004</v>
      </c>
      <c r="I181" s="5">
        <f t="shared" si="16"/>
        <v>62588.573711999998</v>
      </c>
    </row>
    <row r="182" spans="1:9" x14ac:dyDescent="0.25">
      <c r="A182" t="s">
        <v>4</v>
      </c>
      <c r="B182">
        <v>20.76</v>
      </c>
      <c r="C182">
        <v>20.77</v>
      </c>
      <c r="D182" t="s">
        <v>32</v>
      </c>
      <c r="E182" s="4">
        <f t="shared" si="19"/>
        <v>3014.9315000000001</v>
      </c>
      <c r="F182" s="4">
        <f t="shared" si="19"/>
        <v>0</v>
      </c>
      <c r="G182" s="4">
        <f t="shared" si="14"/>
        <v>3014.9315000000001</v>
      </c>
      <c r="H182" s="5">
        <f t="shared" si="15"/>
        <v>62589.977940000004</v>
      </c>
      <c r="I182" s="5">
        <f t="shared" si="16"/>
        <v>62620.127254999999</v>
      </c>
    </row>
    <row r="183" spans="1:9" x14ac:dyDescent="0.25">
      <c r="A183" t="s">
        <v>6</v>
      </c>
      <c r="B183">
        <v>33.99</v>
      </c>
      <c r="C183">
        <v>34</v>
      </c>
      <c r="D183" t="s">
        <v>32</v>
      </c>
      <c r="E183" s="4">
        <f t="shared" si="19"/>
        <v>1842.1104</v>
      </c>
      <c r="F183" s="4">
        <f t="shared" si="19"/>
        <v>0</v>
      </c>
      <c r="G183" s="4">
        <f t="shared" si="14"/>
        <v>1842.1104</v>
      </c>
      <c r="H183" s="5">
        <f t="shared" si="15"/>
        <v>62613.332496000003</v>
      </c>
      <c r="I183" s="5">
        <f t="shared" si="16"/>
        <v>62631.753600000004</v>
      </c>
    </row>
    <row r="184" spans="1:9" x14ac:dyDescent="0.25">
      <c r="A184" t="s">
        <v>7</v>
      </c>
      <c r="B184">
        <v>17.64</v>
      </c>
      <c r="C184">
        <v>17.649999999999999</v>
      </c>
      <c r="D184" t="s">
        <v>32</v>
      </c>
      <c r="E184" s="4">
        <f t="shared" si="19"/>
        <v>3546.5621999999998</v>
      </c>
      <c r="F184" s="4">
        <f t="shared" si="19"/>
        <v>0</v>
      </c>
      <c r="G184" s="4">
        <f t="shared" si="14"/>
        <v>3546.5621999999998</v>
      </c>
      <c r="H184" s="5">
        <f t="shared" si="15"/>
        <v>62561.357208000001</v>
      </c>
      <c r="I184" s="5">
        <f t="shared" si="16"/>
        <v>62596.82282999999</v>
      </c>
    </row>
    <row r="185" spans="1:9" x14ac:dyDescent="0.25">
      <c r="A185" t="s">
        <v>8</v>
      </c>
      <c r="B185">
        <v>27.69</v>
      </c>
      <c r="C185">
        <v>27.7</v>
      </c>
      <c r="D185" t="s">
        <v>32</v>
      </c>
      <c r="E185" s="4">
        <f t="shared" si="19"/>
        <v>2261.3323</v>
      </c>
      <c r="F185" s="4">
        <f t="shared" si="19"/>
        <v>-0.1</v>
      </c>
      <c r="G185" s="4">
        <f t="shared" si="14"/>
        <v>2261.2323000000001</v>
      </c>
      <c r="H185" s="5">
        <f t="shared" si="15"/>
        <v>62613.522387000005</v>
      </c>
      <c r="I185" s="5">
        <f t="shared" si="16"/>
        <v>62636.134709999998</v>
      </c>
    </row>
    <row r="186" spans="1:9" x14ac:dyDescent="0.25">
      <c r="A186" t="s">
        <v>9</v>
      </c>
      <c r="B186">
        <v>66.150000000000006</v>
      </c>
      <c r="C186">
        <v>66.23</v>
      </c>
      <c r="D186" t="s">
        <v>32</v>
      </c>
      <c r="E186" s="4">
        <f>E176</f>
        <v>946.12990000000002</v>
      </c>
      <c r="F186" s="4">
        <f t="shared" si="19"/>
        <v>0</v>
      </c>
      <c r="G186" s="4">
        <f t="shared" si="14"/>
        <v>946.12990000000002</v>
      </c>
      <c r="H186" s="5">
        <f t="shared" si="15"/>
        <v>62586.492885000007</v>
      </c>
      <c r="I186" s="5">
        <f t="shared" si="16"/>
        <v>62662.183277000004</v>
      </c>
    </row>
    <row r="187" spans="1:9" x14ac:dyDescent="0.25">
      <c r="A187" t="s">
        <v>10</v>
      </c>
      <c r="B187">
        <v>36.18</v>
      </c>
      <c r="C187">
        <v>36.200000000000003</v>
      </c>
      <c r="D187" t="s">
        <v>32</v>
      </c>
      <c r="E187" s="4">
        <f t="shared" ref="E187:F201" si="20">E177</f>
        <v>1730.2188000000001</v>
      </c>
      <c r="F187" s="4">
        <f t="shared" si="20"/>
        <v>0</v>
      </c>
      <c r="G187" s="4">
        <f t="shared" si="14"/>
        <v>1730.2188000000001</v>
      </c>
      <c r="H187" s="5">
        <f t="shared" si="15"/>
        <v>62599.316184000003</v>
      </c>
      <c r="I187" s="5">
        <f t="shared" si="16"/>
        <v>62633.920560000006</v>
      </c>
    </row>
    <row r="188" spans="1:9" x14ac:dyDescent="0.25">
      <c r="A188" t="s">
        <v>11</v>
      </c>
      <c r="B188">
        <v>54.5</v>
      </c>
      <c r="C188">
        <v>54.51</v>
      </c>
      <c r="D188" t="s">
        <v>32</v>
      </c>
      <c r="E188" s="4">
        <f t="shared" si="20"/>
        <v>1148.8453</v>
      </c>
      <c r="F188" s="4">
        <f t="shared" si="20"/>
        <v>0</v>
      </c>
      <c r="G188" s="4">
        <f t="shared" si="14"/>
        <v>1148.8453</v>
      </c>
      <c r="H188" s="5">
        <f t="shared" si="15"/>
        <v>62612.068849999996</v>
      </c>
      <c r="I188" s="5">
        <f t="shared" si="16"/>
        <v>62623.557302999994</v>
      </c>
    </row>
    <row r="189" spans="1:9" x14ac:dyDescent="0.25">
      <c r="A189" t="s">
        <v>12</v>
      </c>
      <c r="B189">
        <v>48.58</v>
      </c>
      <c r="C189">
        <v>48.59</v>
      </c>
      <c r="D189" t="s">
        <v>32</v>
      </c>
      <c r="E189" s="4">
        <f t="shared" si="20"/>
        <v>1289.0084999999999</v>
      </c>
      <c r="F189" s="4">
        <f t="shared" si="20"/>
        <v>0.05</v>
      </c>
      <c r="G189" s="4">
        <f t="shared" si="14"/>
        <v>1289.0584999999999</v>
      </c>
      <c r="H189" s="5">
        <f t="shared" si="15"/>
        <v>62622.46192999999</v>
      </c>
      <c r="I189" s="5">
        <f t="shared" si="16"/>
        <v>62635.352514999999</v>
      </c>
    </row>
    <row r="190" spans="1:9" x14ac:dyDescent="0.25">
      <c r="A190" t="s">
        <v>13</v>
      </c>
      <c r="B190">
        <v>17.7</v>
      </c>
      <c r="C190">
        <v>17.71</v>
      </c>
      <c r="D190" t="s">
        <v>32</v>
      </c>
      <c r="E190" s="4">
        <f t="shared" si="20"/>
        <v>3535.8029000000001</v>
      </c>
      <c r="F190" s="4">
        <f t="shared" si="20"/>
        <v>0</v>
      </c>
      <c r="G190" s="4">
        <f t="shared" si="14"/>
        <v>3535.8029000000001</v>
      </c>
      <c r="H190" s="5">
        <f t="shared" si="15"/>
        <v>62583.711329999998</v>
      </c>
      <c r="I190" s="5">
        <f t="shared" si="16"/>
        <v>62619.069359000008</v>
      </c>
    </row>
    <row r="191" spans="1:9" x14ac:dyDescent="0.25">
      <c r="A191" t="s">
        <v>14</v>
      </c>
      <c r="B191">
        <v>35.46</v>
      </c>
      <c r="C191">
        <v>35.47</v>
      </c>
      <c r="D191" t="s">
        <v>32</v>
      </c>
      <c r="E191" s="4">
        <f t="shared" si="20"/>
        <v>1765.0472</v>
      </c>
      <c r="F191" s="4">
        <f t="shared" si="20"/>
        <v>0</v>
      </c>
      <c r="G191" s="4">
        <f t="shared" si="14"/>
        <v>1765.0472</v>
      </c>
      <c r="H191" s="5">
        <f t="shared" si="15"/>
        <v>62588.573711999998</v>
      </c>
      <c r="I191" s="5">
        <f t="shared" si="16"/>
        <v>62606.224183999999</v>
      </c>
    </row>
    <row r="192" spans="1:9" x14ac:dyDescent="0.25">
      <c r="A192" t="s">
        <v>4</v>
      </c>
      <c r="B192">
        <v>20.76</v>
      </c>
      <c r="C192">
        <v>20.77</v>
      </c>
      <c r="D192" t="s">
        <v>33</v>
      </c>
      <c r="E192" s="4">
        <f t="shared" si="20"/>
        <v>3014.9315000000001</v>
      </c>
      <c r="F192" s="4">
        <f t="shared" si="20"/>
        <v>0</v>
      </c>
      <c r="G192" s="4">
        <f t="shared" si="14"/>
        <v>3014.9315000000001</v>
      </c>
      <c r="H192" s="5">
        <f t="shared" si="15"/>
        <v>62589.977940000004</v>
      </c>
      <c r="I192" s="5">
        <f t="shared" si="16"/>
        <v>62620.127254999999</v>
      </c>
    </row>
    <row r="193" spans="1:9" x14ac:dyDescent="0.25">
      <c r="A193" t="s">
        <v>6</v>
      </c>
      <c r="B193">
        <v>33.99</v>
      </c>
      <c r="C193">
        <v>34</v>
      </c>
      <c r="D193" t="s">
        <v>33</v>
      </c>
      <c r="E193" s="4">
        <f t="shared" si="20"/>
        <v>1842.1104</v>
      </c>
      <c r="F193" s="4">
        <f t="shared" si="20"/>
        <v>0</v>
      </c>
      <c r="G193" s="4">
        <f t="shared" si="14"/>
        <v>1842.1104</v>
      </c>
      <c r="H193" s="5">
        <f t="shared" si="15"/>
        <v>62613.332496000003</v>
      </c>
      <c r="I193" s="5">
        <f t="shared" si="16"/>
        <v>62631.753600000004</v>
      </c>
    </row>
    <row r="194" spans="1:9" x14ac:dyDescent="0.25">
      <c r="A194" t="s">
        <v>7</v>
      </c>
      <c r="B194">
        <v>17.64</v>
      </c>
      <c r="C194">
        <v>17.649999999999999</v>
      </c>
      <c r="D194" t="s">
        <v>33</v>
      </c>
      <c r="E194" s="4">
        <f t="shared" si="20"/>
        <v>3546.5621999999998</v>
      </c>
      <c r="F194" s="4">
        <f t="shared" si="20"/>
        <v>0</v>
      </c>
      <c r="G194" s="4">
        <f t="shared" ref="G194:G201" si="21">E194+F194</f>
        <v>3546.5621999999998</v>
      </c>
      <c r="H194" s="5">
        <f t="shared" ref="H194:H201" si="22">B194*G194</f>
        <v>62561.357208000001</v>
      </c>
      <c r="I194" s="5">
        <f t="shared" ref="I194:I248" si="23">C194*G194</f>
        <v>62596.82282999999</v>
      </c>
    </row>
    <row r="195" spans="1:9" x14ac:dyDescent="0.25">
      <c r="A195" t="s">
        <v>8</v>
      </c>
      <c r="B195">
        <v>27.69</v>
      </c>
      <c r="C195">
        <v>27.7</v>
      </c>
      <c r="D195" t="s">
        <v>33</v>
      </c>
      <c r="E195" s="4">
        <f t="shared" si="20"/>
        <v>2261.3323</v>
      </c>
      <c r="F195" s="4">
        <f t="shared" si="20"/>
        <v>-0.1</v>
      </c>
      <c r="G195" s="4">
        <f t="shared" si="21"/>
        <v>2261.2323000000001</v>
      </c>
      <c r="H195" s="5">
        <f t="shared" si="22"/>
        <v>62613.522387000005</v>
      </c>
      <c r="I195" s="5">
        <f t="shared" si="23"/>
        <v>62636.134709999998</v>
      </c>
    </row>
    <row r="196" spans="1:9" x14ac:dyDescent="0.25">
      <c r="A196" t="s">
        <v>9</v>
      </c>
      <c r="B196">
        <v>66.150000000000006</v>
      </c>
      <c r="C196">
        <v>66.22</v>
      </c>
      <c r="D196" t="s">
        <v>33</v>
      </c>
      <c r="E196" s="4">
        <f t="shared" si="20"/>
        <v>946.12990000000002</v>
      </c>
      <c r="F196" s="4">
        <f t="shared" si="20"/>
        <v>0</v>
      </c>
      <c r="G196" s="4">
        <f t="shared" si="21"/>
        <v>946.12990000000002</v>
      </c>
      <c r="H196" s="5">
        <f t="shared" si="22"/>
        <v>62586.492885000007</v>
      </c>
      <c r="I196" s="5">
        <f t="shared" si="23"/>
        <v>62652.721978000001</v>
      </c>
    </row>
    <row r="197" spans="1:9" x14ac:dyDescent="0.25">
      <c r="A197" t="s">
        <v>10</v>
      </c>
      <c r="B197">
        <v>36.18</v>
      </c>
      <c r="C197">
        <v>36.200000000000003</v>
      </c>
      <c r="D197" t="s">
        <v>33</v>
      </c>
      <c r="E197" s="4">
        <f t="shared" si="20"/>
        <v>1730.2188000000001</v>
      </c>
      <c r="F197" s="4">
        <f t="shared" si="20"/>
        <v>0</v>
      </c>
      <c r="G197" s="4">
        <f t="shared" si="21"/>
        <v>1730.2188000000001</v>
      </c>
      <c r="H197" s="5">
        <f t="shared" si="22"/>
        <v>62599.316184000003</v>
      </c>
      <c r="I197" s="5">
        <f t="shared" si="23"/>
        <v>62633.920560000006</v>
      </c>
    </row>
    <row r="198" spans="1:9" x14ac:dyDescent="0.25">
      <c r="A198" t="s">
        <v>11</v>
      </c>
      <c r="B198">
        <v>54.5</v>
      </c>
      <c r="C198">
        <v>54.51</v>
      </c>
      <c r="D198" t="s">
        <v>33</v>
      </c>
      <c r="E198" s="4">
        <f t="shared" si="20"/>
        <v>1148.8453</v>
      </c>
      <c r="F198" s="4">
        <f t="shared" si="20"/>
        <v>0</v>
      </c>
      <c r="G198" s="4">
        <f t="shared" si="21"/>
        <v>1148.8453</v>
      </c>
      <c r="H198" s="5">
        <f t="shared" si="22"/>
        <v>62612.068849999996</v>
      </c>
      <c r="I198" s="5">
        <f t="shared" si="23"/>
        <v>62623.557302999994</v>
      </c>
    </row>
    <row r="199" spans="1:9" x14ac:dyDescent="0.25">
      <c r="A199" t="s">
        <v>12</v>
      </c>
      <c r="B199">
        <v>48.58</v>
      </c>
      <c r="C199">
        <v>48.59</v>
      </c>
      <c r="D199" t="s">
        <v>33</v>
      </c>
      <c r="E199" s="4">
        <f t="shared" si="20"/>
        <v>1289.0084999999999</v>
      </c>
      <c r="F199" s="4">
        <f t="shared" si="20"/>
        <v>0.05</v>
      </c>
      <c r="G199" s="4">
        <f t="shared" si="21"/>
        <v>1289.0584999999999</v>
      </c>
      <c r="H199" s="5">
        <f t="shared" si="22"/>
        <v>62622.46192999999</v>
      </c>
      <c r="I199" s="5">
        <f t="shared" si="23"/>
        <v>62635.352514999999</v>
      </c>
    </row>
    <row r="200" spans="1:9" x14ac:dyDescent="0.25">
      <c r="A200" t="s">
        <v>13</v>
      </c>
      <c r="B200">
        <v>17.7</v>
      </c>
      <c r="C200">
        <v>17.71</v>
      </c>
      <c r="D200" t="s">
        <v>33</v>
      </c>
      <c r="E200" s="4">
        <f t="shared" si="20"/>
        <v>3535.8029000000001</v>
      </c>
      <c r="F200" s="4">
        <f t="shared" si="20"/>
        <v>0</v>
      </c>
      <c r="G200" s="4">
        <f t="shared" si="21"/>
        <v>3535.8029000000001</v>
      </c>
      <c r="H200" s="5">
        <f t="shared" si="22"/>
        <v>62583.711329999998</v>
      </c>
      <c r="I200" s="5">
        <f t="shared" si="23"/>
        <v>62619.069359000008</v>
      </c>
    </row>
    <row r="201" spans="1:9" x14ac:dyDescent="0.25">
      <c r="A201" t="s">
        <v>14</v>
      </c>
      <c r="B201">
        <v>35.46</v>
      </c>
      <c r="C201">
        <v>35.47</v>
      </c>
      <c r="D201" t="s">
        <v>33</v>
      </c>
      <c r="E201" s="4">
        <f t="shared" si="20"/>
        <v>1765.0472</v>
      </c>
      <c r="F201" s="4">
        <f t="shared" si="20"/>
        <v>0</v>
      </c>
      <c r="G201" s="4">
        <f t="shared" si="21"/>
        <v>1765.0472</v>
      </c>
      <c r="H201" s="5">
        <f t="shared" si="22"/>
        <v>62588.573711999998</v>
      </c>
      <c r="I201" s="5">
        <f t="shared" si="23"/>
        <v>62606.224183999999</v>
      </c>
    </row>
    <row r="202" spans="1:9" x14ac:dyDescent="0.25">
      <c r="A202" t="s">
        <v>4</v>
      </c>
      <c r="B202">
        <v>20.83</v>
      </c>
      <c r="C202">
        <v>20.84</v>
      </c>
      <c r="D202" t="s">
        <v>34</v>
      </c>
      <c r="E202" s="4">
        <f t="shared" ref="E202:F202" si="24">E192</f>
        <v>3014.9315000000001</v>
      </c>
      <c r="F202" s="4">
        <f t="shared" si="24"/>
        <v>0</v>
      </c>
      <c r="G202" s="4">
        <f t="shared" ref="G202:G265" si="25">E202+F202</f>
        <v>3014.9315000000001</v>
      </c>
      <c r="H202" s="5">
        <f t="shared" ref="H202:H265" si="26">B202*G202</f>
        <v>62801.023144999999</v>
      </c>
      <c r="I202" s="5">
        <f t="shared" ref="I202:I265" si="27">C202*G202</f>
        <v>62831.172460000002</v>
      </c>
    </row>
    <row r="203" spans="1:9" x14ac:dyDescent="0.25">
      <c r="A203" t="s">
        <v>6</v>
      </c>
      <c r="B203">
        <v>34.1</v>
      </c>
      <c r="C203">
        <v>34.11</v>
      </c>
      <c r="D203" t="s">
        <v>34</v>
      </c>
      <c r="E203" s="4">
        <f t="shared" ref="E203:F203" si="28">E193</f>
        <v>1842.1104</v>
      </c>
      <c r="F203" s="4">
        <f t="shared" si="28"/>
        <v>0</v>
      </c>
      <c r="G203" s="4">
        <f t="shared" si="25"/>
        <v>1842.1104</v>
      </c>
      <c r="H203" s="5">
        <f t="shared" si="26"/>
        <v>62815.964640000006</v>
      </c>
      <c r="I203" s="5">
        <f t="shared" si="27"/>
        <v>62834.385743999999</v>
      </c>
    </row>
    <row r="204" spans="1:9" x14ac:dyDescent="0.25">
      <c r="A204" t="s">
        <v>7</v>
      </c>
      <c r="B204">
        <v>17.7</v>
      </c>
      <c r="C204">
        <v>17.71</v>
      </c>
      <c r="D204" t="s">
        <v>34</v>
      </c>
      <c r="E204" s="4">
        <f t="shared" ref="E204:F204" si="29">E194</f>
        <v>3546.5621999999998</v>
      </c>
      <c r="F204" s="4">
        <f t="shared" si="29"/>
        <v>0</v>
      </c>
      <c r="G204" s="4">
        <f t="shared" si="25"/>
        <v>3546.5621999999998</v>
      </c>
      <c r="H204" s="5">
        <f t="shared" si="26"/>
        <v>62774.150939999992</v>
      </c>
      <c r="I204" s="5">
        <f t="shared" si="27"/>
        <v>62809.616562000003</v>
      </c>
    </row>
    <row r="205" spans="1:9" x14ac:dyDescent="0.25">
      <c r="A205" t="s">
        <v>8</v>
      </c>
      <c r="B205">
        <v>27.78</v>
      </c>
      <c r="C205">
        <v>27.79</v>
      </c>
      <c r="D205" t="s">
        <v>34</v>
      </c>
      <c r="E205" s="4">
        <f t="shared" ref="E205:F205" si="30">E195</f>
        <v>2261.3323</v>
      </c>
      <c r="F205" s="4">
        <f t="shared" si="30"/>
        <v>-0.1</v>
      </c>
      <c r="G205" s="4">
        <f t="shared" si="25"/>
        <v>2261.2323000000001</v>
      </c>
      <c r="H205" s="5">
        <f t="shared" si="26"/>
        <v>62817.033294000008</v>
      </c>
      <c r="I205" s="5">
        <f t="shared" si="27"/>
        <v>62839.645617000002</v>
      </c>
    </row>
    <row r="206" spans="1:9" x14ac:dyDescent="0.25">
      <c r="A206" t="s">
        <v>9</v>
      </c>
      <c r="B206">
        <v>66.38</v>
      </c>
      <c r="C206">
        <v>66.45</v>
      </c>
      <c r="D206" t="s">
        <v>34</v>
      </c>
      <c r="E206" s="4">
        <f t="shared" ref="E206:F206" si="31">E196</f>
        <v>946.12990000000002</v>
      </c>
      <c r="F206" s="4">
        <f t="shared" si="31"/>
        <v>0</v>
      </c>
      <c r="G206" s="4">
        <f t="shared" si="25"/>
        <v>946.12990000000002</v>
      </c>
      <c r="H206" s="5">
        <f t="shared" si="26"/>
        <v>62804.102761999995</v>
      </c>
      <c r="I206" s="5">
        <f t="shared" si="27"/>
        <v>62870.331855000004</v>
      </c>
    </row>
    <row r="207" spans="1:9" x14ac:dyDescent="0.25">
      <c r="A207" t="s">
        <v>10</v>
      </c>
      <c r="B207">
        <v>36.299999999999997</v>
      </c>
      <c r="C207">
        <v>36.32</v>
      </c>
      <c r="D207" t="s">
        <v>34</v>
      </c>
      <c r="E207" s="4">
        <f t="shared" ref="E207:F207" si="32">E197</f>
        <v>1730.2188000000001</v>
      </c>
      <c r="F207" s="4">
        <f t="shared" si="32"/>
        <v>0</v>
      </c>
      <c r="G207" s="4">
        <f t="shared" si="25"/>
        <v>1730.2188000000001</v>
      </c>
      <c r="H207" s="5">
        <f t="shared" si="26"/>
        <v>62806.942439999999</v>
      </c>
      <c r="I207" s="5">
        <f t="shared" si="27"/>
        <v>62841.546816000002</v>
      </c>
    </row>
    <row r="208" spans="1:9" x14ac:dyDescent="0.25">
      <c r="A208" t="s">
        <v>11</v>
      </c>
      <c r="B208">
        <v>54.67</v>
      </c>
      <c r="C208">
        <v>54.68</v>
      </c>
      <c r="D208" t="s">
        <v>34</v>
      </c>
      <c r="E208" s="4">
        <f t="shared" ref="E208:F208" si="33">E198</f>
        <v>1148.8453</v>
      </c>
      <c r="F208" s="4">
        <f t="shared" si="33"/>
        <v>0</v>
      </c>
      <c r="G208" s="4">
        <f t="shared" si="25"/>
        <v>1148.8453</v>
      </c>
      <c r="H208" s="5">
        <f t="shared" si="26"/>
        <v>62807.372551</v>
      </c>
      <c r="I208" s="5">
        <f t="shared" si="27"/>
        <v>62818.861003999999</v>
      </c>
    </row>
    <row r="209" spans="1:9" x14ac:dyDescent="0.25">
      <c r="A209" t="s">
        <v>12</v>
      </c>
      <c r="B209">
        <v>48.74</v>
      </c>
      <c r="C209">
        <v>48.75</v>
      </c>
      <c r="D209" t="s">
        <v>34</v>
      </c>
      <c r="E209" s="4">
        <f t="shared" ref="E209:F209" si="34">E199</f>
        <v>1289.0084999999999</v>
      </c>
      <c r="F209" s="4">
        <f t="shared" si="34"/>
        <v>0.05</v>
      </c>
      <c r="G209" s="4">
        <f t="shared" si="25"/>
        <v>1289.0584999999999</v>
      </c>
      <c r="H209" s="5">
        <f t="shared" si="26"/>
        <v>62828.711289999999</v>
      </c>
      <c r="I209" s="5">
        <f t="shared" si="27"/>
        <v>62841.601874999993</v>
      </c>
    </row>
    <row r="210" spans="1:9" x14ac:dyDescent="0.25">
      <c r="A210" t="s">
        <v>13</v>
      </c>
      <c r="B210">
        <v>17.760000000000002</v>
      </c>
      <c r="C210">
        <v>17.77</v>
      </c>
      <c r="D210" t="s">
        <v>34</v>
      </c>
      <c r="E210" s="4">
        <f t="shared" ref="E210:F210" si="35">E200</f>
        <v>3535.8029000000001</v>
      </c>
      <c r="F210" s="4">
        <f t="shared" si="35"/>
        <v>0</v>
      </c>
      <c r="G210" s="4">
        <f t="shared" si="25"/>
        <v>3535.8029000000001</v>
      </c>
      <c r="H210" s="5">
        <f t="shared" si="26"/>
        <v>62795.859504000007</v>
      </c>
      <c r="I210" s="5">
        <f t="shared" si="27"/>
        <v>62831.217533000003</v>
      </c>
    </row>
    <row r="211" spans="1:9" x14ac:dyDescent="0.25">
      <c r="A211" t="s">
        <v>14</v>
      </c>
      <c r="B211">
        <v>35.58</v>
      </c>
      <c r="C211">
        <v>35.590000000000003</v>
      </c>
      <c r="D211" t="s">
        <v>34</v>
      </c>
      <c r="E211" s="4">
        <f t="shared" ref="E211:F211" si="36">E201</f>
        <v>1765.0472</v>
      </c>
      <c r="F211" s="4">
        <f t="shared" si="36"/>
        <v>0</v>
      </c>
      <c r="G211" s="4">
        <f t="shared" si="25"/>
        <v>1765.0472</v>
      </c>
      <c r="H211" s="5">
        <f t="shared" si="26"/>
        <v>62800.379375999997</v>
      </c>
      <c r="I211" s="5">
        <f t="shared" si="27"/>
        <v>62818.029848000006</v>
      </c>
    </row>
    <row r="212" spans="1:9" x14ac:dyDescent="0.25">
      <c r="A212" t="s">
        <v>4</v>
      </c>
      <c r="B212">
        <v>20.8</v>
      </c>
      <c r="C212">
        <v>20.81</v>
      </c>
      <c r="D212" t="s">
        <v>35</v>
      </c>
      <c r="E212" s="4">
        <f t="shared" ref="E212:F212" si="37">E202</f>
        <v>3014.9315000000001</v>
      </c>
      <c r="F212" s="4">
        <f t="shared" si="37"/>
        <v>0</v>
      </c>
      <c r="G212" s="4">
        <f t="shared" si="25"/>
        <v>3014.9315000000001</v>
      </c>
      <c r="H212" s="5">
        <f t="shared" si="26"/>
        <v>62710.575200000007</v>
      </c>
      <c r="I212" s="5">
        <f t="shared" si="27"/>
        <v>62740.724515000002</v>
      </c>
    </row>
    <row r="213" spans="1:9" x14ac:dyDescent="0.25">
      <c r="A213" t="s">
        <v>6</v>
      </c>
      <c r="B213">
        <v>34.049999999999997</v>
      </c>
      <c r="C213">
        <v>34.06</v>
      </c>
      <c r="D213" t="s">
        <v>35</v>
      </c>
      <c r="E213" s="4">
        <f t="shared" ref="E213:F213" si="38">E203</f>
        <v>1842.1104</v>
      </c>
      <c r="F213" s="4">
        <f t="shared" si="38"/>
        <v>0</v>
      </c>
      <c r="G213" s="4">
        <f t="shared" si="25"/>
        <v>1842.1104</v>
      </c>
      <c r="H213" s="5">
        <f t="shared" si="26"/>
        <v>62723.859119999994</v>
      </c>
      <c r="I213" s="5">
        <f t="shared" si="27"/>
        <v>62742.280224000002</v>
      </c>
    </row>
    <row r="214" spans="1:9" x14ac:dyDescent="0.25">
      <c r="A214" t="s">
        <v>7</v>
      </c>
      <c r="B214">
        <v>17.68</v>
      </c>
      <c r="C214">
        <v>17.690000000000001</v>
      </c>
      <c r="D214" t="s">
        <v>35</v>
      </c>
      <c r="E214" s="4">
        <f t="shared" ref="E214:F214" si="39">E204</f>
        <v>3546.5621999999998</v>
      </c>
      <c r="F214" s="4">
        <f t="shared" si="39"/>
        <v>0</v>
      </c>
      <c r="G214" s="4">
        <f t="shared" si="25"/>
        <v>3546.5621999999998</v>
      </c>
      <c r="H214" s="5">
        <f t="shared" si="26"/>
        <v>62703.219695999993</v>
      </c>
      <c r="I214" s="5">
        <f t="shared" si="27"/>
        <v>62738.685318000003</v>
      </c>
    </row>
    <row r="215" spans="1:9" x14ac:dyDescent="0.25">
      <c r="A215" t="s">
        <v>8</v>
      </c>
      <c r="B215">
        <v>27.74</v>
      </c>
      <c r="C215">
        <v>27.75</v>
      </c>
      <c r="D215" t="s">
        <v>35</v>
      </c>
      <c r="E215" s="4">
        <f t="shared" ref="E215:F215" si="40">E205</f>
        <v>2261.3323</v>
      </c>
      <c r="F215" s="4">
        <f t="shared" si="40"/>
        <v>-0.1</v>
      </c>
      <c r="G215" s="4">
        <f t="shared" si="25"/>
        <v>2261.2323000000001</v>
      </c>
      <c r="H215" s="5">
        <f t="shared" si="26"/>
        <v>62726.584002000003</v>
      </c>
      <c r="I215" s="5">
        <f t="shared" si="27"/>
        <v>62749.196325000004</v>
      </c>
    </row>
    <row r="216" spans="1:9" x14ac:dyDescent="0.25">
      <c r="A216" t="s">
        <v>9</v>
      </c>
      <c r="B216">
        <v>66.28</v>
      </c>
      <c r="C216">
        <v>66.349999999999994</v>
      </c>
      <c r="D216" t="s">
        <v>35</v>
      </c>
      <c r="E216" s="4">
        <f t="shared" ref="E216:F216" si="41">E206</f>
        <v>946.12990000000002</v>
      </c>
      <c r="F216" s="4">
        <f t="shared" si="41"/>
        <v>0</v>
      </c>
      <c r="G216" s="4">
        <f t="shared" si="25"/>
        <v>946.12990000000002</v>
      </c>
      <c r="H216" s="5">
        <f t="shared" si="26"/>
        <v>62709.489772000001</v>
      </c>
      <c r="I216" s="5">
        <f t="shared" si="27"/>
        <v>62775.718864999995</v>
      </c>
    </row>
    <row r="217" spans="1:9" x14ac:dyDescent="0.25">
      <c r="A217" t="s">
        <v>10</v>
      </c>
      <c r="B217">
        <v>36.24</v>
      </c>
      <c r="C217">
        <v>36.270000000000003</v>
      </c>
      <c r="D217" t="s">
        <v>35</v>
      </c>
      <c r="E217" s="4">
        <f t="shared" ref="E217:F217" si="42">E207</f>
        <v>1730.2188000000001</v>
      </c>
      <c r="F217" s="4">
        <f t="shared" si="42"/>
        <v>0</v>
      </c>
      <c r="G217" s="4">
        <f t="shared" si="25"/>
        <v>1730.2188000000001</v>
      </c>
      <c r="H217" s="5">
        <f t="shared" si="26"/>
        <v>62703.129312000005</v>
      </c>
      <c r="I217" s="5">
        <f t="shared" si="27"/>
        <v>62755.035876000009</v>
      </c>
    </row>
    <row r="218" spans="1:9" x14ac:dyDescent="0.25">
      <c r="A218" t="s">
        <v>11</v>
      </c>
      <c r="B218">
        <v>54.59</v>
      </c>
      <c r="C218">
        <v>54.6</v>
      </c>
      <c r="D218" t="s">
        <v>35</v>
      </c>
      <c r="E218" s="4">
        <f t="shared" ref="E218:F218" si="43">E208</f>
        <v>1148.8453</v>
      </c>
      <c r="F218" s="4">
        <f t="shared" si="43"/>
        <v>0</v>
      </c>
      <c r="G218" s="4">
        <f t="shared" si="25"/>
        <v>1148.8453</v>
      </c>
      <c r="H218" s="5">
        <f t="shared" si="26"/>
        <v>62715.464927000001</v>
      </c>
      <c r="I218" s="5">
        <f t="shared" si="27"/>
        <v>62726.953379999999</v>
      </c>
    </row>
    <row r="219" spans="1:9" x14ac:dyDescent="0.25">
      <c r="A219" t="s">
        <v>12</v>
      </c>
      <c r="B219">
        <v>48.66</v>
      </c>
      <c r="C219">
        <v>48.67</v>
      </c>
      <c r="D219" t="s">
        <v>35</v>
      </c>
      <c r="E219" s="4">
        <f t="shared" ref="E219:F219" si="44">E209</f>
        <v>1289.0084999999999</v>
      </c>
      <c r="F219" s="4">
        <f t="shared" si="44"/>
        <v>0.05</v>
      </c>
      <c r="G219" s="4">
        <f t="shared" si="25"/>
        <v>1289.0584999999999</v>
      </c>
      <c r="H219" s="5">
        <f t="shared" si="26"/>
        <v>62725.586609999991</v>
      </c>
      <c r="I219" s="5">
        <f t="shared" si="27"/>
        <v>62738.477194999992</v>
      </c>
    </row>
    <row r="220" spans="1:9" x14ac:dyDescent="0.25">
      <c r="A220" t="s">
        <v>13</v>
      </c>
      <c r="B220">
        <v>17.73</v>
      </c>
      <c r="C220">
        <v>17.739999999999998</v>
      </c>
      <c r="D220" t="s">
        <v>35</v>
      </c>
      <c r="E220" s="4">
        <f t="shared" ref="E220:F220" si="45">E210</f>
        <v>3535.8029000000001</v>
      </c>
      <c r="F220" s="4">
        <f t="shared" si="45"/>
        <v>0</v>
      </c>
      <c r="G220" s="4">
        <f t="shared" si="25"/>
        <v>3535.8029000000001</v>
      </c>
      <c r="H220" s="5">
        <f t="shared" si="26"/>
        <v>62689.785417000006</v>
      </c>
      <c r="I220" s="5">
        <f t="shared" si="27"/>
        <v>62725.143445999995</v>
      </c>
    </row>
    <row r="221" spans="1:9" x14ac:dyDescent="0.25">
      <c r="A221" t="s">
        <v>14</v>
      </c>
      <c r="B221">
        <v>35.53</v>
      </c>
      <c r="C221">
        <v>35.54</v>
      </c>
      <c r="D221" t="s">
        <v>35</v>
      </c>
      <c r="E221" s="4">
        <f t="shared" ref="E221:F221" si="46">E211</f>
        <v>1765.0472</v>
      </c>
      <c r="F221" s="4">
        <f t="shared" si="46"/>
        <v>0</v>
      </c>
      <c r="G221" s="4">
        <f t="shared" si="25"/>
        <v>1765.0472</v>
      </c>
      <c r="H221" s="5">
        <f t="shared" si="26"/>
        <v>62712.127015999999</v>
      </c>
      <c r="I221" s="5">
        <f t="shared" si="27"/>
        <v>62729.777488</v>
      </c>
    </row>
    <row r="222" spans="1:9" x14ac:dyDescent="0.25">
      <c r="A222" t="s">
        <v>4</v>
      </c>
      <c r="B222">
        <v>20.81</v>
      </c>
      <c r="C222">
        <v>20.82</v>
      </c>
      <c r="D222" t="s">
        <v>36</v>
      </c>
      <c r="E222" s="4">
        <f t="shared" ref="E222:F222" si="47">E212</f>
        <v>3014.9315000000001</v>
      </c>
      <c r="F222" s="4">
        <f t="shared" si="47"/>
        <v>0</v>
      </c>
      <c r="G222" s="4">
        <f t="shared" si="25"/>
        <v>3014.9315000000001</v>
      </c>
      <c r="H222" s="5">
        <f t="shared" si="26"/>
        <v>62740.724515000002</v>
      </c>
      <c r="I222" s="5">
        <f t="shared" si="27"/>
        <v>62770.873830000004</v>
      </c>
    </row>
    <row r="223" spans="1:9" x14ac:dyDescent="0.25">
      <c r="A223" t="s">
        <v>6</v>
      </c>
      <c r="B223">
        <v>34.06</v>
      </c>
      <c r="C223">
        <v>34.07</v>
      </c>
      <c r="D223" t="s">
        <v>36</v>
      </c>
      <c r="E223" s="4">
        <f t="shared" ref="E223:F223" si="48">E213</f>
        <v>1842.1104</v>
      </c>
      <c r="F223" s="4">
        <f t="shared" si="48"/>
        <v>0</v>
      </c>
      <c r="G223" s="4">
        <f t="shared" si="25"/>
        <v>1842.1104</v>
      </c>
      <c r="H223" s="5">
        <f t="shared" si="26"/>
        <v>62742.280224000002</v>
      </c>
      <c r="I223" s="5">
        <f t="shared" si="27"/>
        <v>62760.701328000003</v>
      </c>
    </row>
    <row r="224" spans="1:9" x14ac:dyDescent="0.25">
      <c r="A224" t="s">
        <v>7</v>
      </c>
      <c r="B224">
        <v>17.68</v>
      </c>
      <c r="C224">
        <v>17.690000000000001</v>
      </c>
      <c r="D224" t="s">
        <v>36</v>
      </c>
      <c r="E224" s="4">
        <f t="shared" ref="E224:F224" si="49">E214</f>
        <v>3546.5621999999998</v>
      </c>
      <c r="F224" s="4">
        <f t="shared" si="49"/>
        <v>0</v>
      </c>
      <c r="G224" s="4">
        <f t="shared" si="25"/>
        <v>3546.5621999999998</v>
      </c>
      <c r="H224" s="5">
        <f t="shared" si="26"/>
        <v>62703.219695999993</v>
      </c>
      <c r="I224" s="5">
        <f t="shared" si="27"/>
        <v>62738.685318000003</v>
      </c>
    </row>
    <row r="225" spans="1:9" x14ac:dyDescent="0.25">
      <c r="A225" t="s">
        <v>8</v>
      </c>
      <c r="B225">
        <v>27.75</v>
      </c>
      <c r="C225">
        <v>27.76</v>
      </c>
      <c r="D225" t="s">
        <v>36</v>
      </c>
      <c r="E225" s="4">
        <f t="shared" ref="E225:F225" si="50">E215</f>
        <v>2261.3323</v>
      </c>
      <c r="F225" s="4">
        <f t="shared" si="50"/>
        <v>-0.1</v>
      </c>
      <c r="G225" s="4">
        <f t="shared" si="25"/>
        <v>2261.2323000000001</v>
      </c>
      <c r="H225" s="5">
        <f t="shared" si="26"/>
        <v>62749.196325000004</v>
      </c>
      <c r="I225" s="5">
        <f t="shared" si="27"/>
        <v>62771.808648000006</v>
      </c>
    </row>
    <row r="226" spans="1:9" x14ac:dyDescent="0.25">
      <c r="A226" t="s">
        <v>9</v>
      </c>
      <c r="B226">
        <v>66.31</v>
      </c>
      <c r="C226">
        <v>66.37</v>
      </c>
      <c r="D226" t="s">
        <v>36</v>
      </c>
      <c r="E226" s="4">
        <f t="shared" ref="E226:F226" si="51">E216</f>
        <v>946.12990000000002</v>
      </c>
      <c r="F226" s="4">
        <f t="shared" si="51"/>
        <v>0</v>
      </c>
      <c r="G226" s="4">
        <f t="shared" si="25"/>
        <v>946.12990000000002</v>
      </c>
      <c r="H226" s="5">
        <f t="shared" si="26"/>
        <v>62737.873669000001</v>
      </c>
      <c r="I226" s="5">
        <f t="shared" si="27"/>
        <v>62794.641463000007</v>
      </c>
    </row>
    <row r="227" spans="1:9" x14ac:dyDescent="0.25">
      <c r="A227" t="s">
        <v>10</v>
      </c>
      <c r="B227">
        <v>36.26</v>
      </c>
      <c r="C227">
        <v>36.28</v>
      </c>
      <c r="D227" t="s">
        <v>36</v>
      </c>
      <c r="E227" s="4">
        <f t="shared" ref="E227:F227" si="52">E217</f>
        <v>1730.2188000000001</v>
      </c>
      <c r="F227" s="4">
        <f t="shared" si="52"/>
        <v>0</v>
      </c>
      <c r="G227" s="4">
        <f t="shared" si="25"/>
        <v>1730.2188000000001</v>
      </c>
      <c r="H227" s="5">
        <f t="shared" si="26"/>
        <v>62737.733688</v>
      </c>
      <c r="I227" s="5">
        <f t="shared" si="27"/>
        <v>62772.338064000003</v>
      </c>
    </row>
    <row r="228" spans="1:9" x14ac:dyDescent="0.25">
      <c r="A228" t="s">
        <v>11</v>
      </c>
      <c r="B228">
        <v>54.6</v>
      </c>
      <c r="C228">
        <v>54.61</v>
      </c>
      <c r="D228" t="s">
        <v>36</v>
      </c>
      <c r="E228" s="4">
        <f t="shared" ref="E228:F228" si="53">E218</f>
        <v>1148.8453</v>
      </c>
      <c r="F228" s="4">
        <f t="shared" si="53"/>
        <v>0</v>
      </c>
      <c r="G228" s="4">
        <f t="shared" si="25"/>
        <v>1148.8453</v>
      </c>
      <c r="H228" s="5">
        <f t="shared" si="26"/>
        <v>62726.953379999999</v>
      </c>
      <c r="I228" s="5">
        <f t="shared" si="27"/>
        <v>62738.441832999997</v>
      </c>
    </row>
    <row r="229" spans="1:9" x14ac:dyDescent="0.25">
      <c r="A229" t="s">
        <v>12</v>
      </c>
      <c r="B229">
        <v>48.68</v>
      </c>
      <c r="C229">
        <v>48.68</v>
      </c>
      <c r="D229" t="s">
        <v>36</v>
      </c>
      <c r="E229" s="4">
        <f t="shared" ref="E229:F229" si="54">E219</f>
        <v>1289.0084999999999</v>
      </c>
      <c r="F229" s="4">
        <f t="shared" si="54"/>
        <v>0.05</v>
      </c>
      <c r="G229" s="4">
        <f t="shared" si="25"/>
        <v>1289.0584999999999</v>
      </c>
      <c r="H229" s="5">
        <f t="shared" si="26"/>
        <v>62751.367779999993</v>
      </c>
      <c r="I229" s="5">
        <f t="shared" si="27"/>
        <v>62751.367779999993</v>
      </c>
    </row>
    <row r="230" spans="1:9" x14ac:dyDescent="0.25">
      <c r="A230" t="s">
        <v>13</v>
      </c>
      <c r="B230">
        <v>17.739999999999998</v>
      </c>
      <c r="C230">
        <v>17.75</v>
      </c>
      <c r="D230" t="s">
        <v>36</v>
      </c>
      <c r="E230" s="4">
        <f t="shared" ref="E230:F230" si="55">E220</f>
        <v>3535.8029000000001</v>
      </c>
      <c r="F230" s="4">
        <f t="shared" si="55"/>
        <v>0</v>
      </c>
      <c r="G230" s="4">
        <f t="shared" si="25"/>
        <v>3535.8029000000001</v>
      </c>
      <c r="H230" s="5">
        <f t="shared" si="26"/>
        <v>62725.143445999995</v>
      </c>
      <c r="I230" s="5">
        <f t="shared" si="27"/>
        <v>62760.501475000005</v>
      </c>
    </row>
    <row r="231" spans="1:9" x14ac:dyDescent="0.25">
      <c r="A231" t="s">
        <v>14</v>
      </c>
      <c r="B231">
        <v>35.54</v>
      </c>
      <c r="C231">
        <v>35.549999999999997</v>
      </c>
      <c r="D231" t="s">
        <v>36</v>
      </c>
      <c r="E231" s="4">
        <f t="shared" ref="E231:F231" si="56">E221</f>
        <v>1765.0472</v>
      </c>
      <c r="F231" s="4">
        <f t="shared" si="56"/>
        <v>0</v>
      </c>
      <c r="G231" s="4">
        <f t="shared" si="25"/>
        <v>1765.0472</v>
      </c>
      <c r="H231" s="5">
        <f t="shared" si="26"/>
        <v>62729.777488</v>
      </c>
      <c r="I231" s="5">
        <f t="shared" si="27"/>
        <v>62747.427959999994</v>
      </c>
    </row>
    <row r="232" spans="1:9" x14ac:dyDescent="0.25">
      <c r="A232" t="s">
        <v>4</v>
      </c>
      <c r="B232">
        <v>20.76</v>
      </c>
      <c r="C232">
        <v>20.77</v>
      </c>
      <c r="D232" t="s">
        <v>37</v>
      </c>
      <c r="E232" s="4">
        <f t="shared" ref="E232:F232" si="57">E222</f>
        <v>3014.9315000000001</v>
      </c>
      <c r="F232" s="4">
        <f t="shared" si="57"/>
        <v>0</v>
      </c>
      <c r="G232" s="4">
        <f t="shared" si="25"/>
        <v>3014.9315000000001</v>
      </c>
      <c r="H232" s="5">
        <f t="shared" si="26"/>
        <v>62589.977940000004</v>
      </c>
      <c r="I232" s="5">
        <f t="shared" si="27"/>
        <v>62620.127254999999</v>
      </c>
    </row>
    <row r="233" spans="1:9" x14ac:dyDescent="0.25">
      <c r="A233" t="s">
        <v>6</v>
      </c>
      <c r="B233">
        <v>33.979999999999997</v>
      </c>
      <c r="C233">
        <v>33.99</v>
      </c>
      <c r="D233" t="s">
        <v>37</v>
      </c>
      <c r="E233" s="4">
        <f t="shared" ref="E233:F233" si="58">E223</f>
        <v>1842.1104</v>
      </c>
      <c r="F233" s="4">
        <f t="shared" si="58"/>
        <v>0</v>
      </c>
      <c r="G233" s="4">
        <f t="shared" si="25"/>
        <v>1842.1104</v>
      </c>
      <c r="H233" s="5">
        <f t="shared" si="26"/>
        <v>62594.911391999995</v>
      </c>
      <c r="I233" s="5">
        <f t="shared" si="27"/>
        <v>62613.332496000003</v>
      </c>
    </row>
    <row r="234" spans="1:9" x14ac:dyDescent="0.25">
      <c r="A234" t="s">
        <v>7</v>
      </c>
      <c r="B234">
        <v>17.64</v>
      </c>
      <c r="C234">
        <v>17.649999999999999</v>
      </c>
      <c r="D234" t="s">
        <v>37</v>
      </c>
      <c r="E234" s="4">
        <f t="shared" ref="E234:F234" si="59">E224</f>
        <v>3546.5621999999998</v>
      </c>
      <c r="F234" s="4">
        <f t="shared" si="59"/>
        <v>0</v>
      </c>
      <c r="G234" s="4">
        <f t="shared" si="25"/>
        <v>3546.5621999999998</v>
      </c>
      <c r="H234" s="5">
        <f t="shared" si="26"/>
        <v>62561.357208000001</v>
      </c>
      <c r="I234" s="5">
        <f t="shared" si="27"/>
        <v>62596.82282999999</v>
      </c>
    </row>
    <row r="235" spans="1:9" x14ac:dyDescent="0.25">
      <c r="A235" t="s">
        <v>8</v>
      </c>
      <c r="B235">
        <v>27.68</v>
      </c>
      <c r="C235">
        <v>27.69</v>
      </c>
      <c r="D235" t="s">
        <v>37</v>
      </c>
      <c r="E235" s="4">
        <f t="shared" ref="E235:F235" si="60">E225</f>
        <v>2261.3323</v>
      </c>
      <c r="F235" s="4">
        <f t="shared" si="60"/>
        <v>-0.1</v>
      </c>
      <c r="G235" s="4">
        <f t="shared" si="25"/>
        <v>2261.2323000000001</v>
      </c>
      <c r="H235" s="5">
        <f t="shared" si="26"/>
        <v>62590.910064000003</v>
      </c>
      <c r="I235" s="5">
        <f t="shared" si="27"/>
        <v>62613.522387000005</v>
      </c>
    </row>
    <row r="236" spans="1:9" x14ac:dyDescent="0.25">
      <c r="A236" t="s">
        <v>9</v>
      </c>
      <c r="B236">
        <v>66.14</v>
      </c>
      <c r="C236">
        <v>66.209999999999994</v>
      </c>
      <c r="D236" t="s">
        <v>37</v>
      </c>
      <c r="E236" s="4">
        <f t="shared" ref="E236:F236" si="61">E226</f>
        <v>946.12990000000002</v>
      </c>
      <c r="F236" s="4">
        <f t="shared" si="61"/>
        <v>0</v>
      </c>
      <c r="G236" s="4">
        <f t="shared" si="25"/>
        <v>946.12990000000002</v>
      </c>
      <c r="H236" s="5">
        <f t="shared" si="26"/>
        <v>62577.031586000005</v>
      </c>
      <c r="I236" s="5">
        <f t="shared" si="27"/>
        <v>62643.260678999999</v>
      </c>
    </row>
    <row r="237" spans="1:9" x14ac:dyDescent="0.25">
      <c r="A237" t="s">
        <v>10</v>
      </c>
      <c r="B237">
        <v>36.17</v>
      </c>
      <c r="C237">
        <v>36.19</v>
      </c>
      <c r="D237" t="s">
        <v>37</v>
      </c>
      <c r="E237" s="4">
        <f t="shared" ref="E237:F237" si="62">E227</f>
        <v>1730.2188000000001</v>
      </c>
      <c r="F237" s="4">
        <f t="shared" si="62"/>
        <v>0</v>
      </c>
      <c r="G237" s="4">
        <f t="shared" si="25"/>
        <v>1730.2188000000001</v>
      </c>
      <c r="H237" s="5">
        <f t="shared" si="26"/>
        <v>62582.013996000009</v>
      </c>
      <c r="I237" s="5">
        <f t="shared" si="27"/>
        <v>62616.618371999997</v>
      </c>
    </row>
    <row r="238" spans="1:9" x14ac:dyDescent="0.25">
      <c r="A238" t="s">
        <v>11</v>
      </c>
      <c r="B238">
        <v>54.48</v>
      </c>
      <c r="C238">
        <v>54.49</v>
      </c>
      <c r="D238" t="s">
        <v>37</v>
      </c>
      <c r="E238" s="4">
        <f t="shared" ref="E238:F238" si="63">E228</f>
        <v>1148.8453</v>
      </c>
      <c r="F238" s="4">
        <f t="shared" si="63"/>
        <v>0</v>
      </c>
      <c r="G238" s="4">
        <f t="shared" si="25"/>
        <v>1148.8453</v>
      </c>
      <c r="H238" s="5">
        <f t="shared" si="26"/>
        <v>62589.091943999993</v>
      </c>
      <c r="I238" s="5">
        <f t="shared" si="27"/>
        <v>62600.580396999998</v>
      </c>
    </row>
    <row r="239" spans="1:9" x14ac:dyDescent="0.25">
      <c r="A239" t="s">
        <v>12</v>
      </c>
      <c r="B239">
        <v>48.56</v>
      </c>
      <c r="C239">
        <v>48.57</v>
      </c>
      <c r="D239" t="s">
        <v>37</v>
      </c>
      <c r="E239" s="4">
        <f t="shared" ref="E239:F239" si="64">E229</f>
        <v>1289.0084999999999</v>
      </c>
      <c r="F239" s="4">
        <f t="shared" si="64"/>
        <v>0.05</v>
      </c>
      <c r="G239" s="4">
        <f t="shared" si="25"/>
        <v>1289.0584999999999</v>
      </c>
      <c r="H239" s="5">
        <f t="shared" si="26"/>
        <v>62596.680759999996</v>
      </c>
      <c r="I239" s="5">
        <f t="shared" si="27"/>
        <v>62609.571344999997</v>
      </c>
    </row>
    <row r="240" spans="1:9" x14ac:dyDescent="0.25">
      <c r="A240" t="s">
        <v>13</v>
      </c>
      <c r="B240">
        <v>17.7</v>
      </c>
      <c r="C240">
        <v>17.71</v>
      </c>
      <c r="D240" t="s">
        <v>37</v>
      </c>
      <c r="E240" s="4">
        <f t="shared" ref="E240:F240" si="65">E230</f>
        <v>3535.8029000000001</v>
      </c>
      <c r="F240" s="4">
        <f t="shared" si="65"/>
        <v>0</v>
      </c>
      <c r="G240" s="4">
        <f t="shared" si="25"/>
        <v>3535.8029000000001</v>
      </c>
      <c r="H240" s="5">
        <f t="shared" si="26"/>
        <v>62583.711329999998</v>
      </c>
      <c r="I240" s="5">
        <f t="shared" si="27"/>
        <v>62619.069359000008</v>
      </c>
    </row>
    <row r="241" spans="1:9" x14ac:dyDescent="0.25">
      <c r="A241" t="s">
        <v>14</v>
      </c>
      <c r="B241">
        <v>35.450000000000003</v>
      </c>
      <c r="C241">
        <v>35.46</v>
      </c>
      <c r="D241" t="s">
        <v>37</v>
      </c>
      <c r="E241" s="4">
        <f t="shared" ref="E241:F241" si="66">E231</f>
        <v>1765.0472</v>
      </c>
      <c r="F241" s="4">
        <f t="shared" si="66"/>
        <v>0</v>
      </c>
      <c r="G241" s="4">
        <f t="shared" si="25"/>
        <v>1765.0472</v>
      </c>
      <c r="H241" s="5">
        <f t="shared" si="26"/>
        <v>62570.923240000004</v>
      </c>
      <c r="I241" s="5">
        <f t="shared" si="27"/>
        <v>62588.573711999998</v>
      </c>
    </row>
    <row r="242" spans="1:9" x14ac:dyDescent="0.25">
      <c r="A242" t="s">
        <v>4</v>
      </c>
      <c r="B242">
        <v>20.78</v>
      </c>
      <c r="C242">
        <v>20.79</v>
      </c>
      <c r="D242" t="s">
        <v>38</v>
      </c>
      <c r="E242" s="4">
        <f t="shared" ref="E242:F242" si="67">E232</f>
        <v>3014.9315000000001</v>
      </c>
      <c r="F242" s="4">
        <f t="shared" si="67"/>
        <v>0</v>
      </c>
      <c r="G242" s="4">
        <f t="shared" si="25"/>
        <v>3014.9315000000001</v>
      </c>
      <c r="H242" s="5">
        <f t="shared" si="26"/>
        <v>62650.276570000009</v>
      </c>
      <c r="I242" s="5">
        <f t="shared" si="27"/>
        <v>62680.425884999997</v>
      </c>
    </row>
    <row r="243" spans="1:9" x14ac:dyDescent="0.25">
      <c r="A243" t="s">
        <v>6</v>
      </c>
      <c r="B243">
        <v>34.020000000000003</v>
      </c>
      <c r="C243">
        <v>34.03</v>
      </c>
      <c r="D243" t="s">
        <v>38</v>
      </c>
      <c r="E243" s="4">
        <f t="shared" ref="E243:F243" si="68">E233</f>
        <v>1842.1104</v>
      </c>
      <c r="F243" s="4">
        <f t="shared" si="68"/>
        <v>0</v>
      </c>
      <c r="G243" s="4">
        <f t="shared" si="25"/>
        <v>1842.1104</v>
      </c>
      <c r="H243" s="5">
        <f t="shared" si="26"/>
        <v>62668.595808000005</v>
      </c>
      <c r="I243" s="5">
        <f t="shared" si="27"/>
        <v>62687.016912000006</v>
      </c>
    </row>
    <row r="244" spans="1:9" x14ac:dyDescent="0.25">
      <c r="A244" t="s">
        <v>7</v>
      </c>
      <c r="B244">
        <v>17.66</v>
      </c>
      <c r="C244">
        <v>17.670000000000002</v>
      </c>
      <c r="D244" t="s">
        <v>38</v>
      </c>
      <c r="E244" s="4">
        <f t="shared" ref="E244:F244" si="69">E234</f>
        <v>3546.5621999999998</v>
      </c>
      <c r="F244" s="4">
        <f t="shared" si="69"/>
        <v>0</v>
      </c>
      <c r="G244" s="4">
        <f t="shared" si="25"/>
        <v>3546.5621999999998</v>
      </c>
      <c r="H244" s="5">
        <f t="shared" si="26"/>
        <v>62632.288452000001</v>
      </c>
      <c r="I244" s="5">
        <f t="shared" si="27"/>
        <v>62667.754074000004</v>
      </c>
    </row>
    <row r="245" spans="1:9" x14ac:dyDescent="0.25">
      <c r="A245" t="s">
        <v>8</v>
      </c>
      <c r="B245">
        <v>27.71</v>
      </c>
      <c r="C245">
        <v>27.72</v>
      </c>
      <c r="D245" t="s">
        <v>38</v>
      </c>
      <c r="E245" s="4">
        <f t="shared" ref="E245:F245" si="70">E235</f>
        <v>2261.3323</v>
      </c>
      <c r="F245" s="4">
        <f t="shared" si="70"/>
        <v>-0.1</v>
      </c>
      <c r="G245" s="4">
        <f t="shared" si="25"/>
        <v>2261.2323000000001</v>
      </c>
      <c r="H245" s="5">
        <f t="shared" si="26"/>
        <v>62658.747033000007</v>
      </c>
      <c r="I245" s="5">
        <f t="shared" si="27"/>
        <v>62681.359356000001</v>
      </c>
    </row>
    <row r="246" spans="1:9" x14ac:dyDescent="0.25">
      <c r="A246" t="s">
        <v>9</v>
      </c>
      <c r="B246">
        <v>66.22</v>
      </c>
      <c r="C246">
        <v>66.28</v>
      </c>
      <c r="D246" t="s">
        <v>38</v>
      </c>
      <c r="E246" s="4">
        <f t="shared" ref="E246:F246" si="71">E236</f>
        <v>946.12990000000002</v>
      </c>
      <c r="F246" s="4">
        <f t="shared" si="71"/>
        <v>0</v>
      </c>
      <c r="G246" s="4">
        <f t="shared" si="25"/>
        <v>946.12990000000002</v>
      </c>
      <c r="H246" s="5">
        <f t="shared" si="26"/>
        <v>62652.721978000001</v>
      </c>
      <c r="I246" s="5">
        <f t="shared" si="27"/>
        <v>62709.489772000001</v>
      </c>
    </row>
    <row r="247" spans="1:9" x14ac:dyDescent="0.25">
      <c r="A247" t="s">
        <v>10</v>
      </c>
      <c r="B247">
        <v>36.21</v>
      </c>
      <c r="C247">
        <v>36.229999999999997</v>
      </c>
      <c r="D247" t="s">
        <v>38</v>
      </c>
      <c r="E247" s="4">
        <f t="shared" ref="E247:F247" si="72">E237</f>
        <v>1730.2188000000001</v>
      </c>
      <c r="F247" s="4">
        <f t="shared" si="72"/>
        <v>0</v>
      </c>
      <c r="G247" s="4">
        <f t="shared" si="25"/>
        <v>1730.2188000000001</v>
      </c>
      <c r="H247" s="5">
        <f t="shared" si="26"/>
        <v>62651.222748000007</v>
      </c>
      <c r="I247" s="5">
        <f t="shared" si="27"/>
        <v>62685.827123999996</v>
      </c>
    </row>
    <row r="248" spans="1:9" x14ac:dyDescent="0.25">
      <c r="A248" t="s">
        <v>11</v>
      </c>
      <c r="B248">
        <v>54.53</v>
      </c>
      <c r="C248">
        <v>54.54</v>
      </c>
      <c r="D248" t="s">
        <v>38</v>
      </c>
      <c r="E248" s="4">
        <f t="shared" ref="E248:F248" si="73">E238</f>
        <v>1148.8453</v>
      </c>
      <c r="F248" s="4">
        <f t="shared" si="73"/>
        <v>0</v>
      </c>
      <c r="G248" s="4">
        <f t="shared" si="25"/>
        <v>1148.8453</v>
      </c>
      <c r="H248" s="5">
        <f t="shared" si="26"/>
        <v>62646.534208999998</v>
      </c>
      <c r="I248" s="5">
        <f t="shared" si="27"/>
        <v>62658.022661999996</v>
      </c>
    </row>
    <row r="249" spans="1:9" x14ac:dyDescent="0.25">
      <c r="A249" t="s">
        <v>12</v>
      </c>
      <c r="B249">
        <v>48.61</v>
      </c>
      <c r="C249">
        <v>48.62</v>
      </c>
      <c r="D249" t="s">
        <v>38</v>
      </c>
      <c r="E249" s="4">
        <f t="shared" ref="E249:F249" si="74">E239</f>
        <v>1289.0084999999999</v>
      </c>
      <c r="F249" s="4">
        <f t="shared" si="74"/>
        <v>0.05</v>
      </c>
      <c r="G249" s="4">
        <f t="shared" si="25"/>
        <v>1289.0584999999999</v>
      </c>
      <c r="H249" s="5">
        <f t="shared" si="26"/>
        <v>62661.133684999993</v>
      </c>
      <c r="I249" s="5">
        <f t="shared" si="27"/>
        <v>62674.024269999987</v>
      </c>
    </row>
    <row r="250" spans="1:9" x14ac:dyDescent="0.25">
      <c r="A250" t="s">
        <v>13</v>
      </c>
      <c r="B250">
        <v>17.72</v>
      </c>
      <c r="C250">
        <v>17.73</v>
      </c>
      <c r="D250" t="s">
        <v>38</v>
      </c>
      <c r="E250" s="4">
        <f t="shared" ref="E250:F250" si="75">E240</f>
        <v>3535.8029000000001</v>
      </c>
      <c r="F250" s="4">
        <f t="shared" si="75"/>
        <v>0</v>
      </c>
      <c r="G250" s="4">
        <f t="shared" si="25"/>
        <v>3535.8029000000001</v>
      </c>
      <c r="H250" s="5">
        <f t="shared" si="26"/>
        <v>62654.427387999996</v>
      </c>
      <c r="I250" s="5">
        <f t="shared" si="27"/>
        <v>62689.785417000006</v>
      </c>
    </row>
    <row r="251" spans="1:9" x14ac:dyDescent="0.25">
      <c r="A251" t="s">
        <v>14</v>
      </c>
      <c r="B251">
        <v>35.49</v>
      </c>
      <c r="C251">
        <v>35.5</v>
      </c>
      <c r="D251" t="s">
        <v>38</v>
      </c>
      <c r="E251" s="4">
        <f t="shared" ref="E251:F251" si="76">E241</f>
        <v>1765.0472</v>
      </c>
      <c r="F251" s="4">
        <f t="shared" si="76"/>
        <v>0</v>
      </c>
      <c r="G251" s="4">
        <f t="shared" si="25"/>
        <v>1765.0472</v>
      </c>
      <c r="H251" s="5">
        <f t="shared" si="26"/>
        <v>62641.525128000001</v>
      </c>
      <c r="I251" s="5">
        <f t="shared" si="27"/>
        <v>62659.175600000002</v>
      </c>
    </row>
    <row r="252" spans="1:9" x14ac:dyDescent="0.25">
      <c r="A252" t="s">
        <v>4</v>
      </c>
      <c r="B252">
        <v>20.81</v>
      </c>
      <c r="C252">
        <v>20.82</v>
      </c>
      <c r="D252" t="s">
        <v>39</v>
      </c>
      <c r="E252" s="4">
        <f t="shared" ref="E252:F252" si="77">E242</f>
        <v>3014.9315000000001</v>
      </c>
      <c r="F252" s="4">
        <f t="shared" si="77"/>
        <v>0</v>
      </c>
      <c r="G252" s="4">
        <f t="shared" si="25"/>
        <v>3014.9315000000001</v>
      </c>
      <c r="H252" s="5">
        <f t="shared" si="26"/>
        <v>62740.724515000002</v>
      </c>
      <c r="I252" s="5">
        <f t="shared" si="27"/>
        <v>62770.873830000004</v>
      </c>
    </row>
    <row r="253" spans="1:9" x14ac:dyDescent="0.25">
      <c r="A253" t="s">
        <v>6</v>
      </c>
      <c r="B253">
        <v>34.06</v>
      </c>
      <c r="C253">
        <v>34.07</v>
      </c>
      <c r="D253" t="s">
        <v>39</v>
      </c>
      <c r="E253" s="4">
        <f t="shared" ref="E253:F253" si="78">E243</f>
        <v>1842.1104</v>
      </c>
      <c r="F253" s="4">
        <f t="shared" si="78"/>
        <v>0</v>
      </c>
      <c r="G253" s="4">
        <f t="shared" si="25"/>
        <v>1842.1104</v>
      </c>
      <c r="H253" s="5">
        <f t="shared" si="26"/>
        <v>62742.280224000002</v>
      </c>
      <c r="I253" s="5">
        <f t="shared" si="27"/>
        <v>62760.701328000003</v>
      </c>
    </row>
    <row r="254" spans="1:9" x14ac:dyDescent="0.25">
      <c r="A254" t="s">
        <v>7</v>
      </c>
      <c r="B254">
        <v>17.690000000000001</v>
      </c>
      <c r="C254">
        <v>17.7</v>
      </c>
      <c r="D254" t="s">
        <v>39</v>
      </c>
      <c r="E254" s="4">
        <f t="shared" ref="E254:F254" si="79">E244</f>
        <v>3546.5621999999998</v>
      </c>
      <c r="F254" s="4">
        <f t="shared" si="79"/>
        <v>0</v>
      </c>
      <c r="G254" s="4">
        <f t="shared" si="25"/>
        <v>3546.5621999999998</v>
      </c>
      <c r="H254" s="5">
        <f t="shared" si="26"/>
        <v>62738.685318000003</v>
      </c>
      <c r="I254" s="5">
        <f t="shared" si="27"/>
        <v>62774.150939999992</v>
      </c>
    </row>
    <row r="255" spans="1:9" x14ac:dyDescent="0.25">
      <c r="A255" t="s">
        <v>8</v>
      </c>
      <c r="B255">
        <v>27.75</v>
      </c>
      <c r="C255">
        <v>27.76</v>
      </c>
      <c r="D255" t="s">
        <v>39</v>
      </c>
      <c r="E255" s="4">
        <f t="shared" ref="E255:F255" si="80">E245</f>
        <v>2261.3323</v>
      </c>
      <c r="F255" s="4">
        <f t="shared" si="80"/>
        <v>-0.1</v>
      </c>
      <c r="G255" s="4">
        <f t="shared" si="25"/>
        <v>2261.2323000000001</v>
      </c>
      <c r="H255" s="5">
        <f t="shared" si="26"/>
        <v>62749.196325000004</v>
      </c>
      <c r="I255" s="5">
        <f t="shared" si="27"/>
        <v>62771.808648000006</v>
      </c>
    </row>
    <row r="256" spans="1:9" x14ac:dyDescent="0.25">
      <c r="A256" t="s">
        <v>9</v>
      </c>
      <c r="B256">
        <v>66.319999999999993</v>
      </c>
      <c r="C256">
        <v>66.38</v>
      </c>
      <c r="D256" t="s">
        <v>39</v>
      </c>
      <c r="E256" s="4">
        <f t="shared" ref="E256:F256" si="81">E246</f>
        <v>946.12990000000002</v>
      </c>
      <c r="F256" s="4">
        <f t="shared" si="81"/>
        <v>0</v>
      </c>
      <c r="G256" s="4">
        <f t="shared" si="25"/>
        <v>946.12990000000002</v>
      </c>
      <c r="H256" s="5">
        <f t="shared" si="26"/>
        <v>62747.334967999996</v>
      </c>
      <c r="I256" s="5">
        <f t="shared" si="27"/>
        <v>62804.102761999995</v>
      </c>
    </row>
    <row r="257" spans="1:9" x14ac:dyDescent="0.25">
      <c r="A257" t="s">
        <v>10</v>
      </c>
      <c r="B257">
        <v>36.26</v>
      </c>
      <c r="C257">
        <v>36.28</v>
      </c>
      <c r="D257" t="s">
        <v>39</v>
      </c>
      <c r="E257" s="4">
        <f t="shared" ref="E257:F257" si="82">E247</f>
        <v>1730.2188000000001</v>
      </c>
      <c r="F257" s="4">
        <f t="shared" si="82"/>
        <v>0</v>
      </c>
      <c r="G257" s="4">
        <f t="shared" si="25"/>
        <v>1730.2188000000001</v>
      </c>
      <c r="H257" s="5">
        <f t="shared" si="26"/>
        <v>62737.733688</v>
      </c>
      <c r="I257" s="5">
        <f t="shared" si="27"/>
        <v>62772.338064000003</v>
      </c>
    </row>
    <row r="258" spans="1:9" x14ac:dyDescent="0.25">
      <c r="A258" t="s">
        <v>11</v>
      </c>
      <c r="B258">
        <v>54.61</v>
      </c>
      <c r="C258">
        <v>54.62</v>
      </c>
      <c r="D258" t="s">
        <v>39</v>
      </c>
      <c r="E258" s="4">
        <f t="shared" ref="E258:F258" si="83">E248</f>
        <v>1148.8453</v>
      </c>
      <c r="F258" s="4">
        <f t="shared" si="83"/>
        <v>0</v>
      </c>
      <c r="G258" s="4">
        <f t="shared" si="25"/>
        <v>1148.8453</v>
      </c>
      <c r="H258" s="5">
        <f t="shared" si="26"/>
        <v>62738.441832999997</v>
      </c>
      <c r="I258" s="5">
        <f t="shared" si="27"/>
        <v>62749.930285999995</v>
      </c>
    </row>
    <row r="259" spans="1:9" x14ac:dyDescent="0.25">
      <c r="A259" t="s">
        <v>12</v>
      </c>
      <c r="B259">
        <v>48.68</v>
      </c>
      <c r="C259">
        <v>48.69</v>
      </c>
      <c r="D259" t="s">
        <v>39</v>
      </c>
      <c r="E259" s="4">
        <f t="shared" ref="E259:F259" si="84">E249</f>
        <v>1289.0084999999999</v>
      </c>
      <c r="F259" s="4">
        <f t="shared" si="84"/>
        <v>0.05</v>
      </c>
      <c r="G259" s="4">
        <f t="shared" si="25"/>
        <v>1289.0584999999999</v>
      </c>
      <c r="H259" s="5">
        <f t="shared" si="26"/>
        <v>62751.367779999993</v>
      </c>
      <c r="I259" s="5">
        <f t="shared" si="27"/>
        <v>62764.258364999994</v>
      </c>
    </row>
    <row r="260" spans="1:9" x14ac:dyDescent="0.25">
      <c r="A260" t="s">
        <v>13</v>
      </c>
      <c r="B260">
        <v>17.75</v>
      </c>
      <c r="C260">
        <v>17.760000000000002</v>
      </c>
      <c r="D260" t="s">
        <v>39</v>
      </c>
      <c r="E260" s="4">
        <f t="shared" ref="E260:F260" si="85">E250</f>
        <v>3535.8029000000001</v>
      </c>
      <c r="F260" s="4">
        <f t="shared" si="85"/>
        <v>0</v>
      </c>
      <c r="G260" s="4">
        <f t="shared" si="25"/>
        <v>3535.8029000000001</v>
      </c>
      <c r="H260" s="5">
        <f t="shared" si="26"/>
        <v>62760.501475000005</v>
      </c>
      <c r="I260" s="5">
        <f t="shared" si="27"/>
        <v>62795.859504000007</v>
      </c>
    </row>
    <row r="261" spans="1:9" x14ac:dyDescent="0.25">
      <c r="A261" t="s">
        <v>14</v>
      </c>
      <c r="B261">
        <v>35.54</v>
      </c>
      <c r="C261">
        <v>35.549999999999997</v>
      </c>
      <c r="D261" t="s">
        <v>39</v>
      </c>
      <c r="E261" s="4">
        <f t="shared" ref="E261:F261" si="86">E251</f>
        <v>1765.0472</v>
      </c>
      <c r="F261" s="4">
        <f t="shared" si="86"/>
        <v>0</v>
      </c>
      <c r="G261" s="4">
        <f t="shared" si="25"/>
        <v>1765.0472</v>
      </c>
      <c r="H261" s="5">
        <f t="shared" si="26"/>
        <v>62729.777488</v>
      </c>
      <c r="I261" s="5">
        <f t="shared" si="27"/>
        <v>62747.427959999994</v>
      </c>
    </row>
    <row r="262" spans="1:9" x14ac:dyDescent="0.25">
      <c r="A262" t="s">
        <v>4</v>
      </c>
      <c r="B262">
        <v>20.86</v>
      </c>
      <c r="C262">
        <v>20.87</v>
      </c>
      <c r="D262" t="s">
        <v>40</v>
      </c>
      <c r="E262" s="4">
        <f t="shared" ref="E262:F262" si="87">E252</f>
        <v>3014.9315000000001</v>
      </c>
      <c r="F262" s="4">
        <f t="shared" si="87"/>
        <v>0</v>
      </c>
      <c r="G262" s="4">
        <f t="shared" si="25"/>
        <v>3014.9315000000001</v>
      </c>
      <c r="H262" s="5">
        <f t="shared" si="26"/>
        <v>62891.471089999999</v>
      </c>
      <c r="I262" s="5">
        <f t="shared" si="27"/>
        <v>62921.620405000009</v>
      </c>
    </row>
    <row r="263" spans="1:9" x14ac:dyDescent="0.25">
      <c r="A263" t="s">
        <v>6</v>
      </c>
      <c r="B263">
        <v>34.14</v>
      </c>
      <c r="C263">
        <v>34.15</v>
      </c>
      <c r="D263" t="s">
        <v>40</v>
      </c>
      <c r="E263" s="4">
        <f t="shared" ref="E263:F263" si="88">E253</f>
        <v>1842.1104</v>
      </c>
      <c r="F263" s="4">
        <f t="shared" si="88"/>
        <v>0</v>
      </c>
      <c r="G263" s="4">
        <f t="shared" si="25"/>
        <v>1842.1104</v>
      </c>
      <c r="H263" s="5">
        <f t="shared" si="26"/>
        <v>62889.649056000002</v>
      </c>
      <c r="I263" s="5">
        <f t="shared" si="27"/>
        <v>62908.070159999996</v>
      </c>
    </row>
    <row r="264" spans="1:9" x14ac:dyDescent="0.25">
      <c r="A264" t="s">
        <v>7</v>
      </c>
      <c r="B264">
        <v>17.72</v>
      </c>
      <c r="C264">
        <v>17.73</v>
      </c>
      <c r="D264" t="s">
        <v>40</v>
      </c>
      <c r="E264" s="4">
        <f t="shared" ref="E264:F264" si="89">E254</f>
        <v>3546.5621999999998</v>
      </c>
      <c r="F264" s="4">
        <f t="shared" si="89"/>
        <v>0</v>
      </c>
      <c r="G264" s="4">
        <f t="shared" si="25"/>
        <v>3546.5621999999998</v>
      </c>
      <c r="H264" s="5">
        <f t="shared" si="26"/>
        <v>62845.082183999992</v>
      </c>
      <c r="I264" s="5">
        <f t="shared" si="27"/>
        <v>62880.547806000002</v>
      </c>
    </row>
    <row r="265" spans="1:9" x14ac:dyDescent="0.25">
      <c r="A265" t="s">
        <v>8</v>
      </c>
      <c r="B265">
        <v>27.81</v>
      </c>
      <c r="C265">
        <v>27.82</v>
      </c>
      <c r="D265" t="s">
        <v>40</v>
      </c>
      <c r="E265" s="4">
        <f t="shared" ref="E265:F265" si="90">E255</f>
        <v>2261.3323</v>
      </c>
      <c r="F265" s="4">
        <f t="shared" si="90"/>
        <v>-0.1</v>
      </c>
      <c r="G265" s="4">
        <f t="shared" si="25"/>
        <v>2261.2323000000001</v>
      </c>
      <c r="H265" s="5">
        <f t="shared" si="26"/>
        <v>62884.870262999997</v>
      </c>
      <c r="I265" s="5">
        <f t="shared" si="27"/>
        <v>62907.482586000006</v>
      </c>
    </row>
    <row r="266" spans="1:9" x14ac:dyDescent="0.25">
      <c r="A266" t="s">
        <v>9</v>
      </c>
      <c r="B266">
        <v>66.41</v>
      </c>
      <c r="C266">
        <v>66.510000000000005</v>
      </c>
      <c r="D266" t="s">
        <v>40</v>
      </c>
      <c r="E266" s="4">
        <f t="shared" ref="E266:F266" si="91">E256</f>
        <v>946.12990000000002</v>
      </c>
      <c r="F266" s="4">
        <f t="shared" si="91"/>
        <v>0</v>
      </c>
      <c r="G266" s="4">
        <f t="shared" ref="G266:G271" si="92">E266+F266</f>
        <v>946.12990000000002</v>
      </c>
      <c r="H266" s="5">
        <f t="shared" ref="H266:H271" si="93">B266*G266</f>
        <v>62832.486658999995</v>
      </c>
      <c r="I266" s="5">
        <f t="shared" ref="I266:I271" si="94">C266*G266</f>
        <v>62927.099649000003</v>
      </c>
    </row>
    <row r="267" spans="1:9" x14ac:dyDescent="0.25">
      <c r="A267" t="s">
        <v>10</v>
      </c>
      <c r="B267">
        <v>36.340000000000003</v>
      </c>
      <c r="C267">
        <v>36.36</v>
      </c>
      <c r="D267" t="s">
        <v>40</v>
      </c>
      <c r="E267" s="4">
        <f t="shared" ref="E267:F267" si="95">E257</f>
        <v>1730.2188000000001</v>
      </c>
      <c r="F267" s="4">
        <f t="shared" si="95"/>
        <v>0</v>
      </c>
      <c r="G267" s="4">
        <f t="shared" si="92"/>
        <v>1730.2188000000001</v>
      </c>
      <c r="H267" s="5">
        <f t="shared" si="93"/>
        <v>62876.151192000012</v>
      </c>
      <c r="I267" s="5">
        <f t="shared" si="94"/>
        <v>62910.755568</v>
      </c>
    </row>
    <row r="268" spans="1:9" x14ac:dyDescent="0.25">
      <c r="A268" t="s">
        <v>11</v>
      </c>
      <c r="B268">
        <v>54.72</v>
      </c>
      <c r="C268">
        <v>54.73</v>
      </c>
      <c r="D268" t="s">
        <v>40</v>
      </c>
      <c r="E268" s="4">
        <f t="shared" ref="E268:F268" si="96">E258</f>
        <v>1148.8453</v>
      </c>
      <c r="F268" s="4">
        <f t="shared" si="96"/>
        <v>0</v>
      </c>
      <c r="G268" s="4">
        <f t="shared" si="92"/>
        <v>1148.8453</v>
      </c>
      <c r="H268" s="5">
        <f t="shared" si="93"/>
        <v>62864.814815999998</v>
      </c>
      <c r="I268" s="5">
        <f t="shared" si="94"/>
        <v>62876.303268999996</v>
      </c>
    </row>
    <row r="269" spans="1:9" x14ac:dyDescent="0.25">
      <c r="A269" t="s">
        <v>12</v>
      </c>
      <c r="B269">
        <v>48.78</v>
      </c>
      <c r="C269">
        <v>48.79</v>
      </c>
      <c r="D269" t="s">
        <v>40</v>
      </c>
      <c r="E269" s="4">
        <f t="shared" ref="E269:F269" si="97">E259</f>
        <v>1289.0084999999999</v>
      </c>
      <c r="F269" s="4">
        <f t="shared" si="97"/>
        <v>0.05</v>
      </c>
      <c r="G269" s="4">
        <f t="shared" si="92"/>
        <v>1289.0584999999999</v>
      </c>
      <c r="H269" s="5">
        <f t="shared" si="93"/>
        <v>62880.273629999996</v>
      </c>
      <c r="I269" s="5">
        <f t="shared" si="94"/>
        <v>62893.16421499999</v>
      </c>
    </row>
    <row r="270" spans="1:9" x14ac:dyDescent="0.25">
      <c r="A270" t="s">
        <v>13</v>
      </c>
      <c r="B270">
        <v>17.79</v>
      </c>
      <c r="C270">
        <v>17.8</v>
      </c>
      <c r="D270" t="s">
        <v>40</v>
      </c>
      <c r="E270" s="4">
        <f t="shared" ref="E270:F270" si="98">E260</f>
        <v>3535.8029000000001</v>
      </c>
      <c r="F270" s="4">
        <f t="shared" si="98"/>
        <v>0</v>
      </c>
      <c r="G270" s="4">
        <f t="shared" si="92"/>
        <v>3535.8029000000001</v>
      </c>
      <c r="H270" s="5">
        <f t="shared" si="93"/>
        <v>62901.933591000001</v>
      </c>
      <c r="I270" s="5">
        <f t="shared" si="94"/>
        <v>62937.291620000004</v>
      </c>
    </row>
    <row r="271" spans="1:9" x14ac:dyDescent="0.25">
      <c r="A271" t="s">
        <v>14</v>
      </c>
      <c r="B271">
        <v>35.619999999999997</v>
      </c>
      <c r="C271">
        <v>35.630000000000003</v>
      </c>
      <c r="D271" t="s">
        <v>40</v>
      </c>
      <c r="E271" s="4">
        <f t="shared" ref="E271:F271" si="99">E261</f>
        <v>1765.0472</v>
      </c>
      <c r="F271" s="4">
        <f t="shared" si="99"/>
        <v>0</v>
      </c>
      <c r="G271" s="4">
        <f t="shared" si="92"/>
        <v>1765.0472</v>
      </c>
      <c r="H271" s="5">
        <f t="shared" si="93"/>
        <v>62870.981263999995</v>
      </c>
      <c r="I271" s="5">
        <f t="shared" si="94"/>
        <v>62888.631736000003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4E3D-266D-4D9F-9632-D82D13FAE35F}">
  <dimension ref="A1:O29"/>
  <sheetViews>
    <sheetView tabSelected="1" workbookViewId="0">
      <selection activeCell="I19" sqref="I19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9" bestFit="1" customWidth="1"/>
    <col min="6" max="6" width="9.5703125" style="9" bestFit="1" customWidth="1"/>
    <col min="8" max="11" width="10.85546875" customWidth="1"/>
    <col min="12" max="12" width="11.5703125" style="4" bestFit="1" customWidth="1"/>
    <col min="13" max="13" width="11.28515625" style="5" bestFit="1" customWidth="1"/>
    <col min="14" max="14" width="10.85546875" style="5" customWidth="1"/>
  </cols>
  <sheetData>
    <row r="1" spans="1:15" x14ac:dyDescent="0.25">
      <c r="A1" s="17" t="s">
        <v>46</v>
      </c>
      <c r="B1" t="s">
        <v>47</v>
      </c>
      <c r="C1" t="s">
        <v>48</v>
      </c>
      <c r="D1" s="6" t="s">
        <v>49</v>
      </c>
      <c r="E1" s="6" t="s">
        <v>50</v>
      </c>
      <c r="F1" s="6" t="s">
        <v>51</v>
      </c>
    </row>
    <row r="2" spans="1:15" x14ac:dyDescent="0.25">
      <c r="A2" s="7" t="s">
        <v>5</v>
      </c>
      <c r="B2" s="8">
        <v>64338.638210000005</v>
      </c>
      <c r="C2" s="8">
        <v>64318.319967999996</v>
      </c>
      <c r="D2" s="8">
        <f>B2-C2</f>
        <v>20.318242000008468</v>
      </c>
      <c r="E2" s="9" t="str">
        <f>_xlfn.XLOOKUP(B2,Table1[unit bid],Table1[my_fi_name])</f>
        <v>ARKB</v>
      </c>
      <c r="F2" s="9" t="str">
        <f>_xlfn.XLOOKUP(C2,Table1[unit ask],Table1[my_fi_name])</f>
        <v>IBIT</v>
      </c>
      <c r="I2" s="10" t="s">
        <v>52</v>
      </c>
      <c r="J2" s="10" t="s">
        <v>53</v>
      </c>
      <c r="K2" s="10" t="s">
        <v>49</v>
      </c>
      <c r="L2" s="11" t="s">
        <v>54</v>
      </c>
      <c r="M2" s="12" t="s">
        <v>55</v>
      </c>
      <c r="N2" s="10" t="s">
        <v>56</v>
      </c>
    </row>
    <row r="3" spans="1:15" x14ac:dyDescent="0.25">
      <c r="A3" s="7" t="s">
        <v>15</v>
      </c>
      <c r="B3" s="8">
        <v>64001.754524999989</v>
      </c>
      <c r="C3" s="8">
        <v>63982.960999999996</v>
      </c>
      <c r="D3" s="8">
        <f t="shared" ref="D3:D21" si="0">B3-C3</f>
        <v>18.793524999993679</v>
      </c>
      <c r="E3" s="9" t="str">
        <f>_xlfn.XLOOKUP(B3,Table1[unit bid],Table1[my_fi_name])</f>
        <v>GBTC</v>
      </c>
      <c r="F3" s="9" t="str">
        <f>_xlfn.XLOOKUP(C3,Table1[unit ask],Table1[my_fi_name])</f>
        <v>IBIT</v>
      </c>
      <c r="G3" s="13"/>
      <c r="H3" s="13" t="s">
        <v>4</v>
      </c>
      <c r="I3">
        <f>COUNTIF(E:E,H3)</f>
        <v>1</v>
      </c>
      <c r="J3">
        <f t="shared" ref="J3:J12" si="1">COUNTIF(F:F,H3)</f>
        <v>0</v>
      </c>
      <c r="K3">
        <f>I3-J3</f>
        <v>1</v>
      </c>
      <c r="L3" s="3"/>
      <c r="M3" s="5">
        <f>'ETF_2026-06-18'!C2</f>
        <v>21.35</v>
      </c>
      <c r="N3" s="5">
        <f>L3*M3</f>
        <v>0</v>
      </c>
      <c r="O3" s="14">
        <f t="shared" ref="O3:O12" si="2">N3/C3</f>
        <v>0</v>
      </c>
    </row>
    <row r="4" spans="1:15" x14ac:dyDescent="0.25">
      <c r="A4" s="7" t="s">
        <v>16</v>
      </c>
      <c r="B4" s="8">
        <v>64066.207449999994</v>
      </c>
      <c r="C4" s="8">
        <v>64035.912415999999</v>
      </c>
      <c r="D4" s="8">
        <f t="shared" si="0"/>
        <v>30.295033999995212</v>
      </c>
      <c r="E4" s="9" t="str">
        <f>_xlfn.XLOOKUP(B4,Table1[unit bid],Table1[my_fi_name])</f>
        <v>GBTC</v>
      </c>
      <c r="F4" s="9" t="str">
        <f>_xlfn.XLOOKUP(C4,Table1[unit ask],Table1[my_fi_name])</f>
        <v>IBIT</v>
      </c>
      <c r="G4" s="13"/>
      <c r="H4" s="13" t="s">
        <v>6</v>
      </c>
      <c r="I4">
        <f t="shared" ref="I3:I12" si="3">COUNTIF(E:E,H4)</f>
        <v>4</v>
      </c>
      <c r="J4">
        <f t="shared" si="1"/>
        <v>0</v>
      </c>
      <c r="K4">
        <f t="shared" ref="K4:K12" si="4">I4-J4</f>
        <v>4</v>
      </c>
      <c r="L4" s="3"/>
      <c r="M4" s="5">
        <f>'ETF_2026-06-18'!C3</f>
        <v>34.94</v>
      </c>
      <c r="N4" s="5">
        <f>L4*M4</f>
        <v>0</v>
      </c>
      <c r="O4" s="14">
        <f t="shared" si="2"/>
        <v>0</v>
      </c>
    </row>
    <row r="5" spans="1:15" x14ac:dyDescent="0.25">
      <c r="A5" s="7" t="s">
        <v>17</v>
      </c>
      <c r="B5" s="8">
        <v>63885.739259999995</v>
      </c>
      <c r="C5" s="8">
        <v>63859.407696000002</v>
      </c>
      <c r="D5" s="8">
        <f t="shared" si="0"/>
        <v>26.331563999992795</v>
      </c>
      <c r="E5" s="9" t="str">
        <f>_xlfn.XLOOKUP(B5,Table1[unit bid],Table1[my_fi_name])</f>
        <v>GBTC</v>
      </c>
      <c r="F5" s="9" t="str">
        <f>_xlfn.XLOOKUP(C5,Table1[unit ask],Table1[my_fi_name])</f>
        <v>IBIT</v>
      </c>
      <c r="G5" s="13"/>
      <c r="H5" s="13" t="s">
        <v>7</v>
      </c>
      <c r="I5">
        <f t="shared" si="3"/>
        <v>0</v>
      </c>
      <c r="J5">
        <f t="shared" si="1"/>
        <v>6</v>
      </c>
      <c r="K5">
        <f t="shared" si="4"/>
        <v>-6</v>
      </c>
      <c r="L5" s="3"/>
      <c r="M5" s="5">
        <f>'ETF_2026-06-18'!C4</f>
        <v>18.149999999999999</v>
      </c>
      <c r="N5" s="5">
        <f t="shared" ref="N5:N12" si="5">L5*M5</f>
        <v>0</v>
      </c>
      <c r="O5" s="14">
        <f t="shared" si="2"/>
        <v>0</v>
      </c>
    </row>
    <row r="6" spans="1:15" x14ac:dyDescent="0.25">
      <c r="A6" s="7" t="s">
        <v>18</v>
      </c>
      <c r="B6" s="8">
        <v>63925.037121000001</v>
      </c>
      <c r="C6" s="8">
        <v>63912.359111999998</v>
      </c>
      <c r="D6" s="8">
        <f t="shared" si="0"/>
        <v>12.67800900000293</v>
      </c>
      <c r="E6" s="9" t="str">
        <f>_xlfn.XLOOKUP(B6,Table1[unit bid],Table1[my_fi_name])</f>
        <v>BTC</v>
      </c>
      <c r="F6" s="9" t="str">
        <f>_xlfn.XLOOKUP(C6,Table1[unit ask],Table1[my_fi_name])</f>
        <v>IBIT</v>
      </c>
      <c r="G6" s="13"/>
      <c r="H6" s="13" t="s">
        <v>8</v>
      </c>
      <c r="I6">
        <f t="shared" si="3"/>
        <v>3</v>
      </c>
      <c r="J6">
        <f t="shared" si="1"/>
        <v>0</v>
      </c>
      <c r="K6">
        <f t="shared" si="4"/>
        <v>3</v>
      </c>
      <c r="L6" s="3">
        <v>-0.1</v>
      </c>
      <c r="M6" s="5">
        <f>'ETF_2026-06-18'!C5</f>
        <v>28.47</v>
      </c>
      <c r="N6" s="5">
        <f t="shared" si="5"/>
        <v>-2.847</v>
      </c>
      <c r="O6" s="14">
        <f t="shared" si="2"/>
        <v>-4.4545374940876742E-5</v>
      </c>
    </row>
    <row r="7" spans="1:15" x14ac:dyDescent="0.25">
      <c r="A7" s="7" t="s">
        <v>19</v>
      </c>
      <c r="B7" s="8">
        <v>63810.704256000005</v>
      </c>
      <c r="C7" s="8">
        <v>63785.884315999996</v>
      </c>
      <c r="D7" s="8">
        <f t="shared" si="0"/>
        <v>24.819940000008501</v>
      </c>
      <c r="E7" s="9" t="str">
        <f>_xlfn.XLOOKUP(B7,Table1[unit bid],Table1[my_fi_name])</f>
        <v>BITB</v>
      </c>
      <c r="F7" s="9" t="str">
        <f>_xlfn.XLOOKUP(C7,Table1[unit ask],Table1[my_fi_name])</f>
        <v>HODL</v>
      </c>
      <c r="G7" s="13"/>
      <c r="H7" s="13" t="s">
        <v>9</v>
      </c>
      <c r="I7">
        <f t="shared" si="3"/>
        <v>0</v>
      </c>
      <c r="J7">
        <f t="shared" si="1"/>
        <v>0</v>
      </c>
      <c r="K7">
        <f t="shared" si="4"/>
        <v>0</v>
      </c>
      <c r="L7" s="3"/>
      <c r="M7" s="5">
        <f>'ETF_2026-06-18'!C6</f>
        <v>68.36</v>
      </c>
      <c r="N7" s="5">
        <f t="shared" si="5"/>
        <v>0</v>
      </c>
      <c r="O7" s="14">
        <f t="shared" si="2"/>
        <v>0</v>
      </c>
    </row>
    <row r="8" spans="1:15" x14ac:dyDescent="0.25">
      <c r="A8" s="7" t="s">
        <v>20</v>
      </c>
      <c r="B8" s="8">
        <v>63773.862047999995</v>
      </c>
      <c r="C8" s="8">
        <v>63760.914149999997</v>
      </c>
      <c r="D8" s="8">
        <f t="shared" si="0"/>
        <v>12.947897999998531</v>
      </c>
      <c r="E8" s="9" t="str">
        <f>_xlfn.XLOOKUP(B8,Table1[unit bid],Table1[my_fi_name])</f>
        <v>BITB</v>
      </c>
      <c r="F8" s="9" t="str">
        <f>_xlfn.XLOOKUP(C8,Table1[unit ask],Table1[my_fi_name])</f>
        <v>FBTC</v>
      </c>
      <c r="G8" s="13"/>
      <c r="H8" s="13" t="s">
        <v>10</v>
      </c>
      <c r="I8">
        <f t="shared" si="3"/>
        <v>0</v>
      </c>
      <c r="J8">
        <f t="shared" si="1"/>
        <v>0</v>
      </c>
      <c r="K8">
        <f t="shared" si="4"/>
        <v>0</v>
      </c>
      <c r="L8" s="3"/>
      <c r="M8" s="5">
        <f>'ETF_2026-06-18'!C7</f>
        <v>37.200000000000003</v>
      </c>
      <c r="N8" s="5">
        <f t="shared" si="5"/>
        <v>0</v>
      </c>
      <c r="O8" s="14">
        <f t="shared" si="2"/>
        <v>0</v>
      </c>
    </row>
    <row r="9" spans="1:15" x14ac:dyDescent="0.25">
      <c r="A9" s="7" t="s">
        <v>21</v>
      </c>
      <c r="B9" s="8">
        <v>63576.365219999992</v>
      </c>
      <c r="C9" s="8">
        <v>63554.121995999994</v>
      </c>
      <c r="D9" s="8">
        <f t="shared" si="0"/>
        <v>22.243223999998008</v>
      </c>
      <c r="E9" s="9" t="str">
        <f>_xlfn.XLOOKUP(B9,Table1[unit bid],Table1[my_fi_name])</f>
        <v>GBTC</v>
      </c>
      <c r="F9" s="9" t="str">
        <f>_xlfn.XLOOKUP(C9,Table1[unit ask],Table1[my_fi_name])</f>
        <v>FBTC</v>
      </c>
      <c r="G9" s="13"/>
      <c r="H9" s="13" t="s">
        <v>11</v>
      </c>
      <c r="I9">
        <f t="shared" si="3"/>
        <v>0</v>
      </c>
      <c r="J9">
        <f t="shared" si="1"/>
        <v>7</v>
      </c>
      <c r="K9">
        <f t="shared" si="4"/>
        <v>-7</v>
      </c>
      <c r="L9" s="3"/>
      <c r="M9" s="5">
        <f>'ETF_2026-06-18'!C8</f>
        <v>56.02</v>
      </c>
      <c r="N9" s="5">
        <f t="shared" si="5"/>
        <v>0</v>
      </c>
      <c r="O9" s="14">
        <f t="shared" si="2"/>
        <v>0</v>
      </c>
    </row>
    <row r="10" spans="1:15" x14ac:dyDescent="0.25">
      <c r="A10" s="7" t="s">
        <v>22</v>
      </c>
      <c r="B10" s="8">
        <v>63318.553519999987</v>
      </c>
      <c r="C10" s="8">
        <v>63294.592592000001</v>
      </c>
      <c r="D10" s="8">
        <f t="shared" si="0"/>
        <v>23.96092799998587</v>
      </c>
      <c r="E10" s="9" t="str">
        <f>_xlfn.XLOOKUP(B10,Table1[unit bid],Table1[my_fi_name])</f>
        <v>GBTC</v>
      </c>
      <c r="F10" s="9" t="str">
        <f>_xlfn.XLOOKUP(C10,Table1[unit ask],Table1[my_fi_name])</f>
        <v>IBIT</v>
      </c>
      <c r="G10" s="13"/>
      <c r="H10" s="13" t="s">
        <v>12</v>
      </c>
      <c r="I10">
        <f t="shared" si="3"/>
        <v>17</v>
      </c>
      <c r="J10">
        <f t="shared" si="1"/>
        <v>0</v>
      </c>
      <c r="K10">
        <f t="shared" si="4"/>
        <v>17</v>
      </c>
      <c r="L10" s="3">
        <v>0.05</v>
      </c>
      <c r="M10" s="5">
        <f>'ETF_2026-06-18'!C9</f>
        <v>49.93</v>
      </c>
      <c r="N10" s="5">
        <f t="shared" si="5"/>
        <v>2.4965000000000002</v>
      </c>
      <c r="O10" s="14">
        <f t="shared" si="2"/>
        <v>3.9442547898089175E-5</v>
      </c>
    </row>
    <row r="11" spans="1:15" x14ac:dyDescent="0.25">
      <c r="A11" s="7" t="s">
        <v>23</v>
      </c>
      <c r="B11" s="8">
        <v>63099.413574999999</v>
      </c>
      <c r="C11" s="8">
        <v>63082.786928000001</v>
      </c>
      <c r="D11" s="8">
        <f t="shared" si="0"/>
        <v>16.62664699999732</v>
      </c>
      <c r="E11" s="9" t="str">
        <f>_xlfn.XLOOKUP(B11,Table1[unit bid],Table1[my_fi_name])</f>
        <v>GBTC</v>
      </c>
      <c r="F11" s="9" t="str">
        <f>_xlfn.XLOOKUP(C11,Table1[unit ask],Table1[my_fi_name])</f>
        <v>IBIT</v>
      </c>
      <c r="G11" s="13"/>
      <c r="H11" s="13" t="s">
        <v>13</v>
      </c>
      <c r="I11">
        <f t="shared" si="3"/>
        <v>2</v>
      </c>
      <c r="J11">
        <f t="shared" si="1"/>
        <v>2</v>
      </c>
      <c r="K11">
        <f t="shared" si="4"/>
        <v>0</v>
      </c>
      <c r="L11" s="3"/>
      <c r="M11" s="5">
        <f>'ETF_2026-06-18'!C10</f>
        <v>18.2</v>
      </c>
      <c r="N11" s="5">
        <f t="shared" si="5"/>
        <v>0</v>
      </c>
      <c r="O11" s="14">
        <f t="shared" si="2"/>
        <v>0</v>
      </c>
    </row>
    <row r="12" spans="1:15" x14ac:dyDescent="0.25">
      <c r="A12" s="7" t="s">
        <v>24</v>
      </c>
      <c r="B12" s="8">
        <v>62558.009004999993</v>
      </c>
      <c r="C12" s="8">
        <v>62525.891585999991</v>
      </c>
      <c r="D12" s="8">
        <f>B12-C12</f>
        <v>32.117419000001973</v>
      </c>
      <c r="E12" s="9" t="str">
        <f>_xlfn.XLOOKUP(B12,Table1[unit bid],Table1[my_fi_name])</f>
        <v>GBTC</v>
      </c>
      <c r="F12" s="9" t="str">
        <f>_xlfn.XLOOKUP(C12,Table1[unit ask],Table1[my_fi_name])</f>
        <v>BRRR</v>
      </c>
      <c r="G12" s="13"/>
      <c r="H12" s="13" t="s">
        <v>14</v>
      </c>
      <c r="I12" s="15">
        <f t="shared" si="3"/>
        <v>0</v>
      </c>
      <c r="J12" s="15">
        <f t="shared" si="1"/>
        <v>12</v>
      </c>
      <c r="K12" s="15">
        <f t="shared" si="4"/>
        <v>-12</v>
      </c>
      <c r="L12" s="3"/>
      <c r="M12" s="5">
        <f>'ETF_2026-06-18'!C11</f>
        <v>36.44</v>
      </c>
      <c r="N12" s="5">
        <f t="shared" si="5"/>
        <v>0</v>
      </c>
      <c r="O12" s="14">
        <f t="shared" si="2"/>
        <v>0</v>
      </c>
    </row>
    <row r="13" spans="1:15" x14ac:dyDescent="0.25">
      <c r="A13" s="7" t="s">
        <v>25</v>
      </c>
      <c r="B13" s="8">
        <v>62570.899589999994</v>
      </c>
      <c r="C13" s="8">
        <v>62561.357208000001</v>
      </c>
      <c r="D13" s="8">
        <f t="shared" si="0"/>
        <v>9.542381999992358</v>
      </c>
      <c r="E13" s="9" t="str">
        <f>_xlfn.XLOOKUP(B13,Table1[unit bid],Table1[my_fi_name])</f>
        <v>GBTC</v>
      </c>
      <c r="F13" s="9" t="str">
        <f>_xlfn.XLOOKUP(C13,Table1[unit ask],Table1[my_fi_name])</f>
        <v>BRRR</v>
      </c>
      <c r="G13" s="13"/>
      <c r="H13" s="13"/>
      <c r="I13">
        <f>SUM(I3:I12)</f>
        <v>27</v>
      </c>
      <c r="J13">
        <f t="shared" ref="J13:K13" si="6">SUM(J3:J12)</f>
        <v>27</v>
      </c>
      <c r="K13">
        <f t="shared" si="6"/>
        <v>0</v>
      </c>
    </row>
    <row r="14" spans="1:15" x14ac:dyDescent="0.25">
      <c r="A14" s="7" t="s">
        <v>26</v>
      </c>
      <c r="B14" s="8">
        <v>62622.46192999999</v>
      </c>
      <c r="C14" s="8">
        <v>62612.068849999996</v>
      </c>
      <c r="D14" s="8">
        <f t="shared" si="0"/>
        <v>10.39307999999437</v>
      </c>
      <c r="E14" s="9" t="str">
        <f>_xlfn.XLOOKUP(B14,Table1[unit bid],Table1[my_fi_name])</f>
        <v>GBTC</v>
      </c>
      <c r="F14" s="9" t="str">
        <f>_xlfn.XLOOKUP(C14,Table1[unit ask],Table1[my_fi_name])</f>
        <v>FBTC</v>
      </c>
    </row>
    <row r="15" spans="1:15" x14ac:dyDescent="0.25">
      <c r="A15" s="7" t="s">
        <v>27</v>
      </c>
      <c r="B15" s="8">
        <v>62558.069184</v>
      </c>
      <c r="C15" s="8">
        <v>62553.272767999995</v>
      </c>
      <c r="D15" s="8">
        <f t="shared" si="0"/>
        <v>4.7964160000046832</v>
      </c>
      <c r="E15" s="9" t="str">
        <f>_xlfn.XLOOKUP(B15,Table1[unit bid],Table1[my_fi_name])</f>
        <v>BITB</v>
      </c>
      <c r="F15" s="9" t="str">
        <f>_xlfn.XLOOKUP(C15,Table1[unit ask],Table1[my_fi_name])</f>
        <v>IBIT</v>
      </c>
    </row>
    <row r="16" spans="1:15" x14ac:dyDescent="0.25">
      <c r="A16" s="7" t="s">
        <v>28</v>
      </c>
      <c r="B16" s="8">
        <v>62596.680759999996</v>
      </c>
      <c r="C16" s="8">
        <v>62577.603490999994</v>
      </c>
      <c r="D16" s="8">
        <f t="shared" si="0"/>
        <v>19.077269000001252</v>
      </c>
      <c r="E16" s="9" t="str">
        <f>_xlfn.XLOOKUP(B16,Table1[unit bid],Table1[my_fi_name])</f>
        <v>GBTC</v>
      </c>
      <c r="F16" s="9" t="str">
        <f>_xlfn.XLOOKUP(C16,Table1[unit ask],Table1[my_fi_name])</f>
        <v>FBTC</v>
      </c>
    </row>
    <row r="17" spans="1:6" x14ac:dyDescent="0.25">
      <c r="A17" s="7" t="s">
        <v>29</v>
      </c>
      <c r="B17" s="8">
        <v>62506.446664999996</v>
      </c>
      <c r="C17" s="8">
        <v>62490.425964000002</v>
      </c>
      <c r="D17" s="8">
        <f t="shared" si="0"/>
        <v>16.020700999994006</v>
      </c>
      <c r="E17" s="9" t="str">
        <f>_xlfn.XLOOKUP(B17,Table1[unit bid],Table1[my_fi_name])</f>
        <v>GBTC</v>
      </c>
      <c r="F17" s="9" t="str">
        <f>_xlfn.XLOOKUP(C17,Table1[unit ask],Table1[my_fi_name])</f>
        <v>BRRR</v>
      </c>
    </row>
    <row r="18" spans="1:6" x14ac:dyDescent="0.25">
      <c r="A18" s="7" t="s">
        <v>30</v>
      </c>
      <c r="B18" s="8">
        <v>62523.073095</v>
      </c>
      <c r="C18" s="8">
        <v>62517.971824</v>
      </c>
      <c r="D18" s="8">
        <f t="shared" si="0"/>
        <v>5.1012709999995423</v>
      </c>
      <c r="E18" s="9" t="str">
        <f>_xlfn.XLOOKUP(B18,Table1[unit bid],Table1[my_fi_name])</f>
        <v>BTC</v>
      </c>
      <c r="F18" s="9" t="str">
        <f>_xlfn.XLOOKUP(C18,Table1[unit ask],Table1[my_fi_name])</f>
        <v>IBIT</v>
      </c>
    </row>
    <row r="19" spans="1:6" x14ac:dyDescent="0.25">
      <c r="A19" s="7" t="s">
        <v>31</v>
      </c>
      <c r="B19" s="8">
        <v>62596.680759999996</v>
      </c>
      <c r="C19" s="8">
        <v>62588.573711999998</v>
      </c>
      <c r="D19" s="8">
        <f t="shared" si="0"/>
        <v>8.1070479999980307</v>
      </c>
      <c r="E19" s="9" t="str">
        <f>_xlfn.XLOOKUP(B19,Table1[unit bid],Table1[my_fi_name])</f>
        <v>GBTC</v>
      </c>
      <c r="F19" s="9" t="str">
        <f>_xlfn.XLOOKUP(C19,Table1[unit ask],Table1[my_fi_name])</f>
        <v>IBIT</v>
      </c>
    </row>
    <row r="20" spans="1:6" x14ac:dyDescent="0.25">
      <c r="A20" s="7" t="s">
        <v>32</v>
      </c>
      <c r="B20" s="8">
        <v>62622.46192999999</v>
      </c>
      <c r="C20" s="8">
        <v>62596.82282999999</v>
      </c>
      <c r="D20" s="8">
        <f t="shared" si="0"/>
        <v>25.639100000000326</v>
      </c>
      <c r="E20" s="9" t="str">
        <f>_xlfn.XLOOKUP(B20,Table1[unit bid],Table1[my_fi_name])</f>
        <v>GBTC</v>
      </c>
      <c r="F20" s="9" t="str">
        <f>_xlfn.XLOOKUP(C20,Table1[unit ask],Table1[my_fi_name])</f>
        <v>BRRR</v>
      </c>
    </row>
    <row r="21" spans="1:6" x14ac:dyDescent="0.25">
      <c r="A21" s="7" t="s">
        <v>33</v>
      </c>
      <c r="B21" s="8">
        <v>62622.46192999999</v>
      </c>
      <c r="C21" s="8">
        <v>62596.82282999999</v>
      </c>
      <c r="D21" s="8">
        <f t="shared" ref="D21:D28" si="7">B21-C21</f>
        <v>25.639100000000326</v>
      </c>
      <c r="E21" s="9" t="str">
        <f>_xlfn.XLOOKUP(B21,Table1[unit bid],Table1[my_fi_name])</f>
        <v>GBTC</v>
      </c>
      <c r="F21" s="9" t="str">
        <f>_xlfn.XLOOKUP(C21,Table1[unit ask],Table1[my_fi_name])</f>
        <v>BRRR</v>
      </c>
    </row>
    <row r="22" spans="1:6" x14ac:dyDescent="0.25">
      <c r="A22" s="7" t="s">
        <v>34</v>
      </c>
      <c r="B22" s="8">
        <v>62828.711289999999</v>
      </c>
      <c r="C22" s="8">
        <v>62809.616562000003</v>
      </c>
      <c r="D22" s="8">
        <f t="shared" si="7"/>
        <v>19.094727999996394</v>
      </c>
      <c r="E22" s="9" t="str">
        <f>_xlfn.XLOOKUP(B22,Table1[unit bid],Table1[my_fi_name])</f>
        <v>GBTC</v>
      </c>
      <c r="F22" s="9" t="str">
        <f>_xlfn.XLOOKUP(C22,Table1[unit ask],Table1[my_fi_name])</f>
        <v>BRRR</v>
      </c>
    </row>
    <row r="23" spans="1:6" x14ac:dyDescent="0.25">
      <c r="A23" s="7" t="s">
        <v>35</v>
      </c>
      <c r="B23" s="8">
        <v>62726.584002000003</v>
      </c>
      <c r="C23" s="8">
        <v>62725.143445999995</v>
      </c>
      <c r="D23" s="8">
        <f t="shared" si="7"/>
        <v>1.4405560000086552</v>
      </c>
      <c r="E23" s="9" t="str">
        <f>_xlfn.XLOOKUP(B23,Table1[unit bid],Table1[my_fi_name])</f>
        <v>BTC</v>
      </c>
      <c r="F23" s="9" t="str">
        <f>_xlfn.XLOOKUP(C23,Table1[unit ask],Table1[my_fi_name])</f>
        <v>HODL</v>
      </c>
    </row>
    <row r="24" spans="1:6" x14ac:dyDescent="0.25">
      <c r="A24" s="7" t="s">
        <v>36</v>
      </c>
      <c r="B24" s="8">
        <v>62751.367779999993</v>
      </c>
      <c r="C24" s="8">
        <v>62738.441832999997</v>
      </c>
      <c r="D24" s="8">
        <f t="shared" si="7"/>
        <v>12.925946999996086</v>
      </c>
      <c r="E24" s="9" t="str">
        <f>_xlfn.XLOOKUP(B24,Table1[unit bid],Table1[my_fi_name])</f>
        <v>GBTC</v>
      </c>
      <c r="F24" s="9" t="str">
        <f>_xlfn.XLOOKUP(C24,Table1[unit ask],Table1[my_fi_name])</f>
        <v>FBTC</v>
      </c>
    </row>
    <row r="25" spans="1:6" x14ac:dyDescent="0.25">
      <c r="A25" s="7" t="s">
        <v>37</v>
      </c>
      <c r="B25" s="8">
        <v>62596.680759999996</v>
      </c>
      <c r="C25" s="8">
        <v>62588.573711999998</v>
      </c>
      <c r="D25" s="8">
        <f t="shared" si="7"/>
        <v>8.1070479999980307</v>
      </c>
      <c r="E25" s="9" t="str">
        <f>_xlfn.XLOOKUP(B25,Table1[unit bid],Table1[my_fi_name])</f>
        <v>GBTC</v>
      </c>
      <c r="F25" s="9" t="str">
        <f>_xlfn.XLOOKUP(C25,Table1[unit ask],Table1[my_fi_name])</f>
        <v>IBIT</v>
      </c>
    </row>
    <row r="26" spans="1:6" x14ac:dyDescent="0.25">
      <c r="A26" s="7" t="s">
        <v>38</v>
      </c>
      <c r="B26" s="8">
        <v>62668.595808000005</v>
      </c>
      <c r="C26" s="8">
        <v>62658.022661999996</v>
      </c>
      <c r="D26" s="8">
        <f t="shared" si="7"/>
        <v>10.573146000009729</v>
      </c>
      <c r="E26" s="9" t="str">
        <f>_xlfn.XLOOKUP(B26,Table1[unit bid],Table1[my_fi_name])</f>
        <v>BITB</v>
      </c>
      <c r="F26" s="9" t="str">
        <f>_xlfn.XLOOKUP(C26,Table1[unit ask],Table1[my_fi_name])</f>
        <v>FBTC</v>
      </c>
    </row>
    <row r="27" spans="1:6" x14ac:dyDescent="0.25">
      <c r="A27" s="7" t="s">
        <v>39</v>
      </c>
      <c r="B27" s="8">
        <v>62760.501475000005</v>
      </c>
      <c r="C27" s="8">
        <v>62747.427959999994</v>
      </c>
      <c r="D27" s="8">
        <f t="shared" si="7"/>
        <v>13.073515000010957</v>
      </c>
      <c r="E27" s="9" t="str">
        <f>_xlfn.XLOOKUP(B27,Table1[unit bid],Table1[my_fi_name])</f>
        <v>HODL</v>
      </c>
      <c r="F27" s="9" t="str">
        <f>_xlfn.XLOOKUP(C27,Table1[unit ask],Table1[my_fi_name])</f>
        <v>IBIT</v>
      </c>
    </row>
    <row r="28" spans="1:6" ht="17.25" x14ac:dyDescent="0.4">
      <c r="A28" s="7" t="s">
        <v>40</v>
      </c>
      <c r="B28" s="8">
        <v>62901.933591000001</v>
      </c>
      <c r="C28" s="8">
        <v>62876.303268999996</v>
      </c>
      <c r="D28" s="16">
        <f t="shared" si="7"/>
        <v>25.630322000004526</v>
      </c>
      <c r="E28" s="9" t="str">
        <f>_xlfn.XLOOKUP(B28,Table1[unit bid],Table1[my_fi_name])</f>
        <v>HODL</v>
      </c>
      <c r="F28" s="9" t="str">
        <f>_xlfn.XLOOKUP(C28,Table1[unit ask],Table1[my_fi_name])</f>
        <v>FBTC</v>
      </c>
    </row>
    <row r="29" spans="1:6" x14ac:dyDescent="0.25">
      <c r="D29" s="8">
        <f>SUM(D2:D28)</f>
        <v>456.29405899999256</v>
      </c>
    </row>
  </sheetData>
  <conditionalFormatting sqref="K3:K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2026-06-23T14:02:46Z</dcterms:created>
  <dcterms:modified xsi:type="dcterms:W3CDTF">2026-06-23T14:11:33Z</dcterms:modified>
</cp:coreProperties>
</file>