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spreadsheets\"/>
    </mc:Choice>
  </mc:AlternateContent>
  <xr:revisionPtr revIDLastSave="0" documentId="13_ncr:9_{5DE53C1C-1DE0-431F-B532-0DA838D713CD}" xr6:coauthVersionLast="47" xr6:coauthVersionMax="47" xr10:uidLastSave="{00000000-0000-0000-0000-000000000000}"/>
  <bookViews>
    <workbookView xWindow="29925" yWindow="2130" windowWidth="27135" windowHeight="12930" activeTab="1" xr2:uid="{3CEC257E-9E1A-4A57-8276-C0CD7C24724E}"/>
  </bookViews>
  <sheets>
    <sheet name="ETF_2026-06-12" sheetId="1" r:id="rId1"/>
    <sheet name="Sheet1" sheetId="2" r:id="rId2"/>
  </sheets>
  <externalReferences>
    <externalReference r:id="rId3"/>
  </externalReferences>
  <calcPr calcId="0"/>
  <pivotCaches>
    <pivotCache cacheId="160" r:id="rId4"/>
  </pivotCaches>
</workbook>
</file>

<file path=xl/calcChain.xml><?xml version="1.0" encoding="utf-8"?>
<calcChain xmlns="http://schemas.openxmlformats.org/spreadsheetml/2006/main">
  <c r="S2" i="2" l="1"/>
  <c r="R2" i="2"/>
  <c r="Q2" i="2"/>
  <c r="M4" i="2"/>
  <c r="M5" i="2"/>
  <c r="M6" i="2"/>
  <c r="M7" i="2"/>
  <c r="M8" i="2"/>
  <c r="M9" i="2"/>
  <c r="M10" i="2"/>
  <c r="M11" i="2"/>
  <c r="M12" i="2"/>
  <c r="M3" i="2"/>
  <c r="F3" i="1"/>
  <c r="F4" i="1"/>
  <c r="F5" i="1"/>
  <c r="F6" i="1"/>
  <c r="F7" i="1"/>
  <c r="F8" i="1"/>
  <c r="F9" i="1"/>
  <c r="F10" i="1"/>
  <c r="F11" i="1"/>
  <c r="F2" i="1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G11" i="1"/>
  <c r="G10" i="1"/>
  <c r="G9" i="1"/>
  <c r="G8" i="1"/>
  <c r="G7" i="1"/>
  <c r="G6" i="1"/>
  <c r="G5" i="1"/>
  <c r="G4" i="1"/>
  <c r="G2" i="1"/>
  <c r="G3" i="1" l="1"/>
  <c r="F14" i="1"/>
  <c r="F13" i="1"/>
  <c r="F15" i="1"/>
  <c r="F16" i="1"/>
  <c r="F17" i="1"/>
  <c r="F18" i="1"/>
  <c r="F19" i="1"/>
  <c r="F20" i="1"/>
  <c r="F21" i="1"/>
  <c r="D23" i="2"/>
  <c r="F12" i="1"/>
  <c r="G12" i="1" s="1"/>
  <c r="F22" i="1"/>
  <c r="N12" i="2"/>
  <c r="O12" i="2" s="1"/>
  <c r="N11" i="2"/>
  <c r="O11" i="2" s="1"/>
  <c r="N10" i="2"/>
  <c r="O10" i="2" s="1"/>
  <c r="N7" i="2"/>
  <c r="O7" i="2" s="1"/>
  <c r="N8" i="2"/>
  <c r="O8" i="2" s="1"/>
  <c r="N6" i="2"/>
  <c r="O6" i="2" s="1"/>
  <c r="N3" i="2"/>
  <c r="O3" i="2" s="1"/>
  <c r="N9" i="2"/>
  <c r="O9" i="2" s="1"/>
  <c r="N5" i="2"/>
  <c r="O5" i="2" s="1"/>
  <c r="N4" i="2"/>
  <c r="O4" i="2" s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I2" i="1"/>
  <c r="H2" i="1"/>
  <c r="I3" i="1" l="1"/>
  <c r="H3" i="1"/>
  <c r="G14" i="1"/>
  <c r="F24" i="1"/>
  <c r="G13" i="1"/>
  <c r="F23" i="1"/>
  <c r="G15" i="1"/>
  <c r="F25" i="1"/>
  <c r="G16" i="1"/>
  <c r="F26" i="1"/>
  <c r="G17" i="1"/>
  <c r="F27" i="1"/>
  <c r="G18" i="1"/>
  <c r="F28" i="1"/>
  <c r="G19" i="1"/>
  <c r="F29" i="1"/>
  <c r="F30" i="1"/>
  <c r="G20" i="1"/>
  <c r="G21" i="1"/>
  <c r="F31" i="1"/>
  <c r="I12" i="1"/>
  <c r="H12" i="1"/>
  <c r="G22" i="1"/>
  <c r="F32" i="1"/>
  <c r="I14" i="1" l="1"/>
  <c r="H14" i="1"/>
  <c r="G24" i="1"/>
  <c r="F34" i="1"/>
  <c r="H13" i="1"/>
  <c r="I13" i="1"/>
  <c r="G23" i="1"/>
  <c r="F33" i="1"/>
  <c r="I15" i="1"/>
  <c r="H15" i="1"/>
  <c r="G25" i="1"/>
  <c r="F35" i="1"/>
  <c r="I16" i="1"/>
  <c r="H16" i="1"/>
  <c r="F36" i="1"/>
  <c r="G26" i="1"/>
  <c r="I17" i="1"/>
  <c r="H17" i="1"/>
  <c r="G27" i="1"/>
  <c r="F37" i="1"/>
  <c r="H18" i="1"/>
  <c r="I18" i="1"/>
  <c r="G28" i="1"/>
  <c r="F38" i="1"/>
  <c r="H19" i="1"/>
  <c r="I19" i="1"/>
  <c r="F39" i="1"/>
  <c r="G29" i="1"/>
  <c r="G30" i="1"/>
  <c r="F40" i="1"/>
  <c r="H20" i="1"/>
  <c r="I20" i="1"/>
  <c r="I21" i="1"/>
  <c r="H21" i="1"/>
  <c r="G31" i="1"/>
  <c r="F41" i="1"/>
  <c r="H22" i="1"/>
  <c r="I22" i="1"/>
  <c r="G32" i="1"/>
  <c r="F42" i="1"/>
  <c r="I24" i="1" l="1"/>
  <c r="H24" i="1"/>
  <c r="F44" i="1"/>
  <c r="G34" i="1"/>
  <c r="I23" i="1"/>
  <c r="H23" i="1"/>
  <c r="G33" i="1"/>
  <c r="F43" i="1"/>
  <c r="H25" i="1"/>
  <c r="I25" i="1"/>
  <c r="G35" i="1"/>
  <c r="F45" i="1"/>
  <c r="G36" i="1"/>
  <c r="F46" i="1"/>
  <c r="H26" i="1"/>
  <c r="I26" i="1"/>
  <c r="H27" i="1"/>
  <c r="I27" i="1"/>
  <c r="G37" i="1"/>
  <c r="F47" i="1"/>
  <c r="H28" i="1"/>
  <c r="I28" i="1"/>
  <c r="G38" i="1"/>
  <c r="F48" i="1"/>
  <c r="G39" i="1"/>
  <c r="F49" i="1"/>
  <c r="I29" i="1"/>
  <c r="H29" i="1"/>
  <c r="H30" i="1"/>
  <c r="I30" i="1"/>
  <c r="G40" i="1"/>
  <c r="F50" i="1"/>
  <c r="H31" i="1"/>
  <c r="I31" i="1"/>
  <c r="G41" i="1"/>
  <c r="F51" i="1"/>
  <c r="H32" i="1"/>
  <c r="I32" i="1"/>
  <c r="G42" i="1"/>
  <c r="F52" i="1"/>
  <c r="F54" i="1" l="1"/>
  <c r="G44" i="1"/>
  <c r="H34" i="1"/>
  <c r="I34" i="1"/>
  <c r="I33" i="1"/>
  <c r="H33" i="1"/>
  <c r="F53" i="1"/>
  <c r="G43" i="1"/>
  <c r="H35" i="1"/>
  <c r="I35" i="1"/>
  <c r="F55" i="1"/>
  <c r="G45" i="1"/>
  <c r="H36" i="1"/>
  <c r="I36" i="1"/>
  <c r="G46" i="1"/>
  <c r="F56" i="1"/>
  <c r="H37" i="1"/>
  <c r="I37" i="1"/>
  <c r="G47" i="1"/>
  <c r="F57" i="1"/>
  <c r="H38" i="1"/>
  <c r="I38" i="1"/>
  <c r="G48" i="1"/>
  <c r="F58" i="1"/>
  <c r="H39" i="1"/>
  <c r="I39" i="1"/>
  <c r="G49" i="1"/>
  <c r="F59" i="1"/>
  <c r="I40" i="1"/>
  <c r="H40" i="1"/>
  <c r="F60" i="1"/>
  <c r="G50" i="1"/>
  <c r="I41" i="1"/>
  <c r="H41" i="1"/>
  <c r="G51" i="1"/>
  <c r="F61" i="1"/>
  <c r="I42" i="1"/>
  <c r="H42" i="1"/>
  <c r="G52" i="1"/>
  <c r="F62" i="1"/>
  <c r="F64" i="1" l="1"/>
  <c r="G54" i="1"/>
  <c r="H44" i="1"/>
  <c r="I44" i="1"/>
  <c r="G53" i="1"/>
  <c r="F63" i="1"/>
  <c r="H43" i="1"/>
  <c r="I43" i="1"/>
  <c r="G55" i="1"/>
  <c r="F65" i="1"/>
  <c r="H45" i="1"/>
  <c r="I45" i="1"/>
  <c r="H46" i="1"/>
  <c r="I46" i="1"/>
  <c r="G56" i="1"/>
  <c r="F66" i="1"/>
  <c r="H47" i="1"/>
  <c r="I47" i="1"/>
  <c r="G57" i="1"/>
  <c r="F67" i="1"/>
  <c r="H48" i="1"/>
  <c r="I48" i="1"/>
  <c r="F68" i="1"/>
  <c r="G58" i="1"/>
  <c r="H49" i="1"/>
  <c r="I49" i="1"/>
  <c r="F69" i="1"/>
  <c r="G59" i="1"/>
  <c r="G60" i="1"/>
  <c r="F70" i="1"/>
  <c r="H50" i="1"/>
  <c r="I50" i="1"/>
  <c r="H51" i="1"/>
  <c r="I51" i="1"/>
  <c r="G61" i="1"/>
  <c r="F71" i="1"/>
  <c r="H52" i="1"/>
  <c r="I52" i="1"/>
  <c r="G62" i="1"/>
  <c r="F72" i="1"/>
  <c r="G64" i="1" l="1"/>
  <c r="F74" i="1"/>
  <c r="H54" i="1"/>
  <c r="I54" i="1"/>
  <c r="H53" i="1"/>
  <c r="I53" i="1"/>
  <c r="G63" i="1"/>
  <c r="F73" i="1"/>
  <c r="I55" i="1"/>
  <c r="H55" i="1"/>
  <c r="F75" i="1"/>
  <c r="G65" i="1"/>
  <c r="H56" i="1"/>
  <c r="I56" i="1"/>
  <c r="F76" i="1"/>
  <c r="G66" i="1"/>
  <c r="H57" i="1"/>
  <c r="I57" i="1"/>
  <c r="G67" i="1"/>
  <c r="F77" i="1"/>
  <c r="G68" i="1"/>
  <c r="F78" i="1"/>
  <c r="H58" i="1"/>
  <c r="I58" i="1"/>
  <c r="F79" i="1"/>
  <c r="G69" i="1"/>
  <c r="I59" i="1"/>
  <c r="H59" i="1"/>
  <c r="H60" i="1"/>
  <c r="I60" i="1"/>
  <c r="G70" i="1"/>
  <c r="F80" i="1"/>
  <c r="I61" i="1"/>
  <c r="H61" i="1"/>
  <c r="G71" i="1"/>
  <c r="F81" i="1"/>
  <c r="H62" i="1"/>
  <c r="I62" i="1"/>
  <c r="G72" i="1"/>
  <c r="F82" i="1"/>
  <c r="I64" i="1" l="1"/>
  <c r="H64" i="1"/>
  <c r="G74" i="1"/>
  <c r="F84" i="1"/>
  <c r="H63" i="1"/>
  <c r="I63" i="1"/>
  <c r="G73" i="1"/>
  <c r="F83" i="1"/>
  <c r="G75" i="1"/>
  <c r="F85" i="1"/>
  <c r="I65" i="1"/>
  <c r="H65" i="1"/>
  <c r="G76" i="1"/>
  <c r="F86" i="1"/>
  <c r="H66" i="1"/>
  <c r="I66" i="1"/>
  <c r="H67" i="1"/>
  <c r="I67" i="1"/>
  <c r="F87" i="1"/>
  <c r="G77" i="1"/>
  <c r="I68" i="1"/>
  <c r="H68" i="1"/>
  <c r="F88" i="1"/>
  <c r="G78" i="1"/>
  <c r="F89" i="1"/>
  <c r="G79" i="1"/>
  <c r="I69" i="1"/>
  <c r="H69" i="1"/>
  <c r="I70" i="1"/>
  <c r="H70" i="1"/>
  <c r="F90" i="1"/>
  <c r="G80" i="1"/>
  <c r="I71" i="1"/>
  <c r="H71" i="1"/>
  <c r="G81" i="1"/>
  <c r="F91" i="1"/>
  <c r="H72" i="1"/>
  <c r="I72" i="1"/>
  <c r="G82" i="1"/>
  <c r="F92" i="1"/>
  <c r="I74" i="1" l="1"/>
  <c r="H74" i="1"/>
  <c r="F94" i="1"/>
  <c r="G84" i="1"/>
  <c r="I73" i="1"/>
  <c r="H73" i="1"/>
  <c r="G83" i="1"/>
  <c r="F93" i="1"/>
  <c r="I75" i="1"/>
  <c r="H75" i="1"/>
  <c r="G85" i="1"/>
  <c r="F95" i="1"/>
  <c r="I76" i="1"/>
  <c r="H76" i="1"/>
  <c r="G86" i="1"/>
  <c r="F96" i="1"/>
  <c r="G87" i="1"/>
  <c r="F97" i="1"/>
  <c r="H77" i="1"/>
  <c r="I77" i="1"/>
  <c r="G88" i="1"/>
  <c r="F98" i="1"/>
  <c r="I78" i="1"/>
  <c r="H78" i="1"/>
  <c r="G89" i="1"/>
  <c r="F99" i="1"/>
  <c r="H79" i="1"/>
  <c r="I79" i="1"/>
  <c r="F100" i="1"/>
  <c r="G90" i="1"/>
  <c r="H80" i="1"/>
  <c r="I80" i="1"/>
  <c r="H81" i="1"/>
  <c r="I81" i="1"/>
  <c r="F101" i="1"/>
  <c r="G91" i="1"/>
  <c r="H82" i="1"/>
  <c r="I82" i="1"/>
  <c r="G92" i="1"/>
  <c r="F102" i="1"/>
  <c r="G94" i="1" l="1"/>
  <c r="F104" i="1"/>
  <c r="I84" i="1"/>
  <c r="H84" i="1"/>
  <c r="H83" i="1"/>
  <c r="I83" i="1"/>
  <c r="G93" i="1"/>
  <c r="F103" i="1"/>
  <c r="H85" i="1"/>
  <c r="I85" i="1"/>
  <c r="G95" i="1"/>
  <c r="F105" i="1"/>
  <c r="I86" i="1"/>
  <c r="H86" i="1"/>
  <c r="G96" i="1"/>
  <c r="F106" i="1"/>
  <c r="H87" i="1"/>
  <c r="I87" i="1"/>
  <c r="G97" i="1"/>
  <c r="F107" i="1"/>
  <c r="I88" i="1"/>
  <c r="H88" i="1"/>
  <c r="G98" i="1"/>
  <c r="F108" i="1"/>
  <c r="H89" i="1"/>
  <c r="I89" i="1"/>
  <c r="G99" i="1"/>
  <c r="F109" i="1"/>
  <c r="G100" i="1"/>
  <c r="F110" i="1"/>
  <c r="I90" i="1"/>
  <c r="H90" i="1"/>
  <c r="G101" i="1"/>
  <c r="F111" i="1"/>
  <c r="H91" i="1"/>
  <c r="I91" i="1"/>
  <c r="I92" i="1"/>
  <c r="H92" i="1"/>
  <c r="G102" i="1"/>
  <c r="F112" i="1"/>
  <c r="I94" i="1" l="1"/>
  <c r="H94" i="1"/>
  <c r="G104" i="1"/>
  <c r="F114" i="1"/>
  <c r="I93" i="1"/>
  <c r="H93" i="1"/>
  <c r="G103" i="1"/>
  <c r="F113" i="1"/>
  <c r="H95" i="1"/>
  <c r="I95" i="1"/>
  <c r="G105" i="1"/>
  <c r="F115" i="1"/>
  <c r="I96" i="1"/>
  <c r="H96" i="1"/>
  <c r="G106" i="1"/>
  <c r="F116" i="1"/>
  <c r="H97" i="1"/>
  <c r="I97" i="1"/>
  <c r="G107" i="1"/>
  <c r="F117" i="1"/>
  <c r="I98" i="1"/>
  <c r="H98" i="1"/>
  <c r="G108" i="1"/>
  <c r="F118" i="1"/>
  <c r="H99" i="1"/>
  <c r="I99" i="1"/>
  <c r="G109" i="1"/>
  <c r="F119" i="1"/>
  <c r="I100" i="1"/>
  <c r="H100" i="1"/>
  <c r="G110" i="1"/>
  <c r="F120" i="1"/>
  <c r="I101" i="1"/>
  <c r="H101" i="1"/>
  <c r="G111" i="1"/>
  <c r="F121" i="1"/>
  <c r="H102" i="1"/>
  <c r="I102" i="1"/>
  <c r="G112" i="1"/>
  <c r="F122" i="1"/>
  <c r="H104" i="1" l="1"/>
  <c r="I104" i="1"/>
  <c r="G114" i="1"/>
  <c r="F124" i="1"/>
  <c r="H103" i="1"/>
  <c r="I103" i="1"/>
  <c r="G113" i="1"/>
  <c r="F123" i="1"/>
  <c r="I105" i="1"/>
  <c r="H105" i="1"/>
  <c r="G115" i="1"/>
  <c r="F125" i="1"/>
  <c r="H106" i="1"/>
  <c r="I106" i="1"/>
  <c r="G116" i="1"/>
  <c r="F126" i="1"/>
  <c r="H107" i="1"/>
  <c r="I107" i="1"/>
  <c r="G117" i="1"/>
  <c r="F127" i="1"/>
  <c r="H108" i="1"/>
  <c r="I108" i="1"/>
  <c r="G118" i="1"/>
  <c r="F128" i="1"/>
  <c r="H109" i="1"/>
  <c r="I109" i="1"/>
  <c r="G119" i="1"/>
  <c r="F129" i="1"/>
  <c r="H110" i="1"/>
  <c r="I110" i="1"/>
  <c r="G120" i="1"/>
  <c r="F130" i="1"/>
  <c r="I111" i="1"/>
  <c r="H111" i="1"/>
  <c r="G121" i="1"/>
  <c r="F131" i="1"/>
  <c r="H112" i="1"/>
  <c r="I112" i="1"/>
  <c r="G122" i="1"/>
  <c r="F132" i="1"/>
  <c r="I114" i="1" l="1"/>
  <c r="H114" i="1"/>
  <c r="G124" i="1"/>
  <c r="F134" i="1"/>
  <c r="I113" i="1"/>
  <c r="H113" i="1"/>
  <c r="G123" i="1"/>
  <c r="F133" i="1"/>
  <c r="I115" i="1"/>
  <c r="H115" i="1"/>
  <c r="G125" i="1"/>
  <c r="F135" i="1"/>
  <c r="H116" i="1"/>
  <c r="I116" i="1"/>
  <c r="G126" i="1"/>
  <c r="F136" i="1"/>
  <c r="I117" i="1"/>
  <c r="H117" i="1"/>
  <c r="G127" i="1"/>
  <c r="F137" i="1"/>
  <c r="I118" i="1"/>
  <c r="H118" i="1"/>
  <c r="G128" i="1"/>
  <c r="F138" i="1"/>
  <c r="H119" i="1"/>
  <c r="I119" i="1"/>
  <c r="G129" i="1"/>
  <c r="F139" i="1"/>
  <c r="I120" i="1"/>
  <c r="H120" i="1"/>
  <c r="G130" i="1"/>
  <c r="F140" i="1"/>
  <c r="I121" i="1"/>
  <c r="H121" i="1"/>
  <c r="G131" i="1"/>
  <c r="F141" i="1"/>
  <c r="H122" i="1"/>
  <c r="I122" i="1"/>
  <c r="G132" i="1"/>
  <c r="F142" i="1"/>
  <c r="H124" i="1" l="1"/>
  <c r="I124" i="1"/>
  <c r="G134" i="1"/>
  <c r="F144" i="1"/>
  <c r="I123" i="1"/>
  <c r="H123" i="1"/>
  <c r="G133" i="1"/>
  <c r="F143" i="1"/>
  <c r="H125" i="1"/>
  <c r="I125" i="1"/>
  <c r="G135" i="1"/>
  <c r="F145" i="1"/>
  <c r="I126" i="1"/>
  <c r="H126" i="1"/>
  <c r="G136" i="1"/>
  <c r="F146" i="1"/>
  <c r="I127" i="1"/>
  <c r="H127" i="1"/>
  <c r="G137" i="1"/>
  <c r="F147" i="1"/>
  <c r="I128" i="1"/>
  <c r="H128" i="1"/>
  <c r="G138" i="1"/>
  <c r="F148" i="1"/>
  <c r="I129" i="1"/>
  <c r="H129" i="1"/>
  <c r="G139" i="1"/>
  <c r="F149" i="1"/>
  <c r="H130" i="1"/>
  <c r="I130" i="1"/>
  <c r="G140" i="1"/>
  <c r="F150" i="1"/>
  <c r="I131" i="1"/>
  <c r="H131" i="1"/>
  <c r="G141" i="1"/>
  <c r="F151" i="1"/>
  <c r="H132" i="1"/>
  <c r="I132" i="1"/>
  <c r="G142" i="1"/>
  <c r="F152" i="1"/>
  <c r="H134" i="1" l="1"/>
  <c r="I134" i="1"/>
  <c r="F154" i="1"/>
  <c r="G144" i="1"/>
  <c r="I133" i="1"/>
  <c r="H133" i="1"/>
  <c r="G143" i="1"/>
  <c r="F153" i="1"/>
  <c r="H135" i="1"/>
  <c r="I135" i="1"/>
  <c r="G145" i="1"/>
  <c r="F155" i="1"/>
  <c r="H136" i="1"/>
  <c r="I136" i="1"/>
  <c r="G146" i="1"/>
  <c r="F156" i="1"/>
  <c r="I137" i="1"/>
  <c r="H137" i="1"/>
  <c r="G147" i="1"/>
  <c r="F157" i="1"/>
  <c r="H138" i="1"/>
  <c r="I138" i="1"/>
  <c r="F158" i="1"/>
  <c r="G148" i="1"/>
  <c r="I139" i="1"/>
  <c r="H139" i="1"/>
  <c r="F159" i="1"/>
  <c r="G149" i="1"/>
  <c r="H140" i="1"/>
  <c r="I140" i="1"/>
  <c r="G150" i="1"/>
  <c r="F160" i="1"/>
  <c r="H141" i="1"/>
  <c r="I141" i="1"/>
  <c r="G151" i="1"/>
  <c r="F161" i="1"/>
  <c r="H142" i="1"/>
  <c r="I142" i="1"/>
  <c r="G152" i="1"/>
  <c r="F162" i="1"/>
  <c r="G154" i="1" l="1"/>
  <c r="F164" i="1"/>
  <c r="I144" i="1"/>
  <c r="H144" i="1"/>
  <c r="I143" i="1"/>
  <c r="H143" i="1"/>
  <c r="G153" i="1"/>
  <c r="F163" i="1"/>
  <c r="H145" i="1"/>
  <c r="I145" i="1"/>
  <c r="G155" i="1"/>
  <c r="F165" i="1"/>
  <c r="I146" i="1"/>
  <c r="H146" i="1"/>
  <c r="F166" i="1"/>
  <c r="G156" i="1"/>
  <c r="H147" i="1"/>
  <c r="I147" i="1"/>
  <c r="G157" i="1"/>
  <c r="F167" i="1"/>
  <c r="G158" i="1"/>
  <c r="F168" i="1"/>
  <c r="H148" i="1"/>
  <c r="I148" i="1"/>
  <c r="G159" i="1"/>
  <c r="F169" i="1"/>
  <c r="I149" i="1"/>
  <c r="H149" i="1"/>
  <c r="I150" i="1"/>
  <c r="H150" i="1"/>
  <c r="F170" i="1"/>
  <c r="G160" i="1"/>
  <c r="I151" i="1"/>
  <c r="H151" i="1"/>
  <c r="G161" i="1"/>
  <c r="F171" i="1"/>
  <c r="I152" i="1"/>
  <c r="H152" i="1"/>
  <c r="G162" i="1"/>
  <c r="F172" i="1"/>
  <c r="H154" i="1" l="1"/>
  <c r="I154" i="1"/>
  <c r="G164" i="1"/>
  <c r="F174" i="1"/>
  <c r="H153" i="1"/>
  <c r="I153" i="1"/>
  <c r="G163" i="1"/>
  <c r="F173" i="1"/>
  <c r="I155" i="1"/>
  <c r="H155" i="1"/>
  <c r="G165" i="1"/>
  <c r="F175" i="1"/>
  <c r="G166" i="1"/>
  <c r="F176" i="1"/>
  <c r="H156" i="1"/>
  <c r="I156" i="1"/>
  <c r="H157" i="1"/>
  <c r="I157" i="1"/>
  <c r="G167" i="1"/>
  <c r="F177" i="1"/>
  <c r="H158" i="1"/>
  <c r="I158" i="1"/>
  <c r="G168" i="1"/>
  <c r="F178" i="1"/>
  <c r="I159" i="1"/>
  <c r="H159" i="1"/>
  <c r="F179" i="1"/>
  <c r="G169" i="1"/>
  <c r="F180" i="1"/>
  <c r="G170" i="1"/>
  <c r="H160" i="1"/>
  <c r="I160" i="1"/>
  <c r="I161" i="1"/>
  <c r="H161" i="1"/>
  <c r="F181" i="1"/>
  <c r="G171" i="1"/>
  <c r="H162" i="1"/>
  <c r="I162" i="1"/>
  <c r="G172" i="1"/>
  <c r="F182" i="1"/>
  <c r="H164" i="1" l="1"/>
  <c r="I164" i="1"/>
  <c r="G174" i="1"/>
  <c r="F184" i="1"/>
  <c r="I163" i="1"/>
  <c r="H163" i="1"/>
  <c r="G173" i="1"/>
  <c r="F183" i="1"/>
  <c r="I165" i="1"/>
  <c r="H165" i="1"/>
  <c r="G175" i="1"/>
  <c r="F185" i="1"/>
  <c r="I166" i="1"/>
  <c r="H166" i="1"/>
  <c r="G176" i="1"/>
  <c r="F186" i="1"/>
  <c r="I167" i="1"/>
  <c r="H167" i="1"/>
  <c r="F187" i="1"/>
  <c r="G177" i="1"/>
  <c r="H168" i="1"/>
  <c r="I168" i="1"/>
  <c r="F188" i="1"/>
  <c r="G178" i="1"/>
  <c r="G179" i="1"/>
  <c r="F189" i="1"/>
  <c r="H169" i="1"/>
  <c r="I169" i="1"/>
  <c r="F190" i="1"/>
  <c r="G180" i="1"/>
  <c r="H170" i="1"/>
  <c r="I170" i="1"/>
  <c r="F191" i="1"/>
  <c r="G181" i="1"/>
  <c r="I171" i="1"/>
  <c r="H171" i="1"/>
  <c r="I172" i="1"/>
  <c r="H172" i="1"/>
  <c r="G182" i="1"/>
  <c r="F192" i="1"/>
  <c r="I174" i="1" l="1"/>
  <c r="H174" i="1"/>
  <c r="F194" i="1"/>
  <c r="G184" i="1"/>
  <c r="H173" i="1"/>
  <c r="I173" i="1"/>
  <c r="G183" i="1"/>
  <c r="F193" i="1"/>
  <c r="H175" i="1"/>
  <c r="I175" i="1"/>
  <c r="G185" i="1"/>
  <c r="F195" i="1"/>
  <c r="I176" i="1"/>
  <c r="H176" i="1"/>
  <c r="F196" i="1"/>
  <c r="G186" i="1"/>
  <c r="F197" i="1"/>
  <c r="G187" i="1"/>
  <c r="H177" i="1"/>
  <c r="I177" i="1"/>
  <c r="F198" i="1"/>
  <c r="G188" i="1"/>
  <c r="I178" i="1"/>
  <c r="H178" i="1"/>
  <c r="H179" i="1"/>
  <c r="I179" i="1"/>
  <c r="F199" i="1"/>
  <c r="G189" i="1"/>
  <c r="G190" i="1"/>
  <c r="F200" i="1"/>
  <c r="I180" i="1"/>
  <c r="H180" i="1"/>
  <c r="G191" i="1"/>
  <c r="F201" i="1"/>
  <c r="H181" i="1"/>
  <c r="I181" i="1"/>
  <c r="I182" i="1"/>
  <c r="H182" i="1"/>
  <c r="G192" i="1"/>
  <c r="F202" i="1"/>
  <c r="G202" i="1" s="1"/>
  <c r="G194" i="1" l="1"/>
  <c r="F204" i="1"/>
  <c r="G204" i="1" s="1"/>
  <c r="I184" i="1"/>
  <c r="H184" i="1"/>
  <c r="H183" i="1"/>
  <c r="I183" i="1"/>
  <c r="G193" i="1"/>
  <c r="F203" i="1"/>
  <c r="G203" i="1" s="1"/>
  <c r="H185" i="1"/>
  <c r="I185" i="1"/>
  <c r="G195" i="1"/>
  <c r="F205" i="1"/>
  <c r="G205" i="1" s="1"/>
  <c r="G196" i="1"/>
  <c r="F206" i="1"/>
  <c r="G206" i="1" s="1"/>
  <c r="I186" i="1"/>
  <c r="H186" i="1"/>
  <c r="F207" i="1"/>
  <c r="G207" i="1" s="1"/>
  <c r="G197" i="1"/>
  <c r="H187" i="1"/>
  <c r="I187" i="1"/>
  <c r="G198" i="1"/>
  <c r="F208" i="1"/>
  <c r="G208" i="1" s="1"/>
  <c r="H188" i="1"/>
  <c r="I188" i="1"/>
  <c r="G199" i="1"/>
  <c r="F209" i="1"/>
  <c r="G209" i="1" s="1"/>
  <c r="I189" i="1"/>
  <c r="H189" i="1"/>
  <c r="I190" i="1"/>
  <c r="H190" i="1"/>
  <c r="F210" i="1"/>
  <c r="G210" i="1" s="1"/>
  <c r="G200" i="1"/>
  <c r="H191" i="1"/>
  <c r="I191" i="1"/>
  <c r="G201" i="1"/>
  <c r="F211" i="1"/>
  <c r="G211" i="1" s="1"/>
  <c r="H192" i="1"/>
  <c r="I192" i="1"/>
  <c r="H202" i="1"/>
  <c r="I202" i="1"/>
  <c r="H194" i="1" l="1"/>
  <c r="I194" i="1"/>
  <c r="H204" i="1"/>
  <c r="I204" i="1"/>
  <c r="I193" i="1"/>
  <c r="H193" i="1"/>
  <c r="I203" i="1"/>
  <c r="H203" i="1"/>
  <c r="H195" i="1"/>
  <c r="I195" i="1"/>
  <c r="I205" i="1"/>
  <c r="H205" i="1"/>
  <c r="I196" i="1"/>
  <c r="H196" i="1"/>
  <c r="H206" i="1"/>
  <c r="I206" i="1"/>
  <c r="H207" i="1"/>
  <c r="I207" i="1"/>
  <c r="H197" i="1"/>
  <c r="I197" i="1"/>
  <c r="I198" i="1"/>
  <c r="H198" i="1"/>
  <c r="I208" i="1"/>
  <c r="H208" i="1"/>
  <c r="H199" i="1"/>
  <c r="I199" i="1"/>
  <c r="I209" i="1"/>
  <c r="H209" i="1"/>
  <c r="H210" i="1"/>
  <c r="I210" i="1"/>
  <c r="I200" i="1"/>
  <c r="H200" i="1"/>
  <c r="I201" i="1"/>
  <c r="H201" i="1"/>
  <c r="H211" i="1"/>
  <c r="I211" i="1"/>
  <c r="E13" i="2"/>
  <c r="E11" i="2"/>
  <c r="E15" i="2"/>
  <c r="E16" i="2"/>
  <c r="E3" i="2"/>
  <c r="E20" i="2"/>
  <c r="E5" i="2"/>
  <c r="E4" i="2"/>
  <c r="E10" i="2"/>
  <c r="E12" i="2"/>
  <c r="E18" i="2"/>
  <c r="E19" i="2"/>
  <c r="E17" i="2"/>
  <c r="F16" i="2"/>
  <c r="F4" i="2"/>
  <c r="F2" i="2"/>
  <c r="F8" i="2"/>
  <c r="F17" i="2"/>
  <c r="F18" i="2"/>
  <c r="F20" i="2"/>
  <c r="F13" i="2"/>
  <c r="F6" i="2"/>
  <c r="F3" i="2"/>
  <c r="F15" i="2"/>
  <c r="F7" i="2"/>
  <c r="F11" i="2"/>
  <c r="F5" i="2"/>
  <c r="F9" i="2"/>
  <c r="F10" i="2"/>
  <c r="F21" i="2"/>
  <c r="F19" i="2"/>
  <c r="E9" i="2" l="1"/>
  <c r="E2" i="2"/>
  <c r="E6" i="2"/>
  <c r="E14" i="2"/>
  <c r="F12" i="2"/>
  <c r="F14" i="2"/>
  <c r="F22" i="2"/>
  <c r="E7" i="2"/>
  <c r="E21" i="2"/>
  <c r="E22" i="2"/>
  <c r="E8" i="2"/>
  <c r="J11" i="2" l="1"/>
  <c r="J8" i="2"/>
  <c r="J10" i="2"/>
  <c r="J12" i="2"/>
  <c r="J4" i="2"/>
  <c r="J6" i="2"/>
  <c r="J5" i="2"/>
  <c r="J3" i="2"/>
  <c r="I10" i="2"/>
  <c r="I12" i="2"/>
  <c r="I7" i="2"/>
  <c r="I9" i="2"/>
  <c r="I3" i="2"/>
  <c r="J7" i="2"/>
  <c r="J9" i="2"/>
  <c r="I5" i="2"/>
  <c r="I6" i="2"/>
  <c r="I11" i="2"/>
  <c r="I4" i="2"/>
  <c r="I8" i="2"/>
  <c r="K10" i="2" l="1"/>
  <c r="K5" i="2"/>
  <c r="K7" i="2"/>
  <c r="K6" i="2"/>
  <c r="K3" i="2"/>
  <c r="K11" i="2"/>
  <c r="K12" i="2"/>
  <c r="K9" i="2"/>
  <c r="J13" i="2"/>
  <c r="K4" i="2"/>
  <c r="I13" i="2"/>
  <c r="K8" i="2"/>
  <c r="K13" i="2" l="1"/>
  <c r="R10" i="2" l="1"/>
  <c r="R6" i="2"/>
  <c r="R4" i="2"/>
  <c r="R8" i="2"/>
  <c r="Q9" i="2"/>
  <c r="R9" i="2"/>
  <c r="R12" i="2"/>
  <c r="R11" i="2"/>
  <c r="R5" i="2"/>
  <c r="R3" i="2"/>
  <c r="Q10" i="2"/>
  <c r="R7" i="2"/>
  <c r="Q3" i="2"/>
  <c r="Q12" i="2"/>
  <c r="Q6" i="2"/>
  <c r="Q7" i="2"/>
  <c r="Q4" i="2"/>
  <c r="Q5" i="2"/>
  <c r="Q8" i="2"/>
  <c r="Q11" i="2"/>
  <c r="S10" i="2" l="1"/>
  <c r="S12" i="2"/>
  <c r="S6" i="2"/>
  <c r="S7" i="2"/>
  <c r="S4" i="2"/>
  <c r="S5" i="2"/>
  <c r="S8" i="2"/>
  <c r="S11" i="2"/>
  <c r="S3" i="2" l="1"/>
  <c r="Q13" i="2"/>
  <c r="S9" i="2"/>
  <c r="R13" i="2"/>
  <c r="S13" i="2" l="1"/>
</calcChain>
</file>

<file path=xl/sharedStrings.xml><?xml version="1.0" encoding="utf-8"?>
<sst xmlns="http://schemas.openxmlformats.org/spreadsheetml/2006/main" count="473" uniqueCount="52">
  <si>
    <t>my_fi_name</t>
  </si>
  <si>
    <t>price_mkt_bid</t>
  </si>
  <si>
    <t>price_mkt_ask</t>
  </si>
  <si>
    <t>time</t>
  </si>
  <si>
    <t>ARKB</t>
  </si>
  <si>
    <t>2026-06-12_09-38-50</t>
  </si>
  <si>
    <t>BITB</t>
  </si>
  <si>
    <t>BRRR</t>
  </si>
  <si>
    <t>BTC</t>
  </si>
  <si>
    <t>BTCW</t>
  </si>
  <si>
    <t>EZBC</t>
  </si>
  <si>
    <t>FBTC</t>
  </si>
  <si>
    <t>GBTC</t>
  </si>
  <si>
    <t>HODL</t>
  </si>
  <si>
    <t>IBIT</t>
  </si>
  <si>
    <t>2026-06-12_09-53-15</t>
  </si>
  <si>
    <t>2026-06-12_10-13-43</t>
  </si>
  <si>
    <t>2026-06-12_11-42-48</t>
  </si>
  <si>
    <t>2026-06-12_11-45-28</t>
  </si>
  <si>
    <t>2026-06-12_12-00-28</t>
  </si>
  <si>
    <t>2026-06-12_12-15-28</t>
  </si>
  <si>
    <t>2026-06-12_12-30-28</t>
  </si>
  <si>
    <t>2026-06-12_12-45-28</t>
  </si>
  <si>
    <t>2026-06-12_13-00-28</t>
  </si>
  <si>
    <t>2026-06-12_13-15-28</t>
  </si>
  <si>
    <t>2026-06-12_13-30-28</t>
  </si>
  <si>
    <t>2026-06-12_13-45-28</t>
  </si>
  <si>
    <t>2026-06-12_14-00-28</t>
  </si>
  <si>
    <t>2026-06-12_14-15-28</t>
  </si>
  <si>
    <t>2026-06-12_14-30-28</t>
  </si>
  <si>
    <t>2026-06-12_14-45-28</t>
  </si>
  <si>
    <t>2026-06-12_15-00-28</t>
  </si>
  <si>
    <t>2026-06-12_15-15-28</t>
  </si>
  <si>
    <t>2026-06-12_15-30-28</t>
  </si>
  <si>
    <t>2026-06-12_15-45-28</t>
  </si>
  <si>
    <t>scalar</t>
  </si>
  <si>
    <t>adj</t>
  </si>
  <si>
    <t>adj scalar</t>
  </si>
  <si>
    <t>unit bid</t>
  </si>
  <si>
    <t>unit ask</t>
  </si>
  <si>
    <t>Row Labels</t>
  </si>
  <si>
    <t>Max of unit bid</t>
  </si>
  <si>
    <t>Min of unit ask</t>
  </si>
  <si>
    <t>net</t>
  </si>
  <si>
    <t>bid name</t>
  </si>
  <si>
    <t>ask name</t>
  </si>
  <si>
    <t>running total</t>
  </si>
  <si>
    <t>hit bid</t>
  </si>
  <si>
    <t>lift ask</t>
  </si>
  <si>
    <t>diff</t>
  </si>
  <si>
    <t>price</t>
  </si>
  <si>
    <t>$ 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</si>
</sst>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.0000_);_(* \(#,##0.0000\);_(* &quot;-&quot;??_);_(@_)"/>
    <numFmt numFmtId="165" formatCode="0.0000"/>
    <numFmt numFmtId="166" formatCode="0.0000%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u val="singleAccounting"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164" fontId="0" fillId="0" borderId="0" xfId="1" applyNumberFormat="1" applyFont="1" applyAlignment="1">
      <alignment horizontal="center"/>
    </xf>
    <xf numFmtId="44" fontId="0" fillId="0" borderId="0" xfId="2" applyFont="1" applyAlignment="1">
      <alignment horizontal="center"/>
    </xf>
    <xf numFmtId="164" fontId="0" fillId="0" borderId="0" xfId="1" applyNumberFormat="1" applyFont="1"/>
    <xf numFmtId="164" fontId="0" fillId="33" borderId="0" xfId="1" applyNumberFormat="1" applyFont="1" applyFill="1"/>
    <xf numFmtId="44" fontId="0" fillId="0" borderId="0" xfId="2" applyFont="1"/>
    <xf numFmtId="164" fontId="0" fillId="0" borderId="0" xfId="0" applyNumberFormat="1"/>
    <xf numFmtId="44" fontId="0" fillId="0" borderId="0" xfId="0" applyNumberFormat="1"/>
    <xf numFmtId="0" fontId="18" fillId="0" borderId="0" xfId="0" applyFont="1" applyAlignment="1">
      <alignment horizontal="center"/>
    </xf>
    <xf numFmtId="44" fontId="16" fillId="0" borderId="0" xfId="2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8" fillId="0" borderId="0" xfId="0" applyFont="1" applyAlignment="1">
      <alignment horizontal="right"/>
    </xf>
    <xf numFmtId="0" fontId="16" fillId="0" borderId="0" xfId="0" applyFont="1"/>
    <xf numFmtId="0" fontId="19" fillId="0" borderId="0" xfId="0" applyFont="1"/>
    <xf numFmtId="165" fontId="0" fillId="0" borderId="0" xfId="0" applyNumberFormat="1"/>
    <xf numFmtId="44" fontId="18" fillId="0" borderId="0" xfId="2" applyFont="1" applyAlignment="1">
      <alignment horizontal="right"/>
    </xf>
    <xf numFmtId="166" fontId="0" fillId="0" borderId="0" xfId="3" applyNumberFormat="1" applyFont="1"/>
    <xf numFmtId="165" fontId="0" fillId="33" borderId="0" xfId="0" applyNumberFormat="1" applyFill="1"/>
    <xf numFmtId="44" fontId="20" fillId="0" borderId="0" xfId="0" applyNumberFormat="1" applyFont="1"/>
    <xf numFmtId="0" fontId="0" fillId="0" borderId="0" xfId="0" pivotButton="1"/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2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164" formatCode="_(* #,##0.0000_);_(* \(#,##0.0000\);_(* &quot;-&quot;??_);_(@_)"/>
    </dxf>
    <dxf>
      <numFmt numFmtId="164" formatCode="_(* #,##0.0000_);_(* \(#,##0.0000\);_(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4" formatCode="_(* #,##0.0000_);_(* \(#,##0.000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icha\git-crypto\spreadsheets\ETF_2026-06-11%20Analyzed.xlsx" TargetMode="External"/><Relationship Id="rId1" Type="http://schemas.openxmlformats.org/officeDocument/2006/relationships/externalLinkPath" Target="ETF_2026-06-11%20Analyz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TF_2026-06-11"/>
      <sheetName val="Sheet1"/>
    </sheetNames>
    <sheetDataSet>
      <sheetData sheetId="0"/>
      <sheetData sheetId="1">
        <row r="3">
          <cell r="Q3">
            <v>3</v>
          </cell>
          <cell r="R3">
            <v>5</v>
          </cell>
        </row>
        <row r="4">
          <cell r="Q4">
            <v>11</v>
          </cell>
          <cell r="R4">
            <v>7</v>
          </cell>
        </row>
        <row r="5">
          <cell r="Q5">
            <v>3</v>
          </cell>
          <cell r="R5">
            <v>0</v>
          </cell>
        </row>
        <row r="6">
          <cell r="Q6">
            <v>6</v>
          </cell>
          <cell r="R6">
            <v>2</v>
          </cell>
        </row>
        <row r="7">
          <cell r="Q7">
            <v>2</v>
          </cell>
          <cell r="R7">
            <v>0</v>
          </cell>
        </row>
        <row r="8">
          <cell r="Q8">
            <v>0</v>
          </cell>
          <cell r="R8">
            <v>1</v>
          </cell>
        </row>
        <row r="9">
          <cell r="Q9">
            <v>9</v>
          </cell>
          <cell r="R9">
            <v>3</v>
          </cell>
        </row>
        <row r="10">
          <cell r="Q10">
            <v>3</v>
          </cell>
          <cell r="R10">
            <v>9</v>
          </cell>
        </row>
        <row r="11">
          <cell r="Q11">
            <v>5</v>
          </cell>
          <cell r="R11">
            <v>6</v>
          </cell>
        </row>
        <row r="12">
          <cell r="Q12">
            <v>0</v>
          </cell>
          <cell r="R12">
            <v>9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hael Hyland" refreshedDate="46185.754656481484" createdVersion="8" refreshedVersion="8" minRefreshableVersion="3" recordCount="210" xr:uid="{783DF29A-2ED2-402B-B60F-96163EF27BBA}">
  <cacheSource type="worksheet">
    <worksheetSource name="table1"/>
  </cacheSource>
  <cacheFields count="9">
    <cacheField name="my_fi_name" numFmtId="0">
      <sharedItems/>
    </cacheField>
    <cacheField name="price_mkt_bid" numFmtId="0">
      <sharedItems containsSemiMixedTypes="0" containsString="0" containsNumber="1" minValue="17.809999999999999" maxValue="67.55"/>
    </cacheField>
    <cacheField name="price_mkt_ask" numFmtId="0">
      <sharedItems containsSemiMixedTypes="0" containsString="0" containsNumber="1" minValue="17.82" maxValue="67.650000000000006"/>
    </cacheField>
    <cacheField name="time" numFmtId="0">
      <sharedItems count="21">
        <s v="2026-06-12_09-38-50"/>
        <s v="2026-06-12_09-53-15"/>
        <s v="2026-06-12_10-13-43"/>
        <s v="2026-06-12_11-42-48"/>
        <s v="2026-06-12_11-45-28"/>
        <s v="2026-06-12_12-00-28"/>
        <s v="2026-06-12_12-15-28"/>
        <s v="2026-06-12_12-30-28"/>
        <s v="2026-06-12_12-45-28"/>
        <s v="2026-06-12_13-00-28"/>
        <s v="2026-06-12_13-15-28"/>
        <s v="2026-06-12_13-30-28"/>
        <s v="2026-06-12_13-45-28"/>
        <s v="2026-06-12_14-00-28"/>
        <s v="2026-06-12_14-15-28"/>
        <s v="2026-06-12_14-30-28"/>
        <s v="2026-06-12_14-45-28"/>
        <s v="2026-06-12_15-00-28"/>
        <s v="2026-06-12_15-15-28"/>
        <s v="2026-06-12_15-30-28"/>
        <s v="2026-06-12_15-45-28"/>
      </sharedItems>
    </cacheField>
    <cacheField name="scalar" numFmtId="164">
      <sharedItems containsSemiMixedTypes="0" containsString="0" containsNumber="1" minValue="946.08439999999996" maxValue="3546.4070999999999"/>
    </cacheField>
    <cacheField name="adj" numFmtId="164">
      <sharedItems containsSemiMixedTypes="0" containsString="0" containsNumber="1" minValue="-0.2" maxValue="0.2"/>
    </cacheField>
    <cacheField name="adj scalar" numFmtId="164">
      <sharedItems containsSemiMixedTypes="0" containsString="0" containsNumber="1" minValue="946.08439999999996" maxValue="3546.4070999999999"/>
    </cacheField>
    <cacheField name="unit bid" numFmtId="44">
      <sharedItems containsSemiMixedTypes="0" containsString="0" containsNumber="1" minValue="63141.67285599999" maxValue="63944.591374999996"/>
    </cacheField>
    <cacheField name="unit ask" numFmtId="44">
      <sharedItems containsSemiMixedTypes="0" containsString="0" containsNumber="1" minValue="63185.657500000001" maxValue="64002.609660000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0">
  <r>
    <s v="ARKB"/>
    <n v="20.98"/>
    <n v="20.99"/>
    <x v="0"/>
    <n v="3014.8103999999998"/>
    <n v="-0.1"/>
    <n v="3014.9103999999998"/>
    <n v="63252.820191999999"/>
    <n v="63282.969295999988"/>
  </r>
  <r>
    <s v="BITB"/>
    <n v="34.35"/>
    <n v="34.36"/>
    <x v="0"/>
    <n v="1842.0297"/>
    <n v="0.1"/>
    <n v="1841.9297000000001"/>
    <n v="63270.285195000004"/>
    <n v="63288.704492000004"/>
  </r>
  <r>
    <s v="BRRR"/>
    <n v="17.84"/>
    <n v="17.850000000000001"/>
    <x v="0"/>
    <n v="3546.4070999999999"/>
    <n v="0"/>
    <n v="3546.4070999999999"/>
    <n v="63267.902664000001"/>
    <n v="63303.366735000003"/>
  </r>
  <r>
    <s v="BTC"/>
    <n v="27.98"/>
    <n v="27.99"/>
    <x v="0"/>
    <n v="2261.2671999999998"/>
    <n v="0.2"/>
    <n v="2261.0672"/>
    <n v="63264.660256000003"/>
    <n v="63287.270927999998"/>
  </r>
  <r>
    <s v="BTCW"/>
    <n v="66.819999999999993"/>
    <n v="66.959999999999994"/>
    <x v="0"/>
    <n v="946.08439999999996"/>
    <n v="0"/>
    <n v="946.08439999999996"/>
    <n v="63217.359607999992"/>
    <n v="63349.811423999992"/>
  </r>
  <r>
    <s v="EZBC"/>
    <n v="36.56"/>
    <n v="36.58"/>
    <x v="0"/>
    <n v="1730.0558000000001"/>
    <n v="-0.2"/>
    <n v="1730.2558000000001"/>
    <n v="63258.152048000011"/>
    <n v="63292.757164000002"/>
  </r>
  <r>
    <s v="FBTC"/>
    <n v="55.08"/>
    <n v="55.09"/>
    <x v="0"/>
    <n v="1148.79"/>
    <n v="0.05"/>
    <n v="1148.74"/>
    <n v="63272.599199999997"/>
    <n v="63284.086600000002"/>
  </r>
  <r>
    <s v="GBTC"/>
    <n v="49.1"/>
    <n v="49.11"/>
    <x v="0"/>
    <n v="1288.6375"/>
    <n v="-0.05"/>
    <n v="1288.6875"/>
    <n v="63274.556250000001"/>
    <n v="63287.443124999998"/>
  </r>
  <r>
    <s v="HODL"/>
    <n v="17.89"/>
    <n v="17.899999999999999"/>
    <x v="0"/>
    <n v="3535.8029000000001"/>
    <n v="0"/>
    <n v="3535.8029000000001"/>
    <n v="63255.513881000006"/>
    <n v="63290.871909999994"/>
  </r>
  <r>
    <s v="IBIT"/>
    <n v="35.840000000000003"/>
    <n v="35.85"/>
    <x v="0"/>
    <n v="1764.9625000000001"/>
    <n v="0"/>
    <n v="1764.9625000000001"/>
    <n v="63256.256000000008"/>
    <n v="63273.905625000007"/>
  </r>
  <r>
    <s v="ARKB"/>
    <n v="20.95"/>
    <n v="20.96"/>
    <x v="1"/>
    <n v="3014.8103999999998"/>
    <n v="-0.1"/>
    <n v="3014.9103999999998"/>
    <n v="63162.372879999995"/>
    <n v="63192.521983999999"/>
  </r>
  <r>
    <s v="BITB"/>
    <n v="34.299999999999997"/>
    <n v="34.31"/>
    <x v="1"/>
    <n v="1842.0297"/>
    <n v="0.1"/>
    <n v="1841.9297000000001"/>
    <n v="63178.188710000002"/>
    <n v="63196.60800700001"/>
  </r>
  <r>
    <s v="BRRR"/>
    <n v="17.809999999999999"/>
    <n v="17.82"/>
    <x v="1"/>
    <n v="3546.4070999999999"/>
    <n v="0"/>
    <n v="3546.4070999999999"/>
    <n v="63161.510450999995"/>
    <n v="63196.974521999997"/>
  </r>
  <r>
    <s v="BTC"/>
    <n v="27.94"/>
    <n v="27.95"/>
    <x v="1"/>
    <n v="2261.2671999999998"/>
    <n v="0.2"/>
    <n v="2261.0672"/>
    <n v="63174.217568"/>
    <n v="63196.828239999995"/>
  </r>
  <r>
    <s v="BTCW"/>
    <n v="66.739999999999995"/>
    <n v="66.86"/>
    <x v="1"/>
    <n v="946.08439999999996"/>
    <n v="0"/>
    <n v="946.08439999999996"/>
    <n v="63141.67285599999"/>
    <n v="63255.202983999996"/>
  </r>
  <r>
    <s v="EZBC"/>
    <n v="36.51"/>
    <n v="36.520000000000003"/>
    <x v="1"/>
    <n v="1730.0558000000001"/>
    <n v="-0.2"/>
    <n v="1730.2558000000001"/>
    <n v="63171.639258000003"/>
    <n v="63188.941816000013"/>
  </r>
  <r>
    <s v="FBTC"/>
    <n v="55"/>
    <n v="55.01"/>
    <x v="1"/>
    <n v="1148.79"/>
    <n v="0.05"/>
    <n v="1148.74"/>
    <n v="63180.7"/>
    <n v="63192.187399999995"/>
  </r>
  <r>
    <s v="GBTC"/>
    <n v="49.03"/>
    <n v="49.04"/>
    <x v="1"/>
    <n v="1288.6375"/>
    <n v="-0.05"/>
    <n v="1288.6875"/>
    <n v="63184.348125000004"/>
    <n v="63197.235000000001"/>
  </r>
  <r>
    <s v="HODL"/>
    <n v="17.87"/>
    <n v="17.88"/>
    <x v="1"/>
    <n v="3535.8029000000001"/>
    <n v="0"/>
    <n v="3535.8029000000001"/>
    <n v="63184.797823000008"/>
    <n v="63220.155851999996"/>
  </r>
  <r>
    <s v="IBIT"/>
    <n v="35.79"/>
    <n v="35.799999999999997"/>
    <x v="1"/>
    <n v="1764.9625000000001"/>
    <n v="0"/>
    <n v="1764.9625000000001"/>
    <n v="63168.007875000003"/>
    <n v="63185.657500000001"/>
  </r>
  <r>
    <s v="ARKB"/>
    <n v="21"/>
    <n v="21.01"/>
    <x v="2"/>
    <n v="3014.8103999999998"/>
    <n v="-0.1"/>
    <n v="3014.9103999999998"/>
    <n v="63313.118399999992"/>
    <n v="63343.267504000003"/>
  </r>
  <r>
    <s v="BITB"/>
    <n v="34.369999999999997"/>
    <n v="34.380000000000003"/>
    <x v="2"/>
    <n v="1842.0297"/>
    <n v="0.1"/>
    <n v="1841.9297000000001"/>
    <n v="63307.123788999997"/>
    <n v="63325.543086000012"/>
  </r>
  <r>
    <s v="BRRR"/>
    <n v="17.850000000000001"/>
    <n v="17.86"/>
    <x v="2"/>
    <n v="3546.4070999999999"/>
    <n v="0"/>
    <n v="3546.4070999999999"/>
    <n v="63303.366735000003"/>
    <n v="63338.830805999998"/>
  </r>
  <r>
    <s v="BTC"/>
    <n v="28"/>
    <n v="28.01"/>
    <x v="2"/>
    <n v="2261.2671999999998"/>
    <n v="0.2"/>
    <n v="2261.0672"/>
    <n v="63309.881600000001"/>
    <n v="63332.492272000003"/>
  </r>
  <r>
    <s v="BTCW"/>
    <n v="66.91"/>
    <n v="67.02"/>
    <x v="2"/>
    <n v="946.08439999999996"/>
    <n v="0"/>
    <n v="946.08439999999996"/>
    <n v="63302.507203999994"/>
    <n v="63406.576487999992"/>
  </r>
  <r>
    <s v="EZBC"/>
    <n v="36.58"/>
    <n v="36.61"/>
    <x v="2"/>
    <n v="1730.0558000000001"/>
    <n v="-0.2"/>
    <n v="1730.2558000000001"/>
    <n v="63292.757164000002"/>
    <n v="63344.664838000004"/>
  </r>
  <r>
    <s v="FBTC"/>
    <n v="55.12"/>
    <n v="55.13"/>
    <x v="2"/>
    <n v="1148.79"/>
    <n v="0.05"/>
    <n v="1148.74"/>
    <n v="63318.548799999997"/>
    <n v="63330.036200000002"/>
  </r>
  <r>
    <s v="GBTC"/>
    <n v="49.13"/>
    <n v="49.14"/>
    <x v="2"/>
    <n v="1288.6375"/>
    <n v="-0.05"/>
    <n v="1288.6875"/>
    <n v="63313.216875000006"/>
    <n v="63326.103750000002"/>
  </r>
  <r>
    <s v="HODL"/>
    <n v="17.899999999999999"/>
    <n v="17.91"/>
    <x v="2"/>
    <n v="3535.8029000000001"/>
    <n v="0"/>
    <n v="3535.8029000000001"/>
    <n v="63290.871909999994"/>
    <n v="63326.229939000004"/>
  </r>
  <r>
    <s v="IBIT"/>
    <n v="35.869999999999997"/>
    <n v="35.880000000000003"/>
    <x v="2"/>
    <n v="1764.9625000000001"/>
    <n v="0"/>
    <n v="1764.9625000000001"/>
    <n v="63309.204874999996"/>
    <n v="63326.854500000009"/>
  </r>
  <r>
    <s v="ARKB"/>
    <n v="21.16"/>
    <n v="21.17"/>
    <x v="3"/>
    <n v="3014.8103999999998"/>
    <n v="-0.1"/>
    <n v="3014.9103999999998"/>
    <n v="63795.504063999993"/>
    <n v="63825.653167999997"/>
  </r>
  <r>
    <s v="BITB"/>
    <n v="34.64"/>
    <n v="34.65"/>
    <x v="3"/>
    <n v="1842.0297"/>
    <n v="0.1"/>
    <n v="1841.9297000000001"/>
    <n v="63804.444808000007"/>
    <n v="63822.864105000001"/>
  </r>
  <r>
    <s v="BRRR"/>
    <n v="17.989999999999998"/>
    <n v="18"/>
    <x v="3"/>
    <n v="3546.4070999999999"/>
    <n v="0"/>
    <n v="3546.4070999999999"/>
    <n v="63799.86372899999"/>
    <n v="63835.327799999999"/>
  </r>
  <r>
    <s v="BTC"/>
    <n v="28.22"/>
    <n v="28.23"/>
    <x v="3"/>
    <n v="2261.2671999999998"/>
    <n v="0.2"/>
    <n v="2261.0672"/>
    <n v="63807.316383999998"/>
    <n v="63829.927056"/>
  </r>
  <r>
    <s v="BTCW"/>
    <n v="67.400000000000006"/>
    <n v="67.5"/>
    <x v="3"/>
    <n v="946.08439999999996"/>
    <n v="0"/>
    <n v="946.08439999999996"/>
    <n v="63766.088560000004"/>
    <n v="63860.697"/>
  </r>
  <r>
    <s v="EZBC"/>
    <n v="36.86"/>
    <n v="36.89"/>
    <x v="3"/>
    <n v="1730.0558000000001"/>
    <n v="-0.2"/>
    <n v="1730.2558000000001"/>
    <n v="63777.228788000008"/>
    <n v="63829.136462000009"/>
  </r>
  <r>
    <s v="FBTC"/>
    <n v="55.54"/>
    <n v="55.55"/>
    <x v="3"/>
    <n v="1148.79"/>
    <n v="0.05"/>
    <n v="1148.74"/>
    <n v="63801.0196"/>
    <n v="63812.506999999998"/>
  </r>
  <r>
    <s v="GBTC"/>
    <n v="49.52"/>
    <n v="49.53"/>
    <x v="3"/>
    <n v="1288.6375"/>
    <n v="-0.05"/>
    <n v="1288.6875"/>
    <n v="63815.805000000008"/>
    <n v="63828.691875000004"/>
  </r>
  <r>
    <s v="HODL"/>
    <n v="18.04"/>
    <n v="18.05"/>
    <x v="3"/>
    <n v="3535.8029000000001"/>
    <n v="0"/>
    <n v="3535.8029000000001"/>
    <n v="63785.884315999996"/>
    <n v="63821.242345000006"/>
  </r>
  <r>
    <s v="IBIT"/>
    <n v="36.15"/>
    <n v="36.159999999999997"/>
    <x v="3"/>
    <n v="1764.9625000000001"/>
    <n v="0"/>
    <n v="1764.9625000000001"/>
    <n v="63803.394375000003"/>
    <n v="63821.043999999994"/>
  </r>
  <r>
    <s v="ARKB"/>
    <n v="21.18"/>
    <n v="21.19"/>
    <x v="4"/>
    <n v="3014.8103999999998"/>
    <n v="-0.1"/>
    <n v="3014.9103999999998"/>
    <n v="63855.802271999994"/>
    <n v="63885.951375999997"/>
  </r>
  <r>
    <s v="BITB"/>
    <n v="34.67"/>
    <n v="34.68"/>
    <x v="4"/>
    <n v="1842.0297"/>
    <n v="0.1"/>
    <n v="1841.9297000000001"/>
    <n v="63859.702699000009"/>
    <n v="63878.121996000002"/>
  </r>
  <r>
    <s v="BRRR"/>
    <n v="18.010000000000002"/>
    <n v="18.02"/>
    <x v="4"/>
    <n v="3546.4070999999999"/>
    <n v="0"/>
    <n v="3546.4070999999999"/>
    <n v="63870.791871000001"/>
    <n v="63906.255941999996"/>
  </r>
  <r>
    <s v="BTC"/>
    <n v="28.25"/>
    <n v="28.26"/>
    <x v="4"/>
    <n v="2261.2671999999998"/>
    <n v="0.2"/>
    <n v="2261.0672"/>
    <n v="63875.148399999998"/>
    <n v="63897.759072000001"/>
  </r>
  <r>
    <s v="BTCW"/>
    <n v="67.45"/>
    <n v="67.569999999999993"/>
    <x v="4"/>
    <n v="946.08439999999996"/>
    <n v="0"/>
    <n v="946.08439999999996"/>
    <n v="63813.392780000002"/>
    <n v="63926.922907999993"/>
  </r>
  <r>
    <s v="EZBC"/>
    <n v="36.909999999999997"/>
    <n v="36.92"/>
    <x v="4"/>
    <n v="1730.0558000000001"/>
    <n v="-0.2"/>
    <n v="1730.2558000000001"/>
    <n v="63863.741578000001"/>
    <n v="63881.044136000011"/>
  </r>
  <r>
    <s v="FBTC"/>
    <n v="55.6"/>
    <n v="55.61"/>
    <x v="4"/>
    <n v="1148.79"/>
    <n v="0.05"/>
    <n v="1148.74"/>
    <n v="63869.944000000003"/>
    <n v="63881.431400000001"/>
  </r>
  <r>
    <s v="GBTC"/>
    <n v="49.57"/>
    <n v="49.58"/>
    <x v="4"/>
    <n v="1288.6375"/>
    <n v="-0.05"/>
    <n v="1288.6875"/>
    <n v="63880.239374999997"/>
    <n v="63893.126250000001"/>
  </r>
  <r>
    <s v="HODL"/>
    <n v="18.059999999999999"/>
    <n v="18.07"/>
    <x v="4"/>
    <n v="3535.8029000000001"/>
    <n v="0"/>
    <n v="3535.8029000000001"/>
    <n v="63856.600374000001"/>
    <n v="63891.958403000004"/>
  </r>
  <r>
    <s v="IBIT"/>
    <n v="36.19"/>
    <n v="36.200000000000003"/>
    <x v="4"/>
    <n v="1764.9625000000001"/>
    <n v="0"/>
    <n v="1764.9625000000001"/>
    <n v="63873.992874999996"/>
    <n v="63891.642500000009"/>
  </r>
  <r>
    <s v="ARKB"/>
    <n v="21.09"/>
    <n v="21.1"/>
    <x v="5"/>
    <n v="3014.8103999999998"/>
    <n v="-0.1"/>
    <n v="3014.9103999999998"/>
    <n v="63584.460335999996"/>
    <n v="63614.60944"/>
  </r>
  <r>
    <s v="BITB"/>
    <n v="34.53"/>
    <n v="34.54"/>
    <x v="5"/>
    <n v="1842.0297"/>
    <n v="0.1"/>
    <n v="1841.9297000000001"/>
    <n v="63601.832541000003"/>
    <n v="63620.251838000004"/>
  </r>
  <r>
    <s v="BRRR"/>
    <n v="17.93"/>
    <n v="17.940000000000001"/>
    <x v="5"/>
    <n v="3546.4070999999999"/>
    <n v="0"/>
    <n v="3546.4070999999999"/>
    <n v="63587.079302999999"/>
    <n v="63622.543374000001"/>
  </r>
  <r>
    <s v="BTC"/>
    <n v="28.12"/>
    <n v="28.13"/>
    <x v="5"/>
    <n v="2261.2671999999998"/>
    <n v="0.2"/>
    <n v="2261.0672"/>
    <n v="63581.209664000002"/>
    <n v="63603.820335999997"/>
  </r>
  <r>
    <s v="BTCW"/>
    <n v="67.16"/>
    <n v="67.290000000000006"/>
    <x v="5"/>
    <n v="946.08439999999996"/>
    <n v="0"/>
    <n v="946.08439999999996"/>
    <n v="63539.028303999992"/>
    <n v="63662.019276000006"/>
  </r>
  <r>
    <s v="EZBC"/>
    <n v="36.74"/>
    <n v="36.76"/>
    <x v="5"/>
    <n v="1730.0558000000001"/>
    <n v="-0.2"/>
    <n v="1730.2558000000001"/>
    <n v="63569.598092000007"/>
    <n v="63604.203207999999"/>
  </r>
  <r>
    <s v="FBTC"/>
    <n v="55.36"/>
    <n v="55.37"/>
    <x v="5"/>
    <n v="1148.79"/>
    <n v="0.05"/>
    <n v="1148.74"/>
    <n v="63594.246399999996"/>
    <n v="63605.733799999995"/>
  </r>
  <r>
    <s v="GBTC"/>
    <n v="49.35"/>
    <n v="49.36"/>
    <x v="5"/>
    <n v="1288.6375"/>
    <n v="-0.05"/>
    <n v="1288.6875"/>
    <n v="63596.728125000001"/>
    <n v="63609.614999999998"/>
  </r>
  <r>
    <s v="HODL"/>
    <n v="17.98"/>
    <n v="17.989999999999998"/>
    <x v="5"/>
    <n v="3535.8029000000001"/>
    <n v="0"/>
    <n v="3535.8029000000001"/>
    <n v="63573.736142000002"/>
    <n v="63609.094170999997"/>
  </r>
  <r>
    <s v="IBIT"/>
    <n v="36.03"/>
    <n v="36.04"/>
    <x v="5"/>
    <n v="1764.9625000000001"/>
    <n v="0"/>
    <n v="1764.9625000000001"/>
    <n v="63591.598875000003"/>
    <n v="63609.248500000002"/>
  </r>
  <r>
    <s v="ARKB"/>
    <n v="21.18"/>
    <n v="21.19"/>
    <x v="6"/>
    <n v="3014.8103999999998"/>
    <n v="-0.1"/>
    <n v="3014.9103999999998"/>
    <n v="63855.802271999994"/>
    <n v="63885.951375999997"/>
  </r>
  <r>
    <s v="BITB"/>
    <n v="34.68"/>
    <n v="34.69"/>
    <x v="6"/>
    <n v="1842.0297"/>
    <n v="0.1"/>
    <n v="1841.9297000000001"/>
    <n v="63878.121996000002"/>
    <n v="63896.541293000002"/>
  </r>
  <r>
    <s v="BRRR"/>
    <n v="18.010000000000002"/>
    <n v="18.02"/>
    <x v="6"/>
    <n v="3546.4070999999999"/>
    <n v="0"/>
    <n v="3546.4070999999999"/>
    <n v="63870.791871000001"/>
    <n v="63906.255941999996"/>
  </r>
  <r>
    <s v="BTC"/>
    <n v="28.25"/>
    <n v="28.26"/>
    <x v="6"/>
    <n v="2261.2671999999998"/>
    <n v="0.2"/>
    <n v="2261.0672"/>
    <n v="63875.148399999998"/>
    <n v="63897.759072000001"/>
  </r>
  <r>
    <s v="BTCW"/>
    <n v="67.45"/>
    <n v="67.59"/>
    <x v="6"/>
    <n v="946.08439999999996"/>
    <n v="0"/>
    <n v="946.08439999999996"/>
    <n v="63813.392780000002"/>
    <n v="63945.844596000003"/>
  </r>
  <r>
    <s v="EZBC"/>
    <n v="36.909999999999997"/>
    <n v="36.93"/>
    <x v="6"/>
    <n v="1730.0558000000001"/>
    <n v="-0.2"/>
    <n v="1730.2558000000001"/>
    <n v="63863.741578000001"/>
    <n v="63898.346694000007"/>
  </r>
  <r>
    <s v="FBTC"/>
    <n v="55.6"/>
    <n v="55.61"/>
    <x v="6"/>
    <n v="1148.79"/>
    <n v="0.05"/>
    <n v="1148.74"/>
    <n v="63869.944000000003"/>
    <n v="63881.431400000001"/>
  </r>
  <r>
    <s v="GBTC"/>
    <n v="49.57"/>
    <n v="49.58"/>
    <x v="6"/>
    <n v="1288.6375"/>
    <n v="-0.05"/>
    <n v="1288.6875"/>
    <n v="63880.239374999997"/>
    <n v="63893.126250000001"/>
  </r>
  <r>
    <s v="HODL"/>
    <n v="18.059999999999999"/>
    <n v="18.07"/>
    <x v="6"/>
    <n v="3535.8029000000001"/>
    <n v="0"/>
    <n v="3535.8029000000001"/>
    <n v="63856.600374000001"/>
    <n v="63891.958403000004"/>
  </r>
  <r>
    <s v="IBIT"/>
    <n v="36.19"/>
    <n v="36.200000000000003"/>
    <x v="6"/>
    <n v="1764.9625000000001"/>
    <n v="0"/>
    <n v="1764.9625000000001"/>
    <n v="63873.992874999996"/>
    <n v="63891.642500000009"/>
  </r>
  <r>
    <s v="ARKB"/>
    <n v="21.17"/>
    <n v="21.18"/>
    <x v="7"/>
    <n v="3014.8103999999998"/>
    <n v="-0.1"/>
    <n v="3014.9103999999998"/>
    <n v="63825.653167999997"/>
    <n v="63855.802271999994"/>
  </r>
  <r>
    <s v="BITB"/>
    <n v="34.659999999999997"/>
    <n v="34.67"/>
    <x v="7"/>
    <n v="1842.0297"/>
    <n v="0.1"/>
    <n v="1841.9297000000001"/>
    <n v="63841.283402000001"/>
    <n v="63859.702699000009"/>
  </r>
  <r>
    <s v="BRRR"/>
    <n v="18"/>
    <n v="18.010000000000002"/>
    <x v="7"/>
    <n v="3546.4070999999999"/>
    <n v="0"/>
    <n v="3546.4070999999999"/>
    <n v="63835.327799999999"/>
    <n v="63870.791871000001"/>
  </r>
  <r>
    <s v="BTC"/>
    <n v="28.24"/>
    <n v="28.25"/>
    <x v="7"/>
    <n v="2261.2671999999998"/>
    <n v="0.2"/>
    <n v="2261.0672"/>
    <n v="63852.537727999996"/>
    <n v="63875.148399999998"/>
  </r>
  <r>
    <s v="BTCW"/>
    <n v="67.47"/>
    <n v="67.56"/>
    <x v="7"/>
    <n v="946.08439999999996"/>
    <n v="0"/>
    <n v="946.08439999999996"/>
    <n v="63832.314467999997"/>
    <n v="63917.462063999999"/>
  </r>
  <r>
    <s v="EZBC"/>
    <n v="36.89"/>
    <n v="36.909999999999997"/>
    <x v="7"/>
    <n v="1730.0558000000001"/>
    <n v="-0.2"/>
    <n v="1730.2558000000001"/>
    <n v="63829.136462000009"/>
    <n v="63863.741578000001"/>
  </r>
  <r>
    <s v="FBTC"/>
    <n v="55.58"/>
    <n v="55.59"/>
    <x v="7"/>
    <n v="1148.79"/>
    <n v="0.05"/>
    <n v="1148.74"/>
    <n v="63846.9692"/>
    <n v="63858.456600000005"/>
  </r>
  <r>
    <s v="GBTC"/>
    <n v="49.55"/>
    <n v="49.56"/>
    <x v="7"/>
    <n v="1288.6375"/>
    <n v="-0.05"/>
    <n v="1288.6875"/>
    <n v="63854.465624999997"/>
    <n v="63867.352500000001"/>
  </r>
  <r>
    <s v="HODL"/>
    <n v="18.05"/>
    <n v="18.059999999999999"/>
    <x v="7"/>
    <n v="3535.8029000000001"/>
    <n v="0"/>
    <n v="3535.8029000000001"/>
    <n v="63821.242345000006"/>
    <n v="63856.600374000001"/>
  </r>
  <r>
    <s v="IBIT"/>
    <n v="36.18"/>
    <n v="36.19"/>
    <x v="7"/>
    <n v="1764.9625000000001"/>
    <n v="0"/>
    <n v="1764.9625000000001"/>
    <n v="63856.343250000005"/>
    <n v="63873.992874999996"/>
  </r>
  <r>
    <s v="ARKB"/>
    <n v="21.16"/>
    <n v="21.17"/>
    <x v="8"/>
    <n v="3014.8103999999998"/>
    <n v="-0.1"/>
    <n v="3014.9103999999998"/>
    <n v="63795.504063999993"/>
    <n v="63825.653167999997"/>
  </r>
  <r>
    <s v="BITB"/>
    <n v="34.64"/>
    <n v="34.65"/>
    <x v="8"/>
    <n v="1842.0297"/>
    <n v="0.1"/>
    <n v="1841.9297000000001"/>
    <n v="63804.444808000007"/>
    <n v="63822.864105000001"/>
  </r>
  <r>
    <s v="BRRR"/>
    <n v="17.989999999999998"/>
    <n v="18"/>
    <x v="8"/>
    <n v="3546.4070999999999"/>
    <n v="0"/>
    <n v="3546.4070999999999"/>
    <n v="63799.86372899999"/>
    <n v="63835.327799999999"/>
  </r>
  <r>
    <s v="BTC"/>
    <n v="28.22"/>
    <n v="28.23"/>
    <x v="8"/>
    <n v="2261.2671999999998"/>
    <n v="0.2"/>
    <n v="2261.0672"/>
    <n v="63807.316383999998"/>
    <n v="63829.927056"/>
  </r>
  <r>
    <s v="BTCW"/>
    <n v="67.42"/>
    <n v="67.52"/>
    <x v="8"/>
    <n v="946.08439999999996"/>
    <n v="0"/>
    <n v="946.08439999999996"/>
    <n v="63785.010247999999"/>
    <n v="63879.618687999995"/>
  </r>
  <r>
    <s v="EZBC"/>
    <n v="36.869999999999997"/>
    <n v="36.89"/>
    <x v="8"/>
    <n v="1730.0558000000001"/>
    <n v="-0.2"/>
    <n v="1730.2558000000001"/>
    <n v="63794.531346000003"/>
    <n v="63829.136462000009"/>
  </r>
  <r>
    <s v="FBTC"/>
    <n v="55.55"/>
    <n v="55.56"/>
    <x v="8"/>
    <n v="1148.79"/>
    <n v="0.05"/>
    <n v="1148.74"/>
    <n v="63812.506999999998"/>
    <n v="63823.994400000003"/>
  </r>
  <r>
    <s v="GBTC"/>
    <n v="49.52"/>
    <n v="49.53"/>
    <x v="8"/>
    <n v="1288.6375"/>
    <n v="-0.05"/>
    <n v="1288.6875"/>
    <n v="63815.805000000008"/>
    <n v="63828.691875000004"/>
  </r>
  <r>
    <s v="HODL"/>
    <n v="18.04"/>
    <n v="18.05"/>
    <x v="8"/>
    <n v="3535.8029000000001"/>
    <n v="0"/>
    <n v="3535.8029000000001"/>
    <n v="63785.884315999996"/>
    <n v="63821.242345000006"/>
  </r>
  <r>
    <s v="IBIT"/>
    <n v="36.159999999999997"/>
    <n v="36.17"/>
    <x v="8"/>
    <n v="1764.9625000000001"/>
    <n v="0"/>
    <n v="1764.9625000000001"/>
    <n v="63821.043999999994"/>
    <n v="63838.693625000007"/>
  </r>
  <r>
    <s v="ARKB"/>
    <n v="21.2"/>
    <n v="21.21"/>
    <x v="9"/>
    <n v="3014.8103999999998"/>
    <n v="-0.1"/>
    <n v="3014.9103999999998"/>
    <n v="63916.100479999994"/>
    <n v="63946.249583999997"/>
  </r>
  <r>
    <s v="BITB"/>
    <n v="34.71"/>
    <n v="34.72"/>
    <x v="9"/>
    <n v="1842.0297"/>
    <n v="0.1"/>
    <n v="1841.9297000000001"/>
    <n v="63933.379887000003"/>
    <n v="63951.799184000003"/>
  </r>
  <r>
    <s v="BRRR"/>
    <n v="18.02"/>
    <n v="18.03"/>
    <x v="9"/>
    <n v="3546.4070999999999"/>
    <n v="0"/>
    <n v="3546.4070999999999"/>
    <n v="63906.255941999996"/>
    <n v="63941.720013000006"/>
  </r>
  <r>
    <s v="BTC"/>
    <n v="28.27"/>
    <n v="28.28"/>
    <x v="9"/>
    <n v="2261.2671999999998"/>
    <n v="0.2"/>
    <n v="2261.0672"/>
    <n v="63920.369743999996"/>
    <n v="63942.980415999999"/>
  </r>
  <r>
    <s v="BTCW"/>
    <n v="67.55"/>
    <n v="67.650000000000006"/>
    <x v="9"/>
    <n v="946.08439999999996"/>
    <n v="0"/>
    <n v="946.08439999999996"/>
    <n v="63908.001219999991"/>
    <n v="64002.609660000002"/>
  </r>
  <r>
    <s v="EZBC"/>
    <n v="36.94"/>
    <n v="36.96"/>
    <x v="9"/>
    <n v="1730.0558000000001"/>
    <n v="-0.2"/>
    <n v="1730.2558000000001"/>
    <n v="63915.649252000003"/>
    <n v="63950.254368000009"/>
  </r>
  <r>
    <s v="FBTC"/>
    <n v="55.66"/>
    <n v="55.67"/>
    <x v="9"/>
    <n v="1148.79"/>
    <n v="0.05"/>
    <n v="1148.74"/>
    <n v="63938.868399999999"/>
    <n v="63950.355800000005"/>
  </r>
  <r>
    <s v="GBTC"/>
    <n v="49.61"/>
    <n v="49.62"/>
    <x v="9"/>
    <n v="1288.6375"/>
    <n v="-0.05"/>
    <n v="1288.6875"/>
    <n v="63931.786874999998"/>
    <n v="63944.673749999994"/>
  </r>
  <r>
    <s v="HODL"/>
    <n v="18.079999999999998"/>
    <n v="18.09"/>
    <x v="9"/>
    <n v="3535.8029000000001"/>
    <n v="0"/>
    <n v="3535.8029000000001"/>
    <n v="63927.316432"/>
    <n v="63962.674461000002"/>
  </r>
  <r>
    <s v="IBIT"/>
    <n v="36.229999999999997"/>
    <n v="36.24"/>
    <x v="9"/>
    <n v="1764.9625000000001"/>
    <n v="0"/>
    <n v="1764.9625000000001"/>
    <n v="63944.591374999996"/>
    <n v="63962.241000000009"/>
  </r>
  <r>
    <s v="ARKB"/>
    <n v="21.17"/>
    <n v="21.18"/>
    <x v="10"/>
    <n v="3014.8103999999998"/>
    <n v="-0.1"/>
    <n v="3014.9103999999998"/>
    <n v="63825.653167999997"/>
    <n v="63855.802271999994"/>
  </r>
  <r>
    <s v="BITB"/>
    <n v="34.659999999999997"/>
    <n v="34.67"/>
    <x v="10"/>
    <n v="1842.0297"/>
    <n v="0.1"/>
    <n v="1841.9297000000001"/>
    <n v="63841.283402000001"/>
    <n v="63859.702699000009"/>
  </r>
  <r>
    <s v="BRRR"/>
    <n v="18"/>
    <n v="18.010000000000002"/>
    <x v="10"/>
    <n v="3546.4070999999999"/>
    <n v="0"/>
    <n v="3546.4070999999999"/>
    <n v="63835.327799999999"/>
    <n v="63870.791871000001"/>
  </r>
  <r>
    <s v="BTC"/>
    <n v="28.24"/>
    <n v="28.25"/>
    <x v="10"/>
    <n v="2261.2671999999998"/>
    <n v="0.2"/>
    <n v="2261.0672"/>
    <n v="63852.537727999996"/>
    <n v="63875.148399999998"/>
  </r>
  <r>
    <s v="BTCW"/>
    <n v="67.459999999999994"/>
    <n v="67.56"/>
    <x v="10"/>
    <n v="946.08439999999996"/>
    <n v="0"/>
    <n v="946.08439999999996"/>
    <n v="63822.853623999988"/>
    <n v="63917.462063999999"/>
  </r>
  <r>
    <s v="EZBC"/>
    <n v="36.89"/>
    <n v="36.909999999999997"/>
    <x v="10"/>
    <n v="1730.0558000000001"/>
    <n v="-0.2"/>
    <n v="1730.2558000000001"/>
    <n v="63829.136462000009"/>
    <n v="63863.741578000001"/>
  </r>
  <r>
    <s v="FBTC"/>
    <n v="55.58"/>
    <n v="55.59"/>
    <x v="10"/>
    <n v="1148.79"/>
    <n v="0.05"/>
    <n v="1148.74"/>
    <n v="63846.9692"/>
    <n v="63858.456600000005"/>
  </r>
  <r>
    <s v="GBTC"/>
    <n v="49.54"/>
    <n v="49.56"/>
    <x v="10"/>
    <n v="1288.6375"/>
    <n v="-0.05"/>
    <n v="1288.6875"/>
    <n v="63841.578750000001"/>
    <n v="63867.352500000001"/>
  </r>
  <r>
    <s v="HODL"/>
    <n v="18.05"/>
    <n v="18.059999999999999"/>
    <x v="10"/>
    <n v="3535.8029000000001"/>
    <n v="0"/>
    <n v="3535.8029000000001"/>
    <n v="63821.242345000006"/>
    <n v="63856.600374000001"/>
  </r>
  <r>
    <s v="IBIT"/>
    <n v="36.18"/>
    <n v="36.19"/>
    <x v="10"/>
    <n v="1764.9625000000001"/>
    <n v="0"/>
    <n v="1764.9625000000001"/>
    <n v="63856.343250000005"/>
    <n v="63873.992874999996"/>
  </r>
  <r>
    <s v="ARKB"/>
    <n v="21.16"/>
    <n v="21.17"/>
    <x v="11"/>
    <n v="3014.8103999999998"/>
    <n v="-0.1"/>
    <n v="3014.9103999999998"/>
    <n v="63795.504063999993"/>
    <n v="63825.653167999997"/>
  </r>
  <r>
    <s v="BITB"/>
    <n v="34.630000000000003"/>
    <n v="34.64"/>
    <x v="11"/>
    <n v="1842.0297"/>
    <n v="0.1"/>
    <n v="1841.9297000000001"/>
    <n v="63786.025511000007"/>
    <n v="63804.444808000007"/>
  </r>
  <r>
    <s v="BRRR"/>
    <n v="17.989999999999998"/>
    <n v="18"/>
    <x v="11"/>
    <n v="3546.4070999999999"/>
    <n v="0"/>
    <n v="3546.4070999999999"/>
    <n v="63799.86372899999"/>
    <n v="63835.327799999999"/>
  </r>
  <r>
    <s v="BTC"/>
    <n v="28.21"/>
    <n v="28.22"/>
    <x v="11"/>
    <n v="2261.2671999999998"/>
    <n v="0.2"/>
    <n v="2261.0672"/>
    <n v="63784.705712000003"/>
    <n v="63807.316383999998"/>
  </r>
  <r>
    <s v="BTCW"/>
    <n v="67.41"/>
    <n v="67.510000000000005"/>
    <x v="11"/>
    <n v="946.08439999999996"/>
    <n v="0"/>
    <n v="946.08439999999996"/>
    <n v="63775.549403999998"/>
    <n v="63870.157844000001"/>
  </r>
  <r>
    <s v="EZBC"/>
    <n v="36.86"/>
    <n v="36.880000000000003"/>
    <x v="11"/>
    <n v="1730.0558000000001"/>
    <n v="-0.2"/>
    <n v="1730.2558000000001"/>
    <n v="63777.228788000008"/>
    <n v="63811.833904000006"/>
  </r>
  <r>
    <s v="FBTC"/>
    <n v="55.53"/>
    <n v="55.54"/>
    <x v="11"/>
    <n v="1148.79"/>
    <n v="0.05"/>
    <n v="1148.74"/>
    <n v="63789.532200000001"/>
    <n v="63801.0196"/>
  </r>
  <r>
    <s v="GBTC"/>
    <n v="49.5"/>
    <n v="49.51"/>
    <x v="11"/>
    <n v="1288.6375"/>
    <n v="-0.05"/>
    <n v="1288.6875"/>
    <n v="63790.03125"/>
    <n v="63802.918124999997"/>
  </r>
  <r>
    <s v="HODL"/>
    <n v="18.04"/>
    <n v="18.05"/>
    <x v="11"/>
    <n v="3535.8029000000001"/>
    <n v="0"/>
    <n v="3535.8029000000001"/>
    <n v="63785.884315999996"/>
    <n v="63821.242345000006"/>
  </r>
  <r>
    <s v="IBIT"/>
    <n v="36.15"/>
    <n v="36.159999999999997"/>
    <x v="11"/>
    <n v="1764.9625000000001"/>
    <n v="0"/>
    <n v="1764.9625000000001"/>
    <n v="63803.394375000003"/>
    <n v="63821.043999999994"/>
  </r>
  <r>
    <s v="ARKB"/>
    <n v="21.16"/>
    <n v="21.17"/>
    <x v="12"/>
    <n v="3014.8103999999998"/>
    <n v="-0.1"/>
    <n v="3014.9103999999998"/>
    <n v="63795.504063999993"/>
    <n v="63825.653167999997"/>
  </r>
  <r>
    <s v="BITB"/>
    <n v="34.64"/>
    <n v="34.65"/>
    <x v="12"/>
    <n v="1842.0297"/>
    <n v="0.1"/>
    <n v="1841.9297000000001"/>
    <n v="63804.444808000007"/>
    <n v="63822.864105000001"/>
  </r>
  <r>
    <s v="BRRR"/>
    <n v="17.989999999999998"/>
    <n v="18"/>
    <x v="12"/>
    <n v="3546.4070999999999"/>
    <n v="0"/>
    <n v="3546.4070999999999"/>
    <n v="63799.86372899999"/>
    <n v="63835.327799999999"/>
  </r>
  <r>
    <s v="BTC"/>
    <n v="28.22"/>
    <n v="28.23"/>
    <x v="12"/>
    <n v="2261.2671999999998"/>
    <n v="0.2"/>
    <n v="2261.0672"/>
    <n v="63807.316383999998"/>
    <n v="63829.927056"/>
  </r>
  <r>
    <s v="BTCW"/>
    <n v="67.42"/>
    <n v="67.489999999999995"/>
    <x v="12"/>
    <n v="946.08439999999996"/>
    <n v="0"/>
    <n v="946.08439999999996"/>
    <n v="63785.010247999999"/>
    <n v="63851.236155999992"/>
  </r>
  <r>
    <s v="EZBC"/>
    <n v="36.869999999999997"/>
    <n v="36.89"/>
    <x v="12"/>
    <n v="1730.0558000000001"/>
    <n v="-0.2"/>
    <n v="1730.2558000000001"/>
    <n v="63794.531346000003"/>
    <n v="63829.136462000009"/>
  </r>
  <r>
    <s v="FBTC"/>
    <n v="55.54"/>
    <n v="55.55"/>
    <x v="12"/>
    <n v="1148.79"/>
    <n v="0.05"/>
    <n v="1148.74"/>
    <n v="63801.0196"/>
    <n v="63812.506999999998"/>
  </r>
  <r>
    <s v="GBTC"/>
    <n v="49.52"/>
    <n v="49.53"/>
    <x v="12"/>
    <n v="1288.6375"/>
    <n v="-0.05"/>
    <n v="1288.6875"/>
    <n v="63815.805000000008"/>
    <n v="63828.691875000004"/>
  </r>
  <r>
    <s v="HODL"/>
    <n v="18.04"/>
    <n v="18.05"/>
    <x v="12"/>
    <n v="3535.8029000000001"/>
    <n v="0"/>
    <n v="3535.8029000000001"/>
    <n v="63785.884315999996"/>
    <n v="63821.242345000006"/>
  </r>
  <r>
    <s v="IBIT"/>
    <n v="36.15"/>
    <n v="36.159999999999997"/>
    <x v="12"/>
    <n v="1764.9625000000001"/>
    <n v="0"/>
    <n v="1764.9625000000001"/>
    <n v="63803.394375000003"/>
    <n v="63821.043999999994"/>
  </r>
  <r>
    <s v="ARKB"/>
    <n v="21.17"/>
    <n v="21.18"/>
    <x v="13"/>
    <n v="3014.8103999999998"/>
    <n v="-0.1"/>
    <n v="3014.9103999999998"/>
    <n v="63825.653167999997"/>
    <n v="63855.802271999994"/>
  </r>
  <r>
    <s v="BITB"/>
    <n v="34.65"/>
    <n v="34.659999999999997"/>
    <x v="13"/>
    <n v="1842.0297"/>
    <n v="0.1"/>
    <n v="1841.9297000000001"/>
    <n v="63822.864105000001"/>
    <n v="63841.283402000001"/>
  </r>
  <r>
    <s v="BRRR"/>
    <n v="18"/>
    <n v="18.010000000000002"/>
    <x v="13"/>
    <n v="3546.4070999999999"/>
    <n v="0"/>
    <n v="3546.4070999999999"/>
    <n v="63835.327799999999"/>
    <n v="63870.791871000001"/>
  </r>
  <r>
    <s v="BTC"/>
    <n v="28.23"/>
    <n v="28.24"/>
    <x v="13"/>
    <n v="2261.2671999999998"/>
    <n v="0.2"/>
    <n v="2261.0672"/>
    <n v="63829.927056"/>
    <n v="63852.537727999996"/>
  </r>
  <r>
    <s v="BTCW"/>
    <n v="67.44"/>
    <n v="67.540000000000006"/>
    <x v="13"/>
    <n v="946.08439999999996"/>
    <n v="0"/>
    <n v="946.08439999999996"/>
    <n v="63803.931935999994"/>
    <n v="63898.540376000004"/>
  </r>
  <r>
    <s v="EZBC"/>
    <n v="36.880000000000003"/>
    <n v="36.9"/>
    <x v="13"/>
    <n v="1730.0558000000001"/>
    <n v="-0.2"/>
    <n v="1730.2558000000001"/>
    <n v="63811.833904000006"/>
    <n v="63846.439020000005"/>
  </r>
  <r>
    <s v="FBTC"/>
    <n v="55.56"/>
    <n v="55.57"/>
    <x v="13"/>
    <n v="1148.79"/>
    <n v="0.05"/>
    <n v="1148.74"/>
    <n v="63823.994400000003"/>
    <n v="63835.481800000001"/>
  </r>
  <r>
    <s v="GBTC"/>
    <n v="49.53"/>
    <n v="49.54"/>
    <x v="13"/>
    <n v="1288.6375"/>
    <n v="-0.05"/>
    <n v="1288.6875"/>
    <n v="63828.691875000004"/>
    <n v="63841.578750000001"/>
  </r>
  <r>
    <s v="HODL"/>
    <n v="18.05"/>
    <n v="18.059999999999999"/>
    <x v="13"/>
    <n v="3535.8029000000001"/>
    <n v="0"/>
    <n v="3535.8029000000001"/>
    <n v="63821.242345000006"/>
    <n v="63856.600374000001"/>
  </r>
  <r>
    <s v="IBIT"/>
    <n v="36.17"/>
    <n v="36.18"/>
    <x v="13"/>
    <n v="1764.9625000000001"/>
    <n v="0"/>
    <n v="1764.9625000000001"/>
    <n v="63838.693625000007"/>
    <n v="63856.343250000005"/>
  </r>
  <r>
    <s v="ARKB"/>
    <n v="21.15"/>
    <n v="21.16"/>
    <x v="14"/>
    <n v="3014.8103999999998"/>
    <n v="-0.1"/>
    <n v="3014.9103999999998"/>
    <n v="63765.35495999999"/>
    <n v="63795.504063999993"/>
  </r>
  <r>
    <s v="BITB"/>
    <n v="34.630000000000003"/>
    <n v="34.64"/>
    <x v="14"/>
    <n v="1842.0297"/>
    <n v="0.1"/>
    <n v="1841.9297000000001"/>
    <n v="63786.025511000007"/>
    <n v="63804.444808000007"/>
  </r>
  <r>
    <s v="BRRR"/>
    <n v="17.989999999999998"/>
    <n v="18"/>
    <x v="14"/>
    <n v="3546.4070999999999"/>
    <n v="0"/>
    <n v="3546.4070999999999"/>
    <n v="63799.86372899999"/>
    <n v="63835.327799999999"/>
  </r>
  <r>
    <s v="BTC"/>
    <n v="28.21"/>
    <n v="28.22"/>
    <x v="14"/>
    <n v="2261.2671999999998"/>
    <n v="0.2"/>
    <n v="2261.0672"/>
    <n v="63784.705712000003"/>
    <n v="63807.316383999998"/>
  </r>
  <r>
    <s v="BTCW"/>
    <n v="67.39"/>
    <n v="67.489999999999995"/>
    <x v="14"/>
    <n v="946.08439999999996"/>
    <n v="0"/>
    <n v="946.08439999999996"/>
    <n v="63756.627715999995"/>
    <n v="63851.236155999992"/>
  </r>
  <r>
    <s v="EZBC"/>
    <n v="36.86"/>
    <n v="36.880000000000003"/>
    <x v="14"/>
    <n v="1730.0558000000001"/>
    <n v="-0.2"/>
    <n v="1730.2558000000001"/>
    <n v="63777.228788000008"/>
    <n v="63811.833904000006"/>
  </r>
  <r>
    <s v="FBTC"/>
    <n v="55.52"/>
    <n v="55.53"/>
    <x v="14"/>
    <n v="1148.79"/>
    <n v="0.05"/>
    <n v="1148.74"/>
    <n v="63778.044800000003"/>
    <n v="63789.532200000001"/>
  </r>
  <r>
    <s v="GBTC"/>
    <n v="49.5"/>
    <n v="49.51"/>
    <x v="14"/>
    <n v="1288.6375"/>
    <n v="-0.05"/>
    <n v="1288.6875"/>
    <n v="63790.03125"/>
    <n v="63802.918124999997"/>
  </r>
  <r>
    <s v="HODL"/>
    <n v="18.04"/>
    <n v="18.05"/>
    <x v="14"/>
    <n v="3535.8029000000001"/>
    <n v="0"/>
    <n v="3535.8029000000001"/>
    <n v="63785.884315999996"/>
    <n v="63821.242345000006"/>
  </r>
  <r>
    <s v="IBIT"/>
    <n v="36.14"/>
    <n v="36.15"/>
    <x v="14"/>
    <n v="1764.9625000000001"/>
    <n v="0"/>
    <n v="1764.9625000000001"/>
    <n v="63785.744750000005"/>
    <n v="63803.394375000003"/>
  </r>
  <r>
    <s v="ARKB"/>
    <n v="21.13"/>
    <n v="21.14"/>
    <x v="15"/>
    <n v="3014.8103999999998"/>
    <n v="-0.1"/>
    <n v="3014.9103999999998"/>
    <n v="63705.05675199999"/>
    <n v="63735.205855999993"/>
  </r>
  <r>
    <s v="BITB"/>
    <n v="34.6"/>
    <n v="34.61"/>
    <x v="15"/>
    <n v="1842.0297"/>
    <n v="0.1"/>
    <n v="1841.9297000000001"/>
    <n v="63730.767620000006"/>
    <n v="63749.186917000006"/>
  </r>
  <r>
    <s v="BRRR"/>
    <n v="17.97"/>
    <n v="17.98"/>
    <x v="15"/>
    <n v="3546.4070999999999"/>
    <n v="0"/>
    <n v="3546.4070999999999"/>
    <n v="63728.935586999993"/>
    <n v="63764.399658000002"/>
  </r>
  <r>
    <s v="BTC"/>
    <n v="28.18"/>
    <n v="28.19"/>
    <x v="15"/>
    <n v="2261.2671999999998"/>
    <n v="0.2"/>
    <n v="2261.0672"/>
    <n v="63716.873695999995"/>
    <n v="63739.484368000005"/>
  </r>
  <r>
    <s v="BTCW"/>
    <n v="67.34"/>
    <n v="67.45"/>
    <x v="15"/>
    <n v="946.08439999999996"/>
    <n v="0"/>
    <n v="946.08439999999996"/>
    <n v="63709.323495999997"/>
    <n v="63813.392780000002"/>
  </r>
  <r>
    <s v="EZBC"/>
    <n v="36.83"/>
    <n v="36.85"/>
    <x v="15"/>
    <n v="1730.0558000000001"/>
    <n v="-0.2"/>
    <n v="1730.2558000000001"/>
    <n v="63725.321113999998"/>
    <n v="63759.926230000005"/>
  </r>
  <r>
    <s v="FBTC"/>
    <n v="55.47"/>
    <n v="55.48"/>
    <x v="15"/>
    <n v="1148.79"/>
    <n v="0.05"/>
    <n v="1148.74"/>
    <n v="63720.607799999998"/>
    <n v="63732.095199999996"/>
  </r>
  <r>
    <s v="GBTC"/>
    <n v="49.46"/>
    <n v="49.47"/>
    <x v="15"/>
    <n v="1288.6375"/>
    <n v="-0.05"/>
    <n v="1288.6875"/>
    <n v="63738.483749999999"/>
    <n v="63751.370624999996"/>
  </r>
  <r>
    <s v="HODL"/>
    <n v="18.02"/>
    <n v="18.03"/>
    <x v="15"/>
    <n v="3535.8029000000001"/>
    <n v="0"/>
    <n v="3535.8029000000001"/>
    <n v="63715.168257999998"/>
    <n v="63750.526287000008"/>
  </r>
  <r>
    <s v="IBIT"/>
    <n v="36.11"/>
    <n v="36.119999999999997"/>
    <x v="15"/>
    <n v="1764.9625000000001"/>
    <n v="0"/>
    <n v="1764.9625000000001"/>
    <n v="63732.795875000003"/>
    <n v="63750.445500000002"/>
  </r>
  <r>
    <s v="ARKB"/>
    <n v="21.17"/>
    <n v="21.18"/>
    <x v="16"/>
    <n v="3014.8103999999998"/>
    <n v="-0.1"/>
    <n v="3014.9103999999998"/>
    <n v="63825.653167999997"/>
    <n v="63855.802271999994"/>
  </r>
  <r>
    <s v="BITB"/>
    <n v="34.64"/>
    <n v="34.65"/>
    <x v="16"/>
    <n v="1842.0297"/>
    <n v="0.1"/>
    <n v="1841.9297000000001"/>
    <n v="63804.444808000007"/>
    <n v="63822.864105000001"/>
  </r>
  <r>
    <s v="BRRR"/>
    <n v="18"/>
    <n v="18.010000000000002"/>
    <x v="16"/>
    <n v="3546.4070999999999"/>
    <n v="0"/>
    <n v="3546.4070999999999"/>
    <n v="63835.327799999999"/>
    <n v="63870.791871000001"/>
  </r>
  <r>
    <s v="BTC"/>
    <n v="28.23"/>
    <n v="28.24"/>
    <x v="16"/>
    <n v="2261.2671999999998"/>
    <n v="0.2"/>
    <n v="2261.0672"/>
    <n v="63829.927056"/>
    <n v="63852.537727999996"/>
  </r>
  <r>
    <s v="BTCW"/>
    <n v="67.45"/>
    <n v="67.55"/>
    <x v="16"/>
    <n v="946.08439999999996"/>
    <n v="0"/>
    <n v="946.08439999999996"/>
    <n v="63813.392780000002"/>
    <n v="63908.001219999991"/>
  </r>
  <r>
    <s v="EZBC"/>
    <n v="36.880000000000003"/>
    <n v="36.9"/>
    <x v="16"/>
    <n v="1730.0558000000001"/>
    <n v="-0.2"/>
    <n v="1730.2558000000001"/>
    <n v="63811.833904000006"/>
    <n v="63846.439020000005"/>
  </r>
  <r>
    <s v="FBTC"/>
    <n v="55.56"/>
    <n v="55.57"/>
    <x v="16"/>
    <n v="1148.79"/>
    <n v="0.05"/>
    <n v="1148.74"/>
    <n v="63823.994400000003"/>
    <n v="63835.481800000001"/>
  </r>
  <r>
    <s v="GBTC"/>
    <n v="49.52"/>
    <n v="49.53"/>
    <x v="16"/>
    <n v="1288.6375"/>
    <n v="-0.05"/>
    <n v="1288.6875"/>
    <n v="63815.805000000008"/>
    <n v="63828.691875000004"/>
  </r>
  <r>
    <s v="HODL"/>
    <n v="18.05"/>
    <n v="18.059999999999999"/>
    <x v="16"/>
    <n v="3535.8029000000001"/>
    <n v="0"/>
    <n v="3535.8029000000001"/>
    <n v="63821.242345000006"/>
    <n v="63856.600374000001"/>
  </r>
  <r>
    <s v="IBIT"/>
    <n v="36.17"/>
    <n v="36.18"/>
    <x v="16"/>
    <n v="1764.9625000000001"/>
    <n v="0"/>
    <n v="1764.9625000000001"/>
    <n v="63838.693625000007"/>
    <n v="63856.343250000005"/>
  </r>
  <r>
    <s v="ARKB"/>
    <n v="21.1"/>
    <n v="21.11"/>
    <x v="17"/>
    <n v="3014.8103999999998"/>
    <n v="-0.1"/>
    <n v="3014.9103999999998"/>
    <n v="63614.60944"/>
    <n v="63644.758543999997"/>
  </r>
  <r>
    <s v="BITB"/>
    <n v="34.549999999999997"/>
    <n v="34.56"/>
    <x v="17"/>
    <n v="1842.0297"/>
    <n v="0.1"/>
    <n v="1841.9297000000001"/>
    <n v="63638.671134999997"/>
    <n v="63657.090432000012"/>
  </r>
  <r>
    <s v="BRRR"/>
    <n v="17.95"/>
    <n v="17.96"/>
    <x v="17"/>
    <n v="3546.4070999999999"/>
    <n v="0"/>
    <n v="3546.4070999999999"/>
    <n v="63658.007444999996"/>
    <n v="63693.471515999998"/>
  </r>
  <r>
    <s v="BTC"/>
    <n v="28.15"/>
    <n v="28.16"/>
    <x v="17"/>
    <n v="2261.2671999999998"/>
    <n v="0.2"/>
    <n v="2261.0672"/>
    <n v="63649.041679999995"/>
    <n v="63671.652351999997"/>
  </r>
  <r>
    <s v="BTCW"/>
    <n v="67.260000000000005"/>
    <n v="67.36"/>
    <x v="17"/>
    <n v="946.08439999999996"/>
    <n v="0"/>
    <n v="946.08439999999996"/>
    <n v="63633.636744000003"/>
    <n v="63728.245183999999"/>
  </r>
  <r>
    <s v="EZBC"/>
    <n v="36.78"/>
    <n v="36.79"/>
    <x v="17"/>
    <n v="1730.0558000000001"/>
    <n v="-0.2"/>
    <n v="1730.2558000000001"/>
    <n v="63638.808324000005"/>
    <n v="63656.110882000001"/>
  </r>
  <r>
    <s v="FBTC"/>
    <n v="55.41"/>
    <n v="55.42"/>
    <x v="17"/>
    <n v="1148.79"/>
    <n v="0.05"/>
    <n v="1148.74"/>
    <n v="63651.683399999994"/>
    <n v="63663.1708"/>
  </r>
  <r>
    <s v="GBTC"/>
    <n v="49.39"/>
    <n v="49.4"/>
    <x v="17"/>
    <n v="1288.6375"/>
    <n v="-0.05"/>
    <n v="1288.6875"/>
    <n v="63648.275625000002"/>
    <n v="63661.162499999999"/>
  </r>
  <r>
    <s v="HODL"/>
    <n v="18"/>
    <n v="18.010000000000002"/>
    <x v="17"/>
    <n v="3535.8029000000001"/>
    <n v="0"/>
    <n v="3535.8029000000001"/>
    <n v="63644.4522"/>
    <n v="63679.81022900001"/>
  </r>
  <r>
    <s v="IBIT"/>
    <n v="36.06"/>
    <n v="36.07"/>
    <x v="17"/>
    <n v="1764.9625000000001"/>
    <n v="0"/>
    <n v="1764.9625000000001"/>
    <n v="63644.547750000005"/>
    <n v="63662.197375000003"/>
  </r>
  <r>
    <s v="ARKB"/>
    <n v="21.11"/>
    <n v="21.12"/>
    <x v="18"/>
    <n v="3014.8103999999998"/>
    <n v="-0.1"/>
    <n v="3014.9103999999998"/>
    <n v="63644.758543999997"/>
    <n v="63674.907648"/>
  </r>
  <r>
    <s v="BITB"/>
    <n v="34.56"/>
    <n v="34.57"/>
    <x v="18"/>
    <n v="1842.0297"/>
    <n v="0.1"/>
    <n v="1841.9297000000001"/>
    <n v="63657.090432000012"/>
    <n v="63675.509729000005"/>
  </r>
  <r>
    <s v="BRRR"/>
    <n v="17.95"/>
    <n v="17.96"/>
    <x v="18"/>
    <n v="3546.4070999999999"/>
    <n v="0"/>
    <n v="3546.4070999999999"/>
    <n v="63658.007444999996"/>
    <n v="63693.471515999998"/>
  </r>
  <r>
    <s v="BTC"/>
    <n v="28.16"/>
    <n v="28.17"/>
    <x v="18"/>
    <n v="2261.2671999999998"/>
    <n v="0.2"/>
    <n v="2261.0672"/>
    <n v="63671.652351999997"/>
    <n v="63694.263024"/>
  </r>
  <r>
    <s v="BTCW"/>
    <n v="67.27"/>
    <n v="67.37"/>
    <x v="18"/>
    <n v="946.08439999999996"/>
    <n v="0"/>
    <n v="946.08439999999996"/>
    <n v="63643.097587999997"/>
    <n v="63737.706028000001"/>
  </r>
  <r>
    <s v="EZBC"/>
    <n v="36.79"/>
    <n v="36.81"/>
    <x v="18"/>
    <n v="1730.0558000000001"/>
    <n v="-0.2"/>
    <n v="1730.2558000000001"/>
    <n v="63656.110882000001"/>
    <n v="63690.715998000007"/>
  </r>
  <r>
    <s v="FBTC"/>
    <n v="55.42"/>
    <n v="55.43"/>
    <x v="18"/>
    <n v="1148.79"/>
    <n v="0.05"/>
    <n v="1148.74"/>
    <n v="63663.1708"/>
    <n v="63674.658199999998"/>
  </r>
  <r>
    <s v="GBTC"/>
    <n v="49.41"/>
    <n v="49.42"/>
    <x v="18"/>
    <n v="1288.6375"/>
    <n v="-0.05"/>
    <n v="1288.6875"/>
    <n v="63674.049374999995"/>
    <n v="63686.936249999999"/>
  </r>
  <r>
    <s v="HODL"/>
    <n v="18"/>
    <n v="18.010000000000002"/>
    <x v="18"/>
    <n v="3535.8029000000001"/>
    <n v="0"/>
    <n v="3535.8029000000001"/>
    <n v="63644.4522"/>
    <n v="63679.81022900001"/>
  </r>
  <r>
    <s v="IBIT"/>
    <n v="36.07"/>
    <n v="36.08"/>
    <x v="18"/>
    <n v="1764.9625000000001"/>
    <n v="0"/>
    <n v="1764.9625000000001"/>
    <n v="63662.197375000003"/>
    <n v="63679.847000000002"/>
  </r>
  <r>
    <s v="ARKB"/>
    <n v="21.12"/>
    <n v="21.13"/>
    <x v="19"/>
    <n v="3014.8103999999998"/>
    <n v="-0.1"/>
    <n v="3014.9103999999998"/>
    <n v="63674.907648"/>
    <n v="63705.05675199999"/>
  </r>
  <r>
    <s v="BITB"/>
    <n v="34.57"/>
    <n v="34.58"/>
    <x v="19"/>
    <n v="1842.0297"/>
    <n v="0.1"/>
    <n v="1841.9297000000001"/>
    <n v="63675.509729000005"/>
    <n v="63693.929026000005"/>
  </r>
  <r>
    <s v="BRRR"/>
    <n v="17.96"/>
    <n v="17.97"/>
    <x v="19"/>
    <n v="3546.4070999999999"/>
    <n v="0"/>
    <n v="3546.4070999999999"/>
    <n v="63693.471515999998"/>
    <n v="63728.935586999993"/>
  </r>
  <r>
    <s v="BTC"/>
    <n v="28.17"/>
    <n v="28.17"/>
    <x v="19"/>
    <n v="2261.2671999999998"/>
    <n v="0.2"/>
    <n v="2261.0672"/>
    <n v="63694.263024"/>
    <n v="63694.263024"/>
  </r>
  <r>
    <s v="BTCW"/>
    <n v="67.3"/>
    <n v="67.38"/>
    <x v="19"/>
    <n v="946.08439999999996"/>
    <n v="0"/>
    <n v="946.08439999999996"/>
    <n v="63671.480119999993"/>
    <n v="63747.166871999994"/>
  </r>
  <r>
    <s v="EZBC"/>
    <n v="36.799999999999997"/>
    <n v="36.82"/>
    <x v="19"/>
    <n v="1730.0558000000001"/>
    <n v="-0.2"/>
    <n v="1730.2558000000001"/>
    <n v="63673.413439999997"/>
    <n v="63708.018556000003"/>
  </r>
  <r>
    <s v="FBTC"/>
    <n v="55.43"/>
    <n v="55.44"/>
    <x v="19"/>
    <n v="1148.79"/>
    <n v="0.05"/>
    <n v="1148.74"/>
    <n v="63674.658199999998"/>
    <n v="63686.145599999996"/>
  </r>
  <r>
    <s v="GBTC"/>
    <n v="49.42"/>
    <n v="49.43"/>
    <x v="19"/>
    <n v="1288.6375"/>
    <n v="-0.05"/>
    <n v="1288.6875"/>
    <n v="63686.936249999999"/>
    <n v="63699.823125000003"/>
  </r>
  <r>
    <s v="HODL"/>
    <n v="18.010000000000002"/>
    <n v="18.02"/>
    <x v="19"/>
    <n v="3535.8029000000001"/>
    <n v="0"/>
    <n v="3535.8029000000001"/>
    <n v="63679.81022900001"/>
    <n v="63715.168257999998"/>
  </r>
  <r>
    <s v="IBIT"/>
    <n v="36.08"/>
    <n v="36.090000000000003"/>
    <x v="19"/>
    <n v="1764.9625000000001"/>
    <n v="0"/>
    <n v="1764.9625000000001"/>
    <n v="63679.847000000002"/>
    <n v="63697.496625000007"/>
  </r>
  <r>
    <s v="ARKB"/>
    <n v="21.1"/>
    <n v="21.11"/>
    <x v="20"/>
    <n v="3014.8103999999998"/>
    <n v="-0.1"/>
    <n v="3014.9103999999998"/>
    <n v="63614.60944"/>
    <n v="63644.758543999997"/>
  </r>
  <r>
    <s v="BITB"/>
    <n v="34.54"/>
    <n v="34.549999999999997"/>
    <x v="20"/>
    <n v="1842.0297"/>
    <n v="0.1"/>
    <n v="1841.9297000000001"/>
    <n v="63620.251838000004"/>
    <n v="63638.671134999997"/>
  </r>
  <r>
    <s v="BRRR"/>
    <n v="17.940000000000001"/>
    <n v="17.95"/>
    <x v="20"/>
    <n v="3546.4070999999999"/>
    <n v="0"/>
    <n v="3546.4070999999999"/>
    <n v="63622.543374000001"/>
    <n v="63658.007444999996"/>
  </r>
  <r>
    <s v="BTC"/>
    <n v="28.14"/>
    <n v="28.15"/>
    <x v="20"/>
    <n v="2261.2671999999998"/>
    <n v="0.2"/>
    <n v="2261.0672"/>
    <n v="63626.431008"/>
    <n v="63649.041679999995"/>
  </r>
  <r>
    <s v="BTCW"/>
    <n v="67.23"/>
    <n v="67.319999999999993"/>
    <x v="20"/>
    <n v="946.08439999999996"/>
    <n v="0"/>
    <n v="946.08439999999996"/>
    <n v="63605.254212"/>
    <n v="63690.401807999988"/>
  </r>
  <r>
    <s v="EZBC"/>
    <n v="36.76"/>
    <n v="36.78"/>
    <x v="20"/>
    <n v="1730.0558000000001"/>
    <n v="-0.2"/>
    <n v="1730.2558000000001"/>
    <n v="63604.203207999999"/>
    <n v="63638.808324000005"/>
  </r>
  <r>
    <s v="FBTC"/>
    <n v="55.39"/>
    <n v="55.4"/>
    <x v="20"/>
    <n v="1148.79"/>
    <n v="0.05"/>
    <n v="1148.74"/>
    <n v="63628.708599999998"/>
    <n v="63640.195999999996"/>
  </r>
  <r>
    <s v="GBTC"/>
    <n v="49.38"/>
    <n v="49.39"/>
    <x v="20"/>
    <n v="1288.6375"/>
    <n v="-0.05"/>
    <n v="1288.6875"/>
    <n v="63635.388750000006"/>
    <n v="63648.275625000002"/>
  </r>
  <r>
    <s v="HODL"/>
    <n v="17.989999999999998"/>
    <n v="18"/>
    <x v="20"/>
    <n v="3535.8029000000001"/>
    <n v="0"/>
    <n v="3535.8029000000001"/>
    <n v="63609.094170999997"/>
    <n v="63644.4522"/>
  </r>
  <r>
    <s v="IBIT"/>
    <n v="36.049999999999997"/>
    <n v="36.06"/>
    <x v="20"/>
    <n v="1764.9625000000001"/>
    <n v="0"/>
    <n v="1764.9625000000001"/>
    <n v="63626.898125"/>
    <n v="63644.54775000000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EC719F-AE10-4875-9CFC-339381C7AE18}" name="PivotTable2" cacheId="16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1:C22" firstHeaderRow="0" firstDataRow="1" firstDataCol="1"/>
  <pivotFields count="9">
    <pivotField showAll="0"/>
    <pivotField numFmtId="44" showAll="0"/>
    <pivotField numFmtId="44" showAll="0"/>
    <pivotField axis="axisRow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showAll="0"/>
    <pivotField numFmtId="164" showAll="0"/>
    <pivotField numFmtId="164" showAll="0"/>
    <pivotField dataField="1" numFmtId="44" showAll="0"/>
    <pivotField dataField="1" numFmtId="44" showAll="0"/>
  </pivotFields>
  <rowFields count="1">
    <field x="3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</rowItems>
  <colFields count="1">
    <field x="-2"/>
  </colFields>
  <colItems count="2">
    <i>
      <x/>
    </i>
    <i i="1">
      <x v="1"/>
    </i>
  </colItems>
  <dataFields count="2">
    <dataField name="Max of unit bid" fld="7" subtotal="max" baseField="3" baseItem="0" numFmtId="44"/>
    <dataField name="Min of unit ask" fld="8" subtotal="min" baseField="3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E5789B-7990-4CEC-B19D-CAF081A1C971}" name="Table1" displayName="Table1" ref="A1:I211" totalsRowShown="0">
  <autoFilter ref="A1:I211" xr:uid="{50E5789B-7990-4CEC-B19D-CAF081A1C971}"/>
  <tableColumns count="9">
    <tableColumn id="1" xr3:uid="{6A2CD990-65C4-4A99-8C31-8BB116B47FCA}" name="my_fi_name"/>
    <tableColumn id="2" xr3:uid="{378450A6-C42D-4C46-8359-6AE681DAD9CB}" name="price_mkt_bid"/>
    <tableColumn id="3" xr3:uid="{24E0EBC1-F9CB-4B2C-A487-5B1F55F97D11}" name="price_mkt_ask"/>
    <tableColumn id="4" xr3:uid="{6F8A4EAA-FB6E-4B9A-A85D-23709A6EB9D3}" name="time"/>
    <tableColumn id="5" xr3:uid="{9EBF4A4E-27BE-4783-96B7-DB0843CAB681}" name="scalar" dataDxfId="16"/>
    <tableColumn id="6" xr3:uid="{8FA8266B-692E-4174-91BD-A612CF05D3DC}" name="adj" dataDxfId="17">
      <calculatedColumnFormula>Sheet1!L3</calculatedColumnFormula>
    </tableColumn>
    <tableColumn id="7" xr3:uid="{F2577D2F-C2BE-4A13-A6EE-38C6292FBA31}" name="adj scalar" dataDxfId="20">
      <calculatedColumnFormula>Table1[[#This Row],[scalar]]-Table1[[#This Row],[adj]]</calculatedColumnFormula>
    </tableColumn>
    <tableColumn id="8" xr3:uid="{F9276453-E282-4FA2-BF43-81F84990387D}" name="unit bid" dataDxfId="19">
      <calculatedColumnFormula>Table1[[#This Row],[price_mkt_bid]]*Table1[[#This Row],[adj scalar]]</calculatedColumnFormula>
    </tableColumn>
    <tableColumn id="9" xr3:uid="{A3045699-A76C-49B6-BA0A-B497D0EEC3D4}" name="unit ask" dataDxfId="18">
      <calculatedColumnFormula>Table1[[#This Row],[price_mkt_ask]]*Table1[[#This Row],[adj scalar]]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C8BDC-8021-4135-89F1-5EC60DBAC408}">
  <dimension ref="A1:I211"/>
  <sheetViews>
    <sheetView workbookViewId="0">
      <selection activeCell="D12" sqref="D12"/>
    </sheetView>
  </sheetViews>
  <sheetFormatPr defaultRowHeight="15" x14ac:dyDescent="0.25"/>
  <cols>
    <col min="1" max="1" width="13.85546875" customWidth="1"/>
    <col min="2" max="2" width="15.7109375" customWidth="1"/>
    <col min="3" max="3" width="15.85546875" customWidth="1"/>
    <col min="4" max="4" width="19" bestFit="1" customWidth="1"/>
    <col min="5" max="5" width="12.5703125" bestFit="1" customWidth="1"/>
    <col min="6" max="6" width="11.5703125" bestFit="1" customWidth="1"/>
    <col min="7" max="7" width="15.42578125" bestFit="1" customWidth="1"/>
    <col min="8" max="8" width="13.85546875" bestFit="1" customWidth="1"/>
    <col min="9" max="9" width="14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s="1" t="s">
        <v>35</v>
      </c>
      <c r="F1" s="1" t="s">
        <v>36</v>
      </c>
      <c r="G1" s="1" t="s">
        <v>37</v>
      </c>
      <c r="H1" s="2" t="s">
        <v>38</v>
      </c>
      <c r="I1" s="2" t="s">
        <v>39</v>
      </c>
    </row>
    <row r="2" spans="1:9" x14ac:dyDescent="0.25">
      <c r="A2" t="s">
        <v>4</v>
      </c>
      <c r="B2">
        <v>20.98</v>
      </c>
      <c r="C2">
        <v>20.99</v>
      </c>
      <c r="D2" t="s">
        <v>5</v>
      </c>
      <c r="E2" s="3">
        <v>3014.8103999999998</v>
      </c>
      <c r="F2" s="4">
        <f>Sheet1!L3</f>
        <v>-0.1</v>
      </c>
      <c r="G2" s="3">
        <f>Table1[[#This Row],[scalar]]-Table1[[#This Row],[adj]]</f>
        <v>3014.9103999999998</v>
      </c>
      <c r="H2" s="5">
        <f>Table1[[#This Row],[price_mkt_bid]]*Table1[[#This Row],[adj scalar]]</f>
        <v>63252.820191999999</v>
      </c>
      <c r="I2" s="5">
        <f>Table1[[#This Row],[price_mkt_ask]]*Table1[[#This Row],[adj scalar]]</f>
        <v>63282.969295999988</v>
      </c>
    </row>
    <row r="3" spans="1:9" x14ac:dyDescent="0.25">
      <c r="A3" t="s">
        <v>6</v>
      </c>
      <c r="B3">
        <v>34.35</v>
      </c>
      <c r="C3">
        <v>34.36</v>
      </c>
      <c r="D3" t="s">
        <v>5</v>
      </c>
      <c r="E3" s="3">
        <v>1842.0297</v>
      </c>
      <c r="F3" s="4">
        <f>Sheet1!L4</f>
        <v>0.1</v>
      </c>
      <c r="G3" s="3">
        <f>Table1[[#This Row],[scalar]]-Table1[[#This Row],[adj]]</f>
        <v>1841.9297000000001</v>
      </c>
      <c r="H3" s="5">
        <f>Table1[[#This Row],[price_mkt_bid]]*Table1[[#This Row],[adj scalar]]</f>
        <v>63270.285195000004</v>
      </c>
      <c r="I3" s="5">
        <f>Table1[[#This Row],[price_mkt_ask]]*Table1[[#This Row],[adj scalar]]</f>
        <v>63288.704492000004</v>
      </c>
    </row>
    <row r="4" spans="1:9" x14ac:dyDescent="0.25">
      <c r="A4" t="s">
        <v>7</v>
      </c>
      <c r="B4">
        <v>17.84</v>
      </c>
      <c r="C4">
        <v>17.850000000000001</v>
      </c>
      <c r="D4" t="s">
        <v>5</v>
      </c>
      <c r="E4" s="3">
        <v>3546.4070999999999</v>
      </c>
      <c r="F4" s="4">
        <f>Sheet1!L5</f>
        <v>0</v>
      </c>
      <c r="G4" s="3">
        <f>Table1[[#This Row],[scalar]]-Table1[[#This Row],[adj]]</f>
        <v>3546.4070999999999</v>
      </c>
      <c r="H4" s="5">
        <f>Table1[[#This Row],[price_mkt_bid]]*Table1[[#This Row],[adj scalar]]</f>
        <v>63267.902664000001</v>
      </c>
      <c r="I4" s="5">
        <f>Table1[[#This Row],[price_mkt_ask]]*Table1[[#This Row],[adj scalar]]</f>
        <v>63303.366735000003</v>
      </c>
    </row>
    <row r="5" spans="1:9" x14ac:dyDescent="0.25">
      <c r="A5" t="s">
        <v>8</v>
      </c>
      <c r="B5">
        <v>27.98</v>
      </c>
      <c r="C5">
        <v>27.99</v>
      </c>
      <c r="D5" t="s">
        <v>5</v>
      </c>
      <c r="E5" s="3">
        <v>2261.2671999999998</v>
      </c>
      <c r="F5" s="4">
        <f>Sheet1!L6</f>
        <v>0.2</v>
      </c>
      <c r="G5" s="3">
        <f>Table1[[#This Row],[scalar]]-Table1[[#This Row],[adj]]</f>
        <v>2261.0672</v>
      </c>
      <c r="H5" s="5">
        <f>Table1[[#This Row],[price_mkt_bid]]*Table1[[#This Row],[adj scalar]]</f>
        <v>63264.660256000003</v>
      </c>
      <c r="I5" s="5">
        <f>Table1[[#This Row],[price_mkt_ask]]*Table1[[#This Row],[adj scalar]]</f>
        <v>63287.270927999998</v>
      </c>
    </row>
    <row r="6" spans="1:9" x14ac:dyDescent="0.25">
      <c r="A6" t="s">
        <v>9</v>
      </c>
      <c r="B6">
        <v>66.819999999999993</v>
      </c>
      <c r="C6">
        <v>66.959999999999994</v>
      </c>
      <c r="D6" t="s">
        <v>5</v>
      </c>
      <c r="E6" s="3">
        <v>946.08439999999996</v>
      </c>
      <c r="F6" s="4">
        <f>Sheet1!L7</f>
        <v>0</v>
      </c>
      <c r="G6" s="3">
        <f>Table1[[#This Row],[scalar]]-Table1[[#This Row],[adj]]</f>
        <v>946.08439999999996</v>
      </c>
      <c r="H6" s="5">
        <f>Table1[[#This Row],[price_mkt_bid]]*Table1[[#This Row],[adj scalar]]</f>
        <v>63217.359607999992</v>
      </c>
      <c r="I6" s="5">
        <f>Table1[[#This Row],[price_mkt_ask]]*Table1[[#This Row],[adj scalar]]</f>
        <v>63349.811423999992</v>
      </c>
    </row>
    <row r="7" spans="1:9" x14ac:dyDescent="0.25">
      <c r="A7" t="s">
        <v>10</v>
      </c>
      <c r="B7">
        <v>36.56</v>
      </c>
      <c r="C7">
        <v>36.58</v>
      </c>
      <c r="D7" t="s">
        <v>5</v>
      </c>
      <c r="E7" s="3">
        <v>1730.0558000000001</v>
      </c>
      <c r="F7" s="4">
        <f>Sheet1!L8</f>
        <v>-0.2</v>
      </c>
      <c r="G7" s="3">
        <f>Table1[[#This Row],[scalar]]-Table1[[#This Row],[adj]]</f>
        <v>1730.2558000000001</v>
      </c>
      <c r="H7" s="5">
        <f>Table1[[#This Row],[price_mkt_bid]]*Table1[[#This Row],[adj scalar]]</f>
        <v>63258.152048000011</v>
      </c>
      <c r="I7" s="5">
        <f>Table1[[#This Row],[price_mkt_ask]]*Table1[[#This Row],[adj scalar]]</f>
        <v>63292.757164000002</v>
      </c>
    </row>
    <row r="8" spans="1:9" x14ac:dyDescent="0.25">
      <c r="A8" t="s">
        <v>11</v>
      </c>
      <c r="B8">
        <v>55.08</v>
      </c>
      <c r="C8">
        <v>55.09</v>
      </c>
      <c r="D8" t="s">
        <v>5</v>
      </c>
      <c r="E8" s="6">
        <v>1148.79</v>
      </c>
      <c r="F8" s="4">
        <f>Sheet1!L9</f>
        <v>0.05</v>
      </c>
      <c r="G8" s="6">
        <f>Table1[[#This Row],[scalar]]-Table1[[#This Row],[adj]]</f>
        <v>1148.74</v>
      </c>
      <c r="H8" s="7">
        <f>Table1[[#This Row],[price_mkt_bid]]*Table1[[#This Row],[adj scalar]]</f>
        <v>63272.599199999997</v>
      </c>
      <c r="I8" s="7">
        <f>Table1[[#This Row],[price_mkt_ask]]*Table1[[#This Row],[adj scalar]]</f>
        <v>63284.086600000002</v>
      </c>
    </row>
    <row r="9" spans="1:9" x14ac:dyDescent="0.25">
      <c r="A9" t="s">
        <v>12</v>
      </c>
      <c r="B9">
        <v>49.1</v>
      </c>
      <c r="C9">
        <v>49.11</v>
      </c>
      <c r="D9" t="s">
        <v>5</v>
      </c>
      <c r="E9" s="6">
        <v>1288.6375</v>
      </c>
      <c r="F9" s="4">
        <f>Sheet1!L10</f>
        <v>-0.05</v>
      </c>
      <c r="G9" s="6">
        <f>Table1[[#This Row],[scalar]]-Table1[[#This Row],[adj]]</f>
        <v>1288.6875</v>
      </c>
      <c r="H9" s="7">
        <f>Table1[[#This Row],[price_mkt_bid]]*Table1[[#This Row],[adj scalar]]</f>
        <v>63274.556250000001</v>
      </c>
      <c r="I9" s="7">
        <f>Table1[[#This Row],[price_mkt_ask]]*Table1[[#This Row],[adj scalar]]</f>
        <v>63287.443124999998</v>
      </c>
    </row>
    <row r="10" spans="1:9" x14ac:dyDescent="0.25">
      <c r="A10" t="s">
        <v>13</v>
      </c>
      <c r="B10">
        <v>17.89</v>
      </c>
      <c r="C10">
        <v>17.899999999999999</v>
      </c>
      <c r="D10" t="s">
        <v>5</v>
      </c>
      <c r="E10" s="6">
        <v>3535.8029000000001</v>
      </c>
      <c r="F10" s="4">
        <f>Sheet1!L11</f>
        <v>0</v>
      </c>
      <c r="G10" s="6">
        <f>Table1[[#This Row],[scalar]]-Table1[[#This Row],[adj]]</f>
        <v>3535.8029000000001</v>
      </c>
      <c r="H10" s="7">
        <f>Table1[[#This Row],[price_mkt_bid]]*Table1[[#This Row],[adj scalar]]</f>
        <v>63255.513881000006</v>
      </c>
      <c r="I10" s="7">
        <f>Table1[[#This Row],[price_mkt_ask]]*Table1[[#This Row],[adj scalar]]</f>
        <v>63290.871909999994</v>
      </c>
    </row>
    <row r="11" spans="1:9" x14ac:dyDescent="0.25">
      <c r="A11" t="s">
        <v>14</v>
      </c>
      <c r="B11">
        <v>35.840000000000003</v>
      </c>
      <c r="C11">
        <v>35.85</v>
      </c>
      <c r="D11" t="s">
        <v>5</v>
      </c>
      <c r="E11" s="6">
        <v>1764.9625000000001</v>
      </c>
      <c r="F11" s="4">
        <f>Sheet1!L12</f>
        <v>0</v>
      </c>
      <c r="G11" s="6">
        <f>Table1[[#This Row],[scalar]]-Table1[[#This Row],[adj]]</f>
        <v>1764.9625000000001</v>
      </c>
      <c r="H11" s="7">
        <f>Table1[[#This Row],[price_mkt_bid]]*Table1[[#This Row],[adj scalar]]</f>
        <v>63256.256000000008</v>
      </c>
      <c r="I11" s="7">
        <f>Table1[[#This Row],[price_mkt_ask]]*Table1[[#This Row],[adj scalar]]</f>
        <v>63273.905625000007</v>
      </c>
    </row>
    <row r="12" spans="1:9" x14ac:dyDescent="0.25">
      <c r="A12" t="s">
        <v>4</v>
      </c>
      <c r="B12">
        <v>20.95</v>
      </c>
      <c r="C12">
        <v>20.96</v>
      </c>
      <c r="D12" t="s">
        <v>15</v>
      </c>
      <c r="E12" s="6">
        <v>3014.8103999999998</v>
      </c>
      <c r="F12" s="6">
        <f>F2</f>
        <v>-0.1</v>
      </c>
      <c r="G12" s="6">
        <f>Table1[[#This Row],[scalar]]-Table1[[#This Row],[adj]]</f>
        <v>3014.9103999999998</v>
      </c>
      <c r="H12" s="7">
        <f>Table1[[#This Row],[price_mkt_bid]]*Table1[[#This Row],[adj scalar]]</f>
        <v>63162.372879999995</v>
      </c>
      <c r="I12" s="7">
        <f>Table1[[#This Row],[price_mkt_ask]]*Table1[[#This Row],[adj scalar]]</f>
        <v>63192.521983999999</v>
      </c>
    </row>
    <row r="13" spans="1:9" x14ac:dyDescent="0.25">
      <c r="A13" t="s">
        <v>6</v>
      </c>
      <c r="B13">
        <v>34.299999999999997</v>
      </c>
      <c r="C13">
        <v>34.31</v>
      </c>
      <c r="D13" t="s">
        <v>15</v>
      </c>
      <c r="E13" s="6">
        <v>1842.0297</v>
      </c>
      <c r="F13" s="6">
        <f t="shared" ref="F13:F76" si="0">F3</f>
        <v>0.1</v>
      </c>
      <c r="G13" s="6">
        <f>Table1[[#This Row],[scalar]]-Table1[[#This Row],[adj]]</f>
        <v>1841.9297000000001</v>
      </c>
      <c r="H13" s="7">
        <f>Table1[[#This Row],[price_mkt_bid]]*Table1[[#This Row],[adj scalar]]</f>
        <v>63178.188710000002</v>
      </c>
      <c r="I13" s="7">
        <f>Table1[[#This Row],[price_mkt_ask]]*Table1[[#This Row],[adj scalar]]</f>
        <v>63196.60800700001</v>
      </c>
    </row>
    <row r="14" spans="1:9" x14ac:dyDescent="0.25">
      <c r="A14" t="s">
        <v>7</v>
      </c>
      <c r="B14">
        <v>17.809999999999999</v>
      </c>
      <c r="C14">
        <v>17.82</v>
      </c>
      <c r="D14" t="s">
        <v>15</v>
      </c>
      <c r="E14" s="6">
        <v>3546.4070999999999</v>
      </c>
      <c r="F14" s="6">
        <f t="shared" si="0"/>
        <v>0</v>
      </c>
      <c r="G14" s="6">
        <f>Table1[[#This Row],[scalar]]-Table1[[#This Row],[adj]]</f>
        <v>3546.4070999999999</v>
      </c>
      <c r="H14" s="7">
        <f>Table1[[#This Row],[price_mkt_bid]]*Table1[[#This Row],[adj scalar]]</f>
        <v>63161.510450999995</v>
      </c>
      <c r="I14" s="7">
        <f>Table1[[#This Row],[price_mkt_ask]]*Table1[[#This Row],[adj scalar]]</f>
        <v>63196.974521999997</v>
      </c>
    </row>
    <row r="15" spans="1:9" x14ac:dyDescent="0.25">
      <c r="A15" t="s">
        <v>8</v>
      </c>
      <c r="B15">
        <v>27.94</v>
      </c>
      <c r="C15">
        <v>27.95</v>
      </c>
      <c r="D15" t="s">
        <v>15</v>
      </c>
      <c r="E15" s="6">
        <v>2261.2671999999998</v>
      </c>
      <c r="F15" s="6">
        <f t="shared" si="0"/>
        <v>0.2</v>
      </c>
      <c r="G15" s="6">
        <f>Table1[[#This Row],[scalar]]-Table1[[#This Row],[adj]]</f>
        <v>2261.0672</v>
      </c>
      <c r="H15" s="7">
        <f>Table1[[#This Row],[price_mkt_bid]]*Table1[[#This Row],[adj scalar]]</f>
        <v>63174.217568</v>
      </c>
      <c r="I15" s="7">
        <f>Table1[[#This Row],[price_mkt_ask]]*Table1[[#This Row],[adj scalar]]</f>
        <v>63196.828239999995</v>
      </c>
    </row>
    <row r="16" spans="1:9" x14ac:dyDescent="0.25">
      <c r="A16" t="s">
        <v>9</v>
      </c>
      <c r="B16">
        <v>66.739999999999995</v>
      </c>
      <c r="C16">
        <v>66.86</v>
      </c>
      <c r="D16" t="s">
        <v>15</v>
      </c>
      <c r="E16" s="6">
        <v>946.08439999999996</v>
      </c>
      <c r="F16" s="6">
        <f t="shared" si="0"/>
        <v>0</v>
      </c>
      <c r="G16" s="6">
        <f>Table1[[#This Row],[scalar]]-Table1[[#This Row],[adj]]</f>
        <v>946.08439999999996</v>
      </c>
      <c r="H16" s="7">
        <f>Table1[[#This Row],[price_mkt_bid]]*Table1[[#This Row],[adj scalar]]</f>
        <v>63141.67285599999</v>
      </c>
      <c r="I16" s="7">
        <f>Table1[[#This Row],[price_mkt_ask]]*Table1[[#This Row],[adj scalar]]</f>
        <v>63255.202983999996</v>
      </c>
    </row>
    <row r="17" spans="1:9" x14ac:dyDescent="0.25">
      <c r="A17" t="s">
        <v>10</v>
      </c>
      <c r="B17">
        <v>36.51</v>
      </c>
      <c r="C17">
        <v>36.520000000000003</v>
      </c>
      <c r="D17" t="s">
        <v>15</v>
      </c>
      <c r="E17" s="6">
        <v>1730.0558000000001</v>
      </c>
      <c r="F17" s="6">
        <f t="shared" si="0"/>
        <v>-0.2</v>
      </c>
      <c r="G17" s="6">
        <f>Table1[[#This Row],[scalar]]-Table1[[#This Row],[adj]]</f>
        <v>1730.2558000000001</v>
      </c>
      <c r="H17" s="7">
        <f>Table1[[#This Row],[price_mkt_bid]]*Table1[[#This Row],[adj scalar]]</f>
        <v>63171.639258000003</v>
      </c>
      <c r="I17" s="7">
        <f>Table1[[#This Row],[price_mkt_ask]]*Table1[[#This Row],[adj scalar]]</f>
        <v>63188.941816000013</v>
      </c>
    </row>
    <row r="18" spans="1:9" x14ac:dyDescent="0.25">
      <c r="A18" t="s">
        <v>11</v>
      </c>
      <c r="B18">
        <v>55</v>
      </c>
      <c r="C18">
        <v>55.01</v>
      </c>
      <c r="D18" t="s">
        <v>15</v>
      </c>
      <c r="E18" s="6">
        <v>1148.79</v>
      </c>
      <c r="F18" s="6">
        <f t="shared" si="0"/>
        <v>0.05</v>
      </c>
      <c r="G18" s="6">
        <f>Table1[[#This Row],[scalar]]-Table1[[#This Row],[adj]]</f>
        <v>1148.74</v>
      </c>
      <c r="H18" s="7">
        <f>Table1[[#This Row],[price_mkt_bid]]*Table1[[#This Row],[adj scalar]]</f>
        <v>63180.7</v>
      </c>
      <c r="I18" s="7">
        <f>Table1[[#This Row],[price_mkt_ask]]*Table1[[#This Row],[adj scalar]]</f>
        <v>63192.187399999995</v>
      </c>
    </row>
    <row r="19" spans="1:9" x14ac:dyDescent="0.25">
      <c r="A19" t="s">
        <v>12</v>
      </c>
      <c r="B19">
        <v>49.03</v>
      </c>
      <c r="C19">
        <v>49.04</v>
      </c>
      <c r="D19" t="s">
        <v>15</v>
      </c>
      <c r="E19" s="6">
        <v>1288.6375</v>
      </c>
      <c r="F19" s="6">
        <f t="shared" si="0"/>
        <v>-0.05</v>
      </c>
      <c r="G19" s="6">
        <f>Table1[[#This Row],[scalar]]-Table1[[#This Row],[adj]]</f>
        <v>1288.6875</v>
      </c>
      <c r="H19" s="7">
        <f>Table1[[#This Row],[price_mkt_bid]]*Table1[[#This Row],[adj scalar]]</f>
        <v>63184.348125000004</v>
      </c>
      <c r="I19" s="7">
        <f>Table1[[#This Row],[price_mkt_ask]]*Table1[[#This Row],[adj scalar]]</f>
        <v>63197.235000000001</v>
      </c>
    </row>
    <row r="20" spans="1:9" x14ac:dyDescent="0.25">
      <c r="A20" t="s">
        <v>13</v>
      </c>
      <c r="B20">
        <v>17.87</v>
      </c>
      <c r="C20">
        <v>17.88</v>
      </c>
      <c r="D20" t="s">
        <v>15</v>
      </c>
      <c r="E20" s="6">
        <v>3535.8029000000001</v>
      </c>
      <c r="F20" s="6">
        <f t="shared" si="0"/>
        <v>0</v>
      </c>
      <c r="G20" s="6">
        <f>Table1[[#This Row],[scalar]]-Table1[[#This Row],[adj]]</f>
        <v>3535.8029000000001</v>
      </c>
      <c r="H20" s="7">
        <f>Table1[[#This Row],[price_mkt_bid]]*Table1[[#This Row],[adj scalar]]</f>
        <v>63184.797823000008</v>
      </c>
      <c r="I20" s="7">
        <f>Table1[[#This Row],[price_mkt_ask]]*Table1[[#This Row],[adj scalar]]</f>
        <v>63220.155851999996</v>
      </c>
    </row>
    <row r="21" spans="1:9" x14ac:dyDescent="0.25">
      <c r="A21" t="s">
        <v>14</v>
      </c>
      <c r="B21">
        <v>35.79</v>
      </c>
      <c r="C21">
        <v>35.799999999999997</v>
      </c>
      <c r="D21" t="s">
        <v>15</v>
      </c>
      <c r="E21" s="6">
        <v>1764.9625000000001</v>
      </c>
      <c r="F21" s="6">
        <f t="shared" si="0"/>
        <v>0</v>
      </c>
      <c r="G21" s="6">
        <f>Table1[[#This Row],[scalar]]-Table1[[#This Row],[adj]]</f>
        <v>1764.9625000000001</v>
      </c>
      <c r="H21" s="7">
        <f>Table1[[#This Row],[price_mkt_bid]]*Table1[[#This Row],[adj scalar]]</f>
        <v>63168.007875000003</v>
      </c>
      <c r="I21" s="7">
        <f>Table1[[#This Row],[price_mkt_ask]]*Table1[[#This Row],[adj scalar]]</f>
        <v>63185.657500000001</v>
      </c>
    </row>
    <row r="22" spans="1:9" x14ac:dyDescent="0.25">
      <c r="A22" t="s">
        <v>4</v>
      </c>
      <c r="B22">
        <v>21</v>
      </c>
      <c r="C22">
        <v>21.01</v>
      </c>
      <c r="D22" t="s">
        <v>16</v>
      </c>
      <c r="E22" s="6">
        <v>3014.8103999999998</v>
      </c>
      <c r="F22" s="6">
        <f t="shared" si="0"/>
        <v>-0.1</v>
      </c>
      <c r="G22" s="6">
        <f>Table1[[#This Row],[scalar]]-Table1[[#This Row],[adj]]</f>
        <v>3014.9103999999998</v>
      </c>
      <c r="H22" s="7">
        <f>Table1[[#This Row],[price_mkt_bid]]*Table1[[#This Row],[adj scalar]]</f>
        <v>63313.118399999992</v>
      </c>
      <c r="I22" s="7">
        <f>Table1[[#This Row],[price_mkt_ask]]*Table1[[#This Row],[adj scalar]]</f>
        <v>63343.267504000003</v>
      </c>
    </row>
    <row r="23" spans="1:9" x14ac:dyDescent="0.25">
      <c r="A23" t="s">
        <v>6</v>
      </c>
      <c r="B23">
        <v>34.369999999999997</v>
      </c>
      <c r="C23">
        <v>34.380000000000003</v>
      </c>
      <c r="D23" t="s">
        <v>16</v>
      </c>
      <c r="E23" s="6">
        <v>1842.0297</v>
      </c>
      <c r="F23" s="6">
        <f t="shared" si="0"/>
        <v>0.1</v>
      </c>
      <c r="G23" s="6">
        <f>Table1[[#This Row],[scalar]]-Table1[[#This Row],[adj]]</f>
        <v>1841.9297000000001</v>
      </c>
      <c r="H23" s="7">
        <f>Table1[[#This Row],[price_mkt_bid]]*Table1[[#This Row],[adj scalar]]</f>
        <v>63307.123788999997</v>
      </c>
      <c r="I23" s="7">
        <f>Table1[[#This Row],[price_mkt_ask]]*Table1[[#This Row],[adj scalar]]</f>
        <v>63325.543086000012</v>
      </c>
    </row>
    <row r="24" spans="1:9" x14ac:dyDescent="0.25">
      <c r="A24" t="s">
        <v>7</v>
      </c>
      <c r="B24">
        <v>17.850000000000001</v>
      </c>
      <c r="C24">
        <v>17.86</v>
      </c>
      <c r="D24" t="s">
        <v>16</v>
      </c>
      <c r="E24" s="6">
        <v>3546.4070999999999</v>
      </c>
      <c r="F24" s="6">
        <f t="shared" si="0"/>
        <v>0</v>
      </c>
      <c r="G24" s="6">
        <f>Table1[[#This Row],[scalar]]-Table1[[#This Row],[adj]]</f>
        <v>3546.4070999999999</v>
      </c>
      <c r="H24" s="7">
        <f>Table1[[#This Row],[price_mkt_bid]]*Table1[[#This Row],[adj scalar]]</f>
        <v>63303.366735000003</v>
      </c>
      <c r="I24" s="7">
        <f>Table1[[#This Row],[price_mkt_ask]]*Table1[[#This Row],[adj scalar]]</f>
        <v>63338.830805999998</v>
      </c>
    </row>
    <row r="25" spans="1:9" x14ac:dyDescent="0.25">
      <c r="A25" t="s">
        <v>8</v>
      </c>
      <c r="B25">
        <v>28</v>
      </c>
      <c r="C25">
        <v>28.01</v>
      </c>
      <c r="D25" t="s">
        <v>16</v>
      </c>
      <c r="E25" s="6">
        <v>2261.2671999999998</v>
      </c>
      <c r="F25" s="6">
        <f t="shared" si="0"/>
        <v>0.2</v>
      </c>
      <c r="G25" s="6">
        <f>Table1[[#This Row],[scalar]]-Table1[[#This Row],[adj]]</f>
        <v>2261.0672</v>
      </c>
      <c r="H25" s="7">
        <f>Table1[[#This Row],[price_mkt_bid]]*Table1[[#This Row],[adj scalar]]</f>
        <v>63309.881600000001</v>
      </c>
      <c r="I25" s="7">
        <f>Table1[[#This Row],[price_mkt_ask]]*Table1[[#This Row],[adj scalar]]</f>
        <v>63332.492272000003</v>
      </c>
    </row>
    <row r="26" spans="1:9" x14ac:dyDescent="0.25">
      <c r="A26" t="s">
        <v>9</v>
      </c>
      <c r="B26">
        <v>66.91</v>
      </c>
      <c r="C26">
        <v>67.02</v>
      </c>
      <c r="D26" t="s">
        <v>16</v>
      </c>
      <c r="E26" s="6">
        <v>946.08439999999996</v>
      </c>
      <c r="F26" s="6">
        <f t="shared" si="0"/>
        <v>0</v>
      </c>
      <c r="G26" s="6">
        <f>Table1[[#This Row],[scalar]]-Table1[[#This Row],[adj]]</f>
        <v>946.08439999999996</v>
      </c>
      <c r="H26" s="7">
        <f>Table1[[#This Row],[price_mkt_bid]]*Table1[[#This Row],[adj scalar]]</f>
        <v>63302.507203999994</v>
      </c>
      <c r="I26" s="7">
        <f>Table1[[#This Row],[price_mkt_ask]]*Table1[[#This Row],[adj scalar]]</f>
        <v>63406.576487999992</v>
      </c>
    </row>
    <row r="27" spans="1:9" x14ac:dyDescent="0.25">
      <c r="A27" t="s">
        <v>10</v>
      </c>
      <c r="B27">
        <v>36.58</v>
      </c>
      <c r="C27">
        <v>36.61</v>
      </c>
      <c r="D27" t="s">
        <v>16</v>
      </c>
      <c r="E27" s="6">
        <v>1730.0558000000001</v>
      </c>
      <c r="F27" s="6">
        <f t="shared" si="0"/>
        <v>-0.2</v>
      </c>
      <c r="G27" s="6">
        <f>Table1[[#This Row],[scalar]]-Table1[[#This Row],[adj]]</f>
        <v>1730.2558000000001</v>
      </c>
      <c r="H27" s="7">
        <f>Table1[[#This Row],[price_mkt_bid]]*Table1[[#This Row],[adj scalar]]</f>
        <v>63292.757164000002</v>
      </c>
      <c r="I27" s="7">
        <f>Table1[[#This Row],[price_mkt_ask]]*Table1[[#This Row],[adj scalar]]</f>
        <v>63344.664838000004</v>
      </c>
    </row>
    <row r="28" spans="1:9" x14ac:dyDescent="0.25">
      <c r="A28" t="s">
        <v>11</v>
      </c>
      <c r="B28">
        <v>55.12</v>
      </c>
      <c r="C28">
        <v>55.13</v>
      </c>
      <c r="D28" t="s">
        <v>16</v>
      </c>
      <c r="E28" s="6">
        <v>1148.79</v>
      </c>
      <c r="F28" s="6">
        <f t="shared" si="0"/>
        <v>0.05</v>
      </c>
      <c r="G28" s="6">
        <f>Table1[[#This Row],[scalar]]-Table1[[#This Row],[adj]]</f>
        <v>1148.74</v>
      </c>
      <c r="H28" s="7">
        <f>Table1[[#This Row],[price_mkt_bid]]*Table1[[#This Row],[adj scalar]]</f>
        <v>63318.548799999997</v>
      </c>
      <c r="I28" s="7">
        <f>Table1[[#This Row],[price_mkt_ask]]*Table1[[#This Row],[adj scalar]]</f>
        <v>63330.036200000002</v>
      </c>
    </row>
    <row r="29" spans="1:9" x14ac:dyDescent="0.25">
      <c r="A29" t="s">
        <v>12</v>
      </c>
      <c r="B29">
        <v>49.13</v>
      </c>
      <c r="C29">
        <v>49.14</v>
      </c>
      <c r="D29" t="s">
        <v>16</v>
      </c>
      <c r="E29" s="6">
        <v>1288.6375</v>
      </c>
      <c r="F29" s="6">
        <f t="shared" si="0"/>
        <v>-0.05</v>
      </c>
      <c r="G29" s="6">
        <f>Table1[[#This Row],[scalar]]-Table1[[#This Row],[adj]]</f>
        <v>1288.6875</v>
      </c>
      <c r="H29" s="7">
        <f>Table1[[#This Row],[price_mkt_bid]]*Table1[[#This Row],[adj scalar]]</f>
        <v>63313.216875000006</v>
      </c>
      <c r="I29" s="7">
        <f>Table1[[#This Row],[price_mkt_ask]]*Table1[[#This Row],[adj scalar]]</f>
        <v>63326.103750000002</v>
      </c>
    </row>
    <row r="30" spans="1:9" x14ac:dyDescent="0.25">
      <c r="A30" t="s">
        <v>13</v>
      </c>
      <c r="B30">
        <v>17.899999999999999</v>
      </c>
      <c r="C30">
        <v>17.91</v>
      </c>
      <c r="D30" t="s">
        <v>16</v>
      </c>
      <c r="E30" s="6">
        <v>3535.8029000000001</v>
      </c>
      <c r="F30" s="6">
        <f t="shared" si="0"/>
        <v>0</v>
      </c>
      <c r="G30" s="6">
        <f>Table1[[#This Row],[scalar]]-Table1[[#This Row],[adj]]</f>
        <v>3535.8029000000001</v>
      </c>
      <c r="H30" s="7">
        <f>Table1[[#This Row],[price_mkt_bid]]*Table1[[#This Row],[adj scalar]]</f>
        <v>63290.871909999994</v>
      </c>
      <c r="I30" s="7">
        <f>Table1[[#This Row],[price_mkt_ask]]*Table1[[#This Row],[adj scalar]]</f>
        <v>63326.229939000004</v>
      </c>
    </row>
    <row r="31" spans="1:9" x14ac:dyDescent="0.25">
      <c r="A31" t="s">
        <v>14</v>
      </c>
      <c r="B31">
        <v>35.869999999999997</v>
      </c>
      <c r="C31">
        <v>35.880000000000003</v>
      </c>
      <c r="D31" t="s">
        <v>16</v>
      </c>
      <c r="E31" s="6">
        <v>1764.9625000000001</v>
      </c>
      <c r="F31" s="6">
        <f t="shared" si="0"/>
        <v>0</v>
      </c>
      <c r="G31" s="6">
        <f>Table1[[#This Row],[scalar]]-Table1[[#This Row],[adj]]</f>
        <v>1764.9625000000001</v>
      </c>
      <c r="H31" s="7">
        <f>Table1[[#This Row],[price_mkt_bid]]*Table1[[#This Row],[adj scalar]]</f>
        <v>63309.204874999996</v>
      </c>
      <c r="I31" s="7">
        <f>Table1[[#This Row],[price_mkt_ask]]*Table1[[#This Row],[adj scalar]]</f>
        <v>63326.854500000009</v>
      </c>
    </row>
    <row r="32" spans="1:9" x14ac:dyDescent="0.25">
      <c r="A32" t="s">
        <v>4</v>
      </c>
      <c r="B32">
        <v>21.16</v>
      </c>
      <c r="C32">
        <v>21.17</v>
      </c>
      <c r="D32" t="s">
        <v>17</v>
      </c>
      <c r="E32" s="6">
        <v>3014.8103999999998</v>
      </c>
      <c r="F32" s="6">
        <f t="shared" si="0"/>
        <v>-0.1</v>
      </c>
      <c r="G32" s="6">
        <f>Table1[[#This Row],[scalar]]-Table1[[#This Row],[adj]]</f>
        <v>3014.9103999999998</v>
      </c>
      <c r="H32" s="7">
        <f>Table1[[#This Row],[price_mkt_bid]]*Table1[[#This Row],[adj scalar]]</f>
        <v>63795.504063999993</v>
      </c>
      <c r="I32" s="7">
        <f>Table1[[#This Row],[price_mkt_ask]]*Table1[[#This Row],[adj scalar]]</f>
        <v>63825.653167999997</v>
      </c>
    </row>
    <row r="33" spans="1:9" x14ac:dyDescent="0.25">
      <c r="A33" t="s">
        <v>6</v>
      </c>
      <c r="B33">
        <v>34.64</v>
      </c>
      <c r="C33">
        <v>34.65</v>
      </c>
      <c r="D33" t="s">
        <v>17</v>
      </c>
      <c r="E33" s="6">
        <v>1842.0297</v>
      </c>
      <c r="F33" s="6">
        <f t="shared" si="0"/>
        <v>0.1</v>
      </c>
      <c r="G33" s="6">
        <f>Table1[[#This Row],[scalar]]-Table1[[#This Row],[adj]]</f>
        <v>1841.9297000000001</v>
      </c>
      <c r="H33" s="7">
        <f>Table1[[#This Row],[price_mkt_bid]]*Table1[[#This Row],[adj scalar]]</f>
        <v>63804.444808000007</v>
      </c>
      <c r="I33" s="7">
        <f>Table1[[#This Row],[price_mkt_ask]]*Table1[[#This Row],[adj scalar]]</f>
        <v>63822.864105000001</v>
      </c>
    </row>
    <row r="34" spans="1:9" x14ac:dyDescent="0.25">
      <c r="A34" t="s">
        <v>7</v>
      </c>
      <c r="B34">
        <v>17.989999999999998</v>
      </c>
      <c r="C34">
        <v>18</v>
      </c>
      <c r="D34" t="s">
        <v>17</v>
      </c>
      <c r="E34" s="6">
        <v>3546.4070999999999</v>
      </c>
      <c r="F34" s="6">
        <f t="shared" si="0"/>
        <v>0</v>
      </c>
      <c r="G34" s="6">
        <f>Table1[[#This Row],[scalar]]-Table1[[#This Row],[adj]]</f>
        <v>3546.4070999999999</v>
      </c>
      <c r="H34" s="7">
        <f>Table1[[#This Row],[price_mkt_bid]]*Table1[[#This Row],[adj scalar]]</f>
        <v>63799.86372899999</v>
      </c>
      <c r="I34" s="7">
        <f>Table1[[#This Row],[price_mkt_ask]]*Table1[[#This Row],[adj scalar]]</f>
        <v>63835.327799999999</v>
      </c>
    </row>
    <row r="35" spans="1:9" x14ac:dyDescent="0.25">
      <c r="A35" t="s">
        <v>8</v>
      </c>
      <c r="B35">
        <v>28.22</v>
      </c>
      <c r="C35">
        <v>28.23</v>
      </c>
      <c r="D35" t="s">
        <v>17</v>
      </c>
      <c r="E35" s="6">
        <v>2261.2671999999998</v>
      </c>
      <c r="F35" s="6">
        <f t="shared" si="0"/>
        <v>0.2</v>
      </c>
      <c r="G35" s="6">
        <f>Table1[[#This Row],[scalar]]-Table1[[#This Row],[adj]]</f>
        <v>2261.0672</v>
      </c>
      <c r="H35" s="7">
        <f>Table1[[#This Row],[price_mkt_bid]]*Table1[[#This Row],[adj scalar]]</f>
        <v>63807.316383999998</v>
      </c>
      <c r="I35" s="7">
        <f>Table1[[#This Row],[price_mkt_ask]]*Table1[[#This Row],[adj scalar]]</f>
        <v>63829.927056</v>
      </c>
    </row>
    <row r="36" spans="1:9" x14ac:dyDescent="0.25">
      <c r="A36" t="s">
        <v>9</v>
      </c>
      <c r="B36">
        <v>67.400000000000006</v>
      </c>
      <c r="C36">
        <v>67.5</v>
      </c>
      <c r="D36" t="s">
        <v>17</v>
      </c>
      <c r="E36" s="6">
        <v>946.08439999999996</v>
      </c>
      <c r="F36" s="6">
        <f t="shared" si="0"/>
        <v>0</v>
      </c>
      <c r="G36" s="6">
        <f>Table1[[#This Row],[scalar]]-Table1[[#This Row],[adj]]</f>
        <v>946.08439999999996</v>
      </c>
      <c r="H36" s="7">
        <f>Table1[[#This Row],[price_mkt_bid]]*Table1[[#This Row],[adj scalar]]</f>
        <v>63766.088560000004</v>
      </c>
      <c r="I36" s="7">
        <f>Table1[[#This Row],[price_mkt_ask]]*Table1[[#This Row],[adj scalar]]</f>
        <v>63860.697</v>
      </c>
    </row>
    <row r="37" spans="1:9" x14ac:dyDescent="0.25">
      <c r="A37" t="s">
        <v>10</v>
      </c>
      <c r="B37">
        <v>36.86</v>
      </c>
      <c r="C37">
        <v>36.89</v>
      </c>
      <c r="D37" t="s">
        <v>17</v>
      </c>
      <c r="E37" s="6">
        <v>1730.0558000000001</v>
      </c>
      <c r="F37" s="6">
        <f t="shared" si="0"/>
        <v>-0.2</v>
      </c>
      <c r="G37" s="6">
        <f>Table1[[#This Row],[scalar]]-Table1[[#This Row],[adj]]</f>
        <v>1730.2558000000001</v>
      </c>
      <c r="H37" s="7">
        <f>Table1[[#This Row],[price_mkt_bid]]*Table1[[#This Row],[adj scalar]]</f>
        <v>63777.228788000008</v>
      </c>
      <c r="I37" s="7">
        <f>Table1[[#This Row],[price_mkt_ask]]*Table1[[#This Row],[adj scalar]]</f>
        <v>63829.136462000009</v>
      </c>
    </row>
    <row r="38" spans="1:9" x14ac:dyDescent="0.25">
      <c r="A38" t="s">
        <v>11</v>
      </c>
      <c r="B38">
        <v>55.54</v>
      </c>
      <c r="C38">
        <v>55.55</v>
      </c>
      <c r="D38" t="s">
        <v>17</v>
      </c>
      <c r="E38" s="6">
        <v>1148.79</v>
      </c>
      <c r="F38" s="6">
        <f t="shared" si="0"/>
        <v>0.05</v>
      </c>
      <c r="G38" s="6">
        <f>Table1[[#This Row],[scalar]]-Table1[[#This Row],[adj]]</f>
        <v>1148.74</v>
      </c>
      <c r="H38" s="7">
        <f>Table1[[#This Row],[price_mkt_bid]]*Table1[[#This Row],[adj scalar]]</f>
        <v>63801.0196</v>
      </c>
      <c r="I38" s="7">
        <f>Table1[[#This Row],[price_mkt_ask]]*Table1[[#This Row],[adj scalar]]</f>
        <v>63812.506999999998</v>
      </c>
    </row>
    <row r="39" spans="1:9" x14ac:dyDescent="0.25">
      <c r="A39" t="s">
        <v>12</v>
      </c>
      <c r="B39">
        <v>49.52</v>
      </c>
      <c r="C39">
        <v>49.53</v>
      </c>
      <c r="D39" t="s">
        <v>17</v>
      </c>
      <c r="E39" s="6">
        <v>1288.6375</v>
      </c>
      <c r="F39" s="6">
        <f t="shared" si="0"/>
        <v>-0.05</v>
      </c>
      <c r="G39" s="6">
        <f>Table1[[#This Row],[scalar]]-Table1[[#This Row],[adj]]</f>
        <v>1288.6875</v>
      </c>
      <c r="H39" s="7">
        <f>Table1[[#This Row],[price_mkt_bid]]*Table1[[#This Row],[adj scalar]]</f>
        <v>63815.805000000008</v>
      </c>
      <c r="I39" s="7">
        <f>Table1[[#This Row],[price_mkt_ask]]*Table1[[#This Row],[adj scalar]]</f>
        <v>63828.691875000004</v>
      </c>
    </row>
    <row r="40" spans="1:9" x14ac:dyDescent="0.25">
      <c r="A40" t="s">
        <v>13</v>
      </c>
      <c r="B40">
        <v>18.04</v>
      </c>
      <c r="C40">
        <v>18.05</v>
      </c>
      <c r="D40" t="s">
        <v>17</v>
      </c>
      <c r="E40" s="6">
        <v>3535.8029000000001</v>
      </c>
      <c r="F40" s="6">
        <f t="shared" si="0"/>
        <v>0</v>
      </c>
      <c r="G40" s="6">
        <f>Table1[[#This Row],[scalar]]-Table1[[#This Row],[adj]]</f>
        <v>3535.8029000000001</v>
      </c>
      <c r="H40" s="7">
        <f>Table1[[#This Row],[price_mkt_bid]]*Table1[[#This Row],[adj scalar]]</f>
        <v>63785.884315999996</v>
      </c>
      <c r="I40" s="7">
        <f>Table1[[#This Row],[price_mkt_ask]]*Table1[[#This Row],[adj scalar]]</f>
        <v>63821.242345000006</v>
      </c>
    </row>
    <row r="41" spans="1:9" x14ac:dyDescent="0.25">
      <c r="A41" t="s">
        <v>14</v>
      </c>
      <c r="B41">
        <v>36.15</v>
      </c>
      <c r="C41">
        <v>36.159999999999997</v>
      </c>
      <c r="D41" t="s">
        <v>17</v>
      </c>
      <c r="E41" s="6">
        <v>1764.9625000000001</v>
      </c>
      <c r="F41" s="6">
        <f t="shared" si="0"/>
        <v>0</v>
      </c>
      <c r="G41" s="6">
        <f>Table1[[#This Row],[scalar]]-Table1[[#This Row],[adj]]</f>
        <v>1764.9625000000001</v>
      </c>
      <c r="H41" s="7">
        <f>Table1[[#This Row],[price_mkt_bid]]*Table1[[#This Row],[adj scalar]]</f>
        <v>63803.394375000003</v>
      </c>
      <c r="I41" s="7">
        <f>Table1[[#This Row],[price_mkt_ask]]*Table1[[#This Row],[adj scalar]]</f>
        <v>63821.043999999994</v>
      </c>
    </row>
    <row r="42" spans="1:9" x14ac:dyDescent="0.25">
      <c r="A42" t="s">
        <v>4</v>
      </c>
      <c r="B42">
        <v>21.18</v>
      </c>
      <c r="C42">
        <v>21.19</v>
      </c>
      <c r="D42" t="s">
        <v>18</v>
      </c>
      <c r="E42" s="6">
        <v>3014.8103999999998</v>
      </c>
      <c r="F42" s="6">
        <f t="shared" si="0"/>
        <v>-0.1</v>
      </c>
      <c r="G42" s="6">
        <f>Table1[[#This Row],[scalar]]-Table1[[#This Row],[adj]]</f>
        <v>3014.9103999999998</v>
      </c>
      <c r="H42" s="7">
        <f>Table1[[#This Row],[price_mkt_bid]]*Table1[[#This Row],[adj scalar]]</f>
        <v>63855.802271999994</v>
      </c>
      <c r="I42" s="7">
        <f>Table1[[#This Row],[price_mkt_ask]]*Table1[[#This Row],[adj scalar]]</f>
        <v>63885.951375999997</v>
      </c>
    </row>
    <row r="43" spans="1:9" x14ac:dyDescent="0.25">
      <c r="A43" t="s">
        <v>6</v>
      </c>
      <c r="B43">
        <v>34.67</v>
      </c>
      <c r="C43">
        <v>34.68</v>
      </c>
      <c r="D43" t="s">
        <v>18</v>
      </c>
      <c r="E43" s="6">
        <v>1842.0297</v>
      </c>
      <c r="F43" s="6">
        <f t="shared" si="0"/>
        <v>0.1</v>
      </c>
      <c r="G43" s="6">
        <f>Table1[[#This Row],[scalar]]-Table1[[#This Row],[adj]]</f>
        <v>1841.9297000000001</v>
      </c>
      <c r="H43" s="7">
        <f>Table1[[#This Row],[price_mkt_bid]]*Table1[[#This Row],[adj scalar]]</f>
        <v>63859.702699000009</v>
      </c>
      <c r="I43" s="7">
        <f>Table1[[#This Row],[price_mkt_ask]]*Table1[[#This Row],[adj scalar]]</f>
        <v>63878.121996000002</v>
      </c>
    </row>
    <row r="44" spans="1:9" x14ac:dyDescent="0.25">
      <c r="A44" t="s">
        <v>7</v>
      </c>
      <c r="B44">
        <v>18.010000000000002</v>
      </c>
      <c r="C44">
        <v>18.02</v>
      </c>
      <c r="D44" t="s">
        <v>18</v>
      </c>
      <c r="E44" s="6">
        <v>3546.4070999999999</v>
      </c>
      <c r="F44" s="6">
        <f t="shared" si="0"/>
        <v>0</v>
      </c>
      <c r="G44" s="6">
        <f>Table1[[#This Row],[scalar]]-Table1[[#This Row],[adj]]</f>
        <v>3546.4070999999999</v>
      </c>
      <c r="H44" s="7">
        <f>Table1[[#This Row],[price_mkt_bid]]*Table1[[#This Row],[adj scalar]]</f>
        <v>63870.791871000001</v>
      </c>
      <c r="I44" s="7">
        <f>Table1[[#This Row],[price_mkt_ask]]*Table1[[#This Row],[adj scalar]]</f>
        <v>63906.255941999996</v>
      </c>
    </row>
    <row r="45" spans="1:9" x14ac:dyDescent="0.25">
      <c r="A45" t="s">
        <v>8</v>
      </c>
      <c r="B45">
        <v>28.25</v>
      </c>
      <c r="C45">
        <v>28.26</v>
      </c>
      <c r="D45" t="s">
        <v>18</v>
      </c>
      <c r="E45" s="6">
        <v>2261.2671999999998</v>
      </c>
      <c r="F45" s="6">
        <f t="shared" si="0"/>
        <v>0.2</v>
      </c>
      <c r="G45" s="6">
        <f>Table1[[#This Row],[scalar]]-Table1[[#This Row],[adj]]</f>
        <v>2261.0672</v>
      </c>
      <c r="H45" s="7">
        <f>Table1[[#This Row],[price_mkt_bid]]*Table1[[#This Row],[adj scalar]]</f>
        <v>63875.148399999998</v>
      </c>
      <c r="I45" s="7">
        <f>Table1[[#This Row],[price_mkt_ask]]*Table1[[#This Row],[adj scalar]]</f>
        <v>63897.759072000001</v>
      </c>
    </row>
    <row r="46" spans="1:9" x14ac:dyDescent="0.25">
      <c r="A46" t="s">
        <v>9</v>
      </c>
      <c r="B46">
        <v>67.45</v>
      </c>
      <c r="C46">
        <v>67.569999999999993</v>
      </c>
      <c r="D46" t="s">
        <v>18</v>
      </c>
      <c r="E46" s="6">
        <v>946.08439999999996</v>
      </c>
      <c r="F46" s="6">
        <f t="shared" si="0"/>
        <v>0</v>
      </c>
      <c r="G46" s="6">
        <f>Table1[[#This Row],[scalar]]-Table1[[#This Row],[adj]]</f>
        <v>946.08439999999996</v>
      </c>
      <c r="H46" s="7">
        <f>Table1[[#This Row],[price_mkt_bid]]*Table1[[#This Row],[adj scalar]]</f>
        <v>63813.392780000002</v>
      </c>
      <c r="I46" s="7">
        <f>Table1[[#This Row],[price_mkt_ask]]*Table1[[#This Row],[adj scalar]]</f>
        <v>63926.922907999993</v>
      </c>
    </row>
    <row r="47" spans="1:9" x14ac:dyDescent="0.25">
      <c r="A47" t="s">
        <v>10</v>
      </c>
      <c r="B47">
        <v>36.909999999999997</v>
      </c>
      <c r="C47">
        <v>36.92</v>
      </c>
      <c r="D47" t="s">
        <v>18</v>
      </c>
      <c r="E47" s="6">
        <v>1730.0558000000001</v>
      </c>
      <c r="F47" s="6">
        <f t="shared" si="0"/>
        <v>-0.2</v>
      </c>
      <c r="G47" s="6">
        <f>Table1[[#This Row],[scalar]]-Table1[[#This Row],[adj]]</f>
        <v>1730.2558000000001</v>
      </c>
      <c r="H47" s="7">
        <f>Table1[[#This Row],[price_mkt_bid]]*Table1[[#This Row],[adj scalar]]</f>
        <v>63863.741578000001</v>
      </c>
      <c r="I47" s="7">
        <f>Table1[[#This Row],[price_mkt_ask]]*Table1[[#This Row],[adj scalar]]</f>
        <v>63881.044136000011</v>
      </c>
    </row>
    <row r="48" spans="1:9" x14ac:dyDescent="0.25">
      <c r="A48" t="s">
        <v>11</v>
      </c>
      <c r="B48">
        <v>55.6</v>
      </c>
      <c r="C48">
        <v>55.61</v>
      </c>
      <c r="D48" t="s">
        <v>18</v>
      </c>
      <c r="E48" s="6">
        <v>1148.79</v>
      </c>
      <c r="F48" s="6">
        <f t="shared" si="0"/>
        <v>0.05</v>
      </c>
      <c r="G48" s="6">
        <f>Table1[[#This Row],[scalar]]-Table1[[#This Row],[adj]]</f>
        <v>1148.74</v>
      </c>
      <c r="H48" s="7">
        <f>Table1[[#This Row],[price_mkt_bid]]*Table1[[#This Row],[adj scalar]]</f>
        <v>63869.944000000003</v>
      </c>
      <c r="I48" s="7">
        <f>Table1[[#This Row],[price_mkt_ask]]*Table1[[#This Row],[adj scalar]]</f>
        <v>63881.431400000001</v>
      </c>
    </row>
    <row r="49" spans="1:9" x14ac:dyDescent="0.25">
      <c r="A49" t="s">
        <v>12</v>
      </c>
      <c r="B49">
        <v>49.57</v>
      </c>
      <c r="C49">
        <v>49.58</v>
      </c>
      <c r="D49" t="s">
        <v>18</v>
      </c>
      <c r="E49" s="6">
        <v>1288.6375</v>
      </c>
      <c r="F49" s="6">
        <f t="shared" si="0"/>
        <v>-0.05</v>
      </c>
      <c r="G49" s="6">
        <f>Table1[[#This Row],[scalar]]-Table1[[#This Row],[adj]]</f>
        <v>1288.6875</v>
      </c>
      <c r="H49" s="7">
        <f>Table1[[#This Row],[price_mkt_bid]]*Table1[[#This Row],[adj scalar]]</f>
        <v>63880.239374999997</v>
      </c>
      <c r="I49" s="7">
        <f>Table1[[#This Row],[price_mkt_ask]]*Table1[[#This Row],[adj scalar]]</f>
        <v>63893.126250000001</v>
      </c>
    </row>
    <row r="50" spans="1:9" x14ac:dyDescent="0.25">
      <c r="A50" t="s">
        <v>13</v>
      </c>
      <c r="B50">
        <v>18.059999999999999</v>
      </c>
      <c r="C50">
        <v>18.07</v>
      </c>
      <c r="D50" t="s">
        <v>18</v>
      </c>
      <c r="E50" s="6">
        <v>3535.8029000000001</v>
      </c>
      <c r="F50" s="6">
        <f t="shared" si="0"/>
        <v>0</v>
      </c>
      <c r="G50" s="6">
        <f>Table1[[#This Row],[scalar]]-Table1[[#This Row],[adj]]</f>
        <v>3535.8029000000001</v>
      </c>
      <c r="H50" s="7">
        <f>Table1[[#This Row],[price_mkt_bid]]*Table1[[#This Row],[adj scalar]]</f>
        <v>63856.600374000001</v>
      </c>
      <c r="I50" s="7">
        <f>Table1[[#This Row],[price_mkt_ask]]*Table1[[#This Row],[adj scalar]]</f>
        <v>63891.958403000004</v>
      </c>
    </row>
    <row r="51" spans="1:9" x14ac:dyDescent="0.25">
      <c r="A51" t="s">
        <v>14</v>
      </c>
      <c r="B51">
        <v>36.19</v>
      </c>
      <c r="C51">
        <v>36.200000000000003</v>
      </c>
      <c r="D51" t="s">
        <v>18</v>
      </c>
      <c r="E51" s="6">
        <v>1764.9625000000001</v>
      </c>
      <c r="F51" s="6">
        <f t="shared" si="0"/>
        <v>0</v>
      </c>
      <c r="G51" s="6">
        <f>Table1[[#This Row],[scalar]]-Table1[[#This Row],[adj]]</f>
        <v>1764.9625000000001</v>
      </c>
      <c r="H51" s="7">
        <f>Table1[[#This Row],[price_mkt_bid]]*Table1[[#This Row],[adj scalar]]</f>
        <v>63873.992874999996</v>
      </c>
      <c r="I51" s="7">
        <f>Table1[[#This Row],[price_mkt_ask]]*Table1[[#This Row],[adj scalar]]</f>
        <v>63891.642500000009</v>
      </c>
    </row>
    <row r="52" spans="1:9" x14ac:dyDescent="0.25">
      <c r="A52" t="s">
        <v>4</v>
      </c>
      <c r="B52">
        <v>21.09</v>
      </c>
      <c r="C52">
        <v>21.1</v>
      </c>
      <c r="D52" t="s">
        <v>19</v>
      </c>
      <c r="E52" s="6">
        <v>3014.8103999999998</v>
      </c>
      <c r="F52" s="6">
        <f t="shared" si="0"/>
        <v>-0.1</v>
      </c>
      <c r="G52" s="6">
        <f>Table1[[#This Row],[scalar]]-Table1[[#This Row],[adj]]</f>
        <v>3014.9103999999998</v>
      </c>
      <c r="H52" s="7">
        <f>Table1[[#This Row],[price_mkt_bid]]*Table1[[#This Row],[adj scalar]]</f>
        <v>63584.460335999996</v>
      </c>
      <c r="I52" s="7">
        <f>Table1[[#This Row],[price_mkt_ask]]*Table1[[#This Row],[adj scalar]]</f>
        <v>63614.60944</v>
      </c>
    </row>
    <row r="53" spans="1:9" x14ac:dyDescent="0.25">
      <c r="A53" t="s">
        <v>6</v>
      </c>
      <c r="B53">
        <v>34.53</v>
      </c>
      <c r="C53">
        <v>34.54</v>
      </c>
      <c r="D53" t="s">
        <v>19</v>
      </c>
      <c r="E53" s="6">
        <v>1842.0297</v>
      </c>
      <c r="F53" s="6">
        <f t="shared" si="0"/>
        <v>0.1</v>
      </c>
      <c r="G53" s="6">
        <f>Table1[[#This Row],[scalar]]-Table1[[#This Row],[adj]]</f>
        <v>1841.9297000000001</v>
      </c>
      <c r="H53" s="7">
        <f>Table1[[#This Row],[price_mkt_bid]]*Table1[[#This Row],[adj scalar]]</f>
        <v>63601.832541000003</v>
      </c>
      <c r="I53" s="7">
        <f>Table1[[#This Row],[price_mkt_ask]]*Table1[[#This Row],[adj scalar]]</f>
        <v>63620.251838000004</v>
      </c>
    </row>
    <row r="54" spans="1:9" x14ac:dyDescent="0.25">
      <c r="A54" t="s">
        <v>7</v>
      </c>
      <c r="B54">
        <v>17.93</v>
      </c>
      <c r="C54">
        <v>17.940000000000001</v>
      </c>
      <c r="D54" t="s">
        <v>19</v>
      </c>
      <c r="E54" s="6">
        <v>3546.4070999999999</v>
      </c>
      <c r="F54" s="6">
        <f t="shared" si="0"/>
        <v>0</v>
      </c>
      <c r="G54" s="6">
        <f>Table1[[#This Row],[scalar]]-Table1[[#This Row],[adj]]</f>
        <v>3546.4070999999999</v>
      </c>
      <c r="H54" s="7">
        <f>Table1[[#This Row],[price_mkt_bid]]*Table1[[#This Row],[adj scalar]]</f>
        <v>63587.079302999999</v>
      </c>
      <c r="I54" s="7">
        <f>Table1[[#This Row],[price_mkt_ask]]*Table1[[#This Row],[adj scalar]]</f>
        <v>63622.543374000001</v>
      </c>
    </row>
    <row r="55" spans="1:9" x14ac:dyDescent="0.25">
      <c r="A55" t="s">
        <v>8</v>
      </c>
      <c r="B55">
        <v>28.12</v>
      </c>
      <c r="C55">
        <v>28.13</v>
      </c>
      <c r="D55" t="s">
        <v>19</v>
      </c>
      <c r="E55" s="6">
        <v>2261.2671999999998</v>
      </c>
      <c r="F55" s="6">
        <f t="shared" si="0"/>
        <v>0.2</v>
      </c>
      <c r="G55" s="6">
        <f>Table1[[#This Row],[scalar]]-Table1[[#This Row],[adj]]</f>
        <v>2261.0672</v>
      </c>
      <c r="H55" s="7">
        <f>Table1[[#This Row],[price_mkt_bid]]*Table1[[#This Row],[adj scalar]]</f>
        <v>63581.209664000002</v>
      </c>
      <c r="I55" s="7">
        <f>Table1[[#This Row],[price_mkt_ask]]*Table1[[#This Row],[adj scalar]]</f>
        <v>63603.820335999997</v>
      </c>
    </row>
    <row r="56" spans="1:9" x14ac:dyDescent="0.25">
      <c r="A56" t="s">
        <v>9</v>
      </c>
      <c r="B56">
        <v>67.16</v>
      </c>
      <c r="C56">
        <v>67.290000000000006</v>
      </c>
      <c r="D56" t="s">
        <v>19</v>
      </c>
      <c r="E56" s="6">
        <v>946.08439999999996</v>
      </c>
      <c r="F56" s="6">
        <f t="shared" si="0"/>
        <v>0</v>
      </c>
      <c r="G56" s="6">
        <f>Table1[[#This Row],[scalar]]-Table1[[#This Row],[adj]]</f>
        <v>946.08439999999996</v>
      </c>
      <c r="H56" s="7">
        <f>Table1[[#This Row],[price_mkt_bid]]*Table1[[#This Row],[adj scalar]]</f>
        <v>63539.028303999992</v>
      </c>
      <c r="I56" s="7">
        <f>Table1[[#This Row],[price_mkt_ask]]*Table1[[#This Row],[adj scalar]]</f>
        <v>63662.019276000006</v>
      </c>
    </row>
    <row r="57" spans="1:9" x14ac:dyDescent="0.25">
      <c r="A57" t="s">
        <v>10</v>
      </c>
      <c r="B57">
        <v>36.74</v>
      </c>
      <c r="C57">
        <v>36.76</v>
      </c>
      <c r="D57" t="s">
        <v>19</v>
      </c>
      <c r="E57" s="6">
        <v>1730.0558000000001</v>
      </c>
      <c r="F57" s="6">
        <f t="shared" si="0"/>
        <v>-0.2</v>
      </c>
      <c r="G57" s="6">
        <f>Table1[[#This Row],[scalar]]-Table1[[#This Row],[adj]]</f>
        <v>1730.2558000000001</v>
      </c>
      <c r="H57" s="7">
        <f>Table1[[#This Row],[price_mkt_bid]]*Table1[[#This Row],[adj scalar]]</f>
        <v>63569.598092000007</v>
      </c>
      <c r="I57" s="7">
        <f>Table1[[#This Row],[price_mkt_ask]]*Table1[[#This Row],[adj scalar]]</f>
        <v>63604.203207999999</v>
      </c>
    </row>
    <row r="58" spans="1:9" x14ac:dyDescent="0.25">
      <c r="A58" t="s">
        <v>11</v>
      </c>
      <c r="B58">
        <v>55.36</v>
      </c>
      <c r="C58">
        <v>55.37</v>
      </c>
      <c r="D58" t="s">
        <v>19</v>
      </c>
      <c r="E58" s="6">
        <v>1148.79</v>
      </c>
      <c r="F58" s="6">
        <f t="shared" si="0"/>
        <v>0.05</v>
      </c>
      <c r="G58" s="6">
        <f>Table1[[#This Row],[scalar]]-Table1[[#This Row],[adj]]</f>
        <v>1148.74</v>
      </c>
      <c r="H58" s="7">
        <f>Table1[[#This Row],[price_mkt_bid]]*Table1[[#This Row],[adj scalar]]</f>
        <v>63594.246399999996</v>
      </c>
      <c r="I58" s="7">
        <f>Table1[[#This Row],[price_mkt_ask]]*Table1[[#This Row],[adj scalar]]</f>
        <v>63605.733799999995</v>
      </c>
    </row>
    <row r="59" spans="1:9" x14ac:dyDescent="0.25">
      <c r="A59" t="s">
        <v>12</v>
      </c>
      <c r="B59">
        <v>49.35</v>
      </c>
      <c r="C59">
        <v>49.36</v>
      </c>
      <c r="D59" t="s">
        <v>19</v>
      </c>
      <c r="E59" s="6">
        <v>1288.6375</v>
      </c>
      <c r="F59" s="6">
        <f t="shared" si="0"/>
        <v>-0.05</v>
      </c>
      <c r="G59" s="6">
        <f>Table1[[#This Row],[scalar]]-Table1[[#This Row],[adj]]</f>
        <v>1288.6875</v>
      </c>
      <c r="H59" s="7">
        <f>Table1[[#This Row],[price_mkt_bid]]*Table1[[#This Row],[adj scalar]]</f>
        <v>63596.728125000001</v>
      </c>
      <c r="I59" s="7">
        <f>Table1[[#This Row],[price_mkt_ask]]*Table1[[#This Row],[adj scalar]]</f>
        <v>63609.614999999998</v>
      </c>
    </row>
    <row r="60" spans="1:9" x14ac:dyDescent="0.25">
      <c r="A60" t="s">
        <v>13</v>
      </c>
      <c r="B60">
        <v>17.98</v>
      </c>
      <c r="C60">
        <v>17.989999999999998</v>
      </c>
      <c r="D60" t="s">
        <v>19</v>
      </c>
      <c r="E60" s="6">
        <v>3535.8029000000001</v>
      </c>
      <c r="F60" s="6">
        <f t="shared" si="0"/>
        <v>0</v>
      </c>
      <c r="G60" s="6">
        <f>Table1[[#This Row],[scalar]]-Table1[[#This Row],[adj]]</f>
        <v>3535.8029000000001</v>
      </c>
      <c r="H60" s="7">
        <f>Table1[[#This Row],[price_mkt_bid]]*Table1[[#This Row],[adj scalar]]</f>
        <v>63573.736142000002</v>
      </c>
      <c r="I60" s="7">
        <f>Table1[[#This Row],[price_mkt_ask]]*Table1[[#This Row],[adj scalar]]</f>
        <v>63609.094170999997</v>
      </c>
    </row>
    <row r="61" spans="1:9" x14ac:dyDescent="0.25">
      <c r="A61" t="s">
        <v>14</v>
      </c>
      <c r="B61">
        <v>36.03</v>
      </c>
      <c r="C61">
        <v>36.04</v>
      </c>
      <c r="D61" t="s">
        <v>19</v>
      </c>
      <c r="E61" s="6">
        <v>1764.9625000000001</v>
      </c>
      <c r="F61" s="6">
        <f t="shared" si="0"/>
        <v>0</v>
      </c>
      <c r="G61" s="6">
        <f>Table1[[#This Row],[scalar]]-Table1[[#This Row],[adj]]</f>
        <v>1764.9625000000001</v>
      </c>
      <c r="H61" s="7">
        <f>Table1[[#This Row],[price_mkt_bid]]*Table1[[#This Row],[adj scalar]]</f>
        <v>63591.598875000003</v>
      </c>
      <c r="I61" s="7">
        <f>Table1[[#This Row],[price_mkt_ask]]*Table1[[#This Row],[adj scalar]]</f>
        <v>63609.248500000002</v>
      </c>
    </row>
    <row r="62" spans="1:9" x14ac:dyDescent="0.25">
      <c r="A62" t="s">
        <v>4</v>
      </c>
      <c r="B62">
        <v>21.18</v>
      </c>
      <c r="C62">
        <v>21.19</v>
      </c>
      <c r="D62" t="s">
        <v>20</v>
      </c>
      <c r="E62" s="6">
        <v>3014.8103999999998</v>
      </c>
      <c r="F62" s="6">
        <f t="shared" si="0"/>
        <v>-0.1</v>
      </c>
      <c r="G62" s="6">
        <f>Table1[[#This Row],[scalar]]-Table1[[#This Row],[adj]]</f>
        <v>3014.9103999999998</v>
      </c>
      <c r="H62" s="7">
        <f>Table1[[#This Row],[price_mkt_bid]]*Table1[[#This Row],[adj scalar]]</f>
        <v>63855.802271999994</v>
      </c>
      <c r="I62" s="7">
        <f>Table1[[#This Row],[price_mkt_ask]]*Table1[[#This Row],[adj scalar]]</f>
        <v>63885.951375999997</v>
      </c>
    </row>
    <row r="63" spans="1:9" x14ac:dyDescent="0.25">
      <c r="A63" t="s">
        <v>6</v>
      </c>
      <c r="B63">
        <v>34.68</v>
      </c>
      <c r="C63">
        <v>34.69</v>
      </c>
      <c r="D63" t="s">
        <v>20</v>
      </c>
      <c r="E63" s="6">
        <v>1842.0297</v>
      </c>
      <c r="F63" s="6">
        <f t="shared" si="0"/>
        <v>0.1</v>
      </c>
      <c r="G63" s="6">
        <f>Table1[[#This Row],[scalar]]-Table1[[#This Row],[adj]]</f>
        <v>1841.9297000000001</v>
      </c>
      <c r="H63" s="7">
        <f>Table1[[#This Row],[price_mkt_bid]]*Table1[[#This Row],[adj scalar]]</f>
        <v>63878.121996000002</v>
      </c>
      <c r="I63" s="7">
        <f>Table1[[#This Row],[price_mkt_ask]]*Table1[[#This Row],[adj scalar]]</f>
        <v>63896.541293000002</v>
      </c>
    </row>
    <row r="64" spans="1:9" x14ac:dyDescent="0.25">
      <c r="A64" t="s">
        <v>7</v>
      </c>
      <c r="B64">
        <v>18.010000000000002</v>
      </c>
      <c r="C64">
        <v>18.02</v>
      </c>
      <c r="D64" t="s">
        <v>20</v>
      </c>
      <c r="E64" s="6">
        <v>3546.4070999999999</v>
      </c>
      <c r="F64" s="6">
        <f t="shared" si="0"/>
        <v>0</v>
      </c>
      <c r="G64" s="6">
        <f>Table1[[#This Row],[scalar]]-Table1[[#This Row],[adj]]</f>
        <v>3546.4070999999999</v>
      </c>
      <c r="H64" s="7">
        <f>Table1[[#This Row],[price_mkt_bid]]*Table1[[#This Row],[adj scalar]]</f>
        <v>63870.791871000001</v>
      </c>
      <c r="I64" s="7">
        <f>Table1[[#This Row],[price_mkt_ask]]*Table1[[#This Row],[adj scalar]]</f>
        <v>63906.255941999996</v>
      </c>
    </row>
    <row r="65" spans="1:9" x14ac:dyDescent="0.25">
      <c r="A65" t="s">
        <v>8</v>
      </c>
      <c r="B65">
        <v>28.25</v>
      </c>
      <c r="C65">
        <v>28.26</v>
      </c>
      <c r="D65" t="s">
        <v>20</v>
      </c>
      <c r="E65" s="6">
        <v>2261.2671999999998</v>
      </c>
      <c r="F65" s="6">
        <f t="shared" si="0"/>
        <v>0.2</v>
      </c>
      <c r="G65" s="6">
        <f>Table1[[#This Row],[scalar]]-Table1[[#This Row],[adj]]</f>
        <v>2261.0672</v>
      </c>
      <c r="H65" s="7">
        <f>Table1[[#This Row],[price_mkt_bid]]*Table1[[#This Row],[adj scalar]]</f>
        <v>63875.148399999998</v>
      </c>
      <c r="I65" s="7">
        <f>Table1[[#This Row],[price_mkt_ask]]*Table1[[#This Row],[adj scalar]]</f>
        <v>63897.759072000001</v>
      </c>
    </row>
    <row r="66" spans="1:9" x14ac:dyDescent="0.25">
      <c r="A66" t="s">
        <v>9</v>
      </c>
      <c r="B66">
        <v>67.45</v>
      </c>
      <c r="C66">
        <v>67.59</v>
      </c>
      <c r="D66" t="s">
        <v>20</v>
      </c>
      <c r="E66" s="6">
        <v>946.08439999999996</v>
      </c>
      <c r="F66" s="6">
        <f t="shared" si="0"/>
        <v>0</v>
      </c>
      <c r="G66" s="6">
        <f>Table1[[#This Row],[scalar]]-Table1[[#This Row],[adj]]</f>
        <v>946.08439999999996</v>
      </c>
      <c r="H66" s="7">
        <f>Table1[[#This Row],[price_mkt_bid]]*Table1[[#This Row],[adj scalar]]</f>
        <v>63813.392780000002</v>
      </c>
      <c r="I66" s="7">
        <f>Table1[[#This Row],[price_mkt_ask]]*Table1[[#This Row],[adj scalar]]</f>
        <v>63945.844596000003</v>
      </c>
    </row>
    <row r="67" spans="1:9" x14ac:dyDescent="0.25">
      <c r="A67" t="s">
        <v>10</v>
      </c>
      <c r="B67">
        <v>36.909999999999997</v>
      </c>
      <c r="C67">
        <v>36.93</v>
      </c>
      <c r="D67" t="s">
        <v>20</v>
      </c>
      <c r="E67" s="6">
        <v>1730.0558000000001</v>
      </c>
      <c r="F67" s="6">
        <f t="shared" si="0"/>
        <v>-0.2</v>
      </c>
      <c r="G67" s="6">
        <f>Table1[[#This Row],[scalar]]-Table1[[#This Row],[adj]]</f>
        <v>1730.2558000000001</v>
      </c>
      <c r="H67" s="7">
        <f>Table1[[#This Row],[price_mkt_bid]]*Table1[[#This Row],[adj scalar]]</f>
        <v>63863.741578000001</v>
      </c>
      <c r="I67" s="7">
        <f>Table1[[#This Row],[price_mkt_ask]]*Table1[[#This Row],[adj scalar]]</f>
        <v>63898.346694000007</v>
      </c>
    </row>
    <row r="68" spans="1:9" x14ac:dyDescent="0.25">
      <c r="A68" t="s">
        <v>11</v>
      </c>
      <c r="B68">
        <v>55.6</v>
      </c>
      <c r="C68">
        <v>55.61</v>
      </c>
      <c r="D68" t="s">
        <v>20</v>
      </c>
      <c r="E68" s="6">
        <v>1148.79</v>
      </c>
      <c r="F68" s="6">
        <f t="shared" si="0"/>
        <v>0.05</v>
      </c>
      <c r="G68" s="6">
        <f>Table1[[#This Row],[scalar]]-Table1[[#This Row],[adj]]</f>
        <v>1148.74</v>
      </c>
      <c r="H68" s="7">
        <f>Table1[[#This Row],[price_mkt_bid]]*Table1[[#This Row],[adj scalar]]</f>
        <v>63869.944000000003</v>
      </c>
      <c r="I68" s="7">
        <f>Table1[[#This Row],[price_mkt_ask]]*Table1[[#This Row],[adj scalar]]</f>
        <v>63881.431400000001</v>
      </c>
    </row>
    <row r="69" spans="1:9" x14ac:dyDescent="0.25">
      <c r="A69" t="s">
        <v>12</v>
      </c>
      <c r="B69">
        <v>49.57</v>
      </c>
      <c r="C69">
        <v>49.58</v>
      </c>
      <c r="D69" t="s">
        <v>20</v>
      </c>
      <c r="E69" s="6">
        <v>1288.6375</v>
      </c>
      <c r="F69" s="6">
        <f t="shared" si="0"/>
        <v>-0.05</v>
      </c>
      <c r="G69" s="6">
        <f>Table1[[#This Row],[scalar]]-Table1[[#This Row],[adj]]</f>
        <v>1288.6875</v>
      </c>
      <c r="H69" s="7">
        <f>Table1[[#This Row],[price_mkt_bid]]*Table1[[#This Row],[adj scalar]]</f>
        <v>63880.239374999997</v>
      </c>
      <c r="I69" s="7">
        <f>Table1[[#This Row],[price_mkt_ask]]*Table1[[#This Row],[adj scalar]]</f>
        <v>63893.126250000001</v>
      </c>
    </row>
    <row r="70" spans="1:9" x14ac:dyDescent="0.25">
      <c r="A70" t="s">
        <v>13</v>
      </c>
      <c r="B70">
        <v>18.059999999999999</v>
      </c>
      <c r="C70">
        <v>18.07</v>
      </c>
      <c r="D70" t="s">
        <v>20</v>
      </c>
      <c r="E70" s="6">
        <v>3535.8029000000001</v>
      </c>
      <c r="F70" s="6">
        <f t="shared" si="0"/>
        <v>0</v>
      </c>
      <c r="G70" s="6">
        <f>Table1[[#This Row],[scalar]]-Table1[[#This Row],[adj]]</f>
        <v>3535.8029000000001</v>
      </c>
      <c r="H70" s="7">
        <f>Table1[[#This Row],[price_mkt_bid]]*Table1[[#This Row],[adj scalar]]</f>
        <v>63856.600374000001</v>
      </c>
      <c r="I70" s="7">
        <f>Table1[[#This Row],[price_mkt_ask]]*Table1[[#This Row],[adj scalar]]</f>
        <v>63891.958403000004</v>
      </c>
    </row>
    <row r="71" spans="1:9" x14ac:dyDescent="0.25">
      <c r="A71" t="s">
        <v>14</v>
      </c>
      <c r="B71">
        <v>36.19</v>
      </c>
      <c r="C71">
        <v>36.200000000000003</v>
      </c>
      <c r="D71" t="s">
        <v>20</v>
      </c>
      <c r="E71" s="6">
        <v>1764.9625000000001</v>
      </c>
      <c r="F71" s="6">
        <f t="shared" si="0"/>
        <v>0</v>
      </c>
      <c r="G71" s="6">
        <f>Table1[[#This Row],[scalar]]-Table1[[#This Row],[adj]]</f>
        <v>1764.9625000000001</v>
      </c>
      <c r="H71" s="7">
        <f>Table1[[#This Row],[price_mkt_bid]]*Table1[[#This Row],[adj scalar]]</f>
        <v>63873.992874999996</v>
      </c>
      <c r="I71" s="7">
        <f>Table1[[#This Row],[price_mkt_ask]]*Table1[[#This Row],[adj scalar]]</f>
        <v>63891.642500000009</v>
      </c>
    </row>
    <row r="72" spans="1:9" x14ac:dyDescent="0.25">
      <c r="A72" t="s">
        <v>4</v>
      </c>
      <c r="B72">
        <v>21.17</v>
      </c>
      <c r="C72">
        <v>21.18</v>
      </c>
      <c r="D72" t="s">
        <v>21</v>
      </c>
      <c r="E72" s="6">
        <v>3014.8103999999998</v>
      </c>
      <c r="F72" s="6">
        <f t="shared" si="0"/>
        <v>-0.1</v>
      </c>
      <c r="G72" s="6">
        <f>Table1[[#This Row],[scalar]]-Table1[[#This Row],[adj]]</f>
        <v>3014.9103999999998</v>
      </c>
      <c r="H72" s="7">
        <f>Table1[[#This Row],[price_mkt_bid]]*Table1[[#This Row],[adj scalar]]</f>
        <v>63825.653167999997</v>
      </c>
      <c r="I72" s="7">
        <f>Table1[[#This Row],[price_mkt_ask]]*Table1[[#This Row],[adj scalar]]</f>
        <v>63855.802271999994</v>
      </c>
    </row>
    <row r="73" spans="1:9" x14ac:dyDescent="0.25">
      <c r="A73" t="s">
        <v>6</v>
      </c>
      <c r="B73">
        <v>34.659999999999997</v>
      </c>
      <c r="C73">
        <v>34.67</v>
      </c>
      <c r="D73" t="s">
        <v>21</v>
      </c>
      <c r="E73" s="6">
        <v>1842.0297</v>
      </c>
      <c r="F73" s="6">
        <f t="shared" si="0"/>
        <v>0.1</v>
      </c>
      <c r="G73" s="6">
        <f>Table1[[#This Row],[scalar]]-Table1[[#This Row],[adj]]</f>
        <v>1841.9297000000001</v>
      </c>
      <c r="H73" s="7">
        <f>Table1[[#This Row],[price_mkt_bid]]*Table1[[#This Row],[adj scalar]]</f>
        <v>63841.283402000001</v>
      </c>
      <c r="I73" s="7">
        <f>Table1[[#This Row],[price_mkt_ask]]*Table1[[#This Row],[adj scalar]]</f>
        <v>63859.702699000009</v>
      </c>
    </row>
    <row r="74" spans="1:9" x14ac:dyDescent="0.25">
      <c r="A74" t="s">
        <v>7</v>
      </c>
      <c r="B74">
        <v>18</v>
      </c>
      <c r="C74">
        <v>18.010000000000002</v>
      </c>
      <c r="D74" t="s">
        <v>21</v>
      </c>
      <c r="E74" s="6">
        <v>3546.4070999999999</v>
      </c>
      <c r="F74" s="6">
        <f t="shared" si="0"/>
        <v>0</v>
      </c>
      <c r="G74" s="6">
        <f>Table1[[#This Row],[scalar]]-Table1[[#This Row],[adj]]</f>
        <v>3546.4070999999999</v>
      </c>
      <c r="H74" s="7">
        <f>Table1[[#This Row],[price_mkt_bid]]*Table1[[#This Row],[adj scalar]]</f>
        <v>63835.327799999999</v>
      </c>
      <c r="I74" s="7">
        <f>Table1[[#This Row],[price_mkt_ask]]*Table1[[#This Row],[adj scalar]]</f>
        <v>63870.791871000001</v>
      </c>
    </row>
    <row r="75" spans="1:9" x14ac:dyDescent="0.25">
      <c r="A75" t="s">
        <v>8</v>
      </c>
      <c r="B75">
        <v>28.24</v>
      </c>
      <c r="C75">
        <v>28.25</v>
      </c>
      <c r="D75" t="s">
        <v>21</v>
      </c>
      <c r="E75" s="6">
        <v>2261.2671999999998</v>
      </c>
      <c r="F75" s="6">
        <f t="shared" si="0"/>
        <v>0.2</v>
      </c>
      <c r="G75" s="6">
        <f>Table1[[#This Row],[scalar]]-Table1[[#This Row],[adj]]</f>
        <v>2261.0672</v>
      </c>
      <c r="H75" s="7">
        <f>Table1[[#This Row],[price_mkt_bid]]*Table1[[#This Row],[adj scalar]]</f>
        <v>63852.537727999996</v>
      </c>
      <c r="I75" s="7">
        <f>Table1[[#This Row],[price_mkt_ask]]*Table1[[#This Row],[adj scalar]]</f>
        <v>63875.148399999998</v>
      </c>
    </row>
    <row r="76" spans="1:9" x14ac:dyDescent="0.25">
      <c r="A76" t="s">
        <v>9</v>
      </c>
      <c r="B76">
        <v>67.47</v>
      </c>
      <c r="C76">
        <v>67.56</v>
      </c>
      <c r="D76" t="s">
        <v>21</v>
      </c>
      <c r="E76" s="6">
        <v>946.08439999999996</v>
      </c>
      <c r="F76" s="6">
        <f t="shared" si="0"/>
        <v>0</v>
      </c>
      <c r="G76" s="6">
        <f>Table1[[#This Row],[scalar]]-Table1[[#This Row],[adj]]</f>
        <v>946.08439999999996</v>
      </c>
      <c r="H76" s="7">
        <f>Table1[[#This Row],[price_mkt_bid]]*Table1[[#This Row],[adj scalar]]</f>
        <v>63832.314467999997</v>
      </c>
      <c r="I76" s="7">
        <f>Table1[[#This Row],[price_mkt_ask]]*Table1[[#This Row],[adj scalar]]</f>
        <v>63917.462063999999</v>
      </c>
    </row>
    <row r="77" spans="1:9" x14ac:dyDescent="0.25">
      <c r="A77" t="s">
        <v>10</v>
      </c>
      <c r="B77">
        <v>36.89</v>
      </c>
      <c r="C77">
        <v>36.909999999999997</v>
      </c>
      <c r="D77" t="s">
        <v>21</v>
      </c>
      <c r="E77" s="6">
        <v>1730.0558000000001</v>
      </c>
      <c r="F77" s="6">
        <f t="shared" ref="F77:F140" si="1">F67</f>
        <v>-0.2</v>
      </c>
      <c r="G77" s="6">
        <f>Table1[[#This Row],[scalar]]-Table1[[#This Row],[adj]]</f>
        <v>1730.2558000000001</v>
      </c>
      <c r="H77" s="7">
        <f>Table1[[#This Row],[price_mkt_bid]]*Table1[[#This Row],[adj scalar]]</f>
        <v>63829.136462000009</v>
      </c>
      <c r="I77" s="7">
        <f>Table1[[#This Row],[price_mkt_ask]]*Table1[[#This Row],[adj scalar]]</f>
        <v>63863.741578000001</v>
      </c>
    </row>
    <row r="78" spans="1:9" x14ac:dyDescent="0.25">
      <c r="A78" t="s">
        <v>11</v>
      </c>
      <c r="B78">
        <v>55.58</v>
      </c>
      <c r="C78">
        <v>55.59</v>
      </c>
      <c r="D78" t="s">
        <v>21</v>
      </c>
      <c r="E78" s="6">
        <v>1148.79</v>
      </c>
      <c r="F78" s="6">
        <f t="shared" si="1"/>
        <v>0.05</v>
      </c>
      <c r="G78" s="6">
        <f>Table1[[#This Row],[scalar]]-Table1[[#This Row],[adj]]</f>
        <v>1148.74</v>
      </c>
      <c r="H78" s="7">
        <f>Table1[[#This Row],[price_mkt_bid]]*Table1[[#This Row],[adj scalar]]</f>
        <v>63846.9692</v>
      </c>
      <c r="I78" s="7">
        <f>Table1[[#This Row],[price_mkt_ask]]*Table1[[#This Row],[adj scalar]]</f>
        <v>63858.456600000005</v>
      </c>
    </row>
    <row r="79" spans="1:9" x14ac:dyDescent="0.25">
      <c r="A79" t="s">
        <v>12</v>
      </c>
      <c r="B79">
        <v>49.55</v>
      </c>
      <c r="C79">
        <v>49.56</v>
      </c>
      <c r="D79" t="s">
        <v>21</v>
      </c>
      <c r="E79" s="6">
        <v>1288.6375</v>
      </c>
      <c r="F79" s="6">
        <f t="shared" si="1"/>
        <v>-0.05</v>
      </c>
      <c r="G79" s="6">
        <f>Table1[[#This Row],[scalar]]-Table1[[#This Row],[adj]]</f>
        <v>1288.6875</v>
      </c>
      <c r="H79" s="7">
        <f>Table1[[#This Row],[price_mkt_bid]]*Table1[[#This Row],[adj scalar]]</f>
        <v>63854.465624999997</v>
      </c>
      <c r="I79" s="7">
        <f>Table1[[#This Row],[price_mkt_ask]]*Table1[[#This Row],[adj scalar]]</f>
        <v>63867.352500000001</v>
      </c>
    </row>
    <row r="80" spans="1:9" x14ac:dyDescent="0.25">
      <c r="A80" t="s">
        <v>13</v>
      </c>
      <c r="B80">
        <v>18.05</v>
      </c>
      <c r="C80">
        <v>18.059999999999999</v>
      </c>
      <c r="D80" t="s">
        <v>21</v>
      </c>
      <c r="E80" s="6">
        <v>3535.8029000000001</v>
      </c>
      <c r="F80" s="6">
        <f t="shared" si="1"/>
        <v>0</v>
      </c>
      <c r="G80" s="6">
        <f>Table1[[#This Row],[scalar]]-Table1[[#This Row],[adj]]</f>
        <v>3535.8029000000001</v>
      </c>
      <c r="H80" s="7">
        <f>Table1[[#This Row],[price_mkt_bid]]*Table1[[#This Row],[adj scalar]]</f>
        <v>63821.242345000006</v>
      </c>
      <c r="I80" s="7">
        <f>Table1[[#This Row],[price_mkt_ask]]*Table1[[#This Row],[adj scalar]]</f>
        <v>63856.600374000001</v>
      </c>
    </row>
    <row r="81" spans="1:9" x14ac:dyDescent="0.25">
      <c r="A81" t="s">
        <v>14</v>
      </c>
      <c r="B81">
        <v>36.18</v>
      </c>
      <c r="C81">
        <v>36.19</v>
      </c>
      <c r="D81" t="s">
        <v>21</v>
      </c>
      <c r="E81" s="6">
        <v>1764.9625000000001</v>
      </c>
      <c r="F81" s="6">
        <f t="shared" si="1"/>
        <v>0</v>
      </c>
      <c r="G81" s="6">
        <f>Table1[[#This Row],[scalar]]-Table1[[#This Row],[adj]]</f>
        <v>1764.9625000000001</v>
      </c>
      <c r="H81" s="7">
        <f>Table1[[#This Row],[price_mkt_bid]]*Table1[[#This Row],[adj scalar]]</f>
        <v>63856.343250000005</v>
      </c>
      <c r="I81" s="7">
        <f>Table1[[#This Row],[price_mkt_ask]]*Table1[[#This Row],[adj scalar]]</f>
        <v>63873.992874999996</v>
      </c>
    </row>
    <row r="82" spans="1:9" x14ac:dyDescent="0.25">
      <c r="A82" t="s">
        <v>4</v>
      </c>
      <c r="B82">
        <v>21.16</v>
      </c>
      <c r="C82">
        <v>21.17</v>
      </c>
      <c r="D82" t="s">
        <v>22</v>
      </c>
      <c r="E82" s="6">
        <v>3014.8103999999998</v>
      </c>
      <c r="F82" s="6">
        <f t="shared" si="1"/>
        <v>-0.1</v>
      </c>
      <c r="G82" s="6">
        <f>Table1[[#This Row],[scalar]]-Table1[[#This Row],[adj]]</f>
        <v>3014.9103999999998</v>
      </c>
      <c r="H82" s="7">
        <f>Table1[[#This Row],[price_mkt_bid]]*Table1[[#This Row],[adj scalar]]</f>
        <v>63795.504063999993</v>
      </c>
      <c r="I82" s="7">
        <f>Table1[[#This Row],[price_mkt_ask]]*Table1[[#This Row],[adj scalar]]</f>
        <v>63825.653167999997</v>
      </c>
    </row>
    <row r="83" spans="1:9" x14ac:dyDescent="0.25">
      <c r="A83" t="s">
        <v>6</v>
      </c>
      <c r="B83">
        <v>34.64</v>
      </c>
      <c r="C83">
        <v>34.65</v>
      </c>
      <c r="D83" t="s">
        <v>22</v>
      </c>
      <c r="E83" s="6">
        <v>1842.0297</v>
      </c>
      <c r="F83" s="6">
        <f t="shared" si="1"/>
        <v>0.1</v>
      </c>
      <c r="G83" s="6">
        <f>Table1[[#This Row],[scalar]]-Table1[[#This Row],[adj]]</f>
        <v>1841.9297000000001</v>
      </c>
      <c r="H83" s="7">
        <f>Table1[[#This Row],[price_mkt_bid]]*Table1[[#This Row],[adj scalar]]</f>
        <v>63804.444808000007</v>
      </c>
      <c r="I83" s="7">
        <f>Table1[[#This Row],[price_mkt_ask]]*Table1[[#This Row],[adj scalar]]</f>
        <v>63822.864105000001</v>
      </c>
    </row>
    <row r="84" spans="1:9" x14ac:dyDescent="0.25">
      <c r="A84" t="s">
        <v>7</v>
      </c>
      <c r="B84">
        <v>17.989999999999998</v>
      </c>
      <c r="C84">
        <v>18</v>
      </c>
      <c r="D84" t="s">
        <v>22</v>
      </c>
      <c r="E84" s="6">
        <v>3546.4070999999999</v>
      </c>
      <c r="F84" s="6">
        <f t="shared" si="1"/>
        <v>0</v>
      </c>
      <c r="G84" s="6">
        <f>Table1[[#This Row],[scalar]]-Table1[[#This Row],[adj]]</f>
        <v>3546.4070999999999</v>
      </c>
      <c r="H84" s="7">
        <f>Table1[[#This Row],[price_mkt_bid]]*Table1[[#This Row],[adj scalar]]</f>
        <v>63799.86372899999</v>
      </c>
      <c r="I84" s="7">
        <f>Table1[[#This Row],[price_mkt_ask]]*Table1[[#This Row],[adj scalar]]</f>
        <v>63835.327799999999</v>
      </c>
    </row>
    <row r="85" spans="1:9" x14ac:dyDescent="0.25">
      <c r="A85" t="s">
        <v>8</v>
      </c>
      <c r="B85">
        <v>28.22</v>
      </c>
      <c r="C85">
        <v>28.23</v>
      </c>
      <c r="D85" t="s">
        <v>22</v>
      </c>
      <c r="E85" s="6">
        <v>2261.2671999999998</v>
      </c>
      <c r="F85" s="6">
        <f t="shared" si="1"/>
        <v>0.2</v>
      </c>
      <c r="G85" s="6">
        <f>Table1[[#This Row],[scalar]]-Table1[[#This Row],[adj]]</f>
        <v>2261.0672</v>
      </c>
      <c r="H85" s="7">
        <f>Table1[[#This Row],[price_mkt_bid]]*Table1[[#This Row],[adj scalar]]</f>
        <v>63807.316383999998</v>
      </c>
      <c r="I85" s="7">
        <f>Table1[[#This Row],[price_mkt_ask]]*Table1[[#This Row],[adj scalar]]</f>
        <v>63829.927056</v>
      </c>
    </row>
    <row r="86" spans="1:9" x14ac:dyDescent="0.25">
      <c r="A86" t="s">
        <v>9</v>
      </c>
      <c r="B86">
        <v>67.42</v>
      </c>
      <c r="C86">
        <v>67.52</v>
      </c>
      <c r="D86" t="s">
        <v>22</v>
      </c>
      <c r="E86" s="6">
        <v>946.08439999999996</v>
      </c>
      <c r="F86" s="6">
        <f t="shared" si="1"/>
        <v>0</v>
      </c>
      <c r="G86" s="6">
        <f>Table1[[#This Row],[scalar]]-Table1[[#This Row],[adj]]</f>
        <v>946.08439999999996</v>
      </c>
      <c r="H86" s="7">
        <f>Table1[[#This Row],[price_mkt_bid]]*Table1[[#This Row],[adj scalar]]</f>
        <v>63785.010247999999</v>
      </c>
      <c r="I86" s="7">
        <f>Table1[[#This Row],[price_mkt_ask]]*Table1[[#This Row],[adj scalar]]</f>
        <v>63879.618687999995</v>
      </c>
    </row>
    <row r="87" spans="1:9" x14ac:dyDescent="0.25">
      <c r="A87" t="s">
        <v>10</v>
      </c>
      <c r="B87">
        <v>36.869999999999997</v>
      </c>
      <c r="C87">
        <v>36.89</v>
      </c>
      <c r="D87" t="s">
        <v>22</v>
      </c>
      <c r="E87" s="6">
        <v>1730.0558000000001</v>
      </c>
      <c r="F87" s="6">
        <f t="shared" si="1"/>
        <v>-0.2</v>
      </c>
      <c r="G87" s="6">
        <f>Table1[[#This Row],[scalar]]-Table1[[#This Row],[adj]]</f>
        <v>1730.2558000000001</v>
      </c>
      <c r="H87" s="7">
        <f>Table1[[#This Row],[price_mkt_bid]]*Table1[[#This Row],[adj scalar]]</f>
        <v>63794.531346000003</v>
      </c>
      <c r="I87" s="7">
        <f>Table1[[#This Row],[price_mkt_ask]]*Table1[[#This Row],[adj scalar]]</f>
        <v>63829.136462000009</v>
      </c>
    </row>
    <row r="88" spans="1:9" x14ac:dyDescent="0.25">
      <c r="A88" t="s">
        <v>11</v>
      </c>
      <c r="B88">
        <v>55.55</v>
      </c>
      <c r="C88">
        <v>55.56</v>
      </c>
      <c r="D88" t="s">
        <v>22</v>
      </c>
      <c r="E88" s="6">
        <v>1148.79</v>
      </c>
      <c r="F88" s="6">
        <f t="shared" si="1"/>
        <v>0.05</v>
      </c>
      <c r="G88" s="6">
        <f>Table1[[#This Row],[scalar]]-Table1[[#This Row],[adj]]</f>
        <v>1148.74</v>
      </c>
      <c r="H88" s="7">
        <f>Table1[[#This Row],[price_mkt_bid]]*Table1[[#This Row],[adj scalar]]</f>
        <v>63812.506999999998</v>
      </c>
      <c r="I88" s="7">
        <f>Table1[[#This Row],[price_mkt_ask]]*Table1[[#This Row],[adj scalar]]</f>
        <v>63823.994400000003</v>
      </c>
    </row>
    <row r="89" spans="1:9" x14ac:dyDescent="0.25">
      <c r="A89" t="s">
        <v>12</v>
      </c>
      <c r="B89">
        <v>49.52</v>
      </c>
      <c r="C89">
        <v>49.53</v>
      </c>
      <c r="D89" t="s">
        <v>22</v>
      </c>
      <c r="E89" s="6">
        <v>1288.6375</v>
      </c>
      <c r="F89" s="6">
        <f t="shared" si="1"/>
        <v>-0.05</v>
      </c>
      <c r="G89" s="6">
        <f>Table1[[#This Row],[scalar]]-Table1[[#This Row],[adj]]</f>
        <v>1288.6875</v>
      </c>
      <c r="H89" s="7">
        <f>Table1[[#This Row],[price_mkt_bid]]*Table1[[#This Row],[adj scalar]]</f>
        <v>63815.805000000008</v>
      </c>
      <c r="I89" s="7">
        <f>Table1[[#This Row],[price_mkt_ask]]*Table1[[#This Row],[adj scalar]]</f>
        <v>63828.691875000004</v>
      </c>
    </row>
    <row r="90" spans="1:9" x14ac:dyDescent="0.25">
      <c r="A90" t="s">
        <v>13</v>
      </c>
      <c r="B90">
        <v>18.04</v>
      </c>
      <c r="C90">
        <v>18.05</v>
      </c>
      <c r="D90" t="s">
        <v>22</v>
      </c>
      <c r="E90" s="6">
        <v>3535.8029000000001</v>
      </c>
      <c r="F90" s="6">
        <f t="shared" si="1"/>
        <v>0</v>
      </c>
      <c r="G90" s="6">
        <f>Table1[[#This Row],[scalar]]-Table1[[#This Row],[adj]]</f>
        <v>3535.8029000000001</v>
      </c>
      <c r="H90" s="7">
        <f>Table1[[#This Row],[price_mkt_bid]]*Table1[[#This Row],[adj scalar]]</f>
        <v>63785.884315999996</v>
      </c>
      <c r="I90" s="7">
        <f>Table1[[#This Row],[price_mkt_ask]]*Table1[[#This Row],[adj scalar]]</f>
        <v>63821.242345000006</v>
      </c>
    </row>
    <row r="91" spans="1:9" x14ac:dyDescent="0.25">
      <c r="A91" t="s">
        <v>14</v>
      </c>
      <c r="B91">
        <v>36.159999999999997</v>
      </c>
      <c r="C91">
        <v>36.17</v>
      </c>
      <c r="D91" t="s">
        <v>22</v>
      </c>
      <c r="E91" s="6">
        <v>1764.9625000000001</v>
      </c>
      <c r="F91" s="6">
        <f t="shared" si="1"/>
        <v>0</v>
      </c>
      <c r="G91" s="6">
        <f>Table1[[#This Row],[scalar]]-Table1[[#This Row],[adj]]</f>
        <v>1764.9625000000001</v>
      </c>
      <c r="H91" s="7">
        <f>Table1[[#This Row],[price_mkt_bid]]*Table1[[#This Row],[adj scalar]]</f>
        <v>63821.043999999994</v>
      </c>
      <c r="I91" s="7">
        <f>Table1[[#This Row],[price_mkt_ask]]*Table1[[#This Row],[adj scalar]]</f>
        <v>63838.693625000007</v>
      </c>
    </row>
    <row r="92" spans="1:9" x14ac:dyDescent="0.25">
      <c r="A92" t="s">
        <v>4</v>
      </c>
      <c r="B92">
        <v>21.2</v>
      </c>
      <c r="C92">
        <v>21.21</v>
      </c>
      <c r="D92" t="s">
        <v>23</v>
      </c>
      <c r="E92" s="6">
        <v>3014.8103999999998</v>
      </c>
      <c r="F92" s="6">
        <f t="shared" si="1"/>
        <v>-0.1</v>
      </c>
      <c r="G92" s="6">
        <f>Table1[[#This Row],[scalar]]-Table1[[#This Row],[adj]]</f>
        <v>3014.9103999999998</v>
      </c>
      <c r="H92" s="7">
        <f>Table1[[#This Row],[price_mkt_bid]]*Table1[[#This Row],[adj scalar]]</f>
        <v>63916.100479999994</v>
      </c>
      <c r="I92" s="7">
        <f>Table1[[#This Row],[price_mkt_ask]]*Table1[[#This Row],[adj scalar]]</f>
        <v>63946.249583999997</v>
      </c>
    </row>
    <row r="93" spans="1:9" x14ac:dyDescent="0.25">
      <c r="A93" t="s">
        <v>6</v>
      </c>
      <c r="B93">
        <v>34.71</v>
      </c>
      <c r="C93">
        <v>34.72</v>
      </c>
      <c r="D93" t="s">
        <v>23</v>
      </c>
      <c r="E93" s="6">
        <v>1842.0297</v>
      </c>
      <c r="F93" s="6">
        <f t="shared" si="1"/>
        <v>0.1</v>
      </c>
      <c r="G93" s="6">
        <f>Table1[[#This Row],[scalar]]-Table1[[#This Row],[adj]]</f>
        <v>1841.9297000000001</v>
      </c>
      <c r="H93" s="7">
        <f>Table1[[#This Row],[price_mkt_bid]]*Table1[[#This Row],[adj scalar]]</f>
        <v>63933.379887000003</v>
      </c>
      <c r="I93" s="7">
        <f>Table1[[#This Row],[price_mkt_ask]]*Table1[[#This Row],[adj scalar]]</f>
        <v>63951.799184000003</v>
      </c>
    </row>
    <row r="94" spans="1:9" x14ac:dyDescent="0.25">
      <c r="A94" t="s">
        <v>7</v>
      </c>
      <c r="B94">
        <v>18.02</v>
      </c>
      <c r="C94">
        <v>18.03</v>
      </c>
      <c r="D94" t="s">
        <v>23</v>
      </c>
      <c r="E94" s="6">
        <v>3546.4070999999999</v>
      </c>
      <c r="F94" s="6">
        <f t="shared" si="1"/>
        <v>0</v>
      </c>
      <c r="G94" s="6">
        <f>Table1[[#This Row],[scalar]]-Table1[[#This Row],[adj]]</f>
        <v>3546.4070999999999</v>
      </c>
      <c r="H94" s="7">
        <f>Table1[[#This Row],[price_mkt_bid]]*Table1[[#This Row],[adj scalar]]</f>
        <v>63906.255941999996</v>
      </c>
      <c r="I94" s="7">
        <f>Table1[[#This Row],[price_mkt_ask]]*Table1[[#This Row],[adj scalar]]</f>
        <v>63941.720013000006</v>
      </c>
    </row>
    <row r="95" spans="1:9" x14ac:dyDescent="0.25">
      <c r="A95" t="s">
        <v>8</v>
      </c>
      <c r="B95">
        <v>28.27</v>
      </c>
      <c r="C95">
        <v>28.28</v>
      </c>
      <c r="D95" t="s">
        <v>23</v>
      </c>
      <c r="E95" s="6">
        <v>2261.2671999999998</v>
      </c>
      <c r="F95" s="6">
        <f t="shared" si="1"/>
        <v>0.2</v>
      </c>
      <c r="G95" s="6">
        <f>Table1[[#This Row],[scalar]]-Table1[[#This Row],[adj]]</f>
        <v>2261.0672</v>
      </c>
      <c r="H95" s="7">
        <f>Table1[[#This Row],[price_mkt_bid]]*Table1[[#This Row],[adj scalar]]</f>
        <v>63920.369743999996</v>
      </c>
      <c r="I95" s="7">
        <f>Table1[[#This Row],[price_mkt_ask]]*Table1[[#This Row],[adj scalar]]</f>
        <v>63942.980415999999</v>
      </c>
    </row>
    <row r="96" spans="1:9" x14ac:dyDescent="0.25">
      <c r="A96" t="s">
        <v>9</v>
      </c>
      <c r="B96">
        <v>67.55</v>
      </c>
      <c r="C96">
        <v>67.650000000000006</v>
      </c>
      <c r="D96" t="s">
        <v>23</v>
      </c>
      <c r="E96" s="6">
        <v>946.08439999999996</v>
      </c>
      <c r="F96" s="6">
        <f t="shared" si="1"/>
        <v>0</v>
      </c>
      <c r="G96" s="6">
        <f>Table1[[#This Row],[scalar]]-Table1[[#This Row],[adj]]</f>
        <v>946.08439999999996</v>
      </c>
      <c r="H96" s="7">
        <f>Table1[[#This Row],[price_mkt_bid]]*Table1[[#This Row],[adj scalar]]</f>
        <v>63908.001219999991</v>
      </c>
      <c r="I96" s="7">
        <f>Table1[[#This Row],[price_mkt_ask]]*Table1[[#This Row],[adj scalar]]</f>
        <v>64002.609660000002</v>
      </c>
    </row>
    <row r="97" spans="1:9" x14ac:dyDescent="0.25">
      <c r="A97" t="s">
        <v>10</v>
      </c>
      <c r="B97">
        <v>36.94</v>
      </c>
      <c r="C97">
        <v>36.96</v>
      </c>
      <c r="D97" t="s">
        <v>23</v>
      </c>
      <c r="E97" s="6">
        <v>1730.0558000000001</v>
      </c>
      <c r="F97" s="6">
        <f t="shared" si="1"/>
        <v>-0.2</v>
      </c>
      <c r="G97" s="6">
        <f>Table1[[#This Row],[scalar]]-Table1[[#This Row],[adj]]</f>
        <v>1730.2558000000001</v>
      </c>
      <c r="H97" s="7">
        <f>Table1[[#This Row],[price_mkt_bid]]*Table1[[#This Row],[adj scalar]]</f>
        <v>63915.649252000003</v>
      </c>
      <c r="I97" s="7">
        <f>Table1[[#This Row],[price_mkt_ask]]*Table1[[#This Row],[adj scalar]]</f>
        <v>63950.254368000009</v>
      </c>
    </row>
    <row r="98" spans="1:9" x14ac:dyDescent="0.25">
      <c r="A98" t="s">
        <v>11</v>
      </c>
      <c r="B98">
        <v>55.66</v>
      </c>
      <c r="C98">
        <v>55.67</v>
      </c>
      <c r="D98" t="s">
        <v>23</v>
      </c>
      <c r="E98" s="6">
        <v>1148.79</v>
      </c>
      <c r="F98" s="6">
        <f t="shared" si="1"/>
        <v>0.05</v>
      </c>
      <c r="G98" s="6">
        <f>Table1[[#This Row],[scalar]]-Table1[[#This Row],[adj]]</f>
        <v>1148.74</v>
      </c>
      <c r="H98" s="7">
        <f>Table1[[#This Row],[price_mkt_bid]]*Table1[[#This Row],[adj scalar]]</f>
        <v>63938.868399999999</v>
      </c>
      <c r="I98" s="7">
        <f>Table1[[#This Row],[price_mkt_ask]]*Table1[[#This Row],[adj scalar]]</f>
        <v>63950.355800000005</v>
      </c>
    </row>
    <row r="99" spans="1:9" x14ac:dyDescent="0.25">
      <c r="A99" t="s">
        <v>12</v>
      </c>
      <c r="B99">
        <v>49.61</v>
      </c>
      <c r="C99">
        <v>49.62</v>
      </c>
      <c r="D99" t="s">
        <v>23</v>
      </c>
      <c r="E99" s="6">
        <v>1288.6375</v>
      </c>
      <c r="F99" s="6">
        <f t="shared" si="1"/>
        <v>-0.05</v>
      </c>
      <c r="G99" s="6">
        <f>Table1[[#This Row],[scalar]]-Table1[[#This Row],[adj]]</f>
        <v>1288.6875</v>
      </c>
      <c r="H99" s="7">
        <f>Table1[[#This Row],[price_mkt_bid]]*Table1[[#This Row],[adj scalar]]</f>
        <v>63931.786874999998</v>
      </c>
      <c r="I99" s="7">
        <f>Table1[[#This Row],[price_mkt_ask]]*Table1[[#This Row],[adj scalar]]</f>
        <v>63944.673749999994</v>
      </c>
    </row>
    <row r="100" spans="1:9" x14ac:dyDescent="0.25">
      <c r="A100" t="s">
        <v>13</v>
      </c>
      <c r="B100">
        <v>18.079999999999998</v>
      </c>
      <c r="C100">
        <v>18.09</v>
      </c>
      <c r="D100" t="s">
        <v>23</v>
      </c>
      <c r="E100" s="6">
        <v>3535.8029000000001</v>
      </c>
      <c r="F100" s="6">
        <f t="shared" si="1"/>
        <v>0</v>
      </c>
      <c r="G100" s="6">
        <f>Table1[[#This Row],[scalar]]-Table1[[#This Row],[adj]]</f>
        <v>3535.8029000000001</v>
      </c>
      <c r="H100" s="7">
        <f>Table1[[#This Row],[price_mkt_bid]]*Table1[[#This Row],[adj scalar]]</f>
        <v>63927.316432</v>
      </c>
      <c r="I100" s="7">
        <f>Table1[[#This Row],[price_mkt_ask]]*Table1[[#This Row],[adj scalar]]</f>
        <v>63962.674461000002</v>
      </c>
    </row>
    <row r="101" spans="1:9" x14ac:dyDescent="0.25">
      <c r="A101" t="s">
        <v>14</v>
      </c>
      <c r="B101">
        <v>36.229999999999997</v>
      </c>
      <c r="C101">
        <v>36.24</v>
      </c>
      <c r="D101" t="s">
        <v>23</v>
      </c>
      <c r="E101" s="6">
        <v>1764.9625000000001</v>
      </c>
      <c r="F101" s="6">
        <f t="shared" si="1"/>
        <v>0</v>
      </c>
      <c r="G101" s="6">
        <f>Table1[[#This Row],[scalar]]-Table1[[#This Row],[adj]]</f>
        <v>1764.9625000000001</v>
      </c>
      <c r="H101" s="7">
        <f>Table1[[#This Row],[price_mkt_bid]]*Table1[[#This Row],[adj scalar]]</f>
        <v>63944.591374999996</v>
      </c>
      <c r="I101" s="7">
        <f>Table1[[#This Row],[price_mkt_ask]]*Table1[[#This Row],[adj scalar]]</f>
        <v>63962.241000000009</v>
      </c>
    </row>
    <row r="102" spans="1:9" x14ac:dyDescent="0.25">
      <c r="A102" t="s">
        <v>4</v>
      </c>
      <c r="B102">
        <v>21.17</v>
      </c>
      <c r="C102">
        <v>21.18</v>
      </c>
      <c r="D102" t="s">
        <v>24</v>
      </c>
      <c r="E102" s="6">
        <v>3014.8103999999998</v>
      </c>
      <c r="F102" s="6">
        <f t="shared" si="1"/>
        <v>-0.1</v>
      </c>
      <c r="G102" s="6">
        <f>Table1[[#This Row],[scalar]]-Table1[[#This Row],[adj]]</f>
        <v>3014.9103999999998</v>
      </c>
      <c r="H102" s="7">
        <f>Table1[[#This Row],[price_mkt_bid]]*Table1[[#This Row],[adj scalar]]</f>
        <v>63825.653167999997</v>
      </c>
      <c r="I102" s="7">
        <f>Table1[[#This Row],[price_mkt_ask]]*Table1[[#This Row],[adj scalar]]</f>
        <v>63855.802271999994</v>
      </c>
    </row>
    <row r="103" spans="1:9" x14ac:dyDescent="0.25">
      <c r="A103" t="s">
        <v>6</v>
      </c>
      <c r="B103">
        <v>34.659999999999997</v>
      </c>
      <c r="C103">
        <v>34.67</v>
      </c>
      <c r="D103" t="s">
        <v>24</v>
      </c>
      <c r="E103" s="6">
        <v>1842.0297</v>
      </c>
      <c r="F103" s="6">
        <f t="shared" si="1"/>
        <v>0.1</v>
      </c>
      <c r="G103" s="6">
        <f>Table1[[#This Row],[scalar]]-Table1[[#This Row],[adj]]</f>
        <v>1841.9297000000001</v>
      </c>
      <c r="H103" s="7">
        <f>Table1[[#This Row],[price_mkt_bid]]*Table1[[#This Row],[adj scalar]]</f>
        <v>63841.283402000001</v>
      </c>
      <c r="I103" s="7">
        <f>Table1[[#This Row],[price_mkt_ask]]*Table1[[#This Row],[adj scalar]]</f>
        <v>63859.702699000009</v>
      </c>
    </row>
    <row r="104" spans="1:9" x14ac:dyDescent="0.25">
      <c r="A104" t="s">
        <v>7</v>
      </c>
      <c r="B104">
        <v>18</v>
      </c>
      <c r="C104">
        <v>18.010000000000002</v>
      </c>
      <c r="D104" t="s">
        <v>24</v>
      </c>
      <c r="E104" s="6">
        <v>3546.4070999999999</v>
      </c>
      <c r="F104" s="6">
        <f t="shared" si="1"/>
        <v>0</v>
      </c>
      <c r="G104" s="6">
        <f>Table1[[#This Row],[scalar]]-Table1[[#This Row],[adj]]</f>
        <v>3546.4070999999999</v>
      </c>
      <c r="H104" s="7">
        <f>Table1[[#This Row],[price_mkt_bid]]*Table1[[#This Row],[adj scalar]]</f>
        <v>63835.327799999999</v>
      </c>
      <c r="I104" s="7">
        <f>Table1[[#This Row],[price_mkt_ask]]*Table1[[#This Row],[adj scalar]]</f>
        <v>63870.791871000001</v>
      </c>
    </row>
    <row r="105" spans="1:9" x14ac:dyDescent="0.25">
      <c r="A105" t="s">
        <v>8</v>
      </c>
      <c r="B105">
        <v>28.24</v>
      </c>
      <c r="C105">
        <v>28.25</v>
      </c>
      <c r="D105" t="s">
        <v>24</v>
      </c>
      <c r="E105" s="6">
        <v>2261.2671999999998</v>
      </c>
      <c r="F105" s="6">
        <f t="shared" si="1"/>
        <v>0.2</v>
      </c>
      <c r="G105" s="6">
        <f>Table1[[#This Row],[scalar]]-Table1[[#This Row],[adj]]</f>
        <v>2261.0672</v>
      </c>
      <c r="H105" s="7">
        <f>Table1[[#This Row],[price_mkt_bid]]*Table1[[#This Row],[adj scalar]]</f>
        <v>63852.537727999996</v>
      </c>
      <c r="I105" s="7">
        <f>Table1[[#This Row],[price_mkt_ask]]*Table1[[#This Row],[adj scalar]]</f>
        <v>63875.148399999998</v>
      </c>
    </row>
    <row r="106" spans="1:9" x14ac:dyDescent="0.25">
      <c r="A106" t="s">
        <v>9</v>
      </c>
      <c r="B106">
        <v>67.459999999999994</v>
      </c>
      <c r="C106">
        <v>67.56</v>
      </c>
      <c r="D106" t="s">
        <v>24</v>
      </c>
      <c r="E106" s="6">
        <v>946.08439999999996</v>
      </c>
      <c r="F106" s="6">
        <f t="shared" si="1"/>
        <v>0</v>
      </c>
      <c r="G106" s="6">
        <f>Table1[[#This Row],[scalar]]-Table1[[#This Row],[adj]]</f>
        <v>946.08439999999996</v>
      </c>
      <c r="H106" s="7">
        <f>Table1[[#This Row],[price_mkt_bid]]*Table1[[#This Row],[adj scalar]]</f>
        <v>63822.853623999988</v>
      </c>
      <c r="I106" s="7">
        <f>Table1[[#This Row],[price_mkt_ask]]*Table1[[#This Row],[adj scalar]]</f>
        <v>63917.462063999999</v>
      </c>
    </row>
    <row r="107" spans="1:9" x14ac:dyDescent="0.25">
      <c r="A107" t="s">
        <v>10</v>
      </c>
      <c r="B107">
        <v>36.89</v>
      </c>
      <c r="C107">
        <v>36.909999999999997</v>
      </c>
      <c r="D107" t="s">
        <v>24</v>
      </c>
      <c r="E107" s="6">
        <v>1730.0558000000001</v>
      </c>
      <c r="F107" s="6">
        <f t="shared" si="1"/>
        <v>-0.2</v>
      </c>
      <c r="G107" s="6">
        <f>Table1[[#This Row],[scalar]]-Table1[[#This Row],[adj]]</f>
        <v>1730.2558000000001</v>
      </c>
      <c r="H107" s="7">
        <f>Table1[[#This Row],[price_mkt_bid]]*Table1[[#This Row],[adj scalar]]</f>
        <v>63829.136462000009</v>
      </c>
      <c r="I107" s="7">
        <f>Table1[[#This Row],[price_mkt_ask]]*Table1[[#This Row],[adj scalar]]</f>
        <v>63863.741578000001</v>
      </c>
    </row>
    <row r="108" spans="1:9" x14ac:dyDescent="0.25">
      <c r="A108" t="s">
        <v>11</v>
      </c>
      <c r="B108">
        <v>55.58</v>
      </c>
      <c r="C108">
        <v>55.59</v>
      </c>
      <c r="D108" t="s">
        <v>24</v>
      </c>
      <c r="E108" s="6">
        <v>1148.79</v>
      </c>
      <c r="F108" s="6">
        <f t="shared" si="1"/>
        <v>0.05</v>
      </c>
      <c r="G108" s="6">
        <f>Table1[[#This Row],[scalar]]-Table1[[#This Row],[adj]]</f>
        <v>1148.74</v>
      </c>
      <c r="H108" s="7">
        <f>Table1[[#This Row],[price_mkt_bid]]*Table1[[#This Row],[adj scalar]]</f>
        <v>63846.9692</v>
      </c>
      <c r="I108" s="7">
        <f>Table1[[#This Row],[price_mkt_ask]]*Table1[[#This Row],[adj scalar]]</f>
        <v>63858.456600000005</v>
      </c>
    </row>
    <row r="109" spans="1:9" x14ac:dyDescent="0.25">
      <c r="A109" t="s">
        <v>12</v>
      </c>
      <c r="B109">
        <v>49.54</v>
      </c>
      <c r="C109">
        <v>49.56</v>
      </c>
      <c r="D109" t="s">
        <v>24</v>
      </c>
      <c r="E109" s="6">
        <v>1288.6375</v>
      </c>
      <c r="F109" s="6">
        <f t="shared" si="1"/>
        <v>-0.05</v>
      </c>
      <c r="G109" s="6">
        <f>Table1[[#This Row],[scalar]]-Table1[[#This Row],[adj]]</f>
        <v>1288.6875</v>
      </c>
      <c r="H109" s="7">
        <f>Table1[[#This Row],[price_mkt_bid]]*Table1[[#This Row],[adj scalar]]</f>
        <v>63841.578750000001</v>
      </c>
      <c r="I109" s="7">
        <f>Table1[[#This Row],[price_mkt_ask]]*Table1[[#This Row],[adj scalar]]</f>
        <v>63867.352500000001</v>
      </c>
    </row>
    <row r="110" spans="1:9" x14ac:dyDescent="0.25">
      <c r="A110" t="s">
        <v>13</v>
      </c>
      <c r="B110">
        <v>18.05</v>
      </c>
      <c r="C110">
        <v>18.059999999999999</v>
      </c>
      <c r="D110" t="s">
        <v>24</v>
      </c>
      <c r="E110" s="6">
        <v>3535.8029000000001</v>
      </c>
      <c r="F110" s="6">
        <f t="shared" si="1"/>
        <v>0</v>
      </c>
      <c r="G110" s="6">
        <f>Table1[[#This Row],[scalar]]-Table1[[#This Row],[adj]]</f>
        <v>3535.8029000000001</v>
      </c>
      <c r="H110" s="7">
        <f>Table1[[#This Row],[price_mkt_bid]]*Table1[[#This Row],[adj scalar]]</f>
        <v>63821.242345000006</v>
      </c>
      <c r="I110" s="7">
        <f>Table1[[#This Row],[price_mkt_ask]]*Table1[[#This Row],[adj scalar]]</f>
        <v>63856.600374000001</v>
      </c>
    </row>
    <row r="111" spans="1:9" x14ac:dyDescent="0.25">
      <c r="A111" t="s">
        <v>14</v>
      </c>
      <c r="B111">
        <v>36.18</v>
      </c>
      <c r="C111">
        <v>36.19</v>
      </c>
      <c r="D111" t="s">
        <v>24</v>
      </c>
      <c r="E111" s="6">
        <v>1764.9625000000001</v>
      </c>
      <c r="F111" s="6">
        <f t="shared" si="1"/>
        <v>0</v>
      </c>
      <c r="G111" s="6">
        <f>Table1[[#This Row],[scalar]]-Table1[[#This Row],[adj]]</f>
        <v>1764.9625000000001</v>
      </c>
      <c r="H111" s="7">
        <f>Table1[[#This Row],[price_mkt_bid]]*Table1[[#This Row],[adj scalar]]</f>
        <v>63856.343250000005</v>
      </c>
      <c r="I111" s="7">
        <f>Table1[[#This Row],[price_mkt_ask]]*Table1[[#This Row],[adj scalar]]</f>
        <v>63873.992874999996</v>
      </c>
    </row>
    <row r="112" spans="1:9" x14ac:dyDescent="0.25">
      <c r="A112" t="s">
        <v>4</v>
      </c>
      <c r="B112">
        <v>21.16</v>
      </c>
      <c r="C112">
        <v>21.17</v>
      </c>
      <c r="D112" t="s">
        <v>25</v>
      </c>
      <c r="E112" s="6">
        <v>3014.8103999999998</v>
      </c>
      <c r="F112" s="6">
        <f t="shared" si="1"/>
        <v>-0.1</v>
      </c>
      <c r="G112" s="6">
        <f>Table1[[#This Row],[scalar]]-Table1[[#This Row],[adj]]</f>
        <v>3014.9103999999998</v>
      </c>
      <c r="H112" s="7">
        <f>Table1[[#This Row],[price_mkt_bid]]*Table1[[#This Row],[adj scalar]]</f>
        <v>63795.504063999993</v>
      </c>
      <c r="I112" s="7">
        <f>Table1[[#This Row],[price_mkt_ask]]*Table1[[#This Row],[adj scalar]]</f>
        <v>63825.653167999997</v>
      </c>
    </row>
    <row r="113" spans="1:9" x14ac:dyDescent="0.25">
      <c r="A113" t="s">
        <v>6</v>
      </c>
      <c r="B113">
        <v>34.630000000000003</v>
      </c>
      <c r="C113">
        <v>34.64</v>
      </c>
      <c r="D113" t="s">
        <v>25</v>
      </c>
      <c r="E113" s="6">
        <v>1842.0297</v>
      </c>
      <c r="F113" s="6">
        <f t="shared" si="1"/>
        <v>0.1</v>
      </c>
      <c r="G113" s="6">
        <f>Table1[[#This Row],[scalar]]-Table1[[#This Row],[adj]]</f>
        <v>1841.9297000000001</v>
      </c>
      <c r="H113" s="7">
        <f>Table1[[#This Row],[price_mkt_bid]]*Table1[[#This Row],[adj scalar]]</f>
        <v>63786.025511000007</v>
      </c>
      <c r="I113" s="7">
        <f>Table1[[#This Row],[price_mkt_ask]]*Table1[[#This Row],[adj scalar]]</f>
        <v>63804.444808000007</v>
      </c>
    </row>
    <row r="114" spans="1:9" x14ac:dyDescent="0.25">
      <c r="A114" t="s">
        <v>7</v>
      </c>
      <c r="B114">
        <v>17.989999999999998</v>
      </c>
      <c r="C114">
        <v>18</v>
      </c>
      <c r="D114" t="s">
        <v>25</v>
      </c>
      <c r="E114" s="6">
        <v>3546.4070999999999</v>
      </c>
      <c r="F114" s="6">
        <f t="shared" si="1"/>
        <v>0</v>
      </c>
      <c r="G114" s="6">
        <f>Table1[[#This Row],[scalar]]-Table1[[#This Row],[adj]]</f>
        <v>3546.4070999999999</v>
      </c>
      <c r="H114" s="7">
        <f>Table1[[#This Row],[price_mkt_bid]]*Table1[[#This Row],[adj scalar]]</f>
        <v>63799.86372899999</v>
      </c>
      <c r="I114" s="7">
        <f>Table1[[#This Row],[price_mkt_ask]]*Table1[[#This Row],[adj scalar]]</f>
        <v>63835.327799999999</v>
      </c>
    </row>
    <row r="115" spans="1:9" x14ac:dyDescent="0.25">
      <c r="A115" t="s">
        <v>8</v>
      </c>
      <c r="B115">
        <v>28.21</v>
      </c>
      <c r="C115">
        <v>28.22</v>
      </c>
      <c r="D115" t="s">
        <v>25</v>
      </c>
      <c r="E115" s="6">
        <v>2261.2671999999998</v>
      </c>
      <c r="F115" s="6">
        <f t="shared" si="1"/>
        <v>0.2</v>
      </c>
      <c r="G115" s="6">
        <f>Table1[[#This Row],[scalar]]-Table1[[#This Row],[adj]]</f>
        <v>2261.0672</v>
      </c>
      <c r="H115" s="7">
        <f>Table1[[#This Row],[price_mkt_bid]]*Table1[[#This Row],[adj scalar]]</f>
        <v>63784.705712000003</v>
      </c>
      <c r="I115" s="7">
        <f>Table1[[#This Row],[price_mkt_ask]]*Table1[[#This Row],[adj scalar]]</f>
        <v>63807.316383999998</v>
      </c>
    </row>
    <row r="116" spans="1:9" x14ac:dyDescent="0.25">
      <c r="A116" t="s">
        <v>9</v>
      </c>
      <c r="B116">
        <v>67.41</v>
      </c>
      <c r="C116">
        <v>67.510000000000005</v>
      </c>
      <c r="D116" t="s">
        <v>25</v>
      </c>
      <c r="E116" s="6">
        <v>946.08439999999996</v>
      </c>
      <c r="F116" s="6">
        <f t="shared" si="1"/>
        <v>0</v>
      </c>
      <c r="G116" s="6">
        <f>Table1[[#This Row],[scalar]]-Table1[[#This Row],[adj]]</f>
        <v>946.08439999999996</v>
      </c>
      <c r="H116" s="7">
        <f>Table1[[#This Row],[price_mkt_bid]]*Table1[[#This Row],[adj scalar]]</f>
        <v>63775.549403999998</v>
      </c>
      <c r="I116" s="7">
        <f>Table1[[#This Row],[price_mkt_ask]]*Table1[[#This Row],[adj scalar]]</f>
        <v>63870.157844000001</v>
      </c>
    </row>
    <row r="117" spans="1:9" x14ac:dyDescent="0.25">
      <c r="A117" t="s">
        <v>10</v>
      </c>
      <c r="B117">
        <v>36.86</v>
      </c>
      <c r="C117">
        <v>36.880000000000003</v>
      </c>
      <c r="D117" t="s">
        <v>25</v>
      </c>
      <c r="E117" s="6">
        <v>1730.0558000000001</v>
      </c>
      <c r="F117" s="6">
        <f t="shared" si="1"/>
        <v>-0.2</v>
      </c>
      <c r="G117" s="6">
        <f>Table1[[#This Row],[scalar]]-Table1[[#This Row],[adj]]</f>
        <v>1730.2558000000001</v>
      </c>
      <c r="H117" s="7">
        <f>Table1[[#This Row],[price_mkt_bid]]*Table1[[#This Row],[adj scalar]]</f>
        <v>63777.228788000008</v>
      </c>
      <c r="I117" s="7">
        <f>Table1[[#This Row],[price_mkt_ask]]*Table1[[#This Row],[adj scalar]]</f>
        <v>63811.833904000006</v>
      </c>
    </row>
    <row r="118" spans="1:9" x14ac:dyDescent="0.25">
      <c r="A118" t="s">
        <v>11</v>
      </c>
      <c r="B118">
        <v>55.53</v>
      </c>
      <c r="C118">
        <v>55.54</v>
      </c>
      <c r="D118" t="s">
        <v>25</v>
      </c>
      <c r="E118" s="6">
        <v>1148.79</v>
      </c>
      <c r="F118" s="6">
        <f t="shared" si="1"/>
        <v>0.05</v>
      </c>
      <c r="G118" s="6">
        <f>Table1[[#This Row],[scalar]]-Table1[[#This Row],[adj]]</f>
        <v>1148.74</v>
      </c>
      <c r="H118" s="7">
        <f>Table1[[#This Row],[price_mkt_bid]]*Table1[[#This Row],[adj scalar]]</f>
        <v>63789.532200000001</v>
      </c>
      <c r="I118" s="7">
        <f>Table1[[#This Row],[price_mkt_ask]]*Table1[[#This Row],[adj scalar]]</f>
        <v>63801.0196</v>
      </c>
    </row>
    <row r="119" spans="1:9" x14ac:dyDescent="0.25">
      <c r="A119" t="s">
        <v>12</v>
      </c>
      <c r="B119">
        <v>49.5</v>
      </c>
      <c r="C119">
        <v>49.51</v>
      </c>
      <c r="D119" t="s">
        <v>25</v>
      </c>
      <c r="E119" s="6">
        <v>1288.6375</v>
      </c>
      <c r="F119" s="6">
        <f t="shared" si="1"/>
        <v>-0.05</v>
      </c>
      <c r="G119" s="6">
        <f>Table1[[#This Row],[scalar]]-Table1[[#This Row],[adj]]</f>
        <v>1288.6875</v>
      </c>
      <c r="H119" s="7">
        <f>Table1[[#This Row],[price_mkt_bid]]*Table1[[#This Row],[adj scalar]]</f>
        <v>63790.03125</v>
      </c>
      <c r="I119" s="7">
        <f>Table1[[#This Row],[price_mkt_ask]]*Table1[[#This Row],[adj scalar]]</f>
        <v>63802.918124999997</v>
      </c>
    </row>
    <row r="120" spans="1:9" x14ac:dyDescent="0.25">
      <c r="A120" t="s">
        <v>13</v>
      </c>
      <c r="B120">
        <v>18.04</v>
      </c>
      <c r="C120">
        <v>18.05</v>
      </c>
      <c r="D120" t="s">
        <v>25</v>
      </c>
      <c r="E120" s="6">
        <v>3535.8029000000001</v>
      </c>
      <c r="F120" s="6">
        <f t="shared" si="1"/>
        <v>0</v>
      </c>
      <c r="G120" s="6">
        <f>Table1[[#This Row],[scalar]]-Table1[[#This Row],[adj]]</f>
        <v>3535.8029000000001</v>
      </c>
      <c r="H120" s="7">
        <f>Table1[[#This Row],[price_mkt_bid]]*Table1[[#This Row],[adj scalar]]</f>
        <v>63785.884315999996</v>
      </c>
      <c r="I120" s="7">
        <f>Table1[[#This Row],[price_mkt_ask]]*Table1[[#This Row],[adj scalar]]</f>
        <v>63821.242345000006</v>
      </c>
    </row>
    <row r="121" spans="1:9" x14ac:dyDescent="0.25">
      <c r="A121" t="s">
        <v>14</v>
      </c>
      <c r="B121">
        <v>36.15</v>
      </c>
      <c r="C121">
        <v>36.159999999999997</v>
      </c>
      <c r="D121" t="s">
        <v>25</v>
      </c>
      <c r="E121" s="6">
        <v>1764.9625000000001</v>
      </c>
      <c r="F121" s="6">
        <f t="shared" si="1"/>
        <v>0</v>
      </c>
      <c r="G121" s="6">
        <f>Table1[[#This Row],[scalar]]-Table1[[#This Row],[adj]]</f>
        <v>1764.9625000000001</v>
      </c>
      <c r="H121" s="7">
        <f>Table1[[#This Row],[price_mkt_bid]]*Table1[[#This Row],[adj scalar]]</f>
        <v>63803.394375000003</v>
      </c>
      <c r="I121" s="7">
        <f>Table1[[#This Row],[price_mkt_ask]]*Table1[[#This Row],[adj scalar]]</f>
        <v>63821.043999999994</v>
      </c>
    </row>
    <row r="122" spans="1:9" x14ac:dyDescent="0.25">
      <c r="A122" t="s">
        <v>4</v>
      </c>
      <c r="B122">
        <v>21.16</v>
      </c>
      <c r="C122">
        <v>21.17</v>
      </c>
      <c r="D122" t="s">
        <v>26</v>
      </c>
      <c r="E122" s="6">
        <v>3014.8103999999998</v>
      </c>
      <c r="F122" s="6">
        <f t="shared" si="1"/>
        <v>-0.1</v>
      </c>
      <c r="G122" s="6">
        <f>Table1[[#This Row],[scalar]]-Table1[[#This Row],[adj]]</f>
        <v>3014.9103999999998</v>
      </c>
      <c r="H122" s="7">
        <f>Table1[[#This Row],[price_mkt_bid]]*Table1[[#This Row],[adj scalar]]</f>
        <v>63795.504063999993</v>
      </c>
      <c r="I122" s="7">
        <f>Table1[[#This Row],[price_mkt_ask]]*Table1[[#This Row],[adj scalar]]</f>
        <v>63825.653167999997</v>
      </c>
    </row>
    <row r="123" spans="1:9" x14ac:dyDescent="0.25">
      <c r="A123" t="s">
        <v>6</v>
      </c>
      <c r="B123">
        <v>34.64</v>
      </c>
      <c r="C123">
        <v>34.65</v>
      </c>
      <c r="D123" t="s">
        <v>26</v>
      </c>
      <c r="E123" s="6">
        <v>1842.0297</v>
      </c>
      <c r="F123" s="6">
        <f t="shared" si="1"/>
        <v>0.1</v>
      </c>
      <c r="G123" s="6">
        <f>Table1[[#This Row],[scalar]]-Table1[[#This Row],[adj]]</f>
        <v>1841.9297000000001</v>
      </c>
      <c r="H123" s="7">
        <f>Table1[[#This Row],[price_mkt_bid]]*Table1[[#This Row],[adj scalar]]</f>
        <v>63804.444808000007</v>
      </c>
      <c r="I123" s="7">
        <f>Table1[[#This Row],[price_mkt_ask]]*Table1[[#This Row],[adj scalar]]</f>
        <v>63822.864105000001</v>
      </c>
    </row>
    <row r="124" spans="1:9" x14ac:dyDescent="0.25">
      <c r="A124" t="s">
        <v>7</v>
      </c>
      <c r="B124">
        <v>17.989999999999998</v>
      </c>
      <c r="C124">
        <v>18</v>
      </c>
      <c r="D124" t="s">
        <v>26</v>
      </c>
      <c r="E124" s="6">
        <v>3546.4070999999999</v>
      </c>
      <c r="F124" s="6">
        <f t="shared" si="1"/>
        <v>0</v>
      </c>
      <c r="G124" s="6">
        <f>Table1[[#This Row],[scalar]]-Table1[[#This Row],[adj]]</f>
        <v>3546.4070999999999</v>
      </c>
      <c r="H124" s="7">
        <f>Table1[[#This Row],[price_mkt_bid]]*Table1[[#This Row],[adj scalar]]</f>
        <v>63799.86372899999</v>
      </c>
      <c r="I124" s="7">
        <f>Table1[[#This Row],[price_mkt_ask]]*Table1[[#This Row],[adj scalar]]</f>
        <v>63835.327799999999</v>
      </c>
    </row>
    <row r="125" spans="1:9" x14ac:dyDescent="0.25">
      <c r="A125" t="s">
        <v>8</v>
      </c>
      <c r="B125">
        <v>28.22</v>
      </c>
      <c r="C125">
        <v>28.23</v>
      </c>
      <c r="D125" t="s">
        <v>26</v>
      </c>
      <c r="E125" s="6">
        <v>2261.2671999999998</v>
      </c>
      <c r="F125" s="6">
        <f t="shared" si="1"/>
        <v>0.2</v>
      </c>
      <c r="G125" s="6">
        <f>Table1[[#This Row],[scalar]]-Table1[[#This Row],[adj]]</f>
        <v>2261.0672</v>
      </c>
      <c r="H125" s="7">
        <f>Table1[[#This Row],[price_mkt_bid]]*Table1[[#This Row],[adj scalar]]</f>
        <v>63807.316383999998</v>
      </c>
      <c r="I125" s="7">
        <f>Table1[[#This Row],[price_mkt_ask]]*Table1[[#This Row],[adj scalar]]</f>
        <v>63829.927056</v>
      </c>
    </row>
    <row r="126" spans="1:9" x14ac:dyDescent="0.25">
      <c r="A126" t="s">
        <v>9</v>
      </c>
      <c r="B126">
        <v>67.42</v>
      </c>
      <c r="C126">
        <v>67.489999999999995</v>
      </c>
      <c r="D126" t="s">
        <v>26</v>
      </c>
      <c r="E126" s="6">
        <v>946.08439999999996</v>
      </c>
      <c r="F126" s="6">
        <f t="shared" si="1"/>
        <v>0</v>
      </c>
      <c r="G126" s="6">
        <f>Table1[[#This Row],[scalar]]-Table1[[#This Row],[adj]]</f>
        <v>946.08439999999996</v>
      </c>
      <c r="H126" s="7">
        <f>Table1[[#This Row],[price_mkt_bid]]*Table1[[#This Row],[adj scalar]]</f>
        <v>63785.010247999999</v>
      </c>
      <c r="I126" s="7">
        <f>Table1[[#This Row],[price_mkt_ask]]*Table1[[#This Row],[adj scalar]]</f>
        <v>63851.236155999992</v>
      </c>
    </row>
    <row r="127" spans="1:9" x14ac:dyDescent="0.25">
      <c r="A127" t="s">
        <v>10</v>
      </c>
      <c r="B127">
        <v>36.869999999999997</v>
      </c>
      <c r="C127">
        <v>36.89</v>
      </c>
      <c r="D127" t="s">
        <v>26</v>
      </c>
      <c r="E127" s="6">
        <v>1730.0558000000001</v>
      </c>
      <c r="F127" s="6">
        <f t="shared" si="1"/>
        <v>-0.2</v>
      </c>
      <c r="G127" s="6">
        <f>Table1[[#This Row],[scalar]]-Table1[[#This Row],[adj]]</f>
        <v>1730.2558000000001</v>
      </c>
      <c r="H127" s="7">
        <f>Table1[[#This Row],[price_mkt_bid]]*Table1[[#This Row],[adj scalar]]</f>
        <v>63794.531346000003</v>
      </c>
      <c r="I127" s="7">
        <f>Table1[[#This Row],[price_mkt_ask]]*Table1[[#This Row],[adj scalar]]</f>
        <v>63829.136462000009</v>
      </c>
    </row>
    <row r="128" spans="1:9" x14ac:dyDescent="0.25">
      <c r="A128" t="s">
        <v>11</v>
      </c>
      <c r="B128">
        <v>55.54</v>
      </c>
      <c r="C128">
        <v>55.55</v>
      </c>
      <c r="D128" t="s">
        <v>26</v>
      </c>
      <c r="E128" s="6">
        <v>1148.79</v>
      </c>
      <c r="F128" s="6">
        <f t="shared" si="1"/>
        <v>0.05</v>
      </c>
      <c r="G128" s="6">
        <f>Table1[[#This Row],[scalar]]-Table1[[#This Row],[adj]]</f>
        <v>1148.74</v>
      </c>
      <c r="H128" s="7">
        <f>Table1[[#This Row],[price_mkt_bid]]*Table1[[#This Row],[adj scalar]]</f>
        <v>63801.0196</v>
      </c>
      <c r="I128" s="7">
        <f>Table1[[#This Row],[price_mkt_ask]]*Table1[[#This Row],[adj scalar]]</f>
        <v>63812.506999999998</v>
      </c>
    </row>
    <row r="129" spans="1:9" x14ac:dyDescent="0.25">
      <c r="A129" t="s">
        <v>12</v>
      </c>
      <c r="B129">
        <v>49.52</v>
      </c>
      <c r="C129">
        <v>49.53</v>
      </c>
      <c r="D129" t="s">
        <v>26</v>
      </c>
      <c r="E129" s="6">
        <v>1288.6375</v>
      </c>
      <c r="F129" s="6">
        <f t="shared" si="1"/>
        <v>-0.05</v>
      </c>
      <c r="G129" s="6">
        <f>Table1[[#This Row],[scalar]]-Table1[[#This Row],[adj]]</f>
        <v>1288.6875</v>
      </c>
      <c r="H129" s="7">
        <f>Table1[[#This Row],[price_mkt_bid]]*Table1[[#This Row],[adj scalar]]</f>
        <v>63815.805000000008</v>
      </c>
      <c r="I129" s="7">
        <f>Table1[[#This Row],[price_mkt_ask]]*Table1[[#This Row],[adj scalar]]</f>
        <v>63828.691875000004</v>
      </c>
    </row>
    <row r="130" spans="1:9" x14ac:dyDescent="0.25">
      <c r="A130" t="s">
        <v>13</v>
      </c>
      <c r="B130">
        <v>18.04</v>
      </c>
      <c r="C130">
        <v>18.05</v>
      </c>
      <c r="D130" t="s">
        <v>26</v>
      </c>
      <c r="E130" s="6">
        <v>3535.8029000000001</v>
      </c>
      <c r="F130" s="6">
        <f t="shared" si="1"/>
        <v>0</v>
      </c>
      <c r="G130" s="6">
        <f>Table1[[#This Row],[scalar]]-Table1[[#This Row],[adj]]</f>
        <v>3535.8029000000001</v>
      </c>
      <c r="H130" s="7">
        <f>Table1[[#This Row],[price_mkt_bid]]*Table1[[#This Row],[adj scalar]]</f>
        <v>63785.884315999996</v>
      </c>
      <c r="I130" s="7">
        <f>Table1[[#This Row],[price_mkt_ask]]*Table1[[#This Row],[adj scalar]]</f>
        <v>63821.242345000006</v>
      </c>
    </row>
    <row r="131" spans="1:9" x14ac:dyDescent="0.25">
      <c r="A131" t="s">
        <v>14</v>
      </c>
      <c r="B131">
        <v>36.15</v>
      </c>
      <c r="C131">
        <v>36.159999999999997</v>
      </c>
      <c r="D131" t="s">
        <v>26</v>
      </c>
      <c r="E131" s="6">
        <v>1764.9625000000001</v>
      </c>
      <c r="F131" s="6">
        <f t="shared" si="1"/>
        <v>0</v>
      </c>
      <c r="G131" s="6">
        <f>Table1[[#This Row],[scalar]]-Table1[[#This Row],[adj]]</f>
        <v>1764.9625000000001</v>
      </c>
      <c r="H131" s="7">
        <f>Table1[[#This Row],[price_mkt_bid]]*Table1[[#This Row],[adj scalar]]</f>
        <v>63803.394375000003</v>
      </c>
      <c r="I131" s="7">
        <f>Table1[[#This Row],[price_mkt_ask]]*Table1[[#This Row],[adj scalar]]</f>
        <v>63821.043999999994</v>
      </c>
    </row>
    <row r="132" spans="1:9" x14ac:dyDescent="0.25">
      <c r="A132" t="s">
        <v>4</v>
      </c>
      <c r="B132">
        <v>21.17</v>
      </c>
      <c r="C132">
        <v>21.18</v>
      </c>
      <c r="D132" t="s">
        <v>27</v>
      </c>
      <c r="E132" s="6">
        <v>3014.8103999999998</v>
      </c>
      <c r="F132" s="6">
        <f t="shared" si="1"/>
        <v>-0.1</v>
      </c>
      <c r="G132" s="6">
        <f>Table1[[#This Row],[scalar]]-Table1[[#This Row],[adj]]</f>
        <v>3014.9103999999998</v>
      </c>
      <c r="H132" s="7">
        <f>Table1[[#This Row],[price_mkt_bid]]*Table1[[#This Row],[adj scalar]]</f>
        <v>63825.653167999997</v>
      </c>
      <c r="I132" s="7">
        <f>Table1[[#This Row],[price_mkt_ask]]*Table1[[#This Row],[adj scalar]]</f>
        <v>63855.802271999994</v>
      </c>
    </row>
    <row r="133" spans="1:9" x14ac:dyDescent="0.25">
      <c r="A133" t="s">
        <v>6</v>
      </c>
      <c r="B133">
        <v>34.65</v>
      </c>
      <c r="C133">
        <v>34.659999999999997</v>
      </c>
      <c r="D133" t="s">
        <v>27</v>
      </c>
      <c r="E133" s="6">
        <v>1842.0297</v>
      </c>
      <c r="F133" s="6">
        <f t="shared" si="1"/>
        <v>0.1</v>
      </c>
      <c r="G133" s="6">
        <f>Table1[[#This Row],[scalar]]-Table1[[#This Row],[adj]]</f>
        <v>1841.9297000000001</v>
      </c>
      <c r="H133" s="7">
        <f>Table1[[#This Row],[price_mkt_bid]]*Table1[[#This Row],[adj scalar]]</f>
        <v>63822.864105000001</v>
      </c>
      <c r="I133" s="7">
        <f>Table1[[#This Row],[price_mkt_ask]]*Table1[[#This Row],[adj scalar]]</f>
        <v>63841.283402000001</v>
      </c>
    </row>
    <row r="134" spans="1:9" x14ac:dyDescent="0.25">
      <c r="A134" t="s">
        <v>7</v>
      </c>
      <c r="B134">
        <v>18</v>
      </c>
      <c r="C134">
        <v>18.010000000000002</v>
      </c>
      <c r="D134" t="s">
        <v>27</v>
      </c>
      <c r="E134" s="6">
        <v>3546.4070999999999</v>
      </c>
      <c r="F134" s="6">
        <f t="shared" si="1"/>
        <v>0</v>
      </c>
      <c r="G134" s="6">
        <f>Table1[[#This Row],[scalar]]-Table1[[#This Row],[adj]]</f>
        <v>3546.4070999999999</v>
      </c>
      <c r="H134" s="7">
        <f>Table1[[#This Row],[price_mkt_bid]]*Table1[[#This Row],[adj scalar]]</f>
        <v>63835.327799999999</v>
      </c>
      <c r="I134" s="7">
        <f>Table1[[#This Row],[price_mkt_ask]]*Table1[[#This Row],[adj scalar]]</f>
        <v>63870.791871000001</v>
      </c>
    </row>
    <row r="135" spans="1:9" x14ac:dyDescent="0.25">
      <c r="A135" t="s">
        <v>8</v>
      </c>
      <c r="B135">
        <v>28.23</v>
      </c>
      <c r="C135">
        <v>28.24</v>
      </c>
      <c r="D135" t="s">
        <v>27</v>
      </c>
      <c r="E135" s="6">
        <v>2261.2671999999998</v>
      </c>
      <c r="F135" s="6">
        <f t="shared" si="1"/>
        <v>0.2</v>
      </c>
      <c r="G135" s="6">
        <f>Table1[[#This Row],[scalar]]-Table1[[#This Row],[adj]]</f>
        <v>2261.0672</v>
      </c>
      <c r="H135" s="7">
        <f>Table1[[#This Row],[price_mkt_bid]]*Table1[[#This Row],[adj scalar]]</f>
        <v>63829.927056</v>
      </c>
      <c r="I135" s="7">
        <f>Table1[[#This Row],[price_mkt_ask]]*Table1[[#This Row],[adj scalar]]</f>
        <v>63852.537727999996</v>
      </c>
    </row>
    <row r="136" spans="1:9" x14ac:dyDescent="0.25">
      <c r="A136" t="s">
        <v>9</v>
      </c>
      <c r="B136">
        <v>67.44</v>
      </c>
      <c r="C136">
        <v>67.540000000000006</v>
      </c>
      <c r="D136" t="s">
        <v>27</v>
      </c>
      <c r="E136" s="6">
        <v>946.08439999999996</v>
      </c>
      <c r="F136" s="6">
        <f t="shared" si="1"/>
        <v>0</v>
      </c>
      <c r="G136" s="6">
        <f>Table1[[#This Row],[scalar]]-Table1[[#This Row],[adj]]</f>
        <v>946.08439999999996</v>
      </c>
      <c r="H136" s="7">
        <f>Table1[[#This Row],[price_mkt_bid]]*Table1[[#This Row],[adj scalar]]</f>
        <v>63803.931935999994</v>
      </c>
      <c r="I136" s="7">
        <f>Table1[[#This Row],[price_mkt_ask]]*Table1[[#This Row],[adj scalar]]</f>
        <v>63898.540376000004</v>
      </c>
    </row>
    <row r="137" spans="1:9" x14ac:dyDescent="0.25">
      <c r="A137" t="s">
        <v>10</v>
      </c>
      <c r="B137">
        <v>36.880000000000003</v>
      </c>
      <c r="C137">
        <v>36.9</v>
      </c>
      <c r="D137" t="s">
        <v>27</v>
      </c>
      <c r="E137" s="6">
        <v>1730.0558000000001</v>
      </c>
      <c r="F137" s="6">
        <f t="shared" si="1"/>
        <v>-0.2</v>
      </c>
      <c r="G137" s="6">
        <f>Table1[[#This Row],[scalar]]-Table1[[#This Row],[adj]]</f>
        <v>1730.2558000000001</v>
      </c>
      <c r="H137" s="7">
        <f>Table1[[#This Row],[price_mkt_bid]]*Table1[[#This Row],[adj scalar]]</f>
        <v>63811.833904000006</v>
      </c>
      <c r="I137" s="7">
        <f>Table1[[#This Row],[price_mkt_ask]]*Table1[[#This Row],[adj scalar]]</f>
        <v>63846.439020000005</v>
      </c>
    </row>
    <row r="138" spans="1:9" x14ac:dyDescent="0.25">
      <c r="A138" t="s">
        <v>11</v>
      </c>
      <c r="B138">
        <v>55.56</v>
      </c>
      <c r="C138">
        <v>55.57</v>
      </c>
      <c r="D138" t="s">
        <v>27</v>
      </c>
      <c r="E138" s="6">
        <v>1148.79</v>
      </c>
      <c r="F138" s="6">
        <f t="shared" si="1"/>
        <v>0.05</v>
      </c>
      <c r="G138" s="6">
        <f>Table1[[#This Row],[scalar]]-Table1[[#This Row],[adj]]</f>
        <v>1148.74</v>
      </c>
      <c r="H138" s="7">
        <f>Table1[[#This Row],[price_mkt_bid]]*Table1[[#This Row],[adj scalar]]</f>
        <v>63823.994400000003</v>
      </c>
      <c r="I138" s="7">
        <f>Table1[[#This Row],[price_mkt_ask]]*Table1[[#This Row],[adj scalar]]</f>
        <v>63835.481800000001</v>
      </c>
    </row>
    <row r="139" spans="1:9" x14ac:dyDescent="0.25">
      <c r="A139" t="s">
        <v>12</v>
      </c>
      <c r="B139">
        <v>49.53</v>
      </c>
      <c r="C139">
        <v>49.54</v>
      </c>
      <c r="D139" t="s">
        <v>27</v>
      </c>
      <c r="E139" s="6">
        <v>1288.6375</v>
      </c>
      <c r="F139" s="6">
        <f t="shared" si="1"/>
        <v>-0.05</v>
      </c>
      <c r="G139" s="6">
        <f>Table1[[#This Row],[scalar]]-Table1[[#This Row],[adj]]</f>
        <v>1288.6875</v>
      </c>
      <c r="H139" s="7">
        <f>Table1[[#This Row],[price_mkt_bid]]*Table1[[#This Row],[adj scalar]]</f>
        <v>63828.691875000004</v>
      </c>
      <c r="I139" s="7">
        <f>Table1[[#This Row],[price_mkt_ask]]*Table1[[#This Row],[adj scalar]]</f>
        <v>63841.578750000001</v>
      </c>
    </row>
    <row r="140" spans="1:9" x14ac:dyDescent="0.25">
      <c r="A140" t="s">
        <v>13</v>
      </c>
      <c r="B140">
        <v>18.05</v>
      </c>
      <c r="C140">
        <v>18.059999999999999</v>
      </c>
      <c r="D140" t="s">
        <v>27</v>
      </c>
      <c r="E140" s="6">
        <v>3535.8029000000001</v>
      </c>
      <c r="F140" s="6">
        <f t="shared" si="1"/>
        <v>0</v>
      </c>
      <c r="G140" s="6">
        <f>Table1[[#This Row],[scalar]]-Table1[[#This Row],[adj]]</f>
        <v>3535.8029000000001</v>
      </c>
      <c r="H140" s="7">
        <f>Table1[[#This Row],[price_mkt_bid]]*Table1[[#This Row],[adj scalar]]</f>
        <v>63821.242345000006</v>
      </c>
      <c r="I140" s="7">
        <f>Table1[[#This Row],[price_mkt_ask]]*Table1[[#This Row],[adj scalar]]</f>
        <v>63856.600374000001</v>
      </c>
    </row>
    <row r="141" spans="1:9" x14ac:dyDescent="0.25">
      <c r="A141" t="s">
        <v>14</v>
      </c>
      <c r="B141">
        <v>36.17</v>
      </c>
      <c r="C141">
        <v>36.18</v>
      </c>
      <c r="D141" t="s">
        <v>27</v>
      </c>
      <c r="E141" s="6">
        <v>1764.9625000000001</v>
      </c>
      <c r="F141" s="6">
        <f t="shared" ref="F141:F204" si="2">F131</f>
        <v>0</v>
      </c>
      <c r="G141" s="6">
        <f>Table1[[#This Row],[scalar]]-Table1[[#This Row],[adj]]</f>
        <v>1764.9625000000001</v>
      </c>
      <c r="H141" s="7">
        <f>Table1[[#This Row],[price_mkt_bid]]*Table1[[#This Row],[adj scalar]]</f>
        <v>63838.693625000007</v>
      </c>
      <c r="I141" s="7">
        <f>Table1[[#This Row],[price_mkt_ask]]*Table1[[#This Row],[adj scalar]]</f>
        <v>63856.343250000005</v>
      </c>
    </row>
    <row r="142" spans="1:9" x14ac:dyDescent="0.25">
      <c r="A142" t="s">
        <v>4</v>
      </c>
      <c r="B142">
        <v>21.15</v>
      </c>
      <c r="C142">
        <v>21.16</v>
      </c>
      <c r="D142" t="s">
        <v>28</v>
      </c>
      <c r="E142" s="6">
        <v>3014.8103999999998</v>
      </c>
      <c r="F142" s="6">
        <f t="shared" si="2"/>
        <v>-0.1</v>
      </c>
      <c r="G142" s="6">
        <f>Table1[[#This Row],[scalar]]-Table1[[#This Row],[adj]]</f>
        <v>3014.9103999999998</v>
      </c>
      <c r="H142" s="7">
        <f>Table1[[#This Row],[price_mkt_bid]]*Table1[[#This Row],[adj scalar]]</f>
        <v>63765.35495999999</v>
      </c>
      <c r="I142" s="7">
        <f>Table1[[#This Row],[price_mkt_ask]]*Table1[[#This Row],[adj scalar]]</f>
        <v>63795.504063999993</v>
      </c>
    </row>
    <row r="143" spans="1:9" x14ac:dyDescent="0.25">
      <c r="A143" t="s">
        <v>6</v>
      </c>
      <c r="B143">
        <v>34.630000000000003</v>
      </c>
      <c r="C143">
        <v>34.64</v>
      </c>
      <c r="D143" t="s">
        <v>28</v>
      </c>
      <c r="E143" s="6">
        <v>1842.0297</v>
      </c>
      <c r="F143" s="6">
        <f t="shared" si="2"/>
        <v>0.1</v>
      </c>
      <c r="G143" s="6">
        <f>Table1[[#This Row],[scalar]]-Table1[[#This Row],[adj]]</f>
        <v>1841.9297000000001</v>
      </c>
      <c r="H143" s="7">
        <f>Table1[[#This Row],[price_mkt_bid]]*Table1[[#This Row],[adj scalar]]</f>
        <v>63786.025511000007</v>
      </c>
      <c r="I143" s="7">
        <f>Table1[[#This Row],[price_mkt_ask]]*Table1[[#This Row],[adj scalar]]</f>
        <v>63804.444808000007</v>
      </c>
    </row>
    <row r="144" spans="1:9" x14ac:dyDescent="0.25">
      <c r="A144" t="s">
        <v>7</v>
      </c>
      <c r="B144">
        <v>17.989999999999998</v>
      </c>
      <c r="C144">
        <v>18</v>
      </c>
      <c r="D144" t="s">
        <v>28</v>
      </c>
      <c r="E144" s="6">
        <v>3546.4070999999999</v>
      </c>
      <c r="F144" s="6">
        <f t="shared" si="2"/>
        <v>0</v>
      </c>
      <c r="G144" s="6">
        <f>Table1[[#This Row],[scalar]]-Table1[[#This Row],[adj]]</f>
        <v>3546.4070999999999</v>
      </c>
      <c r="H144" s="7">
        <f>Table1[[#This Row],[price_mkt_bid]]*Table1[[#This Row],[adj scalar]]</f>
        <v>63799.86372899999</v>
      </c>
      <c r="I144" s="7">
        <f>Table1[[#This Row],[price_mkt_ask]]*Table1[[#This Row],[adj scalar]]</f>
        <v>63835.327799999999</v>
      </c>
    </row>
    <row r="145" spans="1:9" x14ac:dyDescent="0.25">
      <c r="A145" t="s">
        <v>8</v>
      </c>
      <c r="B145">
        <v>28.21</v>
      </c>
      <c r="C145">
        <v>28.22</v>
      </c>
      <c r="D145" t="s">
        <v>28</v>
      </c>
      <c r="E145" s="6">
        <v>2261.2671999999998</v>
      </c>
      <c r="F145" s="6">
        <f t="shared" si="2"/>
        <v>0.2</v>
      </c>
      <c r="G145" s="6">
        <f>Table1[[#This Row],[scalar]]-Table1[[#This Row],[adj]]</f>
        <v>2261.0672</v>
      </c>
      <c r="H145" s="7">
        <f>Table1[[#This Row],[price_mkt_bid]]*Table1[[#This Row],[adj scalar]]</f>
        <v>63784.705712000003</v>
      </c>
      <c r="I145" s="7">
        <f>Table1[[#This Row],[price_mkt_ask]]*Table1[[#This Row],[adj scalar]]</f>
        <v>63807.316383999998</v>
      </c>
    </row>
    <row r="146" spans="1:9" x14ac:dyDescent="0.25">
      <c r="A146" t="s">
        <v>9</v>
      </c>
      <c r="B146">
        <v>67.39</v>
      </c>
      <c r="C146">
        <v>67.489999999999995</v>
      </c>
      <c r="D146" t="s">
        <v>28</v>
      </c>
      <c r="E146" s="6">
        <v>946.08439999999996</v>
      </c>
      <c r="F146" s="6">
        <f t="shared" si="2"/>
        <v>0</v>
      </c>
      <c r="G146" s="6">
        <f>Table1[[#This Row],[scalar]]-Table1[[#This Row],[adj]]</f>
        <v>946.08439999999996</v>
      </c>
      <c r="H146" s="7">
        <f>Table1[[#This Row],[price_mkt_bid]]*Table1[[#This Row],[adj scalar]]</f>
        <v>63756.627715999995</v>
      </c>
      <c r="I146" s="7">
        <f>Table1[[#This Row],[price_mkt_ask]]*Table1[[#This Row],[adj scalar]]</f>
        <v>63851.236155999992</v>
      </c>
    </row>
    <row r="147" spans="1:9" x14ac:dyDescent="0.25">
      <c r="A147" t="s">
        <v>10</v>
      </c>
      <c r="B147">
        <v>36.86</v>
      </c>
      <c r="C147">
        <v>36.880000000000003</v>
      </c>
      <c r="D147" t="s">
        <v>28</v>
      </c>
      <c r="E147" s="6">
        <v>1730.0558000000001</v>
      </c>
      <c r="F147" s="6">
        <f t="shared" si="2"/>
        <v>-0.2</v>
      </c>
      <c r="G147" s="6">
        <f>Table1[[#This Row],[scalar]]-Table1[[#This Row],[adj]]</f>
        <v>1730.2558000000001</v>
      </c>
      <c r="H147" s="7">
        <f>Table1[[#This Row],[price_mkt_bid]]*Table1[[#This Row],[adj scalar]]</f>
        <v>63777.228788000008</v>
      </c>
      <c r="I147" s="7">
        <f>Table1[[#This Row],[price_mkt_ask]]*Table1[[#This Row],[adj scalar]]</f>
        <v>63811.833904000006</v>
      </c>
    </row>
    <row r="148" spans="1:9" x14ac:dyDescent="0.25">
      <c r="A148" t="s">
        <v>11</v>
      </c>
      <c r="B148">
        <v>55.52</v>
      </c>
      <c r="C148">
        <v>55.53</v>
      </c>
      <c r="D148" t="s">
        <v>28</v>
      </c>
      <c r="E148" s="6">
        <v>1148.79</v>
      </c>
      <c r="F148" s="6">
        <f t="shared" si="2"/>
        <v>0.05</v>
      </c>
      <c r="G148" s="6">
        <f>Table1[[#This Row],[scalar]]-Table1[[#This Row],[adj]]</f>
        <v>1148.74</v>
      </c>
      <c r="H148" s="7">
        <f>Table1[[#This Row],[price_mkt_bid]]*Table1[[#This Row],[adj scalar]]</f>
        <v>63778.044800000003</v>
      </c>
      <c r="I148" s="7">
        <f>Table1[[#This Row],[price_mkt_ask]]*Table1[[#This Row],[adj scalar]]</f>
        <v>63789.532200000001</v>
      </c>
    </row>
    <row r="149" spans="1:9" x14ac:dyDescent="0.25">
      <c r="A149" t="s">
        <v>12</v>
      </c>
      <c r="B149">
        <v>49.5</v>
      </c>
      <c r="C149">
        <v>49.51</v>
      </c>
      <c r="D149" t="s">
        <v>28</v>
      </c>
      <c r="E149" s="6">
        <v>1288.6375</v>
      </c>
      <c r="F149" s="6">
        <f t="shared" si="2"/>
        <v>-0.05</v>
      </c>
      <c r="G149" s="6">
        <f>Table1[[#This Row],[scalar]]-Table1[[#This Row],[adj]]</f>
        <v>1288.6875</v>
      </c>
      <c r="H149" s="7">
        <f>Table1[[#This Row],[price_mkt_bid]]*Table1[[#This Row],[adj scalar]]</f>
        <v>63790.03125</v>
      </c>
      <c r="I149" s="7">
        <f>Table1[[#This Row],[price_mkt_ask]]*Table1[[#This Row],[adj scalar]]</f>
        <v>63802.918124999997</v>
      </c>
    </row>
    <row r="150" spans="1:9" x14ac:dyDescent="0.25">
      <c r="A150" t="s">
        <v>13</v>
      </c>
      <c r="B150">
        <v>18.04</v>
      </c>
      <c r="C150">
        <v>18.05</v>
      </c>
      <c r="D150" t="s">
        <v>28</v>
      </c>
      <c r="E150" s="6">
        <v>3535.8029000000001</v>
      </c>
      <c r="F150" s="6">
        <f t="shared" si="2"/>
        <v>0</v>
      </c>
      <c r="G150" s="6">
        <f>Table1[[#This Row],[scalar]]-Table1[[#This Row],[adj]]</f>
        <v>3535.8029000000001</v>
      </c>
      <c r="H150" s="7">
        <f>Table1[[#This Row],[price_mkt_bid]]*Table1[[#This Row],[adj scalar]]</f>
        <v>63785.884315999996</v>
      </c>
      <c r="I150" s="7">
        <f>Table1[[#This Row],[price_mkt_ask]]*Table1[[#This Row],[adj scalar]]</f>
        <v>63821.242345000006</v>
      </c>
    </row>
    <row r="151" spans="1:9" x14ac:dyDescent="0.25">
      <c r="A151" t="s">
        <v>14</v>
      </c>
      <c r="B151">
        <v>36.14</v>
      </c>
      <c r="C151">
        <v>36.15</v>
      </c>
      <c r="D151" t="s">
        <v>28</v>
      </c>
      <c r="E151" s="6">
        <v>1764.9625000000001</v>
      </c>
      <c r="F151" s="6">
        <f t="shared" si="2"/>
        <v>0</v>
      </c>
      <c r="G151" s="6">
        <f>Table1[[#This Row],[scalar]]-Table1[[#This Row],[adj]]</f>
        <v>1764.9625000000001</v>
      </c>
      <c r="H151" s="7">
        <f>Table1[[#This Row],[price_mkt_bid]]*Table1[[#This Row],[adj scalar]]</f>
        <v>63785.744750000005</v>
      </c>
      <c r="I151" s="7">
        <f>Table1[[#This Row],[price_mkt_ask]]*Table1[[#This Row],[adj scalar]]</f>
        <v>63803.394375000003</v>
      </c>
    </row>
    <row r="152" spans="1:9" x14ac:dyDescent="0.25">
      <c r="A152" t="s">
        <v>4</v>
      </c>
      <c r="B152">
        <v>21.13</v>
      </c>
      <c r="C152">
        <v>21.14</v>
      </c>
      <c r="D152" t="s">
        <v>29</v>
      </c>
      <c r="E152" s="6">
        <v>3014.8103999999998</v>
      </c>
      <c r="F152" s="6">
        <f t="shared" si="2"/>
        <v>-0.1</v>
      </c>
      <c r="G152" s="6">
        <f>Table1[[#This Row],[scalar]]-Table1[[#This Row],[adj]]</f>
        <v>3014.9103999999998</v>
      </c>
      <c r="H152" s="7">
        <f>Table1[[#This Row],[price_mkt_bid]]*Table1[[#This Row],[adj scalar]]</f>
        <v>63705.05675199999</v>
      </c>
      <c r="I152" s="7">
        <f>Table1[[#This Row],[price_mkt_ask]]*Table1[[#This Row],[adj scalar]]</f>
        <v>63735.205855999993</v>
      </c>
    </row>
    <row r="153" spans="1:9" x14ac:dyDescent="0.25">
      <c r="A153" t="s">
        <v>6</v>
      </c>
      <c r="B153">
        <v>34.6</v>
      </c>
      <c r="C153">
        <v>34.61</v>
      </c>
      <c r="D153" t="s">
        <v>29</v>
      </c>
      <c r="E153" s="6">
        <v>1842.0297</v>
      </c>
      <c r="F153" s="6">
        <f t="shared" si="2"/>
        <v>0.1</v>
      </c>
      <c r="G153" s="6">
        <f>Table1[[#This Row],[scalar]]-Table1[[#This Row],[adj]]</f>
        <v>1841.9297000000001</v>
      </c>
      <c r="H153" s="7">
        <f>Table1[[#This Row],[price_mkt_bid]]*Table1[[#This Row],[adj scalar]]</f>
        <v>63730.767620000006</v>
      </c>
      <c r="I153" s="7">
        <f>Table1[[#This Row],[price_mkt_ask]]*Table1[[#This Row],[adj scalar]]</f>
        <v>63749.186917000006</v>
      </c>
    </row>
    <row r="154" spans="1:9" x14ac:dyDescent="0.25">
      <c r="A154" t="s">
        <v>7</v>
      </c>
      <c r="B154">
        <v>17.97</v>
      </c>
      <c r="C154">
        <v>17.98</v>
      </c>
      <c r="D154" t="s">
        <v>29</v>
      </c>
      <c r="E154" s="6">
        <v>3546.4070999999999</v>
      </c>
      <c r="F154" s="6">
        <f t="shared" si="2"/>
        <v>0</v>
      </c>
      <c r="G154" s="6">
        <f>Table1[[#This Row],[scalar]]-Table1[[#This Row],[adj]]</f>
        <v>3546.4070999999999</v>
      </c>
      <c r="H154" s="7">
        <f>Table1[[#This Row],[price_mkt_bid]]*Table1[[#This Row],[adj scalar]]</f>
        <v>63728.935586999993</v>
      </c>
      <c r="I154" s="7">
        <f>Table1[[#This Row],[price_mkt_ask]]*Table1[[#This Row],[adj scalar]]</f>
        <v>63764.399658000002</v>
      </c>
    </row>
    <row r="155" spans="1:9" x14ac:dyDescent="0.25">
      <c r="A155" t="s">
        <v>8</v>
      </c>
      <c r="B155">
        <v>28.18</v>
      </c>
      <c r="C155">
        <v>28.19</v>
      </c>
      <c r="D155" t="s">
        <v>29</v>
      </c>
      <c r="E155" s="6">
        <v>2261.2671999999998</v>
      </c>
      <c r="F155" s="6">
        <f t="shared" si="2"/>
        <v>0.2</v>
      </c>
      <c r="G155" s="6">
        <f>Table1[[#This Row],[scalar]]-Table1[[#This Row],[adj]]</f>
        <v>2261.0672</v>
      </c>
      <c r="H155" s="7">
        <f>Table1[[#This Row],[price_mkt_bid]]*Table1[[#This Row],[adj scalar]]</f>
        <v>63716.873695999995</v>
      </c>
      <c r="I155" s="7">
        <f>Table1[[#This Row],[price_mkt_ask]]*Table1[[#This Row],[adj scalar]]</f>
        <v>63739.484368000005</v>
      </c>
    </row>
    <row r="156" spans="1:9" x14ac:dyDescent="0.25">
      <c r="A156" t="s">
        <v>9</v>
      </c>
      <c r="B156">
        <v>67.34</v>
      </c>
      <c r="C156">
        <v>67.45</v>
      </c>
      <c r="D156" t="s">
        <v>29</v>
      </c>
      <c r="E156" s="6">
        <v>946.08439999999996</v>
      </c>
      <c r="F156" s="6">
        <f t="shared" si="2"/>
        <v>0</v>
      </c>
      <c r="G156" s="6">
        <f>Table1[[#This Row],[scalar]]-Table1[[#This Row],[adj]]</f>
        <v>946.08439999999996</v>
      </c>
      <c r="H156" s="7">
        <f>Table1[[#This Row],[price_mkt_bid]]*Table1[[#This Row],[adj scalar]]</f>
        <v>63709.323495999997</v>
      </c>
      <c r="I156" s="7">
        <f>Table1[[#This Row],[price_mkt_ask]]*Table1[[#This Row],[adj scalar]]</f>
        <v>63813.392780000002</v>
      </c>
    </row>
    <row r="157" spans="1:9" x14ac:dyDescent="0.25">
      <c r="A157" t="s">
        <v>10</v>
      </c>
      <c r="B157">
        <v>36.83</v>
      </c>
      <c r="C157">
        <v>36.85</v>
      </c>
      <c r="D157" t="s">
        <v>29</v>
      </c>
      <c r="E157" s="6">
        <v>1730.0558000000001</v>
      </c>
      <c r="F157" s="6">
        <f t="shared" si="2"/>
        <v>-0.2</v>
      </c>
      <c r="G157" s="6">
        <f>Table1[[#This Row],[scalar]]-Table1[[#This Row],[adj]]</f>
        <v>1730.2558000000001</v>
      </c>
      <c r="H157" s="7">
        <f>Table1[[#This Row],[price_mkt_bid]]*Table1[[#This Row],[adj scalar]]</f>
        <v>63725.321113999998</v>
      </c>
      <c r="I157" s="7">
        <f>Table1[[#This Row],[price_mkt_ask]]*Table1[[#This Row],[adj scalar]]</f>
        <v>63759.926230000005</v>
      </c>
    </row>
    <row r="158" spans="1:9" x14ac:dyDescent="0.25">
      <c r="A158" t="s">
        <v>11</v>
      </c>
      <c r="B158">
        <v>55.47</v>
      </c>
      <c r="C158">
        <v>55.48</v>
      </c>
      <c r="D158" t="s">
        <v>29</v>
      </c>
      <c r="E158" s="6">
        <v>1148.79</v>
      </c>
      <c r="F158" s="6">
        <f t="shared" si="2"/>
        <v>0.05</v>
      </c>
      <c r="G158" s="6">
        <f>Table1[[#This Row],[scalar]]-Table1[[#This Row],[adj]]</f>
        <v>1148.74</v>
      </c>
      <c r="H158" s="7">
        <f>Table1[[#This Row],[price_mkt_bid]]*Table1[[#This Row],[adj scalar]]</f>
        <v>63720.607799999998</v>
      </c>
      <c r="I158" s="7">
        <f>Table1[[#This Row],[price_mkt_ask]]*Table1[[#This Row],[adj scalar]]</f>
        <v>63732.095199999996</v>
      </c>
    </row>
    <row r="159" spans="1:9" x14ac:dyDescent="0.25">
      <c r="A159" t="s">
        <v>12</v>
      </c>
      <c r="B159">
        <v>49.46</v>
      </c>
      <c r="C159">
        <v>49.47</v>
      </c>
      <c r="D159" t="s">
        <v>29</v>
      </c>
      <c r="E159" s="6">
        <v>1288.6375</v>
      </c>
      <c r="F159" s="6">
        <f t="shared" si="2"/>
        <v>-0.05</v>
      </c>
      <c r="G159" s="6">
        <f>Table1[[#This Row],[scalar]]-Table1[[#This Row],[adj]]</f>
        <v>1288.6875</v>
      </c>
      <c r="H159" s="7">
        <f>Table1[[#This Row],[price_mkt_bid]]*Table1[[#This Row],[adj scalar]]</f>
        <v>63738.483749999999</v>
      </c>
      <c r="I159" s="7">
        <f>Table1[[#This Row],[price_mkt_ask]]*Table1[[#This Row],[adj scalar]]</f>
        <v>63751.370624999996</v>
      </c>
    </row>
    <row r="160" spans="1:9" x14ac:dyDescent="0.25">
      <c r="A160" t="s">
        <v>13</v>
      </c>
      <c r="B160">
        <v>18.02</v>
      </c>
      <c r="C160">
        <v>18.03</v>
      </c>
      <c r="D160" t="s">
        <v>29</v>
      </c>
      <c r="E160" s="6">
        <v>3535.8029000000001</v>
      </c>
      <c r="F160" s="6">
        <f t="shared" si="2"/>
        <v>0</v>
      </c>
      <c r="G160" s="6">
        <f>Table1[[#This Row],[scalar]]-Table1[[#This Row],[adj]]</f>
        <v>3535.8029000000001</v>
      </c>
      <c r="H160" s="7">
        <f>Table1[[#This Row],[price_mkt_bid]]*Table1[[#This Row],[adj scalar]]</f>
        <v>63715.168257999998</v>
      </c>
      <c r="I160" s="7">
        <f>Table1[[#This Row],[price_mkt_ask]]*Table1[[#This Row],[adj scalar]]</f>
        <v>63750.526287000008</v>
      </c>
    </row>
    <row r="161" spans="1:9" x14ac:dyDescent="0.25">
      <c r="A161" t="s">
        <v>14</v>
      </c>
      <c r="B161">
        <v>36.11</v>
      </c>
      <c r="C161">
        <v>36.119999999999997</v>
      </c>
      <c r="D161" t="s">
        <v>29</v>
      </c>
      <c r="E161" s="6">
        <v>1764.9625000000001</v>
      </c>
      <c r="F161" s="6">
        <f t="shared" si="2"/>
        <v>0</v>
      </c>
      <c r="G161" s="6">
        <f>Table1[[#This Row],[scalar]]-Table1[[#This Row],[adj]]</f>
        <v>1764.9625000000001</v>
      </c>
      <c r="H161" s="7">
        <f>Table1[[#This Row],[price_mkt_bid]]*Table1[[#This Row],[adj scalar]]</f>
        <v>63732.795875000003</v>
      </c>
      <c r="I161" s="7">
        <f>Table1[[#This Row],[price_mkt_ask]]*Table1[[#This Row],[adj scalar]]</f>
        <v>63750.445500000002</v>
      </c>
    </row>
    <row r="162" spans="1:9" x14ac:dyDescent="0.25">
      <c r="A162" t="s">
        <v>4</v>
      </c>
      <c r="B162">
        <v>21.17</v>
      </c>
      <c r="C162">
        <v>21.18</v>
      </c>
      <c r="D162" t="s">
        <v>30</v>
      </c>
      <c r="E162" s="6">
        <v>3014.8103999999998</v>
      </c>
      <c r="F162" s="6">
        <f t="shared" si="2"/>
        <v>-0.1</v>
      </c>
      <c r="G162" s="6">
        <f>Table1[[#This Row],[scalar]]-Table1[[#This Row],[adj]]</f>
        <v>3014.9103999999998</v>
      </c>
      <c r="H162" s="7">
        <f>Table1[[#This Row],[price_mkt_bid]]*Table1[[#This Row],[adj scalar]]</f>
        <v>63825.653167999997</v>
      </c>
      <c r="I162" s="7">
        <f>Table1[[#This Row],[price_mkt_ask]]*Table1[[#This Row],[adj scalar]]</f>
        <v>63855.802271999994</v>
      </c>
    </row>
    <row r="163" spans="1:9" x14ac:dyDescent="0.25">
      <c r="A163" t="s">
        <v>6</v>
      </c>
      <c r="B163">
        <v>34.64</v>
      </c>
      <c r="C163">
        <v>34.65</v>
      </c>
      <c r="D163" t="s">
        <v>30</v>
      </c>
      <c r="E163" s="6">
        <v>1842.0297</v>
      </c>
      <c r="F163" s="6">
        <f t="shared" si="2"/>
        <v>0.1</v>
      </c>
      <c r="G163" s="6">
        <f>Table1[[#This Row],[scalar]]-Table1[[#This Row],[adj]]</f>
        <v>1841.9297000000001</v>
      </c>
      <c r="H163" s="7">
        <f>Table1[[#This Row],[price_mkt_bid]]*Table1[[#This Row],[adj scalar]]</f>
        <v>63804.444808000007</v>
      </c>
      <c r="I163" s="7">
        <f>Table1[[#This Row],[price_mkt_ask]]*Table1[[#This Row],[adj scalar]]</f>
        <v>63822.864105000001</v>
      </c>
    </row>
    <row r="164" spans="1:9" x14ac:dyDescent="0.25">
      <c r="A164" t="s">
        <v>7</v>
      </c>
      <c r="B164">
        <v>18</v>
      </c>
      <c r="C164">
        <v>18.010000000000002</v>
      </c>
      <c r="D164" t="s">
        <v>30</v>
      </c>
      <c r="E164" s="6">
        <v>3546.4070999999999</v>
      </c>
      <c r="F164" s="6">
        <f t="shared" si="2"/>
        <v>0</v>
      </c>
      <c r="G164" s="6">
        <f>Table1[[#This Row],[scalar]]-Table1[[#This Row],[adj]]</f>
        <v>3546.4070999999999</v>
      </c>
      <c r="H164" s="7">
        <f>Table1[[#This Row],[price_mkt_bid]]*Table1[[#This Row],[adj scalar]]</f>
        <v>63835.327799999999</v>
      </c>
      <c r="I164" s="7">
        <f>Table1[[#This Row],[price_mkt_ask]]*Table1[[#This Row],[adj scalar]]</f>
        <v>63870.791871000001</v>
      </c>
    </row>
    <row r="165" spans="1:9" x14ac:dyDescent="0.25">
      <c r="A165" t="s">
        <v>8</v>
      </c>
      <c r="B165">
        <v>28.23</v>
      </c>
      <c r="C165">
        <v>28.24</v>
      </c>
      <c r="D165" t="s">
        <v>30</v>
      </c>
      <c r="E165" s="6">
        <v>2261.2671999999998</v>
      </c>
      <c r="F165" s="6">
        <f t="shared" si="2"/>
        <v>0.2</v>
      </c>
      <c r="G165" s="6">
        <f>Table1[[#This Row],[scalar]]-Table1[[#This Row],[adj]]</f>
        <v>2261.0672</v>
      </c>
      <c r="H165" s="7">
        <f>Table1[[#This Row],[price_mkt_bid]]*Table1[[#This Row],[adj scalar]]</f>
        <v>63829.927056</v>
      </c>
      <c r="I165" s="7">
        <f>Table1[[#This Row],[price_mkt_ask]]*Table1[[#This Row],[adj scalar]]</f>
        <v>63852.537727999996</v>
      </c>
    </row>
    <row r="166" spans="1:9" x14ac:dyDescent="0.25">
      <c r="A166" t="s">
        <v>9</v>
      </c>
      <c r="B166">
        <v>67.45</v>
      </c>
      <c r="C166">
        <v>67.55</v>
      </c>
      <c r="D166" t="s">
        <v>30</v>
      </c>
      <c r="E166" s="6">
        <v>946.08439999999996</v>
      </c>
      <c r="F166" s="6">
        <f t="shared" si="2"/>
        <v>0</v>
      </c>
      <c r="G166" s="6">
        <f>Table1[[#This Row],[scalar]]-Table1[[#This Row],[adj]]</f>
        <v>946.08439999999996</v>
      </c>
      <c r="H166" s="7">
        <f>Table1[[#This Row],[price_mkt_bid]]*Table1[[#This Row],[adj scalar]]</f>
        <v>63813.392780000002</v>
      </c>
      <c r="I166" s="7">
        <f>Table1[[#This Row],[price_mkt_ask]]*Table1[[#This Row],[adj scalar]]</f>
        <v>63908.001219999991</v>
      </c>
    </row>
    <row r="167" spans="1:9" x14ac:dyDescent="0.25">
      <c r="A167" t="s">
        <v>10</v>
      </c>
      <c r="B167">
        <v>36.880000000000003</v>
      </c>
      <c r="C167">
        <v>36.9</v>
      </c>
      <c r="D167" t="s">
        <v>30</v>
      </c>
      <c r="E167" s="6">
        <v>1730.0558000000001</v>
      </c>
      <c r="F167" s="6">
        <f t="shared" si="2"/>
        <v>-0.2</v>
      </c>
      <c r="G167" s="6">
        <f>Table1[[#This Row],[scalar]]-Table1[[#This Row],[adj]]</f>
        <v>1730.2558000000001</v>
      </c>
      <c r="H167" s="7">
        <f>Table1[[#This Row],[price_mkt_bid]]*Table1[[#This Row],[adj scalar]]</f>
        <v>63811.833904000006</v>
      </c>
      <c r="I167" s="7">
        <f>Table1[[#This Row],[price_mkt_ask]]*Table1[[#This Row],[adj scalar]]</f>
        <v>63846.439020000005</v>
      </c>
    </row>
    <row r="168" spans="1:9" x14ac:dyDescent="0.25">
      <c r="A168" t="s">
        <v>11</v>
      </c>
      <c r="B168">
        <v>55.56</v>
      </c>
      <c r="C168">
        <v>55.57</v>
      </c>
      <c r="D168" t="s">
        <v>30</v>
      </c>
      <c r="E168" s="6">
        <v>1148.79</v>
      </c>
      <c r="F168" s="6">
        <f t="shared" si="2"/>
        <v>0.05</v>
      </c>
      <c r="G168" s="6">
        <f>Table1[[#This Row],[scalar]]-Table1[[#This Row],[adj]]</f>
        <v>1148.74</v>
      </c>
      <c r="H168" s="7">
        <f>Table1[[#This Row],[price_mkt_bid]]*Table1[[#This Row],[adj scalar]]</f>
        <v>63823.994400000003</v>
      </c>
      <c r="I168" s="7">
        <f>Table1[[#This Row],[price_mkt_ask]]*Table1[[#This Row],[adj scalar]]</f>
        <v>63835.481800000001</v>
      </c>
    </row>
    <row r="169" spans="1:9" x14ac:dyDescent="0.25">
      <c r="A169" t="s">
        <v>12</v>
      </c>
      <c r="B169">
        <v>49.52</v>
      </c>
      <c r="C169">
        <v>49.53</v>
      </c>
      <c r="D169" t="s">
        <v>30</v>
      </c>
      <c r="E169" s="6">
        <v>1288.6375</v>
      </c>
      <c r="F169" s="6">
        <f t="shared" si="2"/>
        <v>-0.05</v>
      </c>
      <c r="G169" s="6">
        <f>Table1[[#This Row],[scalar]]-Table1[[#This Row],[adj]]</f>
        <v>1288.6875</v>
      </c>
      <c r="H169" s="7">
        <f>Table1[[#This Row],[price_mkt_bid]]*Table1[[#This Row],[adj scalar]]</f>
        <v>63815.805000000008</v>
      </c>
      <c r="I169" s="7">
        <f>Table1[[#This Row],[price_mkt_ask]]*Table1[[#This Row],[adj scalar]]</f>
        <v>63828.691875000004</v>
      </c>
    </row>
    <row r="170" spans="1:9" x14ac:dyDescent="0.25">
      <c r="A170" t="s">
        <v>13</v>
      </c>
      <c r="B170">
        <v>18.05</v>
      </c>
      <c r="C170">
        <v>18.059999999999999</v>
      </c>
      <c r="D170" t="s">
        <v>30</v>
      </c>
      <c r="E170" s="6">
        <v>3535.8029000000001</v>
      </c>
      <c r="F170" s="6">
        <f t="shared" si="2"/>
        <v>0</v>
      </c>
      <c r="G170" s="6">
        <f>Table1[[#This Row],[scalar]]-Table1[[#This Row],[adj]]</f>
        <v>3535.8029000000001</v>
      </c>
      <c r="H170" s="7">
        <f>Table1[[#This Row],[price_mkt_bid]]*Table1[[#This Row],[adj scalar]]</f>
        <v>63821.242345000006</v>
      </c>
      <c r="I170" s="7">
        <f>Table1[[#This Row],[price_mkt_ask]]*Table1[[#This Row],[adj scalar]]</f>
        <v>63856.600374000001</v>
      </c>
    </row>
    <row r="171" spans="1:9" x14ac:dyDescent="0.25">
      <c r="A171" t="s">
        <v>14</v>
      </c>
      <c r="B171">
        <v>36.17</v>
      </c>
      <c r="C171">
        <v>36.18</v>
      </c>
      <c r="D171" t="s">
        <v>30</v>
      </c>
      <c r="E171" s="6">
        <v>1764.9625000000001</v>
      </c>
      <c r="F171" s="6">
        <f t="shared" si="2"/>
        <v>0</v>
      </c>
      <c r="G171" s="6">
        <f>Table1[[#This Row],[scalar]]-Table1[[#This Row],[adj]]</f>
        <v>1764.9625000000001</v>
      </c>
      <c r="H171" s="7">
        <f>Table1[[#This Row],[price_mkt_bid]]*Table1[[#This Row],[adj scalar]]</f>
        <v>63838.693625000007</v>
      </c>
      <c r="I171" s="7">
        <f>Table1[[#This Row],[price_mkt_ask]]*Table1[[#This Row],[adj scalar]]</f>
        <v>63856.343250000005</v>
      </c>
    </row>
    <row r="172" spans="1:9" x14ac:dyDescent="0.25">
      <c r="A172" t="s">
        <v>4</v>
      </c>
      <c r="B172">
        <v>21.1</v>
      </c>
      <c r="C172">
        <v>21.11</v>
      </c>
      <c r="D172" t="s">
        <v>31</v>
      </c>
      <c r="E172" s="6">
        <v>3014.8103999999998</v>
      </c>
      <c r="F172" s="6">
        <f t="shared" si="2"/>
        <v>-0.1</v>
      </c>
      <c r="G172" s="6">
        <f>Table1[[#This Row],[scalar]]-Table1[[#This Row],[adj]]</f>
        <v>3014.9103999999998</v>
      </c>
      <c r="H172" s="7">
        <f>Table1[[#This Row],[price_mkt_bid]]*Table1[[#This Row],[adj scalar]]</f>
        <v>63614.60944</v>
      </c>
      <c r="I172" s="7">
        <f>Table1[[#This Row],[price_mkt_ask]]*Table1[[#This Row],[adj scalar]]</f>
        <v>63644.758543999997</v>
      </c>
    </row>
    <row r="173" spans="1:9" x14ac:dyDescent="0.25">
      <c r="A173" t="s">
        <v>6</v>
      </c>
      <c r="B173">
        <v>34.549999999999997</v>
      </c>
      <c r="C173">
        <v>34.56</v>
      </c>
      <c r="D173" t="s">
        <v>31</v>
      </c>
      <c r="E173" s="6">
        <v>1842.0297</v>
      </c>
      <c r="F173" s="6">
        <f t="shared" si="2"/>
        <v>0.1</v>
      </c>
      <c r="G173" s="6">
        <f>Table1[[#This Row],[scalar]]-Table1[[#This Row],[adj]]</f>
        <v>1841.9297000000001</v>
      </c>
      <c r="H173" s="7">
        <f>Table1[[#This Row],[price_mkt_bid]]*Table1[[#This Row],[adj scalar]]</f>
        <v>63638.671134999997</v>
      </c>
      <c r="I173" s="7">
        <f>Table1[[#This Row],[price_mkt_ask]]*Table1[[#This Row],[adj scalar]]</f>
        <v>63657.090432000012</v>
      </c>
    </row>
    <row r="174" spans="1:9" x14ac:dyDescent="0.25">
      <c r="A174" t="s">
        <v>7</v>
      </c>
      <c r="B174">
        <v>17.95</v>
      </c>
      <c r="C174">
        <v>17.96</v>
      </c>
      <c r="D174" t="s">
        <v>31</v>
      </c>
      <c r="E174" s="6">
        <v>3546.4070999999999</v>
      </c>
      <c r="F174" s="6">
        <f t="shared" si="2"/>
        <v>0</v>
      </c>
      <c r="G174" s="6">
        <f>Table1[[#This Row],[scalar]]-Table1[[#This Row],[adj]]</f>
        <v>3546.4070999999999</v>
      </c>
      <c r="H174" s="7">
        <f>Table1[[#This Row],[price_mkt_bid]]*Table1[[#This Row],[adj scalar]]</f>
        <v>63658.007444999996</v>
      </c>
      <c r="I174" s="7">
        <f>Table1[[#This Row],[price_mkt_ask]]*Table1[[#This Row],[adj scalar]]</f>
        <v>63693.471515999998</v>
      </c>
    </row>
    <row r="175" spans="1:9" x14ac:dyDescent="0.25">
      <c r="A175" t="s">
        <v>8</v>
      </c>
      <c r="B175">
        <v>28.15</v>
      </c>
      <c r="C175">
        <v>28.16</v>
      </c>
      <c r="D175" t="s">
        <v>31</v>
      </c>
      <c r="E175" s="6">
        <v>2261.2671999999998</v>
      </c>
      <c r="F175" s="6">
        <f t="shared" si="2"/>
        <v>0.2</v>
      </c>
      <c r="G175" s="6">
        <f>Table1[[#This Row],[scalar]]-Table1[[#This Row],[adj]]</f>
        <v>2261.0672</v>
      </c>
      <c r="H175" s="7">
        <f>Table1[[#This Row],[price_mkt_bid]]*Table1[[#This Row],[adj scalar]]</f>
        <v>63649.041679999995</v>
      </c>
      <c r="I175" s="7">
        <f>Table1[[#This Row],[price_mkt_ask]]*Table1[[#This Row],[adj scalar]]</f>
        <v>63671.652351999997</v>
      </c>
    </row>
    <row r="176" spans="1:9" x14ac:dyDescent="0.25">
      <c r="A176" t="s">
        <v>9</v>
      </c>
      <c r="B176">
        <v>67.260000000000005</v>
      </c>
      <c r="C176">
        <v>67.36</v>
      </c>
      <c r="D176" t="s">
        <v>31</v>
      </c>
      <c r="E176" s="6">
        <v>946.08439999999996</v>
      </c>
      <c r="F176" s="6">
        <f t="shared" si="2"/>
        <v>0</v>
      </c>
      <c r="G176" s="6">
        <f>Table1[[#This Row],[scalar]]-Table1[[#This Row],[adj]]</f>
        <v>946.08439999999996</v>
      </c>
      <c r="H176" s="7">
        <f>Table1[[#This Row],[price_mkt_bid]]*Table1[[#This Row],[adj scalar]]</f>
        <v>63633.636744000003</v>
      </c>
      <c r="I176" s="7">
        <f>Table1[[#This Row],[price_mkt_ask]]*Table1[[#This Row],[adj scalar]]</f>
        <v>63728.245183999999</v>
      </c>
    </row>
    <row r="177" spans="1:9" x14ac:dyDescent="0.25">
      <c r="A177" t="s">
        <v>10</v>
      </c>
      <c r="B177">
        <v>36.78</v>
      </c>
      <c r="C177">
        <v>36.79</v>
      </c>
      <c r="D177" t="s">
        <v>31</v>
      </c>
      <c r="E177" s="6">
        <v>1730.0558000000001</v>
      </c>
      <c r="F177" s="6">
        <f t="shared" si="2"/>
        <v>-0.2</v>
      </c>
      <c r="G177" s="6">
        <f>Table1[[#This Row],[scalar]]-Table1[[#This Row],[adj]]</f>
        <v>1730.2558000000001</v>
      </c>
      <c r="H177" s="7">
        <f>Table1[[#This Row],[price_mkt_bid]]*Table1[[#This Row],[adj scalar]]</f>
        <v>63638.808324000005</v>
      </c>
      <c r="I177" s="7">
        <f>Table1[[#This Row],[price_mkt_ask]]*Table1[[#This Row],[adj scalar]]</f>
        <v>63656.110882000001</v>
      </c>
    </row>
    <row r="178" spans="1:9" x14ac:dyDescent="0.25">
      <c r="A178" t="s">
        <v>11</v>
      </c>
      <c r="B178">
        <v>55.41</v>
      </c>
      <c r="C178">
        <v>55.42</v>
      </c>
      <c r="D178" t="s">
        <v>31</v>
      </c>
      <c r="E178" s="6">
        <v>1148.79</v>
      </c>
      <c r="F178" s="6">
        <f t="shared" si="2"/>
        <v>0.05</v>
      </c>
      <c r="G178" s="6">
        <f>Table1[[#This Row],[scalar]]-Table1[[#This Row],[adj]]</f>
        <v>1148.74</v>
      </c>
      <c r="H178" s="7">
        <f>Table1[[#This Row],[price_mkt_bid]]*Table1[[#This Row],[adj scalar]]</f>
        <v>63651.683399999994</v>
      </c>
      <c r="I178" s="7">
        <f>Table1[[#This Row],[price_mkt_ask]]*Table1[[#This Row],[adj scalar]]</f>
        <v>63663.1708</v>
      </c>
    </row>
    <row r="179" spans="1:9" x14ac:dyDescent="0.25">
      <c r="A179" t="s">
        <v>12</v>
      </c>
      <c r="B179">
        <v>49.39</v>
      </c>
      <c r="C179">
        <v>49.4</v>
      </c>
      <c r="D179" t="s">
        <v>31</v>
      </c>
      <c r="E179" s="6">
        <v>1288.6375</v>
      </c>
      <c r="F179" s="6">
        <f t="shared" si="2"/>
        <v>-0.05</v>
      </c>
      <c r="G179" s="6">
        <f>Table1[[#This Row],[scalar]]-Table1[[#This Row],[adj]]</f>
        <v>1288.6875</v>
      </c>
      <c r="H179" s="7">
        <f>Table1[[#This Row],[price_mkt_bid]]*Table1[[#This Row],[adj scalar]]</f>
        <v>63648.275625000002</v>
      </c>
      <c r="I179" s="7">
        <f>Table1[[#This Row],[price_mkt_ask]]*Table1[[#This Row],[adj scalar]]</f>
        <v>63661.162499999999</v>
      </c>
    </row>
    <row r="180" spans="1:9" x14ac:dyDescent="0.25">
      <c r="A180" t="s">
        <v>13</v>
      </c>
      <c r="B180">
        <v>18</v>
      </c>
      <c r="C180">
        <v>18.010000000000002</v>
      </c>
      <c r="D180" t="s">
        <v>31</v>
      </c>
      <c r="E180" s="6">
        <v>3535.8029000000001</v>
      </c>
      <c r="F180" s="6">
        <f t="shared" si="2"/>
        <v>0</v>
      </c>
      <c r="G180" s="6">
        <f>Table1[[#This Row],[scalar]]-Table1[[#This Row],[adj]]</f>
        <v>3535.8029000000001</v>
      </c>
      <c r="H180" s="7">
        <f>Table1[[#This Row],[price_mkt_bid]]*Table1[[#This Row],[adj scalar]]</f>
        <v>63644.4522</v>
      </c>
      <c r="I180" s="7">
        <f>Table1[[#This Row],[price_mkt_ask]]*Table1[[#This Row],[adj scalar]]</f>
        <v>63679.81022900001</v>
      </c>
    </row>
    <row r="181" spans="1:9" x14ac:dyDescent="0.25">
      <c r="A181" t="s">
        <v>14</v>
      </c>
      <c r="B181">
        <v>36.06</v>
      </c>
      <c r="C181">
        <v>36.07</v>
      </c>
      <c r="D181" t="s">
        <v>31</v>
      </c>
      <c r="E181" s="6">
        <v>1764.9625000000001</v>
      </c>
      <c r="F181" s="6">
        <f t="shared" si="2"/>
        <v>0</v>
      </c>
      <c r="G181" s="6">
        <f>Table1[[#This Row],[scalar]]-Table1[[#This Row],[adj]]</f>
        <v>1764.9625000000001</v>
      </c>
      <c r="H181" s="7">
        <f>Table1[[#This Row],[price_mkt_bid]]*Table1[[#This Row],[adj scalar]]</f>
        <v>63644.547750000005</v>
      </c>
      <c r="I181" s="7">
        <f>Table1[[#This Row],[price_mkt_ask]]*Table1[[#This Row],[adj scalar]]</f>
        <v>63662.197375000003</v>
      </c>
    </row>
    <row r="182" spans="1:9" x14ac:dyDescent="0.25">
      <c r="A182" t="s">
        <v>4</v>
      </c>
      <c r="B182">
        <v>21.11</v>
      </c>
      <c r="C182">
        <v>21.12</v>
      </c>
      <c r="D182" t="s">
        <v>32</v>
      </c>
      <c r="E182" s="6">
        <v>3014.8103999999998</v>
      </c>
      <c r="F182" s="6">
        <f t="shared" si="2"/>
        <v>-0.1</v>
      </c>
      <c r="G182" s="6">
        <f>Table1[[#This Row],[scalar]]-Table1[[#This Row],[adj]]</f>
        <v>3014.9103999999998</v>
      </c>
      <c r="H182" s="7">
        <f>Table1[[#This Row],[price_mkt_bid]]*Table1[[#This Row],[adj scalar]]</f>
        <v>63644.758543999997</v>
      </c>
      <c r="I182" s="7">
        <f>Table1[[#This Row],[price_mkt_ask]]*Table1[[#This Row],[adj scalar]]</f>
        <v>63674.907648</v>
      </c>
    </row>
    <row r="183" spans="1:9" x14ac:dyDescent="0.25">
      <c r="A183" t="s">
        <v>6</v>
      </c>
      <c r="B183">
        <v>34.56</v>
      </c>
      <c r="C183">
        <v>34.57</v>
      </c>
      <c r="D183" t="s">
        <v>32</v>
      </c>
      <c r="E183" s="6">
        <v>1842.0297</v>
      </c>
      <c r="F183" s="6">
        <f t="shared" si="2"/>
        <v>0.1</v>
      </c>
      <c r="G183" s="6">
        <f>Table1[[#This Row],[scalar]]-Table1[[#This Row],[adj]]</f>
        <v>1841.9297000000001</v>
      </c>
      <c r="H183" s="7">
        <f>Table1[[#This Row],[price_mkt_bid]]*Table1[[#This Row],[adj scalar]]</f>
        <v>63657.090432000012</v>
      </c>
      <c r="I183" s="7">
        <f>Table1[[#This Row],[price_mkt_ask]]*Table1[[#This Row],[adj scalar]]</f>
        <v>63675.509729000005</v>
      </c>
    </row>
    <row r="184" spans="1:9" x14ac:dyDescent="0.25">
      <c r="A184" t="s">
        <v>7</v>
      </c>
      <c r="B184">
        <v>17.95</v>
      </c>
      <c r="C184">
        <v>17.96</v>
      </c>
      <c r="D184" t="s">
        <v>32</v>
      </c>
      <c r="E184" s="6">
        <v>3546.4070999999999</v>
      </c>
      <c r="F184" s="6">
        <f t="shared" si="2"/>
        <v>0</v>
      </c>
      <c r="G184" s="6">
        <f>Table1[[#This Row],[scalar]]-Table1[[#This Row],[adj]]</f>
        <v>3546.4070999999999</v>
      </c>
      <c r="H184" s="7">
        <f>Table1[[#This Row],[price_mkt_bid]]*Table1[[#This Row],[adj scalar]]</f>
        <v>63658.007444999996</v>
      </c>
      <c r="I184" s="7">
        <f>Table1[[#This Row],[price_mkt_ask]]*Table1[[#This Row],[adj scalar]]</f>
        <v>63693.471515999998</v>
      </c>
    </row>
    <row r="185" spans="1:9" x14ac:dyDescent="0.25">
      <c r="A185" t="s">
        <v>8</v>
      </c>
      <c r="B185">
        <v>28.16</v>
      </c>
      <c r="C185">
        <v>28.17</v>
      </c>
      <c r="D185" t="s">
        <v>32</v>
      </c>
      <c r="E185" s="6">
        <v>2261.2671999999998</v>
      </c>
      <c r="F185" s="6">
        <f t="shared" si="2"/>
        <v>0.2</v>
      </c>
      <c r="G185" s="6">
        <f>Table1[[#This Row],[scalar]]-Table1[[#This Row],[adj]]</f>
        <v>2261.0672</v>
      </c>
      <c r="H185" s="7">
        <f>Table1[[#This Row],[price_mkt_bid]]*Table1[[#This Row],[adj scalar]]</f>
        <v>63671.652351999997</v>
      </c>
      <c r="I185" s="7">
        <f>Table1[[#This Row],[price_mkt_ask]]*Table1[[#This Row],[adj scalar]]</f>
        <v>63694.263024</v>
      </c>
    </row>
    <row r="186" spans="1:9" x14ac:dyDescent="0.25">
      <c r="A186" t="s">
        <v>9</v>
      </c>
      <c r="B186">
        <v>67.27</v>
      </c>
      <c r="C186">
        <v>67.37</v>
      </c>
      <c r="D186" t="s">
        <v>32</v>
      </c>
      <c r="E186" s="6">
        <v>946.08439999999996</v>
      </c>
      <c r="F186" s="6">
        <f t="shared" si="2"/>
        <v>0</v>
      </c>
      <c r="G186" s="6">
        <f>Table1[[#This Row],[scalar]]-Table1[[#This Row],[adj]]</f>
        <v>946.08439999999996</v>
      </c>
      <c r="H186" s="7">
        <f>Table1[[#This Row],[price_mkt_bid]]*Table1[[#This Row],[adj scalar]]</f>
        <v>63643.097587999997</v>
      </c>
      <c r="I186" s="7">
        <f>Table1[[#This Row],[price_mkt_ask]]*Table1[[#This Row],[adj scalar]]</f>
        <v>63737.706028000001</v>
      </c>
    </row>
    <row r="187" spans="1:9" x14ac:dyDescent="0.25">
      <c r="A187" t="s">
        <v>10</v>
      </c>
      <c r="B187">
        <v>36.79</v>
      </c>
      <c r="C187">
        <v>36.81</v>
      </c>
      <c r="D187" t="s">
        <v>32</v>
      </c>
      <c r="E187" s="6">
        <v>1730.0558000000001</v>
      </c>
      <c r="F187" s="6">
        <f t="shared" si="2"/>
        <v>-0.2</v>
      </c>
      <c r="G187" s="6">
        <f>Table1[[#This Row],[scalar]]-Table1[[#This Row],[adj]]</f>
        <v>1730.2558000000001</v>
      </c>
      <c r="H187" s="7">
        <f>Table1[[#This Row],[price_mkt_bid]]*Table1[[#This Row],[adj scalar]]</f>
        <v>63656.110882000001</v>
      </c>
      <c r="I187" s="7">
        <f>Table1[[#This Row],[price_mkt_ask]]*Table1[[#This Row],[adj scalar]]</f>
        <v>63690.715998000007</v>
      </c>
    </row>
    <row r="188" spans="1:9" x14ac:dyDescent="0.25">
      <c r="A188" t="s">
        <v>11</v>
      </c>
      <c r="B188">
        <v>55.42</v>
      </c>
      <c r="C188">
        <v>55.43</v>
      </c>
      <c r="D188" t="s">
        <v>32</v>
      </c>
      <c r="E188" s="6">
        <v>1148.79</v>
      </c>
      <c r="F188" s="6">
        <f t="shared" si="2"/>
        <v>0.05</v>
      </c>
      <c r="G188" s="6">
        <f>Table1[[#This Row],[scalar]]-Table1[[#This Row],[adj]]</f>
        <v>1148.74</v>
      </c>
      <c r="H188" s="7">
        <f>Table1[[#This Row],[price_mkt_bid]]*Table1[[#This Row],[adj scalar]]</f>
        <v>63663.1708</v>
      </c>
      <c r="I188" s="7">
        <f>Table1[[#This Row],[price_mkt_ask]]*Table1[[#This Row],[adj scalar]]</f>
        <v>63674.658199999998</v>
      </c>
    </row>
    <row r="189" spans="1:9" x14ac:dyDescent="0.25">
      <c r="A189" t="s">
        <v>12</v>
      </c>
      <c r="B189">
        <v>49.41</v>
      </c>
      <c r="C189">
        <v>49.42</v>
      </c>
      <c r="D189" t="s">
        <v>32</v>
      </c>
      <c r="E189" s="6">
        <v>1288.6375</v>
      </c>
      <c r="F189" s="6">
        <f t="shared" si="2"/>
        <v>-0.05</v>
      </c>
      <c r="G189" s="6">
        <f>Table1[[#This Row],[scalar]]-Table1[[#This Row],[adj]]</f>
        <v>1288.6875</v>
      </c>
      <c r="H189" s="7">
        <f>Table1[[#This Row],[price_mkt_bid]]*Table1[[#This Row],[adj scalar]]</f>
        <v>63674.049374999995</v>
      </c>
      <c r="I189" s="7">
        <f>Table1[[#This Row],[price_mkt_ask]]*Table1[[#This Row],[adj scalar]]</f>
        <v>63686.936249999999</v>
      </c>
    </row>
    <row r="190" spans="1:9" x14ac:dyDescent="0.25">
      <c r="A190" t="s">
        <v>13</v>
      </c>
      <c r="B190">
        <v>18</v>
      </c>
      <c r="C190">
        <v>18.010000000000002</v>
      </c>
      <c r="D190" t="s">
        <v>32</v>
      </c>
      <c r="E190" s="6">
        <v>3535.8029000000001</v>
      </c>
      <c r="F190" s="6">
        <f t="shared" si="2"/>
        <v>0</v>
      </c>
      <c r="G190" s="6">
        <f>Table1[[#This Row],[scalar]]-Table1[[#This Row],[adj]]</f>
        <v>3535.8029000000001</v>
      </c>
      <c r="H190" s="7">
        <f>Table1[[#This Row],[price_mkt_bid]]*Table1[[#This Row],[adj scalar]]</f>
        <v>63644.4522</v>
      </c>
      <c r="I190" s="7">
        <f>Table1[[#This Row],[price_mkt_ask]]*Table1[[#This Row],[adj scalar]]</f>
        <v>63679.81022900001</v>
      </c>
    </row>
    <row r="191" spans="1:9" x14ac:dyDescent="0.25">
      <c r="A191" t="s">
        <v>14</v>
      </c>
      <c r="B191">
        <v>36.07</v>
      </c>
      <c r="C191">
        <v>36.08</v>
      </c>
      <c r="D191" t="s">
        <v>32</v>
      </c>
      <c r="E191" s="6">
        <v>1764.9625000000001</v>
      </c>
      <c r="F191" s="6">
        <f t="shared" si="2"/>
        <v>0</v>
      </c>
      <c r="G191" s="6">
        <f>Table1[[#This Row],[scalar]]-Table1[[#This Row],[adj]]</f>
        <v>1764.9625000000001</v>
      </c>
      <c r="H191" s="7">
        <f>Table1[[#This Row],[price_mkt_bid]]*Table1[[#This Row],[adj scalar]]</f>
        <v>63662.197375000003</v>
      </c>
      <c r="I191" s="7">
        <f>Table1[[#This Row],[price_mkt_ask]]*Table1[[#This Row],[adj scalar]]</f>
        <v>63679.847000000002</v>
      </c>
    </row>
    <row r="192" spans="1:9" x14ac:dyDescent="0.25">
      <c r="A192" t="s">
        <v>4</v>
      </c>
      <c r="B192">
        <v>21.12</v>
      </c>
      <c r="C192">
        <v>21.13</v>
      </c>
      <c r="D192" t="s">
        <v>33</v>
      </c>
      <c r="E192" s="6">
        <v>3014.8103999999998</v>
      </c>
      <c r="F192" s="6">
        <f t="shared" si="2"/>
        <v>-0.1</v>
      </c>
      <c r="G192" s="6">
        <f>Table1[[#This Row],[scalar]]-Table1[[#This Row],[adj]]</f>
        <v>3014.9103999999998</v>
      </c>
      <c r="H192" s="7">
        <f>Table1[[#This Row],[price_mkt_bid]]*Table1[[#This Row],[adj scalar]]</f>
        <v>63674.907648</v>
      </c>
      <c r="I192" s="7">
        <f>Table1[[#This Row],[price_mkt_ask]]*Table1[[#This Row],[adj scalar]]</f>
        <v>63705.05675199999</v>
      </c>
    </row>
    <row r="193" spans="1:9" x14ac:dyDescent="0.25">
      <c r="A193" t="s">
        <v>6</v>
      </c>
      <c r="B193">
        <v>34.57</v>
      </c>
      <c r="C193">
        <v>34.58</v>
      </c>
      <c r="D193" t="s">
        <v>33</v>
      </c>
      <c r="E193" s="6">
        <v>1842.0297</v>
      </c>
      <c r="F193" s="6">
        <f t="shared" si="2"/>
        <v>0.1</v>
      </c>
      <c r="G193" s="6">
        <f>Table1[[#This Row],[scalar]]-Table1[[#This Row],[adj]]</f>
        <v>1841.9297000000001</v>
      </c>
      <c r="H193" s="7">
        <f>Table1[[#This Row],[price_mkt_bid]]*Table1[[#This Row],[adj scalar]]</f>
        <v>63675.509729000005</v>
      </c>
      <c r="I193" s="7">
        <f>Table1[[#This Row],[price_mkt_ask]]*Table1[[#This Row],[adj scalar]]</f>
        <v>63693.929026000005</v>
      </c>
    </row>
    <row r="194" spans="1:9" x14ac:dyDescent="0.25">
      <c r="A194" t="s">
        <v>7</v>
      </c>
      <c r="B194">
        <v>17.96</v>
      </c>
      <c r="C194">
        <v>17.97</v>
      </c>
      <c r="D194" t="s">
        <v>33</v>
      </c>
      <c r="E194" s="6">
        <v>3546.4070999999999</v>
      </c>
      <c r="F194" s="6">
        <f t="shared" si="2"/>
        <v>0</v>
      </c>
      <c r="G194" s="6">
        <f>Table1[[#This Row],[scalar]]-Table1[[#This Row],[adj]]</f>
        <v>3546.4070999999999</v>
      </c>
      <c r="H194" s="7">
        <f>Table1[[#This Row],[price_mkt_bid]]*Table1[[#This Row],[adj scalar]]</f>
        <v>63693.471515999998</v>
      </c>
      <c r="I194" s="7">
        <f>Table1[[#This Row],[price_mkt_ask]]*Table1[[#This Row],[adj scalar]]</f>
        <v>63728.935586999993</v>
      </c>
    </row>
    <row r="195" spans="1:9" x14ac:dyDescent="0.25">
      <c r="A195" t="s">
        <v>8</v>
      </c>
      <c r="B195">
        <v>28.17</v>
      </c>
      <c r="C195">
        <v>28.17</v>
      </c>
      <c r="D195" t="s">
        <v>33</v>
      </c>
      <c r="E195" s="6">
        <v>2261.2671999999998</v>
      </c>
      <c r="F195" s="6">
        <f t="shared" si="2"/>
        <v>0.2</v>
      </c>
      <c r="G195" s="6">
        <f>Table1[[#This Row],[scalar]]-Table1[[#This Row],[adj]]</f>
        <v>2261.0672</v>
      </c>
      <c r="H195" s="7">
        <f>Table1[[#This Row],[price_mkt_bid]]*Table1[[#This Row],[adj scalar]]</f>
        <v>63694.263024</v>
      </c>
      <c r="I195" s="7">
        <f>Table1[[#This Row],[price_mkt_ask]]*Table1[[#This Row],[adj scalar]]</f>
        <v>63694.263024</v>
      </c>
    </row>
    <row r="196" spans="1:9" x14ac:dyDescent="0.25">
      <c r="A196" t="s">
        <v>9</v>
      </c>
      <c r="B196">
        <v>67.3</v>
      </c>
      <c r="C196">
        <v>67.38</v>
      </c>
      <c r="D196" t="s">
        <v>33</v>
      </c>
      <c r="E196" s="6">
        <v>946.08439999999996</v>
      </c>
      <c r="F196" s="6">
        <f t="shared" si="2"/>
        <v>0</v>
      </c>
      <c r="G196" s="6">
        <f>Table1[[#This Row],[scalar]]-Table1[[#This Row],[adj]]</f>
        <v>946.08439999999996</v>
      </c>
      <c r="H196" s="7">
        <f>Table1[[#This Row],[price_mkt_bid]]*Table1[[#This Row],[adj scalar]]</f>
        <v>63671.480119999993</v>
      </c>
      <c r="I196" s="7">
        <f>Table1[[#This Row],[price_mkt_ask]]*Table1[[#This Row],[adj scalar]]</f>
        <v>63747.166871999994</v>
      </c>
    </row>
    <row r="197" spans="1:9" x14ac:dyDescent="0.25">
      <c r="A197" t="s">
        <v>10</v>
      </c>
      <c r="B197">
        <v>36.799999999999997</v>
      </c>
      <c r="C197">
        <v>36.82</v>
      </c>
      <c r="D197" t="s">
        <v>33</v>
      </c>
      <c r="E197" s="6">
        <v>1730.0558000000001</v>
      </c>
      <c r="F197" s="6">
        <f t="shared" si="2"/>
        <v>-0.2</v>
      </c>
      <c r="G197" s="6">
        <f>Table1[[#This Row],[scalar]]-Table1[[#This Row],[adj]]</f>
        <v>1730.2558000000001</v>
      </c>
      <c r="H197" s="7">
        <f>Table1[[#This Row],[price_mkt_bid]]*Table1[[#This Row],[adj scalar]]</f>
        <v>63673.413439999997</v>
      </c>
      <c r="I197" s="7">
        <f>Table1[[#This Row],[price_mkt_ask]]*Table1[[#This Row],[adj scalar]]</f>
        <v>63708.018556000003</v>
      </c>
    </row>
    <row r="198" spans="1:9" x14ac:dyDescent="0.25">
      <c r="A198" t="s">
        <v>11</v>
      </c>
      <c r="B198">
        <v>55.43</v>
      </c>
      <c r="C198">
        <v>55.44</v>
      </c>
      <c r="D198" t="s">
        <v>33</v>
      </c>
      <c r="E198" s="6">
        <v>1148.79</v>
      </c>
      <c r="F198" s="6">
        <f t="shared" si="2"/>
        <v>0.05</v>
      </c>
      <c r="G198" s="6">
        <f>Table1[[#This Row],[scalar]]-Table1[[#This Row],[adj]]</f>
        <v>1148.74</v>
      </c>
      <c r="H198" s="7">
        <f>Table1[[#This Row],[price_mkt_bid]]*Table1[[#This Row],[adj scalar]]</f>
        <v>63674.658199999998</v>
      </c>
      <c r="I198" s="7">
        <f>Table1[[#This Row],[price_mkt_ask]]*Table1[[#This Row],[adj scalar]]</f>
        <v>63686.145599999996</v>
      </c>
    </row>
    <row r="199" spans="1:9" x14ac:dyDescent="0.25">
      <c r="A199" t="s">
        <v>12</v>
      </c>
      <c r="B199">
        <v>49.42</v>
      </c>
      <c r="C199">
        <v>49.43</v>
      </c>
      <c r="D199" t="s">
        <v>33</v>
      </c>
      <c r="E199" s="6">
        <v>1288.6375</v>
      </c>
      <c r="F199" s="6">
        <f t="shared" si="2"/>
        <v>-0.05</v>
      </c>
      <c r="G199" s="6">
        <f>Table1[[#This Row],[scalar]]-Table1[[#This Row],[adj]]</f>
        <v>1288.6875</v>
      </c>
      <c r="H199" s="7">
        <f>Table1[[#This Row],[price_mkt_bid]]*Table1[[#This Row],[adj scalar]]</f>
        <v>63686.936249999999</v>
      </c>
      <c r="I199" s="7">
        <f>Table1[[#This Row],[price_mkt_ask]]*Table1[[#This Row],[adj scalar]]</f>
        <v>63699.823125000003</v>
      </c>
    </row>
    <row r="200" spans="1:9" x14ac:dyDescent="0.25">
      <c r="A200" t="s">
        <v>13</v>
      </c>
      <c r="B200">
        <v>18.010000000000002</v>
      </c>
      <c r="C200">
        <v>18.02</v>
      </c>
      <c r="D200" t="s">
        <v>33</v>
      </c>
      <c r="E200" s="6">
        <v>3535.8029000000001</v>
      </c>
      <c r="F200" s="6">
        <f t="shared" si="2"/>
        <v>0</v>
      </c>
      <c r="G200" s="6">
        <f>Table1[[#This Row],[scalar]]-Table1[[#This Row],[adj]]</f>
        <v>3535.8029000000001</v>
      </c>
      <c r="H200" s="7">
        <f>Table1[[#This Row],[price_mkt_bid]]*Table1[[#This Row],[adj scalar]]</f>
        <v>63679.81022900001</v>
      </c>
      <c r="I200" s="7">
        <f>Table1[[#This Row],[price_mkt_ask]]*Table1[[#This Row],[adj scalar]]</f>
        <v>63715.168257999998</v>
      </c>
    </row>
    <row r="201" spans="1:9" x14ac:dyDescent="0.25">
      <c r="A201" t="s">
        <v>14</v>
      </c>
      <c r="B201">
        <v>36.08</v>
      </c>
      <c r="C201">
        <v>36.090000000000003</v>
      </c>
      <c r="D201" t="s">
        <v>33</v>
      </c>
      <c r="E201" s="6">
        <v>1764.9625000000001</v>
      </c>
      <c r="F201" s="6">
        <f t="shared" si="2"/>
        <v>0</v>
      </c>
      <c r="G201" s="6">
        <f>Table1[[#This Row],[scalar]]-Table1[[#This Row],[adj]]</f>
        <v>1764.9625000000001</v>
      </c>
      <c r="H201" s="7">
        <f>Table1[[#This Row],[price_mkt_bid]]*Table1[[#This Row],[adj scalar]]</f>
        <v>63679.847000000002</v>
      </c>
      <c r="I201" s="7">
        <f>Table1[[#This Row],[price_mkt_ask]]*Table1[[#This Row],[adj scalar]]</f>
        <v>63697.496625000007</v>
      </c>
    </row>
    <row r="202" spans="1:9" x14ac:dyDescent="0.25">
      <c r="A202" t="s">
        <v>4</v>
      </c>
      <c r="B202">
        <v>21.1</v>
      </c>
      <c r="C202">
        <v>21.11</v>
      </c>
      <c r="D202" t="s">
        <v>34</v>
      </c>
      <c r="E202" s="6">
        <v>3014.8103999999998</v>
      </c>
      <c r="F202" s="6">
        <f t="shared" si="2"/>
        <v>-0.1</v>
      </c>
      <c r="G202" s="6">
        <f>Table1[[#This Row],[scalar]]-Table1[[#This Row],[adj]]</f>
        <v>3014.9103999999998</v>
      </c>
      <c r="H202" s="7">
        <f>Table1[[#This Row],[price_mkt_bid]]*Table1[[#This Row],[adj scalar]]</f>
        <v>63614.60944</v>
      </c>
      <c r="I202" s="7">
        <f>Table1[[#This Row],[price_mkt_ask]]*Table1[[#This Row],[adj scalar]]</f>
        <v>63644.758543999997</v>
      </c>
    </row>
    <row r="203" spans="1:9" x14ac:dyDescent="0.25">
      <c r="A203" t="s">
        <v>6</v>
      </c>
      <c r="B203">
        <v>34.54</v>
      </c>
      <c r="C203">
        <v>34.549999999999997</v>
      </c>
      <c r="D203" t="s">
        <v>34</v>
      </c>
      <c r="E203" s="6">
        <v>1842.0297</v>
      </c>
      <c r="F203" s="6">
        <f t="shared" si="2"/>
        <v>0.1</v>
      </c>
      <c r="G203" s="6">
        <f>Table1[[#This Row],[scalar]]-Table1[[#This Row],[adj]]</f>
        <v>1841.9297000000001</v>
      </c>
      <c r="H203" s="7">
        <f>Table1[[#This Row],[price_mkt_bid]]*Table1[[#This Row],[adj scalar]]</f>
        <v>63620.251838000004</v>
      </c>
      <c r="I203" s="7">
        <f>Table1[[#This Row],[price_mkt_ask]]*Table1[[#This Row],[adj scalar]]</f>
        <v>63638.671134999997</v>
      </c>
    </row>
    <row r="204" spans="1:9" x14ac:dyDescent="0.25">
      <c r="A204" t="s">
        <v>7</v>
      </c>
      <c r="B204">
        <v>17.940000000000001</v>
      </c>
      <c r="C204">
        <v>17.95</v>
      </c>
      <c r="D204" t="s">
        <v>34</v>
      </c>
      <c r="E204" s="6">
        <v>3546.4070999999999</v>
      </c>
      <c r="F204" s="6">
        <f t="shared" si="2"/>
        <v>0</v>
      </c>
      <c r="G204" s="6">
        <f>Table1[[#This Row],[scalar]]-Table1[[#This Row],[adj]]</f>
        <v>3546.4070999999999</v>
      </c>
      <c r="H204" s="7">
        <f>Table1[[#This Row],[price_mkt_bid]]*Table1[[#This Row],[adj scalar]]</f>
        <v>63622.543374000001</v>
      </c>
      <c r="I204" s="7">
        <f>Table1[[#This Row],[price_mkt_ask]]*Table1[[#This Row],[adj scalar]]</f>
        <v>63658.007444999996</v>
      </c>
    </row>
    <row r="205" spans="1:9" x14ac:dyDescent="0.25">
      <c r="A205" t="s">
        <v>8</v>
      </c>
      <c r="B205">
        <v>28.14</v>
      </c>
      <c r="C205">
        <v>28.15</v>
      </c>
      <c r="D205" t="s">
        <v>34</v>
      </c>
      <c r="E205" s="6">
        <v>2261.2671999999998</v>
      </c>
      <c r="F205" s="6">
        <f t="shared" ref="F205:F211" si="3">F195</f>
        <v>0.2</v>
      </c>
      <c r="G205" s="6">
        <f>Table1[[#This Row],[scalar]]-Table1[[#This Row],[adj]]</f>
        <v>2261.0672</v>
      </c>
      <c r="H205" s="7">
        <f>Table1[[#This Row],[price_mkt_bid]]*Table1[[#This Row],[adj scalar]]</f>
        <v>63626.431008</v>
      </c>
      <c r="I205" s="7">
        <f>Table1[[#This Row],[price_mkt_ask]]*Table1[[#This Row],[adj scalar]]</f>
        <v>63649.041679999995</v>
      </c>
    </row>
    <row r="206" spans="1:9" x14ac:dyDescent="0.25">
      <c r="A206" t="s">
        <v>9</v>
      </c>
      <c r="B206">
        <v>67.23</v>
      </c>
      <c r="C206">
        <v>67.319999999999993</v>
      </c>
      <c r="D206" t="s">
        <v>34</v>
      </c>
      <c r="E206" s="6">
        <v>946.08439999999996</v>
      </c>
      <c r="F206" s="6">
        <f t="shared" si="3"/>
        <v>0</v>
      </c>
      <c r="G206" s="6">
        <f>Table1[[#This Row],[scalar]]-Table1[[#This Row],[adj]]</f>
        <v>946.08439999999996</v>
      </c>
      <c r="H206" s="7">
        <f>Table1[[#This Row],[price_mkt_bid]]*Table1[[#This Row],[adj scalar]]</f>
        <v>63605.254212</v>
      </c>
      <c r="I206" s="7">
        <f>Table1[[#This Row],[price_mkt_ask]]*Table1[[#This Row],[adj scalar]]</f>
        <v>63690.401807999988</v>
      </c>
    </row>
    <row r="207" spans="1:9" x14ac:dyDescent="0.25">
      <c r="A207" t="s">
        <v>10</v>
      </c>
      <c r="B207">
        <v>36.76</v>
      </c>
      <c r="C207">
        <v>36.78</v>
      </c>
      <c r="D207" t="s">
        <v>34</v>
      </c>
      <c r="E207" s="6">
        <v>1730.0558000000001</v>
      </c>
      <c r="F207" s="6">
        <f t="shared" si="3"/>
        <v>-0.2</v>
      </c>
      <c r="G207" s="6">
        <f>Table1[[#This Row],[scalar]]-Table1[[#This Row],[adj]]</f>
        <v>1730.2558000000001</v>
      </c>
      <c r="H207" s="7">
        <f>Table1[[#This Row],[price_mkt_bid]]*Table1[[#This Row],[adj scalar]]</f>
        <v>63604.203207999999</v>
      </c>
      <c r="I207" s="7">
        <f>Table1[[#This Row],[price_mkt_ask]]*Table1[[#This Row],[adj scalar]]</f>
        <v>63638.808324000005</v>
      </c>
    </row>
    <row r="208" spans="1:9" x14ac:dyDescent="0.25">
      <c r="A208" t="s">
        <v>11</v>
      </c>
      <c r="B208">
        <v>55.39</v>
      </c>
      <c r="C208">
        <v>55.4</v>
      </c>
      <c r="D208" t="s">
        <v>34</v>
      </c>
      <c r="E208" s="6">
        <v>1148.79</v>
      </c>
      <c r="F208" s="6">
        <f t="shared" si="3"/>
        <v>0.05</v>
      </c>
      <c r="G208" s="6">
        <f>Table1[[#This Row],[scalar]]-Table1[[#This Row],[adj]]</f>
        <v>1148.74</v>
      </c>
      <c r="H208" s="7">
        <f>Table1[[#This Row],[price_mkt_bid]]*Table1[[#This Row],[adj scalar]]</f>
        <v>63628.708599999998</v>
      </c>
      <c r="I208" s="7">
        <f>Table1[[#This Row],[price_mkt_ask]]*Table1[[#This Row],[adj scalar]]</f>
        <v>63640.195999999996</v>
      </c>
    </row>
    <row r="209" spans="1:9" x14ac:dyDescent="0.25">
      <c r="A209" t="s">
        <v>12</v>
      </c>
      <c r="B209">
        <v>49.38</v>
      </c>
      <c r="C209">
        <v>49.39</v>
      </c>
      <c r="D209" t="s">
        <v>34</v>
      </c>
      <c r="E209" s="6">
        <v>1288.6375</v>
      </c>
      <c r="F209" s="6">
        <f t="shared" si="3"/>
        <v>-0.05</v>
      </c>
      <c r="G209" s="6">
        <f>Table1[[#This Row],[scalar]]-Table1[[#This Row],[adj]]</f>
        <v>1288.6875</v>
      </c>
      <c r="H209" s="7">
        <f>Table1[[#This Row],[price_mkt_bid]]*Table1[[#This Row],[adj scalar]]</f>
        <v>63635.388750000006</v>
      </c>
      <c r="I209" s="7">
        <f>Table1[[#This Row],[price_mkt_ask]]*Table1[[#This Row],[adj scalar]]</f>
        <v>63648.275625000002</v>
      </c>
    </row>
    <row r="210" spans="1:9" x14ac:dyDescent="0.25">
      <c r="A210" t="s">
        <v>13</v>
      </c>
      <c r="B210">
        <v>17.989999999999998</v>
      </c>
      <c r="C210">
        <v>18</v>
      </c>
      <c r="D210" t="s">
        <v>34</v>
      </c>
      <c r="E210" s="6">
        <v>3535.8029000000001</v>
      </c>
      <c r="F210" s="6">
        <f t="shared" si="3"/>
        <v>0</v>
      </c>
      <c r="G210" s="6">
        <f>Table1[[#This Row],[scalar]]-Table1[[#This Row],[adj]]</f>
        <v>3535.8029000000001</v>
      </c>
      <c r="H210" s="7">
        <f>Table1[[#This Row],[price_mkt_bid]]*Table1[[#This Row],[adj scalar]]</f>
        <v>63609.094170999997</v>
      </c>
      <c r="I210" s="7">
        <f>Table1[[#This Row],[price_mkt_ask]]*Table1[[#This Row],[adj scalar]]</f>
        <v>63644.4522</v>
      </c>
    </row>
    <row r="211" spans="1:9" x14ac:dyDescent="0.25">
      <c r="A211" t="s">
        <v>14</v>
      </c>
      <c r="B211">
        <v>36.049999999999997</v>
      </c>
      <c r="C211">
        <v>36.06</v>
      </c>
      <c r="D211" t="s">
        <v>34</v>
      </c>
      <c r="E211" s="6">
        <v>1764.9625000000001</v>
      </c>
      <c r="F211" s="6">
        <f t="shared" si="3"/>
        <v>0</v>
      </c>
      <c r="G211" s="6">
        <f>Table1[[#This Row],[scalar]]-Table1[[#This Row],[adj]]</f>
        <v>1764.9625000000001</v>
      </c>
      <c r="H211" s="7">
        <f>Table1[[#This Row],[price_mkt_bid]]*Table1[[#This Row],[adj scalar]]</f>
        <v>63626.898125</v>
      </c>
      <c r="I211" s="7">
        <f>Table1[[#This Row],[price_mkt_ask]]*Table1[[#This Row],[adj scalar]]</f>
        <v>63644.547750000005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F34CE-562D-47A5-A9A6-B7B2539DF611}">
  <dimension ref="A1:S31"/>
  <sheetViews>
    <sheetView tabSelected="1" workbookViewId="0">
      <selection activeCell="I19" sqref="I19"/>
    </sheetView>
  </sheetViews>
  <sheetFormatPr defaultRowHeight="15" x14ac:dyDescent="0.25"/>
  <cols>
    <col min="1" max="1" width="19" bestFit="1" customWidth="1"/>
    <col min="2" max="2" width="14.28515625" bestFit="1" customWidth="1"/>
    <col min="3" max="3" width="14.140625" bestFit="1" customWidth="1"/>
    <col min="4" max="4" width="12.7109375" customWidth="1"/>
    <col min="5" max="5" width="9.28515625" style="11" bestFit="1" customWidth="1"/>
    <col min="6" max="6" width="9.5703125" style="11" bestFit="1" customWidth="1"/>
    <col min="8" max="12" width="10.85546875" customWidth="1"/>
    <col min="13" max="13" width="11.28515625" style="5" bestFit="1" customWidth="1"/>
    <col min="14" max="14" width="10.85546875" style="5" customWidth="1"/>
  </cols>
  <sheetData>
    <row r="1" spans="1:19" x14ac:dyDescent="0.25">
      <c r="A1" s="20" t="s">
        <v>40</v>
      </c>
      <c r="B1" t="s">
        <v>41</v>
      </c>
      <c r="C1" t="s">
        <v>42</v>
      </c>
      <c r="D1" s="8" t="s">
        <v>43</v>
      </c>
      <c r="E1" s="8" t="s">
        <v>44</v>
      </c>
      <c r="F1" s="8" t="s">
        <v>45</v>
      </c>
      <c r="Q1" s="9" t="s">
        <v>46</v>
      </c>
      <c r="R1" s="9"/>
      <c r="S1" s="9"/>
    </row>
    <row r="2" spans="1:19" x14ac:dyDescent="0.25">
      <c r="A2" s="10" t="s">
        <v>5</v>
      </c>
      <c r="B2" s="7">
        <v>63274.556250000001</v>
      </c>
      <c r="C2" s="7">
        <v>63273.905625000007</v>
      </c>
      <c r="D2" s="7">
        <f>B2-C2</f>
        <v>0.65062499999476131</v>
      </c>
      <c r="E2" s="11" t="str">
        <f>_xlfn.XLOOKUP(B2,Table1[unit bid],Table1[my_fi_name])</f>
        <v>GBTC</v>
      </c>
      <c r="F2" s="11" t="str">
        <f>_xlfn.XLOOKUP(C2,Table1[unit ask],Table1[my_fi_name])</f>
        <v>IBIT</v>
      </c>
      <c r="I2" s="12" t="s">
        <v>47</v>
      </c>
      <c r="J2" s="12" t="s">
        <v>48</v>
      </c>
      <c r="K2" s="12" t="s">
        <v>43</v>
      </c>
      <c r="L2" s="12" t="s">
        <v>49</v>
      </c>
      <c r="M2" s="16" t="s">
        <v>50</v>
      </c>
      <c r="N2" s="12" t="s">
        <v>51</v>
      </c>
      <c r="Q2" s="12" t="str">
        <f>I2</f>
        <v>hit bid</v>
      </c>
      <c r="R2" s="12" t="str">
        <f>J2</f>
        <v>lift ask</v>
      </c>
      <c r="S2" s="12" t="str">
        <f>K2</f>
        <v>net</v>
      </c>
    </row>
    <row r="3" spans="1:19" x14ac:dyDescent="0.25">
      <c r="A3" s="10" t="s">
        <v>15</v>
      </c>
      <c r="B3" s="7">
        <v>63184.797823000008</v>
      </c>
      <c r="C3" s="7">
        <v>63185.657500000001</v>
      </c>
      <c r="D3" s="7">
        <f t="shared" ref="D3:D22" si="0">B3-C3</f>
        <v>-0.85967699999309843</v>
      </c>
      <c r="E3" s="11" t="str">
        <f>_xlfn.XLOOKUP(B3,Table1[unit bid],Table1[my_fi_name])</f>
        <v>HODL</v>
      </c>
      <c r="F3" s="11" t="str">
        <f>_xlfn.XLOOKUP(C3,Table1[unit ask],Table1[my_fi_name])</f>
        <v>IBIT</v>
      </c>
      <c r="G3" s="13"/>
      <c r="H3" s="13" t="s">
        <v>4</v>
      </c>
      <c r="I3">
        <f>COUNTIF(E:E,H3)</f>
        <v>0</v>
      </c>
      <c r="J3">
        <f>COUNTIF(F:F,H3)</f>
        <v>3</v>
      </c>
      <c r="K3">
        <f>I3-J3</f>
        <v>-3</v>
      </c>
      <c r="L3" s="18">
        <v>-0.1</v>
      </c>
      <c r="M3" s="5">
        <f>'ETF_2026-06-12'!C2</f>
        <v>20.99</v>
      </c>
      <c r="N3" s="5">
        <f>L3*M3</f>
        <v>-2.0989999999999998</v>
      </c>
      <c r="O3" s="17">
        <f>N3/C3</f>
        <v>-3.3219564107566656E-5</v>
      </c>
      <c r="Q3">
        <f>[1]Sheet1!Q3+I3</f>
        <v>3</v>
      </c>
      <c r="R3">
        <f>[1]Sheet1!R3+J3</f>
        <v>8</v>
      </c>
      <c r="S3">
        <f>Q3-R3</f>
        <v>-5</v>
      </c>
    </row>
    <row r="4" spans="1:19" x14ac:dyDescent="0.25">
      <c r="A4" s="10" t="s">
        <v>16</v>
      </c>
      <c r="B4" s="7">
        <v>63318.548799999997</v>
      </c>
      <c r="C4" s="7">
        <v>63325.543086000012</v>
      </c>
      <c r="D4" s="7">
        <f t="shared" si="0"/>
        <v>-6.9942860000155633</v>
      </c>
      <c r="E4" s="11" t="str">
        <f>_xlfn.XLOOKUP(B4,Table1[unit bid],Table1[my_fi_name])</f>
        <v>FBTC</v>
      </c>
      <c r="F4" s="11" t="str">
        <f>_xlfn.XLOOKUP(C4,Table1[unit ask],Table1[my_fi_name])</f>
        <v>BITB</v>
      </c>
      <c r="G4" s="13"/>
      <c r="H4" s="13" t="s">
        <v>6</v>
      </c>
      <c r="I4">
        <f>COUNTIF(E:E,H4)</f>
        <v>1</v>
      </c>
      <c r="J4">
        <f>COUNTIF(F:F,H4)</f>
        <v>4</v>
      </c>
      <c r="K4">
        <f t="shared" ref="K4:K12" si="1">I4-J4</f>
        <v>-3</v>
      </c>
      <c r="L4" s="18">
        <v>0.1</v>
      </c>
      <c r="M4" s="5">
        <f>'ETF_2026-06-12'!C3</f>
        <v>34.36</v>
      </c>
      <c r="N4" s="5">
        <f>L4*M4</f>
        <v>3.4359999999999999</v>
      </c>
      <c r="O4" s="17">
        <f>N4/C4</f>
        <v>5.4259305685443534E-5</v>
      </c>
      <c r="Q4">
        <f>[1]Sheet1!Q4+I4</f>
        <v>12</v>
      </c>
      <c r="R4">
        <f>[1]Sheet1!R4+J4</f>
        <v>11</v>
      </c>
      <c r="S4">
        <f t="shared" ref="S4:S12" si="2">Q4-R4</f>
        <v>1</v>
      </c>
    </row>
    <row r="5" spans="1:19" x14ac:dyDescent="0.25">
      <c r="A5" s="10" t="s">
        <v>17</v>
      </c>
      <c r="B5" s="7">
        <v>63815.805000000008</v>
      </c>
      <c r="C5" s="7">
        <v>63812.506999999998</v>
      </c>
      <c r="D5" s="7">
        <f t="shared" si="0"/>
        <v>3.2980000000097789</v>
      </c>
      <c r="E5" s="11" t="str">
        <f>_xlfn.XLOOKUP(B5,Table1[unit bid],Table1[my_fi_name])</f>
        <v>GBTC</v>
      </c>
      <c r="F5" s="11" t="str">
        <f>_xlfn.XLOOKUP(C5,Table1[unit ask],Table1[my_fi_name])</f>
        <v>FBTC</v>
      </c>
      <c r="G5" s="13"/>
      <c r="H5" s="13" t="s">
        <v>7</v>
      </c>
      <c r="I5">
        <f>COUNTIF(E:E,H5)</f>
        <v>2</v>
      </c>
      <c r="J5">
        <f>COUNTIF(F:F,H5)</f>
        <v>1</v>
      </c>
      <c r="K5">
        <f t="shared" si="1"/>
        <v>1</v>
      </c>
      <c r="L5" s="18"/>
      <c r="M5" s="5">
        <f>'ETF_2026-06-12'!C4</f>
        <v>17.850000000000001</v>
      </c>
      <c r="N5" s="5">
        <f t="shared" ref="N5:N12" si="3">L5*M5</f>
        <v>0</v>
      </c>
      <c r="O5" s="17">
        <f>N5/C5</f>
        <v>0</v>
      </c>
      <c r="Q5">
        <f>[1]Sheet1!Q5+I5</f>
        <v>5</v>
      </c>
      <c r="R5">
        <f>[1]Sheet1!R5+J5</f>
        <v>1</v>
      </c>
      <c r="S5">
        <f t="shared" si="2"/>
        <v>4</v>
      </c>
    </row>
    <row r="6" spans="1:19" x14ac:dyDescent="0.25">
      <c r="A6" s="10" t="s">
        <v>18</v>
      </c>
      <c r="B6" s="7">
        <v>63880.239374999997</v>
      </c>
      <c r="C6" s="7">
        <v>63878.121996000002</v>
      </c>
      <c r="D6" s="7">
        <f t="shared" si="0"/>
        <v>2.117378999995708</v>
      </c>
      <c r="E6" s="11" t="str">
        <f>_xlfn.XLOOKUP(B6,Table1[unit bid],Table1[my_fi_name])</f>
        <v>GBTC</v>
      </c>
      <c r="F6" s="11" t="str">
        <f>_xlfn.XLOOKUP(C6,Table1[unit ask],Table1[my_fi_name])</f>
        <v>BITB</v>
      </c>
      <c r="G6" s="13"/>
      <c r="H6" s="13" t="s">
        <v>8</v>
      </c>
      <c r="I6">
        <f>COUNTIF(E:E,H6)</f>
        <v>1</v>
      </c>
      <c r="J6">
        <f>COUNTIF(F:F,H6)</f>
        <v>1</v>
      </c>
      <c r="K6">
        <f t="shared" si="1"/>
        <v>0</v>
      </c>
      <c r="L6" s="18">
        <v>0.2</v>
      </c>
      <c r="M6" s="5">
        <f>'ETF_2026-06-12'!C5</f>
        <v>27.99</v>
      </c>
      <c r="N6" s="5">
        <f t="shared" si="3"/>
        <v>5.5979999999999999</v>
      </c>
      <c r="O6" s="17">
        <f>N6/C6</f>
        <v>8.7635638385714324E-5</v>
      </c>
      <c r="Q6">
        <f>[1]Sheet1!Q6+I6</f>
        <v>7</v>
      </c>
      <c r="R6">
        <f>[1]Sheet1!R6+J6</f>
        <v>3</v>
      </c>
      <c r="S6">
        <f t="shared" si="2"/>
        <v>4</v>
      </c>
    </row>
    <row r="7" spans="1:19" x14ac:dyDescent="0.25">
      <c r="A7" s="10" t="s">
        <v>19</v>
      </c>
      <c r="B7" s="7">
        <v>63601.832541000003</v>
      </c>
      <c r="C7" s="7">
        <v>63603.820335999997</v>
      </c>
      <c r="D7" s="7">
        <f t="shared" si="0"/>
        <v>-1.9877949999936391</v>
      </c>
      <c r="E7" s="11" t="str">
        <f>_xlfn.XLOOKUP(B7,Table1[unit bid],Table1[my_fi_name])</f>
        <v>BITB</v>
      </c>
      <c r="F7" s="11" t="str">
        <f>_xlfn.XLOOKUP(C7,Table1[unit ask],Table1[my_fi_name])</f>
        <v>BTC</v>
      </c>
      <c r="G7" s="13"/>
      <c r="H7" s="13" t="s">
        <v>9</v>
      </c>
      <c r="I7">
        <f>COUNTIF(E:E,H7)</f>
        <v>0</v>
      </c>
      <c r="J7">
        <f>COUNTIF(F:F,H7)</f>
        <v>0</v>
      </c>
      <c r="K7">
        <f t="shared" si="1"/>
        <v>0</v>
      </c>
      <c r="L7" s="18"/>
      <c r="M7" s="5">
        <f>'ETF_2026-06-12'!C6</f>
        <v>66.959999999999994</v>
      </c>
      <c r="N7" s="5">
        <f t="shared" si="3"/>
        <v>0</v>
      </c>
      <c r="O7" s="17">
        <f>N7/C7</f>
        <v>0</v>
      </c>
      <c r="Q7">
        <f>[1]Sheet1!Q7+I7</f>
        <v>2</v>
      </c>
      <c r="R7">
        <f>[1]Sheet1!R7+J7</f>
        <v>0</v>
      </c>
      <c r="S7">
        <f t="shared" si="2"/>
        <v>2</v>
      </c>
    </row>
    <row r="8" spans="1:19" x14ac:dyDescent="0.25">
      <c r="A8" s="10" t="s">
        <v>20</v>
      </c>
      <c r="B8" s="7">
        <v>63880.239374999997</v>
      </c>
      <c r="C8" s="7">
        <v>63881.431400000001</v>
      </c>
      <c r="D8" s="7">
        <f t="shared" si="0"/>
        <v>-1.1920250000039232</v>
      </c>
      <c r="E8" s="11" t="str">
        <f>_xlfn.XLOOKUP(B8,Table1[unit bid],Table1[my_fi_name])</f>
        <v>GBTC</v>
      </c>
      <c r="F8" s="11" t="str">
        <f>_xlfn.XLOOKUP(C8,Table1[unit ask],Table1[my_fi_name])</f>
        <v>FBTC</v>
      </c>
      <c r="G8" s="13"/>
      <c r="H8" s="13" t="s">
        <v>10</v>
      </c>
      <c r="I8">
        <f>COUNTIF(E:E,H8)</f>
        <v>0</v>
      </c>
      <c r="J8">
        <f>COUNTIF(F:F,H8)</f>
        <v>0</v>
      </c>
      <c r="K8">
        <f t="shared" si="1"/>
        <v>0</v>
      </c>
      <c r="L8" s="18">
        <v>-0.2</v>
      </c>
      <c r="M8" s="5">
        <f>'ETF_2026-06-12'!C7</f>
        <v>36.58</v>
      </c>
      <c r="N8" s="5">
        <f t="shared" si="3"/>
        <v>-7.3159999999999998</v>
      </c>
      <c r="O8" s="17">
        <f>N8/C8</f>
        <v>-1.1452467234477154E-4</v>
      </c>
      <c r="Q8">
        <f>[1]Sheet1!Q8+I8</f>
        <v>0</v>
      </c>
      <c r="R8">
        <f>[1]Sheet1!R8+J8</f>
        <v>1</v>
      </c>
      <c r="S8">
        <f t="shared" si="2"/>
        <v>-1</v>
      </c>
    </row>
    <row r="9" spans="1:19" x14ac:dyDescent="0.25">
      <c r="A9" s="10" t="s">
        <v>21</v>
      </c>
      <c r="B9" s="7">
        <v>63856.343250000005</v>
      </c>
      <c r="C9" s="7">
        <v>63855.802271999994</v>
      </c>
      <c r="D9" s="7">
        <f t="shared" si="0"/>
        <v>0.54097800001181895</v>
      </c>
      <c r="E9" s="11" t="str">
        <f>_xlfn.XLOOKUP(B9,Table1[unit bid],Table1[my_fi_name])</f>
        <v>IBIT</v>
      </c>
      <c r="F9" s="11" t="str">
        <f>_xlfn.XLOOKUP(C9,Table1[unit ask],Table1[my_fi_name])</f>
        <v>ARKB</v>
      </c>
      <c r="G9" s="13"/>
      <c r="H9" s="13" t="s">
        <v>11</v>
      </c>
      <c r="I9">
        <f>COUNTIF(E:E,H9)</f>
        <v>1</v>
      </c>
      <c r="J9">
        <f>COUNTIF(F:F,H9)</f>
        <v>9</v>
      </c>
      <c r="K9">
        <f t="shared" si="1"/>
        <v>-8</v>
      </c>
      <c r="L9" s="18">
        <v>0.05</v>
      </c>
      <c r="M9" s="5">
        <f>'ETF_2026-06-12'!C8</f>
        <v>55.09</v>
      </c>
      <c r="N9" s="5">
        <f t="shared" si="3"/>
        <v>2.7545000000000002</v>
      </c>
      <c r="O9" s="17">
        <f>N9/C9</f>
        <v>4.3136252337210326E-5</v>
      </c>
      <c r="Q9">
        <f>[1]Sheet1!Q9+I9</f>
        <v>10</v>
      </c>
      <c r="R9">
        <f>[1]Sheet1!R9+J9</f>
        <v>12</v>
      </c>
      <c r="S9">
        <f t="shared" si="2"/>
        <v>-2</v>
      </c>
    </row>
    <row r="10" spans="1:19" x14ac:dyDescent="0.25">
      <c r="A10" s="10" t="s">
        <v>22</v>
      </c>
      <c r="B10" s="7">
        <v>63821.043999999994</v>
      </c>
      <c r="C10" s="7">
        <v>63821.242345000006</v>
      </c>
      <c r="D10" s="7">
        <f t="shared" si="0"/>
        <v>-0.19834500001161359</v>
      </c>
      <c r="E10" s="11" t="str">
        <f>_xlfn.XLOOKUP(B10,Table1[unit bid],Table1[my_fi_name])</f>
        <v>IBIT</v>
      </c>
      <c r="F10" s="11" t="str">
        <f>_xlfn.XLOOKUP(C10,Table1[unit ask],Table1[my_fi_name])</f>
        <v>HODL</v>
      </c>
      <c r="G10" s="13"/>
      <c r="H10" s="13" t="s">
        <v>12</v>
      </c>
      <c r="I10">
        <f>COUNTIF(E:E,H10)</f>
        <v>8</v>
      </c>
      <c r="J10">
        <f>COUNTIF(F:F,H10)</f>
        <v>0</v>
      </c>
      <c r="K10">
        <f t="shared" si="1"/>
        <v>8</v>
      </c>
      <c r="L10" s="18">
        <v>-0.05</v>
      </c>
      <c r="M10" s="5">
        <f>'ETF_2026-06-12'!C9</f>
        <v>49.11</v>
      </c>
      <c r="N10" s="5">
        <f t="shared" si="3"/>
        <v>-2.4555000000000002</v>
      </c>
      <c r="O10" s="17">
        <f>N10/C10</f>
        <v>-3.8474650598718303E-5</v>
      </c>
      <c r="Q10">
        <f>[1]Sheet1!Q10+I10</f>
        <v>11</v>
      </c>
      <c r="R10">
        <f>[1]Sheet1!R10+J10</f>
        <v>9</v>
      </c>
      <c r="S10">
        <f t="shared" si="2"/>
        <v>2</v>
      </c>
    </row>
    <row r="11" spans="1:19" x14ac:dyDescent="0.25">
      <c r="A11" s="10" t="s">
        <v>23</v>
      </c>
      <c r="B11" s="7">
        <v>63944.591374999996</v>
      </c>
      <c r="C11" s="7">
        <v>63941.720013000006</v>
      </c>
      <c r="D11" s="7">
        <f t="shared" si="0"/>
        <v>2.8713619999907678</v>
      </c>
      <c r="E11" s="11" t="str">
        <f>_xlfn.XLOOKUP(B11,Table1[unit bid],Table1[my_fi_name])</f>
        <v>IBIT</v>
      </c>
      <c r="F11" s="11" t="str">
        <f>_xlfn.XLOOKUP(C11,Table1[unit ask],Table1[my_fi_name])</f>
        <v>BRRR</v>
      </c>
      <c r="G11" s="13"/>
      <c r="H11" s="13" t="s">
        <v>13</v>
      </c>
      <c r="I11">
        <f>COUNTIF(E:E,H11)</f>
        <v>1</v>
      </c>
      <c r="J11">
        <f>COUNTIF(F:F,H11)</f>
        <v>1</v>
      </c>
      <c r="K11">
        <f t="shared" si="1"/>
        <v>0</v>
      </c>
      <c r="L11" s="18"/>
      <c r="M11" s="5">
        <f>'ETF_2026-06-12'!C10</f>
        <v>17.899999999999999</v>
      </c>
      <c r="N11" s="5">
        <f t="shared" si="3"/>
        <v>0</v>
      </c>
      <c r="O11" s="17">
        <f>N11/C11</f>
        <v>0</v>
      </c>
      <c r="Q11">
        <f>[1]Sheet1!Q11+I11</f>
        <v>6</v>
      </c>
      <c r="R11">
        <f>[1]Sheet1!R11+J11</f>
        <v>7</v>
      </c>
      <c r="S11">
        <f t="shared" si="2"/>
        <v>-1</v>
      </c>
    </row>
    <row r="12" spans="1:19" x14ac:dyDescent="0.25">
      <c r="A12" s="10" t="s">
        <v>24</v>
      </c>
      <c r="B12" s="7">
        <v>63856.343250000005</v>
      </c>
      <c r="C12" s="7">
        <v>63855.802271999994</v>
      </c>
      <c r="D12" s="7">
        <f t="shared" si="0"/>
        <v>0.54097800001181895</v>
      </c>
      <c r="E12" s="11" t="str">
        <f>_xlfn.XLOOKUP(B12,Table1[unit bid],Table1[my_fi_name])</f>
        <v>IBIT</v>
      </c>
      <c r="F12" s="11" t="str">
        <f>_xlfn.XLOOKUP(C12,Table1[unit ask],Table1[my_fi_name])</f>
        <v>ARKB</v>
      </c>
      <c r="G12" s="13"/>
      <c r="H12" s="13" t="s">
        <v>14</v>
      </c>
      <c r="I12" s="14">
        <f>COUNTIF(E:E,H12)</f>
        <v>7</v>
      </c>
      <c r="J12" s="14">
        <f>COUNTIF(F:F,H12)</f>
        <v>2</v>
      </c>
      <c r="K12" s="14">
        <f t="shared" si="1"/>
        <v>5</v>
      </c>
      <c r="L12" s="18"/>
      <c r="M12" s="5">
        <f>'ETF_2026-06-12'!C11</f>
        <v>35.85</v>
      </c>
      <c r="N12" s="5">
        <f t="shared" si="3"/>
        <v>0</v>
      </c>
      <c r="O12" s="17">
        <f>N12/C12</f>
        <v>0</v>
      </c>
      <c r="Q12" s="14">
        <f>[1]Sheet1!Q12+I12</f>
        <v>7</v>
      </c>
      <c r="R12" s="14">
        <f>[1]Sheet1!R12+J12</f>
        <v>11</v>
      </c>
      <c r="S12" s="14">
        <f t="shared" si="2"/>
        <v>-4</v>
      </c>
    </row>
    <row r="13" spans="1:19" x14ac:dyDescent="0.25">
      <c r="A13" s="10" t="s">
        <v>25</v>
      </c>
      <c r="B13" s="7">
        <v>63803.394375000003</v>
      </c>
      <c r="C13" s="7">
        <v>63801.0196</v>
      </c>
      <c r="D13" s="7">
        <f t="shared" si="0"/>
        <v>2.374775000003865</v>
      </c>
      <c r="E13" s="11" t="str">
        <f>_xlfn.XLOOKUP(B13,Table1[unit bid],Table1[my_fi_name])</f>
        <v>IBIT</v>
      </c>
      <c r="F13" s="11" t="str">
        <f>_xlfn.XLOOKUP(C13,Table1[unit ask],Table1[my_fi_name])</f>
        <v>FBTC</v>
      </c>
      <c r="G13" s="13"/>
      <c r="H13" s="13"/>
      <c r="I13">
        <f>SUM(I3:I12)</f>
        <v>21</v>
      </c>
      <c r="J13">
        <f t="shared" ref="J13:K13" si="4">SUM(J3:J12)</f>
        <v>21</v>
      </c>
      <c r="K13">
        <f t="shared" si="4"/>
        <v>0</v>
      </c>
      <c r="L13" s="15"/>
      <c r="Q13">
        <f>SUM(Q3:Q12)</f>
        <v>63</v>
      </c>
      <c r="R13">
        <f t="shared" ref="R13:S13" si="5">SUM(R3:R12)</f>
        <v>63</v>
      </c>
      <c r="S13">
        <f t="shared" si="5"/>
        <v>0</v>
      </c>
    </row>
    <row r="14" spans="1:19" x14ac:dyDescent="0.25">
      <c r="A14" s="10" t="s">
        <v>26</v>
      </c>
      <c r="B14" s="7">
        <v>63815.805000000008</v>
      </c>
      <c r="C14" s="7">
        <v>63812.506999999998</v>
      </c>
      <c r="D14" s="7">
        <f t="shared" si="0"/>
        <v>3.2980000000097789</v>
      </c>
      <c r="E14" s="11" t="str">
        <f>_xlfn.XLOOKUP(B14,Table1[unit bid],Table1[my_fi_name])</f>
        <v>GBTC</v>
      </c>
      <c r="F14" s="11" t="str">
        <f>_xlfn.XLOOKUP(C14,Table1[unit ask],Table1[my_fi_name])</f>
        <v>FBTC</v>
      </c>
    </row>
    <row r="15" spans="1:19" x14ac:dyDescent="0.25">
      <c r="A15" s="10" t="s">
        <v>27</v>
      </c>
      <c r="B15" s="7">
        <v>63838.693625000007</v>
      </c>
      <c r="C15" s="7">
        <v>63835.481800000001</v>
      </c>
      <c r="D15" s="7">
        <f t="shared" si="0"/>
        <v>3.2118250000057742</v>
      </c>
      <c r="E15" s="11" t="str">
        <f>_xlfn.XLOOKUP(B15,Table1[unit bid],Table1[my_fi_name])</f>
        <v>IBIT</v>
      </c>
      <c r="F15" s="11" t="str">
        <f>_xlfn.XLOOKUP(C15,Table1[unit ask],Table1[my_fi_name])</f>
        <v>FBTC</v>
      </c>
    </row>
    <row r="16" spans="1:19" x14ac:dyDescent="0.25">
      <c r="A16" s="10" t="s">
        <v>28</v>
      </c>
      <c r="B16" s="7">
        <v>63799.86372899999</v>
      </c>
      <c r="C16" s="7">
        <v>63789.532200000001</v>
      </c>
      <c r="D16" s="7">
        <f t="shared" si="0"/>
        <v>10.331528999988222</v>
      </c>
      <c r="E16" s="11" t="str">
        <f>_xlfn.XLOOKUP(B16,Table1[unit bid],Table1[my_fi_name])</f>
        <v>BRRR</v>
      </c>
      <c r="F16" s="11" t="str">
        <f>_xlfn.XLOOKUP(C16,Table1[unit ask],Table1[my_fi_name])</f>
        <v>FBTC</v>
      </c>
    </row>
    <row r="17" spans="1:6" x14ac:dyDescent="0.25">
      <c r="A17" s="10" t="s">
        <v>29</v>
      </c>
      <c r="B17" s="7">
        <v>63738.483749999999</v>
      </c>
      <c r="C17" s="7">
        <v>63732.095199999996</v>
      </c>
      <c r="D17" s="7">
        <f t="shared" si="0"/>
        <v>6.3885500000033062</v>
      </c>
      <c r="E17" s="11" t="str">
        <f>_xlfn.XLOOKUP(B17,Table1[unit bid],Table1[my_fi_name])</f>
        <v>GBTC</v>
      </c>
      <c r="F17" s="11" t="str">
        <f>_xlfn.XLOOKUP(C17,Table1[unit ask],Table1[my_fi_name])</f>
        <v>FBTC</v>
      </c>
    </row>
    <row r="18" spans="1:6" x14ac:dyDescent="0.25">
      <c r="A18" s="10" t="s">
        <v>30</v>
      </c>
      <c r="B18" s="7">
        <v>63838.693625000007</v>
      </c>
      <c r="C18" s="7">
        <v>63822.864105000001</v>
      </c>
      <c r="D18" s="7">
        <f t="shared" si="0"/>
        <v>15.829520000006596</v>
      </c>
      <c r="E18" s="11" t="str">
        <f>_xlfn.XLOOKUP(B18,Table1[unit bid],Table1[my_fi_name])</f>
        <v>IBIT</v>
      </c>
      <c r="F18" s="11" t="str">
        <f>_xlfn.XLOOKUP(C18,Table1[unit ask],Table1[my_fi_name])</f>
        <v>BITB</v>
      </c>
    </row>
    <row r="19" spans="1:6" x14ac:dyDescent="0.25">
      <c r="A19" s="10" t="s">
        <v>31</v>
      </c>
      <c r="B19" s="7">
        <v>63658.007444999996</v>
      </c>
      <c r="C19" s="7">
        <v>63644.758543999997</v>
      </c>
      <c r="D19" s="7">
        <f t="shared" si="0"/>
        <v>13.248900999999023</v>
      </c>
      <c r="E19" s="11" t="str">
        <f>_xlfn.XLOOKUP(B19,Table1[unit bid],Table1[my_fi_name])</f>
        <v>BRRR</v>
      </c>
      <c r="F19" s="11" t="str">
        <f>_xlfn.XLOOKUP(C19,Table1[unit ask],Table1[my_fi_name])</f>
        <v>ARKB</v>
      </c>
    </row>
    <row r="20" spans="1:6" x14ac:dyDescent="0.25">
      <c r="A20" s="10" t="s">
        <v>32</v>
      </c>
      <c r="B20" s="7">
        <v>63674.049374999995</v>
      </c>
      <c r="C20" s="7">
        <v>63674.658199999998</v>
      </c>
      <c r="D20" s="7">
        <f t="shared" si="0"/>
        <v>-0.60882500000298023</v>
      </c>
      <c r="E20" s="11" t="str">
        <f>_xlfn.XLOOKUP(B20,Table1[unit bid],Table1[my_fi_name])</f>
        <v>GBTC</v>
      </c>
      <c r="F20" s="11" t="str">
        <f>_xlfn.XLOOKUP(C20,Table1[unit ask],Table1[my_fi_name])</f>
        <v>FBTC</v>
      </c>
    </row>
    <row r="21" spans="1:6" x14ac:dyDescent="0.25">
      <c r="A21" s="10" t="s">
        <v>33</v>
      </c>
      <c r="B21" s="7">
        <v>63694.263024</v>
      </c>
      <c r="C21" s="7">
        <v>63686.145599999996</v>
      </c>
      <c r="D21" s="7">
        <f t="shared" si="0"/>
        <v>8.1174240000036662</v>
      </c>
      <c r="E21" s="11" t="str">
        <f>_xlfn.XLOOKUP(B21,Table1[unit bid],Table1[my_fi_name])</f>
        <v>BTC</v>
      </c>
      <c r="F21" s="11" t="str">
        <f>_xlfn.XLOOKUP(C21,Table1[unit ask],Table1[my_fi_name])</f>
        <v>FBTC</v>
      </c>
    </row>
    <row r="22" spans="1:6" ht="17.25" x14ac:dyDescent="0.4">
      <c r="A22" s="10" t="s">
        <v>34</v>
      </c>
      <c r="B22" s="7">
        <v>63635.388750000006</v>
      </c>
      <c r="C22" s="7">
        <v>63638.671134999997</v>
      </c>
      <c r="D22" s="19">
        <f t="shared" si="0"/>
        <v>-3.2823849999913364</v>
      </c>
      <c r="E22" s="11" t="str">
        <f>_xlfn.XLOOKUP(B22,Table1[unit bid],Table1[my_fi_name])</f>
        <v>GBTC</v>
      </c>
      <c r="F22" s="11" t="str">
        <f>_xlfn.XLOOKUP(C22,Table1[unit ask],Table1[my_fi_name])</f>
        <v>BITB</v>
      </c>
    </row>
    <row r="23" spans="1:6" x14ac:dyDescent="0.25">
      <c r="D23" s="7">
        <f>SUM(D2:D22)</f>
        <v>57.696508000022732</v>
      </c>
    </row>
    <row r="24" spans="1:6" x14ac:dyDescent="0.25">
      <c r="D24" s="7"/>
    </row>
    <row r="25" spans="1:6" x14ac:dyDescent="0.25">
      <c r="D25" s="7"/>
    </row>
    <row r="26" spans="1:6" ht="17.25" x14ac:dyDescent="0.4">
      <c r="D26" s="19"/>
    </row>
    <row r="27" spans="1:6" x14ac:dyDescent="0.25">
      <c r="D27" s="7"/>
    </row>
    <row r="28" spans="1:6" x14ac:dyDescent="0.25">
      <c r="D28" s="7"/>
    </row>
    <row r="29" spans="1:6" x14ac:dyDescent="0.25">
      <c r="D29" s="7"/>
    </row>
    <row r="30" spans="1:6" x14ac:dyDescent="0.25">
      <c r="D30" s="7"/>
    </row>
    <row r="31" spans="1:6" ht="17.25" x14ac:dyDescent="0.4">
      <c r="D31" s="19"/>
    </row>
  </sheetData>
  <mergeCells count="1">
    <mergeCell ref="Q1:S1"/>
  </mergeCells>
  <conditionalFormatting sqref="K3:K12">
    <cfRule type="top10" dxfId="7" priority="9" bottom="1" rank="3"/>
    <cfRule type="top10" dxfId="6" priority="10" rank="3"/>
  </conditionalFormatting>
  <conditionalFormatting sqref="S3:S12">
    <cfRule type="top10" dxfId="1" priority="1" bottom="1" rank="3"/>
    <cfRule type="top10" dxfId="0" priority="2" rank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ETF_2026-06-12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Hyland</cp:lastModifiedBy>
  <dcterms:created xsi:type="dcterms:W3CDTF">2026-06-12T21:36:38Z</dcterms:created>
  <dcterms:modified xsi:type="dcterms:W3CDTF">2026-06-12T22:07:41Z</dcterms:modified>
</cp:coreProperties>
</file>