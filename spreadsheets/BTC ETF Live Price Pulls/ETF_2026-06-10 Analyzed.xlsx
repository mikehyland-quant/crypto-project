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1_{7F0A5FBA-4A78-4EB3-B6C5-F2984D04F837}" xr6:coauthVersionLast="47" xr6:coauthVersionMax="47" xr10:uidLastSave="{00000000-0000-0000-0000-000000000000}"/>
  <bookViews>
    <workbookView xWindow="690" yWindow="1350" windowWidth="19875" windowHeight="12930" xr2:uid="{4EE585EF-8E26-45A0-A675-50737CC079D8}"/>
  </bookViews>
  <sheets>
    <sheet name="ETF_2026-06-10" sheetId="1" r:id="rId1"/>
    <sheet name="Sheet1" sheetId="2" r:id="rId2"/>
  </sheets>
  <externalReferences>
    <externalReference r:id="rId3"/>
  </externalReferences>
  <calcPr calcId="191029"/>
  <pivotCaches>
    <pivotCache cacheId="15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L4" i="2"/>
  <c r="L5" i="2"/>
  <c r="L7" i="2"/>
  <c r="L8" i="2"/>
  <c r="L11" i="2"/>
  <c r="L12" i="2"/>
  <c r="M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M4" i="2"/>
  <c r="M5" i="2"/>
  <c r="N5" i="2" s="1"/>
  <c r="O5" i="2" s="1"/>
  <c r="M6" i="2"/>
  <c r="M7" i="2"/>
  <c r="N7" i="2" s="1"/>
  <c r="O7" i="2" s="1"/>
  <c r="M8" i="2"/>
  <c r="N8" i="2" s="1"/>
  <c r="O8" i="2" s="1"/>
  <c r="M9" i="2"/>
  <c r="M10" i="2"/>
  <c r="M11" i="2"/>
  <c r="M12" i="2"/>
  <c r="F4" i="1"/>
  <c r="F14" i="1" s="1"/>
  <c r="G14" i="1" s="1"/>
  <c r="I14" i="1" s="1"/>
  <c r="F6" i="1"/>
  <c r="G6" i="1" s="1"/>
  <c r="F7" i="1"/>
  <c r="G7" i="1" s="1"/>
  <c r="F10" i="1"/>
  <c r="G10" i="1" s="1"/>
  <c r="I10" i="1" s="1"/>
  <c r="F11" i="1"/>
  <c r="G11" i="1" s="1"/>
  <c r="I11" i="1" s="1"/>
  <c r="L9" i="2" l="1"/>
  <c r="L10" i="2"/>
  <c r="F9" i="1" s="1"/>
  <c r="G9" i="1" s="1"/>
  <c r="I9" i="1" s="1"/>
  <c r="L6" i="2"/>
  <c r="N4" i="2"/>
  <c r="O4" i="2" s="1"/>
  <c r="F3" i="1"/>
  <c r="F13" i="1" s="1"/>
  <c r="L3" i="2"/>
  <c r="N3" i="2"/>
  <c r="O3" i="2" s="1"/>
  <c r="D19" i="2"/>
  <c r="N12" i="2"/>
  <c r="O12" i="2" s="1"/>
  <c r="N11" i="2"/>
  <c r="O11" i="2" s="1"/>
  <c r="F17" i="1"/>
  <c r="G17" i="1" s="1"/>
  <c r="I17" i="1" s="1"/>
  <c r="G4" i="1"/>
  <c r="H4" i="1" s="1"/>
  <c r="F16" i="1"/>
  <c r="G16" i="1" s="1"/>
  <c r="I16" i="1" s="1"/>
  <c r="G13" i="1"/>
  <c r="I13" i="1" s="1"/>
  <c r="F23" i="1"/>
  <c r="F33" i="1" s="1"/>
  <c r="F43" i="1" s="1"/>
  <c r="G3" i="1"/>
  <c r="I3" i="1" s="1"/>
  <c r="F24" i="1"/>
  <c r="F34" i="1" s="1"/>
  <c r="F44" i="1" s="1"/>
  <c r="F21" i="1"/>
  <c r="F31" i="1" s="1"/>
  <c r="G31" i="1" s="1"/>
  <c r="I31" i="1" s="1"/>
  <c r="F20" i="1"/>
  <c r="F30" i="1" s="1"/>
  <c r="G30" i="1" s="1"/>
  <c r="I30" i="1" s="1"/>
  <c r="H14" i="1"/>
  <c r="H11" i="1"/>
  <c r="H10" i="1"/>
  <c r="H3" i="1"/>
  <c r="H7" i="1"/>
  <c r="I7" i="1"/>
  <c r="I6" i="1"/>
  <c r="H6" i="1"/>
  <c r="F8" i="1" l="1"/>
  <c r="N9" i="2"/>
  <c r="O9" i="2" s="1"/>
  <c r="N10" i="2"/>
  <c r="O10" i="2" s="1"/>
  <c r="F19" i="1"/>
  <c r="F29" i="1" s="1"/>
  <c r="G29" i="1" s="1"/>
  <c r="I29" i="1" s="1"/>
  <c r="H9" i="1"/>
  <c r="F5" i="1"/>
  <c r="N6" i="2"/>
  <c r="O6" i="2" s="1"/>
  <c r="F2" i="1"/>
  <c r="F12" i="1" s="1"/>
  <c r="F27" i="1"/>
  <c r="G27" i="1" s="1"/>
  <c r="H16" i="1"/>
  <c r="G34" i="1"/>
  <c r="I34" i="1" s="1"/>
  <c r="I4" i="1"/>
  <c r="F26" i="1"/>
  <c r="F36" i="1" s="1"/>
  <c r="G36" i="1" s="1"/>
  <c r="H36" i="1" s="1"/>
  <c r="F41" i="1"/>
  <c r="F51" i="1" s="1"/>
  <c r="H30" i="1"/>
  <c r="G21" i="1"/>
  <c r="H21" i="1" s="1"/>
  <c r="G33" i="1"/>
  <c r="H33" i="1" s="1"/>
  <c r="G23" i="1"/>
  <c r="I23" i="1" s="1"/>
  <c r="H13" i="1"/>
  <c r="F40" i="1"/>
  <c r="G24" i="1"/>
  <c r="G20" i="1"/>
  <c r="H17" i="1"/>
  <c r="H31" i="1"/>
  <c r="F54" i="1"/>
  <c r="G44" i="1"/>
  <c r="F53" i="1"/>
  <c r="G43" i="1"/>
  <c r="G8" i="1" l="1"/>
  <c r="F18" i="1"/>
  <c r="F39" i="1"/>
  <c r="F49" i="1" s="1"/>
  <c r="H29" i="1"/>
  <c r="G19" i="1"/>
  <c r="F15" i="1"/>
  <c r="G5" i="1"/>
  <c r="G2" i="1"/>
  <c r="I2" i="1" s="1"/>
  <c r="G12" i="1"/>
  <c r="I12" i="1" s="1"/>
  <c r="F22" i="1"/>
  <c r="F32" i="1" s="1"/>
  <c r="F42" i="1" s="1"/>
  <c r="I36" i="1"/>
  <c r="F46" i="1"/>
  <c r="G46" i="1" s="1"/>
  <c r="H46" i="1" s="1"/>
  <c r="G26" i="1"/>
  <c r="I26" i="1" s="1"/>
  <c r="H34" i="1"/>
  <c r="G41" i="1"/>
  <c r="H41" i="1" s="1"/>
  <c r="F37" i="1"/>
  <c r="G37" i="1" s="1"/>
  <c r="H23" i="1"/>
  <c r="I33" i="1"/>
  <c r="I21" i="1"/>
  <c r="I20" i="1"/>
  <c r="H20" i="1"/>
  <c r="I24" i="1"/>
  <c r="H24" i="1"/>
  <c r="F50" i="1"/>
  <c r="G40" i="1"/>
  <c r="G51" i="1"/>
  <c r="F61" i="1"/>
  <c r="I27" i="1"/>
  <c r="H27" i="1"/>
  <c r="G54" i="1"/>
  <c r="F64" i="1"/>
  <c r="H43" i="1"/>
  <c r="I43" i="1"/>
  <c r="G53" i="1"/>
  <c r="F63" i="1"/>
  <c r="I44" i="1"/>
  <c r="H44" i="1"/>
  <c r="I8" i="1" l="1"/>
  <c r="H8" i="1"/>
  <c r="G18" i="1"/>
  <c r="F28" i="1"/>
  <c r="G39" i="1"/>
  <c r="H39" i="1" s="1"/>
  <c r="H19" i="1"/>
  <c r="I19" i="1"/>
  <c r="G49" i="1"/>
  <c r="F59" i="1"/>
  <c r="F25" i="1"/>
  <c r="G15" i="1"/>
  <c r="I5" i="1"/>
  <c r="H5" i="1"/>
  <c r="F52" i="1"/>
  <c r="G32" i="1"/>
  <c r="H32" i="1" s="1"/>
  <c r="G22" i="1"/>
  <c r="H12" i="1"/>
  <c r="G42" i="1"/>
  <c r="H2" i="1"/>
  <c r="F56" i="1"/>
  <c r="G56" i="1" s="1"/>
  <c r="H26" i="1"/>
  <c r="F66" i="1"/>
  <c r="H56" i="1"/>
  <c r="I46" i="1"/>
  <c r="F47" i="1"/>
  <c r="I41" i="1"/>
  <c r="H40" i="1"/>
  <c r="I40" i="1"/>
  <c r="F60" i="1"/>
  <c r="G50" i="1"/>
  <c r="I37" i="1"/>
  <c r="H37" i="1"/>
  <c r="G63" i="1"/>
  <c r="F73" i="1"/>
  <c r="G61" i="1"/>
  <c r="F71" i="1"/>
  <c r="H53" i="1"/>
  <c r="I53" i="1"/>
  <c r="H51" i="1"/>
  <c r="I51" i="1"/>
  <c r="F74" i="1"/>
  <c r="G64" i="1"/>
  <c r="I54" i="1"/>
  <c r="H54" i="1"/>
  <c r="I18" i="1" l="1"/>
  <c r="H18" i="1"/>
  <c r="F38" i="1"/>
  <c r="G28" i="1"/>
  <c r="I39" i="1"/>
  <c r="G59" i="1"/>
  <c r="F69" i="1"/>
  <c r="I49" i="1"/>
  <c r="H49" i="1"/>
  <c r="F35" i="1"/>
  <c r="G25" i="1"/>
  <c r="I15" i="1"/>
  <c r="H15" i="1"/>
  <c r="I32" i="1"/>
  <c r="I22" i="1"/>
  <c r="H22" i="1"/>
  <c r="G52" i="1"/>
  <c r="F62" i="1"/>
  <c r="H42" i="1"/>
  <c r="I42" i="1"/>
  <c r="I56" i="1"/>
  <c r="G62" i="1"/>
  <c r="F76" i="1"/>
  <c r="G66" i="1"/>
  <c r="G47" i="1"/>
  <c r="F57" i="1"/>
  <c r="H50" i="1"/>
  <c r="I50" i="1"/>
  <c r="F70" i="1"/>
  <c r="G60" i="1"/>
  <c r="H64" i="1"/>
  <c r="I64" i="1"/>
  <c r="F84" i="1"/>
  <c r="G74" i="1"/>
  <c r="G71" i="1"/>
  <c r="F81" i="1"/>
  <c r="H61" i="1"/>
  <c r="I61" i="1"/>
  <c r="F83" i="1"/>
  <c r="G73" i="1"/>
  <c r="H63" i="1"/>
  <c r="I63" i="1"/>
  <c r="F48" i="1" l="1"/>
  <c r="G38" i="1"/>
  <c r="H28" i="1"/>
  <c r="I28" i="1"/>
  <c r="F79" i="1"/>
  <c r="G69" i="1"/>
  <c r="I59" i="1"/>
  <c r="H59" i="1"/>
  <c r="F72" i="1"/>
  <c r="I52" i="1"/>
  <c r="F45" i="1"/>
  <c r="G35" i="1"/>
  <c r="I25" i="1"/>
  <c r="H25" i="1"/>
  <c r="H52" i="1"/>
  <c r="G72" i="1"/>
  <c r="F82" i="1"/>
  <c r="H62" i="1"/>
  <c r="I62" i="1"/>
  <c r="F86" i="1"/>
  <c r="G76" i="1"/>
  <c r="H66" i="1"/>
  <c r="I66" i="1"/>
  <c r="F67" i="1"/>
  <c r="G57" i="1"/>
  <c r="H47" i="1"/>
  <c r="I47" i="1"/>
  <c r="H60" i="1"/>
  <c r="I60" i="1"/>
  <c r="G70" i="1"/>
  <c r="F80" i="1"/>
  <c r="F91" i="1"/>
  <c r="G81" i="1"/>
  <c r="H71" i="1"/>
  <c r="I71" i="1"/>
  <c r="H74" i="1"/>
  <c r="I74" i="1"/>
  <c r="F94" i="1"/>
  <c r="G84" i="1"/>
  <c r="I73" i="1"/>
  <c r="H73" i="1"/>
  <c r="F93" i="1"/>
  <c r="G83" i="1"/>
  <c r="F58" i="1" l="1"/>
  <c r="G48" i="1"/>
  <c r="I38" i="1"/>
  <c r="H38" i="1"/>
  <c r="H69" i="1"/>
  <c r="I69" i="1"/>
  <c r="F89" i="1"/>
  <c r="G79" i="1"/>
  <c r="G45" i="1"/>
  <c r="F55" i="1"/>
  <c r="I35" i="1"/>
  <c r="H35" i="1"/>
  <c r="H72" i="1"/>
  <c r="F92" i="1"/>
  <c r="G82" i="1"/>
  <c r="I72" i="1"/>
  <c r="G86" i="1"/>
  <c r="F96" i="1"/>
  <c r="H76" i="1"/>
  <c r="I76" i="1"/>
  <c r="I57" i="1"/>
  <c r="F77" i="1"/>
  <c r="G67" i="1"/>
  <c r="H57" i="1"/>
  <c r="F90" i="1"/>
  <c r="G80" i="1"/>
  <c r="H70" i="1"/>
  <c r="I70" i="1"/>
  <c r="G91" i="1"/>
  <c r="F101" i="1"/>
  <c r="H84" i="1"/>
  <c r="I84" i="1"/>
  <c r="G94" i="1"/>
  <c r="F104" i="1"/>
  <c r="H83" i="1"/>
  <c r="I83" i="1"/>
  <c r="G93" i="1"/>
  <c r="F103" i="1"/>
  <c r="I81" i="1"/>
  <c r="H81" i="1"/>
  <c r="G58" i="1" l="1"/>
  <c r="F68" i="1"/>
  <c r="H48" i="1"/>
  <c r="I48" i="1"/>
  <c r="H79" i="1"/>
  <c r="I79" i="1"/>
  <c r="G89" i="1"/>
  <c r="F99" i="1"/>
  <c r="H45" i="1"/>
  <c r="E6" i="2" s="1"/>
  <c r="I45" i="1"/>
  <c r="F65" i="1"/>
  <c r="G55" i="1"/>
  <c r="G92" i="1"/>
  <c r="H82" i="1"/>
  <c r="F102" i="1"/>
  <c r="I82" i="1"/>
  <c r="H86" i="1"/>
  <c r="I86" i="1"/>
  <c r="G96" i="1"/>
  <c r="F106" i="1"/>
  <c r="H67" i="1"/>
  <c r="I67" i="1"/>
  <c r="G77" i="1"/>
  <c r="F87" i="1"/>
  <c r="I80" i="1"/>
  <c r="H80" i="1"/>
  <c r="G90" i="1"/>
  <c r="F100" i="1"/>
  <c r="F113" i="1"/>
  <c r="G103" i="1"/>
  <c r="F111" i="1"/>
  <c r="G101" i="1"/>
  <c r="I93" i="1"/>
  <c r="H93" i="1"/>
  <c r="F114" i="1"/>
  <c r="G104" i="1"/>
  <c r="I91" i="1"/>
  <c r="H91" i="1"/>
  <c r="I94" i="1"/>
  <c r="H94" i="1"/>
  <c r="I58" i="1" l="1"/>
  <c r="H58" i="1"/>
  <c r="F78" i="1"/>
  <c r="G68" i="1"/>
  <c r="H89" i="1"/>
  <c r="I89" i="1"/>
  <c r="F109" i="1"/>
  <c r="G99" i="1"/>
  <c r="G65" i="1"/>
  <c r="F75" i="1"/>
  <c r="H55" i="1"/>
  <c r="I55" i="1"/>
  <c r="H92" i="1"/>
  <c r="I92" i="1"/>
  <c r="F112" i="1"/>
  <c r="G102" i="1"/>
  <c r="H96" i="1"/>
  <c r="I96" i="1"/>
  <c r="F116" i="1"/>
  <c r="G106" i="1"/>
  <c r="F97" i="1"/>
  <c r="G87" i="1"/>
  <c r="I77" i="1"/>
  <c r="H77" i="1"/>
  <c r="F110" i="1"/>
  <c r="G100" i="1"/>
  <c r="I90" i="1"/>
  <c r="H90" i="1"/>
  <c r="G113" i="1"/>
  <c r="F123" i="1"/>
  <c r="I104" i="1"/>
  <c r="H104" i="1"/>
  <c r="G114" i="1"/>
  <c r="F124" i="1"/>
  <c r="I101" i="1"/>
  <c r="H101" i="1"/>
  <c r="G111" i="1"/>
  <c r="F121" i="1"/>
  <c r="H103" i="1"/>
  <c r="I103" i="1"/>
  <c r="F88" i="1" l="1"/>
  <c r="G78" i="1"/>
  <c r="H68" i="1"/>
  <c r="I68" i="1"/>
  <c r="I99" i="1"/>
  <c r="H99" i="1"/>
  <c r="G109" i="1"/>
  <c r="F119" i="1"/>
  <c r="I65" i="1"/>
  <c r="H65" i="1"/>
  <c r="G75" i="1"/>
  <c r="F85" i="1"/>
  <c r="H102" i="1"/>
  <c r="I102" i="1"/>
  <c r="G112" i="1"/>
  <c r="F122" i="1"/>
  <c r="G116" i="1"/>
  <c r="F126" i="1"/>
  <c r="I106" i="1"/>
  <c r="H106" i="1"/>
  <c r="I87" i="1"/>
  <c r="F107" i="1"/>
  <c r="H87" i="1"/>
  <c r="G97" i="1"/>
  <c r="G110" i="1"/>
  <c r="F120" i="1"/>
  <c r="I100" i="1"/>
  <c r="H100" i="1"/>
  <c r="G121" i="1"/>
  <c r="F131" i="1"/>
  <c r="H111" i="1"/>
  <c r="I111" i="1"/>
  <c r="G123" i="1"/>
  <c r="F133" i="1"/>
  <c r="I113" i="1"/>
  <c r="H113" i="1"/>
  <c r="F134" i="1"/>
  <c r="G124" i="1"/>
  <c r="I114" i="1"/>
  <c r="H114" i="1"/>
  <c r="G88" i="1" l="1"/>
  <c r="F98" i="1"/>
  <c r="I78" i="1"/>
  <c r="H78" i="1"/>
  <c r="G119" i="1"/>
  <c r="F129" i="1"/>
  <c r="H109" i="1"/>
  <c r="I109" i="1"/>
  <c r="I75" i="1"/>
  <c r="H75" i="1"/>
  <c r="G85" i="1"/>
  <c r="F95" i="1"/>
  <c r="F132" i="1"/>
  <c r="H112" i="1"/>
  <c r="I112" i="1"/>
  <c r="G122" i="1"/>
  <c r="H116" i="1"/>
  <c r="I116" i="1"/>
  <c r="F136" i="1"/>
  <c r="G126" i="1"/>
  <c r="I97" i="1"/>
  <c r="G107" i="1"/>
  <c r="F117" i="1"/>
  <c r="H97" i="1"/>
  <c r="I110" i="1"/>
  <c r="H110" i="1"/>
  <c r="F130" i="1"/>
  <c r="G120" i="1"/>
  <c r="G133" i="1"/>
  <c r="F143" i="1"/>
  <c r="I123" i="1"/>
  <c r="H123" i="1"/>
  <c r="I124" i="1"/>
  <c r="H124" i="1"/>
  <c r="G134" i="1"/>
  <c r="F144" i="1"/>
  <c r="F141" i="1"/>
  <c r="G131" i="1"/>
  <c r="I121" i="1"/>
  <c r="H121" i="1"/>
  <c r="H88" i="1" l="1"/>
  <c r="I88" i="1"/>
  <c r="G98" i="1"/>
  <c r="F108" i="1"/>
  <c r="F139" i="1"/>
  <c r="G129" i="1"/>
  <c r="H119" i="1"/>
  <c r="I119" i="1"/>
  <c r="I85" i="1"/>
  <c r="H85" i="1"/>
  <c r="G95" i="1"/>
  <c r="F105" i="1"/>
  <c r="F142" i="1"/>
  <c r="I122" i="1"/>
  <c r="H122" i="1"/>
  <c r="G132" i="1"/>
  <c r="F146" i="1"/>
  <c r="G136" i="1"/>
  <c r="I126" i="1"/>
  <c r="H126" i="1"/>
  <c r="F127" i="1"/>
  <c r="H107" i="1"/>
  <c r="G117" i="1"/>
  <c r="I107" i="1"/>
  <c r="H120" i="1"/>
  <c r="I120" i="1"/>
  <c r="F140" i="1"/>
  <c r="G130" i="1"/>
  <c r="H134" i="1"/>
  <c r="I134" i="1"/>
  <c r="H131" i="1"/>
  <c r="I131" i="1"/>
  <c r="F151" i="1"/>
  <c r="G141" i="1"/>
  <c r="F153" i="1"/>
  <c r="G143" i="1"/>
  <c r="H133" i="1"/>
  <c r="I133" i="1"/>
  <c r="F154" i="1"/>
  <c r="G144" i="1"/>
  <c r="H129" i="1" l="1"/>
  <c r="H98" i="1"/>
  <c r="I98" i="1"/>
  <c r="F118" i="1"/>
  <c r="G108" i="1"/>
  <c r="G139" i="1"/>
  <c r="F149" i="1"/>
  <c r="I129" i="1"/>
  <c r="I95" i="1"/>
  <c r="H95" i="1"/>
  <c r="G105" i="1"/>
  <c r="F115" i="1"/>
  <c r="H132" i="1"/>
  <c r="I132" i="1"/>
  <c r="F152" i="1"/>
  <c r="G142" i="1"/>
  <c r="G146" i="1"/>
  <c r="F156" i="1"/>
  <c r="H136" i="1"/>
  <c r="I136" i="1"/>
  <c r="H117" i="1"/>
  <c r="I117" i="1"/>
  <c r="F137" i="1"/>
  <c r="G127" i="1"/>
  <c r="H130" i="1"/>
  <c r="I130" i="1"/>
  <c r="F150" i="1"/>
  <c r="G140" i="1"/>
  <c r="H144" i="1"/>
  <c r="I144" i="1"/>
  <c r="G154" i="1"/>
  <c r="F164" i="1"/>
  <c r="I143" i="1"/>
  <c r="H143" i="1"/>
  <c r="G153" i="1"/>
  <c r="F163" i="1"/>
  <c r="H141" i="1"/>
  <c r="I141" i="1"/>
  <c r="G151" i="1"/>
  <c r="F161" i="1"/>
  <c r="G118" i="1" l="1"/>
  <c r="F128" i="1"/>
  <c r="I108" i="1"/>
  <c r="H108" i="1"/>
  <c r="G149" i="1"/>
  <c r="F159" i="1"/>
  <c r="H139" i="1"/>
  <c r="I139" i="1"/>
  <c r="H105" i="1"/>
  <c r="I105" i="1"/>
  <c r="F125" i="1"/>
  <c r="G115" i="1"/>
  <c r="H127" i="1"/>
  <c r="I127" i="1"/>
  <c r="I142" i="1"/>
  <c r="H142" i="1"/>
  <c r="G152" i="1"/>
  <c r="F162" i="1"/>
  <c r="H146" i="1"/>
  <c r="I146" i="1"/>
  <c r="G156" i="1"/>
  <c r="F166" i="1"/>
  <c r="G166" i="1" s="1"/>
  <c r="G137" i="1"/>
  <c r="F147" i="1"/>
  <c r="H140" i="1"/>
  <c r="I140" i="1"/>
  <c r="G150" i="1"/>
  <c r="F160" i="1"/>
  <c r="F171" i="1"/>
  <c r="G161" i="1"/>
  <c r="H151" i="1"/>
  <c r="I151" i="1"/>
  <c r="G164" i="1"/>
  <c r="H154" i="1"/>
  <c r="I154" i="1"/>
  <c r="G163" i="1"/>
  <c r="I153" i="1"/>
  <c r="H153" i="1"/>
  <c r="H149" i="1" l="1"/>
  <c r="H118" i="1"/>
  <c r="I118" i="1"/>
  <c r="F138" i="1"/>
  <c r="G128" i="1"/>
  <c r="F169" i="1"/>
  <c r="G159" i="1"/>
  <c r="I149" i="1"/>
  <c r="F135" i="1"/>
  <c r="G125" i="1"/>
  <c r="H115" i="1"/>
  <c r="I115" i="1"/>
  <c r="G162" i="1"/>
  <c r="H152" i="1"/>
  <c r="I152" i="1"/>
  <c r="G147" i="1"/>
  <c r="F157" i="1"/>
  <c r="H137" i="1"/>
  <c r="I137" i="1"/>
  <c r="H156" i="1"/>
  <c r="I156" i="1"/>
  <c r="H166" i="1"/>
  <c r="I166" i="1"/>
  <c r="F170" i="1"/>
  <c r="G160" i="1"/>
  <c r="I150" i="1"/>
  <c r="H150" i="1"/>
  <c r="H163" i="1"/>
  <c r="I163" i="1"/>
  <c r="H161" i="1"/>
  <c r="I161" i="1"/>
  <c r="G171" i="1"/>
  <c r="H164" i="1"/>
  <c r="I164" i="1"/>
  <c r="F148" i="1" l="1"/>
  <c r="G138" i="1"/>
  <c r="H128" i="1"/>
  <c r="I128" i="1"/>
  <c r="I159" i="1"/>
  <c r="H159" i="1"/>
  <c r="G169" i="1"/>
  <c r="F145" i="1"/>
  <c r="G135" i="1"/>
  <c r="I125" i="1"/>
  <c r="H125" i="1"/>
  <c r="H162" i="1"/>
  <c r="I162" i="1"/>
  <c r="F167" i="1"/>
  <c r="G157" i="1"/>
  <c r="H147" i="1"/>
  <c r="I147" i="1"/>
  <c r="H160" i="1"/>
  <c r="I160" i="1"/>
  <c r="G170" i="1"/>
  <c r="I171" i="1"/>
  <c r="H171" i="1"/>
  <c r="G148" i="1" l="1"/>
  <c r="F158" i="1"/>
  <c r="H138" i="1"/>
  <c r="I138" i="1"/>
  <c r="H169" i="1"/>
  <c r="I169" i="1"/>
  <c r="F7" i="2" s="1"/>
  <c r="G145" i="1"/>
  <c r="F155" i="1"/>
  <c r="I135" i="1"/>
  <c r="H135" i="1"/>
  <c r="I157" i="1"/>
  <c r="H157" i="1"/>
  <c r="G167" i="1"/>
  <c r="H170" i="1"/>
  <c r="I170" i="1"/>
  <c r="I148" i="1" l="1"/>
  <c r="H148" i="1"/>
  <c r="G158" i="1"/>
  <c r="F168" i="1"/>
  <c r="G168" i="1" s="1"/>
  <c r="F16" i="2"/>
  <c r="F12" i="2"/>
  <c r="H145" i="1"/>
  <c r="I145" i="1"/>
  <c r="G155" i="1"/>
  <c r="F165" i="1"/>
  <c r="G165" i="1" s="1"/>
  <c r="H167" i="1"/>
  <c r="I167" i="1"/>
  <c r="F4" i="2" s="1"/>
  <c r="I158" i="1" l="1"/>
  <c r="H158" i="1"/>
  <c r="I168" i="1"/>
  <c r="H168" i="1"/>
  <c r="E5" i="2"/>
  <c r="H155" i="1"/>
  <c r="I155" i="1"/>
  <c r="I165" i="1"/>
  <c r="H165" i="1"/>
  <c r="E4" i="2"/>
  <c r="E14" i="2"/>
  <c r="E3" i="2"/>
  <c r="E18" i="2"/>
  <c r="E9" i="2"/>
  <c r="E15" i="2"/>
  <c r="E11" i="2"/>
  <c r="E8" i="2"/>
  <c r="F15" i="2"/>
  <c r="F13" i="2"/>
  <c r="F11" i="2"/>
  <c r="F8" i="2"/>
  <c r="F10" i="2"/>
  <c r="F14" i="2"/>
  <c r="F6" i="2"/>
  <c r="F3" i="2"/>
  <c r="F5" i="2"/>
  <c r="F2" i="2"/>
  <c r="F9" i="2"/>
  <c r="E16" i="2" l="1"/>
  <c r="F17" i="2"/>
  <c r="E2" i="2"/>
  <c r="E12" i="2"/>
  <c r="E7" i="2"/>
  <c r="F18" i="2"/>
  <c r="E17" i="2"/>
  <c r="E13" i="2"/>
  <c r="E10" i="2"/>
  <c r="J7" i="2" l="1"/>
  <c r="R7" i="2" s="1"/>
  <c r="J3" i="2"/>
  <c r="R3" i="2" s="1"/>
  <c r="J4" i="2"/>
  <c r="R4" i="2" s="1"/>
  <c r="J5" i="2"/>
  <c r="R5" i="2" s="1"/>
  <c r="J8" i="2"/>
  <c r="R8" i="2" s="1"/>
  <c r="J6" i="2"/>
  <c r="R6" i="2" s="1"/>
  <c r="J10" i="2"/>
  <c r="R10" i="2" s="1"/>
  <c r="J9" i="2"/>
  <c r="R9" i="2" s="1"/>
  <c r="J12" i="2"/>
  <c r="R12" i="2" s="1"/>
  <c r="J11" i="2"/>
  <c r="R11" i="2" s="1"/>
  <c r="I3" i="2"/>
  <c r="Q3" i="2" s="1"/>
  <c r="I6" i="2"/>
  <c r="Q6" i="2" s="1"/>
  <c r="I8" i="2"/>
  <c r="Q8" i="2" s="1"/>
  <c r="I4" i="2"/>
  <c r="Q4" i="2" s="1"/>
  <c r="I11" i="2"/>
  <c r="Q11" i="2" s="1"/>
  <c r="S11" i="2" s="1"/>
  <c r="I7" i="2"/>
  <c r="Q7" i="2" s="1"/>
  <c r="I5" i="2"/>
  <c r="Q5" i="2" s="1"/>
  <c r="I9" i="2"/>
  <c r="Q9" i="2" s="1"/>
  <c r="I10" i="2"/>
  <c r="Q10" i="2" s="1"/>
  <c r="I12" i="2"/>
  <c r="Q12" i="2" s="1"/>
  <c r="S12" i="2" l="1"/>
  <c r="S10" i="2"/>
  <c r="R13" i="2"/>
  <c r="J13" i="2"/>
  <c r="S6" i="2"/>
  <c r="S8" i="2"/>
  <c r="S4" i="2"/>
  <c r="S7" i="2"/>
  <c r="S5" i="2"/>
  <c r="S3" i="2"/>
  <c r="S9" i="2"/>
  <c r="K5" i="2"/>
  <c r="K6" i="2"/>
  <c r="K10" i="2"/>
  <c r="K9" i="2"/>
  <c r="K12" i="2"/>
  <c r="K3" i="2"/>
  <c r="I13" i="2"/>
  <c r="K4" i="2"/>
  <c r="K11" i="2"/>
  <c r="K8" i="2"/>
  <c r="K7" i="2"/>
  <c r="Q13" i="2"/>
  <c r="S13" i="2" l="1"/>
  <c r="K13" i="2"/>
</calcChain>
</file>

<file path=xl/sharedStrings.xml><?xml version="1.0" encoding="utf-8"?>
<sst xmlns="http://schemas.openxmlformats.org/spreadsheetml/2006/main" count="390" uniqueCount="49">
  <si>
    <t>my_fi_name</t>
  </si>
  <si>
    <t>price_mkt_bid</t>
  </si>
  <si>
    <t>price_mkt_ask</t>
  </si>
  <si>
    <t>time</t>
  </si>
  <si>
    <t>ARKB</t>
  </si>
  <si>
    <t>2026-06-10_11-53-43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</si>
  <si>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</si>
  <si>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</si>
  <si>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</si>
  <si>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</si>
  <si>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</si>
  <si>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</si>
  <si>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</si>
  <si>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</si>
  <si>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</si>
  <si>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2026-06-10_12-08-43</t>
  </si>
  <si>
    <t>2026-06-10_12-23-43</t>
  </si>
  <si>
    <t>2026-06-10_12-38-43</t>
  </si>
  <si>
    <t>2026-06-10_12-53-43</t>
  </si>
  <si>
    <t>2026-06-10_13-08-43</t>
  </si>
  <si>
    <t>2026-06-10_13-23-43</t>
  </si>
  <si>
    <t>2026-06-10_13-38-43</t>
  </si>
  <si>
    <t>2026-06-10_13-53-43</t>
  </si>
  <si>
    <t>2026-06-10_14-08-43</t>
  </si>
  <si>
    <t>2026-06-10_14-23-43</t>
  </si>
  <si>
    <t>2026-06-10_14-38-43</t>
  </si>
  <si>
    <t>2026-06-10_14-53-43</t>
  </si>
  <si>
    <t>2026-06-10_15-08-43</t>
  </si>
  <si>
    <t>2026-06-10_15-23-43</t>
  </si>
  <si>
    <t>2026-06-10_15-38-43</t>
  </si>
  <si>
    <t>2026-06-10_15-53-43</t>
  </si>
  <si>
    <t>scalar</t>
  </si>
  <si>
    <t>unit bid</t>
  </si>
  <si>
    <t>unit ask</t>
  </si>
  <si>
    <t>Row Labels</t>
  </si>
  <si>
    <t>Max of unit bid</t>
  </si>
  <si>
    <t>Min of unit ask</t>
  </si>
  <si>
    <t>hit bid</t>
  </si>
  <si>
    <t>lift ask</t>
  </si>
  <si>
    <t>net</t>
  </si>
  <si>
    <t>diff</t>
  </si>
  <si>
    <t>price</t>
  </si>
  <si>
    <t>$ diff</t>
  </si>
  <si>
    <t>bid name</t>
  </si>
  <si>
    <t>ask name</t>
  </si>
  <si>
    <t>adj</t>
  </si>
  <si>
    <t>adj scalar</t>
  </si>
  <si>
    <t>% diff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</si>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</sst>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2" applyFont="1"/>
    <xf numFmtId="0" fontId="0" fillId="0" borderId="0" xfId="0" applyAlignment="1">
      <alignment horizontal="right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right"/>
    </xf>
    <xf numFmtId="0" fontId="16" fillId="0" borderId="0" xfId="0" applyFont="1"/>
    <xf numFmtId="165" fontId="0" fillId="0" borderId="0" xfId="1" applyNumberFormat="1" applyFont="1"/>
    <xf numFmtId="44" fontId="19" fillId="0" borderId="0" xfId="2" applyFont="1" applyAlignment="1">
      <alignment horizontal="right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66" fontId="0" fillId="0" borderId="0" xfId="44" applyNumberFormat="1" applyFont="1"/>
    <xf numFmtId="165" fontId="0" fillId="0" borderId="0" xfId="1" applyNumberFormat="1" applyFont="1" applyAlignment="1">
      <alignment horizontal="center"/>
    </xf>
    <xf numFmtId="165" fontId="0" fillId="33" borderId="0" xfId="1" applyNumberFormat="1" applyFont="1" applyFill="1"/>
    <xf numFmtId="164" fontId="0" fillId="33" borderId="0" xfId="0" applyNumberFormat="1" applyFill="1"/>
    <xf numFmtId="44" fontId="20" fillId="0" borderId="0" xfId="0" applyNumberFormat="1" applyFont="1"/>
    <xf numFmtId="44" fontId="16" fillId="0" borderId="0" xfId="2" applyFont="1" applyAlignment="1">
      <alignment horizontal="center"/>
    </xf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44" builtinId="5"/>
    <cellStyle name="Title" xfId="3" builtinId="15" customBuiltin="1"/>
    <cellStyle name="Total" xfId="19" builtinId="25" customBuiltin="1"/>
    <cellStyle name="Warning Text" xfId="16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numFmt numFmtId="165" formatCode="_(* #,##0.0000_);_(* \(#,##0.0000\);_(* &quot;-&quot;??_);_(@_)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crypto\spreadsheets\ETF_2026-06-11%20Analyzed.xlsx" TargetMode="External"/><Relationship Id="rId1" Type="http://schemas.openxmlformats.org/officeDocument/2006/relationships/externalLinkPath" Target="ETF_2026-06-11%20Analy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_2026-06-11"/>
      <sheetName val="Sheet1"/>
    </sheetNames>
    <sheetDataSet>
      <sheetData sheetId="0"/>
      <sheetData sheetId="1">
        <row r="3">
          <cell r="L3">
            <v>-0.1</v>
          </cell>
        </row>
        <row r="4">
          <cell r="L4">
            <v>0.1</v>
          </cell>
        </row>
        <row r="5">
          <cell r="L5">
            <v>0</v>
          </cell>
        </row>
        <row r="6">
          <cell r="L6">
            <v>0.2</v>
          </cell>
        </row>
        <row r="7">
          <cell r="L7">
            <v>0</v>
          </cell>
        </row>
        <row r="8">
          <cell r="L8">
            <v>-0.2</v>
          </cell>
        </row>
        <row r="9">
          <cell r="L9">
            <v>0.05</v>
          </cell>
        </row>
        <row r="10">
          <cell r="L10">
            <v>-0.05</v>
          </cell>
        </row>
        <row r="11">
          <cell r="L11">
            <v>0</v>
          </cell>
        </row>
        <row r="12">
          <cell r="L12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85.754439930555" createdVersion="8" refreshedVersion="8" minRefreshableVersion="3" recordCount="170" xr:uid="{E068F6D9-8ED8-4172-8721-D947D942BC8B}">
  <cacheSource type="worksheet">
    <worksheetSource name="Table1"/>
  </cacheSource>
  <cacheFields count="9">
    <cacheField name="my_fi_name" numFmtId="0">
      <sharedItems/>
    </cacheField>
    <cacheField name="price_mkt_bid" numFmtId="44">
      <sharedItems containsSemiMixedTypes="0" containsString="0" containsNumber="1" minValue="17.37" maxValue="66.06"/>
    </cacheField>
    <cacheField name="price_mkt_ask" numFmtId="44">
      <sharedItems containsSemiMixedTypes="0" containsString="0" containsNumber="1" minValue="17.38" maxValue="66.17"/>
    </cacheField>
    <cacheField name="time" numFmtId="0">
      <sharedItems count="18">
        <s v="2026-06-10_11-53-43"/>
        <s v="2026-06-10_12-08-43"/>
        <s v="2026-06-10_12-23-43"/>
        <s v="2026-06-10_12-38-43"/>
        <s v="2026-06-10_12-53-43"/>
        <s v="2026-06-10_13-08-43"/>
        <s v="2026-06-10_13-23-43"/>
        <s v="2026-06-10_13-38-43"/>
        <s v="2026-06-10_13-53-43"/>
        <s v="2026-06-10_14-08-43"/>
        <s v="2026-06-10_14-23-43"/>
        <s v="2026-06-10_14-38-43"/>
        <s v="2026-06-10_14-53-43"/>
        <s v="2026-06-10_15-08-43"/>
        <s v="2026-06-10_15-23-43"/>
        <s v="2026-06-10_15-38-43"/>
        <s v="2026-06-10_15-53-43"/>
        <s v="2026-06-10_16-08-43" u="1"/>
      </sharedItems>
    </cacheField>
    <cacheField name="scalar" numFmtId="165">
      <sharedItems containsSemiMixedTypes="0" containsString="0" containsNumber="1" minValue="946.05840000000001" maxValue="3546.3099000000002"/>
    </cacheField>
    <cacheField name="adj" numFmtId="165">
      <sharedItems containsSemiMixedTypes="0" containsString="0" containsNumber="1" minValue="-0.2" maxValue="0.2"/>
    </cacheField>
    <cacheField name="adj scalar" numFmtId="165">
      <sharedItems containsSemiMixedTypes="0" containsString="0" containsNumber="1" minValue="946.05840000000001" maxValue="3546.3099000000002"/>
    </cacheField>
    <cacheField name="unit bid" numFmtId="44">
      <sharedItems containsSemiMixedTypes="0" containsString="0" containsNumber="1" minValue="61593.205715999997" maxValue="62503.951355999998"/>
    </cacheField>
    <cacheField name="unit ask" numFmtId="44">
      <sharedItems containsSemiMixedTypes="0" containsString="0" containsNumber="1" minValue="61623.354127999999" maxValue="62600.684328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s v="ARKB"/>
    <n v="20.73"/>
    <n v="20.74"/>
    <x v="0"/>
    <n v="3014.7411999999999"/>
    <n v="-0.1"/>
    <n v="3014.8411999999998"/>
    <n v="62497.658076"/>
    <n v="62527.806487999995"/>
  </r>
  <r>
    <s v="BITB"/>
    <n v="33.93"/>
    <n v="33.94"/>
    <x v="0"/>
    <n v="1841.9893"/>
    <n v="0.1"/>
    <n v="1841.8893"/>
    <n v="62495.303949000001"/>
    <n v="62513.722841999996"/>
  </r>
  <r>
    <s v="BRRR"/>
    <n v="17.62"/>
    <n v="17.63"/>
    <x v="0"/>
    <n v="3546.3099000000002"/>
    <n v="0"/>
    <n v="3546.3099000000002"/>
    <n v="62485.980438000006"/>
    <n v="62521.443536999999"/>
  </r>
  <r>
    <s v="BTC"/>
    <n v="27.64"/>
    <n v="27.65"/>
    <x v="0"/>
    <n v="2261.23"/>
    <n v="0.2"/>
    <n v="2261.0300000000002"/>
    <n v="62494.869200000008"/>
    <n v="62517.479500000001"/>
  </r>
  <r>
    <s v="BTCW"/>
    <n v="66.06"/>
    <n v="66.17"/>
    <x v="0"/>
    <n v="946.05840000000001"/>
    <n v="0"/>
    <n v="946.05840000000001"/>
    <n v="62496.617904000006"/>
    <n v="62600.684328000003"/>
  </r>
  <r>
    <s v="EZBC"/>
    <n v="36.119999999999997"/>
    <n v="36.14"/>
    <x v="0"/>
    <n v="1730.0198"/>
    <n v="-0.2"/>
    <n v="1730.2198000000001"/>
    <n v="62495.539175999998"/>
    <n v="62530.143572000001"/>
  </r>
  <r>
    <s v="FBTC"/>
    <n v="54.41"/>
    <n v="54.42"/>
    <x v="0"/>
    <n v="1148.7583999999999"/>
    <n v="0.05"/>
    <n v="1148.7084"/>
    <n v="62501.224043999995"/>
    <n v="62512.711128000003"/>
  </r>
  <r>
    <s v="GBTC"/>
    <n v="48.51"/>
    <n v="48.52"/>
    <x v="0"/>
    <n v="1288.4256"/>
    <n v="-0.05"/>
    <n v="1288.4756"/>
    <n v="62503.951355999998"/>
    <n v="62516.836112000005"/>
  </r>
  <r>
    <s v="HODL"/>
    <n v="17.670000000000002"/>
    <n v="17.68"/>
    <x v="0"/>
    <n v="3535.8029000000001"/>
    <n v="0"/>
    <n v="3535.8029000000001"/>
    <n v="62477.637243000012"/>
    <n v="62512.995272"/>
  </r>
  <r>
    <s v="IBIT"/>
    <n v="35.409999999999997"/>
    <n v="35.42"/>
    <x v="0"/>
    <n v="1764.9141"/>
    <n v="0"/>
    <n v="1764.9141"/>
    <n v="62495.608280999993"/>
    <n v="62513.257422000002"/>
  </r>
  <r>
    <s v="ARKB"/>
    <n v="20.68"/>
    <n v="20.69"/>
    <x v="1"/>
    <n v="3014.7411999999999"/>
    <n v="-0.1"/>
    <n v="3014.8411999999998"/>
    <n v="62346.916015999996"/>
    <n v="62377.064427999998"/>
  </r>
  <r>
    <s v="BITB"/>
    <n v="33.86"/>
    <n v="33.869999999999997"/>
    <x v="1"/>
    <n v="1841.9893"/>
    <n v="0.1"/>
    <n v="1841.8893"/>
    <n v="62366.371698000003"/>
    <n v="62384.790590999997"/>
  </r>
  <r>
    <s v="BRRR"/>
    <n v="17.579999999999998"/>
    <n v="17.59"/>
    <x v="1"/>
    <n v="3546.3099000000002"/>
    <n v="0"/>
    <n v="3546.3099000000002"/>
    <n v="62344.128041999997"/>
    <n v="62379.591141000004"/>
  </r>
  <r>
    <s v="BTC"/>
    <n v="27.58"/>
    <n v="27.59"/>
    <x v="1"/>
    <n v="2261.23"/>
    <n v="0.2"/>
    <n v="2261.0300000000002"/>
    <n v="62359.207399999999"/>
    <n v="62381.817700000007"/>
  </r>
  <r>
    <s v="BTCW"/>
    <n v="65.92"/>
    <n v="66.03"/>
    <x v="1"/>
    <n v="946.05840000000001"/>
    <n v="0"/>
    <n v="946.05840000000001"/>
    <n v="62364.169728000001"/>
    <n v="62468.236152000005"/>
  </r>
  <r>
    <s v="EZBC"/>
    <n v="36.03"/>
    <n v="36.049999999999997"/>
    <x v="1"/>
    <n v="1730.0198"/>
    <n v="-0.2"/>
    <n v="1730.2198000000001"/>
    <n v="62339.819394000006"/>
    <n v="62374.423790000001"/>
  </r>
  <r>
    <s v="FBTC"/>
    <n v="54.29"/>
    <n v="54.3"/>
    <x v="1"/>
    <n v="1148.7583999999999"/>
    <n v="0.05"/>
    <n v="1148.7084"/>
    <n v="62363.379035999998"/>
    <n v="62374.866119999999"/>
  </r>
  <r>
    <s v="GBTC"/>
    <n v="48.4"/>
    <n v="48.41"/>
    <x v="1"/>
    <n v="1288.4256"/>
    <n v="-0.05"/>
    <n v="1288.4756"/>
    <n v="62362.219039999996"/>
    <n v="62375.103795999996"/>
  </r>
  <r>
    <s v="HODL"/>
    <n v="17.63"/>
    <n v="17.64"/>
    <x v="1"/>
    <n v="3535.8029000000001"/>
    <n v="0"/>
    <n v="3535.8029000000001"/>
    <n v="62336.205127000001"/>
    <n v="62371.563156000004"/>
  </r>
  <r>
    <s v="IBIT"/>
    <n v="35.33"/>
    <n v="35.340000000000003"/>
    <x v="1"/>
    <n v="1764.9141"/>
    <n v="0"/>
    <n v="1764.9141"/>
    <n v="62354.415152999994"/>
    <n v="62372.064294000003"/>
  </r>
  <r>
    <s v="ARKB"/>
    <n v="20.64"/>
    <n v="20.65"/>
    <x v="2"/>
    <n v="3014.7411999999999"/>
    <n v="-0.1"/>
    <n v="3014.8411999999998"/>
    <n v="62226.322368000001"/>
    <n v="62256.470779999996"/>
  </r>
  <r>
    <s v="BITB"/>
    <n v="33.79"/>
    <n v="33.799999999999997"/>
    <x v="2"/>
    <n v="1841.9893"/>
    <n v="0.1"/>
    <n v="1841.8893"/>
    <n v="62237.439446999997"/>
    <n v="62255.858339999999"/>
  </r>
  <r>
    <s v="BRRR"/>
    <n v="17.54"/>
    <n v="17.55"/>
    <x v="2"/>
    <n v="3546.3099000000002"/>
    <n v="0"/>
    <n v="3546.3099000000002"/>
    <n v="62202.275646000002"/>
    <n v="62237.738745000002"/>
  </r>
  <r>
    <s v="BTC"/>
    <n v="27.52"/>
    <n v="27.53"/>
    <x v="2"/>
    <n v="2261.23"/>
    <n v="0.2"/>
    <n v="2261.0300000000002"/>
    <n v="62223.545600000005"/>
    <n v="62246.155900000005"/>
  </r>
  <r>
    <s v="BTCW"/>
    <n v="65.78"/>
    <n v="65.87"/>
    <x v="2"/>
    <n v="946.05840000000001"/>
    <n v="0"/>
    <n v="946.05840000000001"/>
    <n v="62231.721552000003"/>
    <n v="62316.866808000006"/>
  </r>
  <r>
    <s v="EZBC"/>
    <n v="35.96"/>
    <n v="35.979999999999997"/>
    <x v="2"/>
    <n v="1730.0198"/>
    <n v="-0.2"/>
    <n v="1730.2198000000001"/>
    <n v="62218.704008000008"/>
    <n v="62253.308403999996"/>
  </r>
  <r>
    <s v="FBTC"/>
    <n v="54.18"/>
    <n v="54.19"/>
    <x v="2"/>
    <n v="1148.7583999999999"/>
    <n v="0.05"/>
    <n v="1148.7084"/>
    <n v="62237.021112000002"/>
    <n v="62248.508195999995"/>
  </r>
  <r>
    <s v="GBTC"/>
    <n v="48.3"/>
    <n v="48.31"/>
    <x v="2"/>
    <n v="1288.4256"/>
    <n v="-0.05"/>
    <n v="1288.4756"/>
    <n v="62233.371479999994"/>
    <n v="62246.256236000001"/>
  </r>
  <r>
    <s v="HODL"/>
    <n v="17.600000000000001"/>
    <n v="17.61"/>
    <x v="2"/>
    <n v="3535.8029000000001"/>
    <n v="0"/>
    <n v="3535.8029000000001"/>
    <n v="62230.131040000007"/>
    <n v="62265.489069000003"/>
  </r>
  <r>
    <s v="IBIT"/>
    <n v="35.25"/>
    <n v="35.26"/>
    <x v="2"/>
    <n v="1764.9141"/>
    <n v="0"/>
    <n v="1764.9141"/>
    <n v="62213.222024999995"/>
    <n v="62230.871165999997"/>
  </r>
  <r>
    <s v="ARKB"/>
    <n v="20.66"/>
    <n v="20.67"/>
    <x v="3"/>
    <n v="3014.7411999999999"/>
    <n v="-0.1"/>
    <n v="3014.8411999999998"/>
    <n v="62286.619191999998"/>
    <n v="62316.767604000001"/>
  </r>
  <r>
    <s v="BITB"/>
    <n v="33.81"/>
    <n v="33.82"/>
    <x v="3"/>
    <n v="1841.9893"/>
    <n v="0.1"/>
    <n v="1841.8893"/>
    <n v="62274.277233000008"/>
    <n v="62292.696126000003"/>
  </r>
  <r>
    <s v="BRRR"/>
    <n v="17.559999999999999"/>
    <n v="17.57"/>
    <x v="3"/>
    <n v="3546.3099000000002"/>
    <n v="0"/>
    <n v="3546.3099000000002"/>
    <n v="62273.201843999996"/>
    <n v="62308.664943000003"/>
  </r>
  <r>
    <s v="BTC"/>
    <n v="27.54"/>
    <n v="27.55"/>
    <x v="3"/>
    <n v="2261.23"/>
    <n v="0.2"/>
    <n v="2261.0300000000002"/>
    <n v="62268.766200000005"/>
    <n v="62291.376500000006"/>
  </r>
  <r>
    <s v="BTCW"/>
    <n v="65.819999999999993"/>
    <n v="65.89"/>
    <x v="3"/>
    <n v="946.05840000000001"/>
    <n v="0"/>
    <n v="946.05840000000001"/>
    <n v="62269.563887999997"/>
    <n v="62335.787976"/>
  </r>
  <r>
    <s v="EZBC"/>
    <n v="35.99"/>
    <n v="36.01"/>
    <x v="3"/>
    <n v="1730.0198"/>
    <n v="-0.2"/>
    <n v="1730.2198000000001"/>
    <n v="62270.610602000008"/>
    <n v="62305.214997999996"/>
  </r>
  <r>
    <s v="FBTC"/>
    <n v="54.22"/>
    <n v="54.23"/>
    <x v="3"/>
    <n v="1148.7583999999999"/>
    <n v="0.05"/>
    <n v="1148.7084"/>
    <n v="62282.969447999996"/>
    <n v="62294.456531999997"/>
  </r>
  <r>
    <s v="GBTC"/>
    <n v="48.33"/>
    <n v="48.34"/>
    <x v="3"/>
    <n v="1288.4256"/>
    <n v="-0.05"/>
    <n v="1288.4756"/>
    <n v="62272.025748"/>
    <n v="62284.910504000007"/>
  </r>
  <r>
    <s v="HODL"/>
    <n v="17.61"/>
    <n v="17.62"/>
    <x v="3"/>
    <n v="3535.8029000000001"/>
    <n v="0"/>
    <n v="3535.8029000000001"/>
    <n v="62265.489069000003"/>
    <n v="62300.847098000006"/>
  </r>
  <r>
    <s v="IBIT"/>
    <n v="35.28"/>
    <n v="35.29"/>
    <x v="3"/>
    <n v="1764.9141"/>
    <n v="0"/>
    <n v="1764.9141"/>
    <n v="62266.169448000001"/>
    <n v="62283.818588999995"/>
  </r>
  <r>
    <s v="ARKB"/>
    <n v="20.59"/>
    <n v="20.6"/>
    <x v="4"/>
    <n v="3014.7411999999999"/>
    <n v="-0.1"/>
    <n v="3014.8411999999998"/>
    <n v="62075.580307999997"/>
    <n v="62105.728719999999"/>
  </r>
  <r>
    <s v="BITB"/>
    <n v="33.700000000000003"/>
    <n v="33.71"/>
    <x v="4"/>
    <n v="1841.9893"/>
    <n v="0.1"/>
    <n v="1841.8893"/>
    <n v="62071.66941000001"/>
    <n v="62090.088303000004"/>
  </r>
  <r>
    <s v="BRRR"/>
    <n v="17.5"/>
    <n v="17.510000000000002"/>
    <x v="4"/>
    <n v="3546.3099000000002"/>
    <n v="0"/>
    <n v="3546.3099000000002"/>
    <n v="62060.423250000007"/>
    <n v="62095.886349000008"/>
  </r>
  <r>
    <s v="BTC"/>
    <n v="27.45"/>
    <n v="27.46"/>
    <x v="4"/>
    <n v="2261.23"/>
    <n v="0.2"/>
    <n v="2261.0300000000002"/>
    <n v="62065.273500000003"/>
    <n v="62087.883800000011"/>
  </r>
  <r>
    <s v="BTCW"/>
    <n v="65.62"/>
    <n v="65.7"/>
    <x v="4"/>
    <n v="946.05840000000001"/>
    <n v="0"/>
    <n v="946.05840000000001"/>
    <n v="62080.352208000004"/>
    <n v="62156.03688"/>
  </r>
  <r>
    <s v="EZBC"/>
    <n v="35.869999999999997"/>
    <n v="35.89"/>
    <x v="4"/>
    <n v="1730.0198"/>
    <n v="-0.2"/>
    <n v="1730.2198000000001"/>
    <n v="62062.984226"/>
    <n v="62097.588622000003"/>
  </r>
  <r>
    <s v="FBTC"/>
    <n v="54.04"/>
    <n v="54.05"/>
    <x v="4"/>
    <n v="1148.7583999999999"/>
    <n v="0.05"/>
    <n v="1148.7084"/>
    <n v="62076.201935999998"/>
    <n v="62087.689019999998"/>
  </r>
  <r>
    <s v="GBTC"/>
    <n v="48.17"/>
    <n v="48.18"/>
    <x v="4"/>
    <n v="1288.4256"/>
    <n v="-0.05"/>
    <n v="1288.4756"/>
    <n v="62065.869652000001"/>
    <n v="62078.754408000001"/>
  </r>
  <r>
    <s v="HODL"/>
    <n v="17.55"/>
    <n v="17.559999999999999"/>
    <x v="4"/>
    <n v="3535.8029000000001"/>
    <n v="0"/>
    <n v="3535.8029000000001"/>
    <n v="62053.340895000008"/>
    <n v="62088.698923999997"/>
  </r>
  <r>
    <s v="IBIT"/>
    <n v="35.17"/>
    <n v="35.18"/>
    <x v="4"/>
    <n v="1764.9141"/>
    <n v="0"/>
    <n v="1764.9141"/>
    <n v="62072.028897000004"/>
    <n v="62089.678037999998"/>
  </r>
  <r>
    <s v="ARKB"/>
    <n v="20.6"/>
    <n v="20.6"/>
    <x v="5"/>
    <n v="3014.7411999999999"/>
    <n v="-0.1"/>
    <n v="3014.8411999999998"/>
    <n v="62105.728719999999"/>
    <n v="62105.728719999999"/>
  </r>
  <r>
    <s v="BITB"/>
    <n v="33.72"/>
    <n v="33.729999999999997"/>
    <x v="5"/>
    <n v="1841.9893"/>
    <n v="0.1"/>
    <n v="1841.8893"/>
    <n v="62108.507195999999"/>
    <n v="62126.926088999993"/>
  </r>
  <r>
    <s v="BRRR"/>
    <n v="17.510000000000002"/>
    <n v="17.52"/>
    <x v="5"/>
    <n v="3546.3099000000002"/>
    <n v="0"/>
    <n v="3546.3099000000002"/>
    <n v="62095.886349000008"/>
    <n v="62131.349448000001"/>
  </r>
  <r>
    <s v="BTC"/>
    <n v="27.47"/>
    <n v="27.48"/>
    <x v="5"/>
    <n v="2261.23"/>
    <n v="0.2"/>
    <n v="2261.0300000000002"/>
    <n v="62110.494100000004"/>
    <n v="62133.104400000004"/>
  </r>
  <r>
    <s v="BTCW"/>
    <n v="65.64"/>
    <n v="65.72"/>
    <x v="5"/>
    <n v="946.05840000000001"/>
    <n v="0"/>
    <n v="946.05840000000001"/>
    <n v="62099.273375999997"/>
    <n v="62174.958048"/>
  </r>
  <r>
    <s v="EZBC"/>
    <n v="35.89"/>
    <n v="35.909999999999997"/>
    <x v="5"/>
    <n v="1730.0198"/>
    <n v="-0.2"/>
    <n v="1730.2198000000001"/>
    <n v="62097.588622000003"/>
    <n v="62132.193017999998"/>
  </r>
  <r>
    <s v="FBTC"/>
    <n v="54.07"/>
    <n v="54.08"/>
    <x v="5"/>
    <n v="1148.7583999999999"/>
    <n v="0.05"/>
    <n v="1148.7084"/>
    <n v="62110.663187999999"/>
    <n v="62122.150271999999"/>
  </r>
  <r>
    <s v="GBTC"/>
    <n v="48.2"/>
    <n v="48.21"/>
    <x v="5"/>
    <n v="1288.4256"/>
    <n v="-0.05"/>
    <n v="1288.4756"/>
    <n v="62104.52392"/>
    <n v="62117.408675999999"/>
  </r>
  <r>
    <s v="HODL"/>
    <n v="17.559999999999999"/>
    <n v="17.57"/>
    <x v="5"/>
    <n v="3535.8029000000001"/>
    <n v="0"/>
    <n v="3535.8029000000001"/>
    <n v="62088.698923999997"/>
    <n v="62124.056953000007"/>
  </r>
  <r>
    <s v="IBIT"/>
    <n v="35.19"/>
    <n v="35.200000000000003"/>
    <x v="5"/>
    <n v="1764.9141"/>
    <n v="0"/>
    <n v="1764.9141"/>
    <n v="62107.327178999993"/>
    <n v="62124.976320000002"/>
  </r>
  <r>
    <s v="ARKB"/>
    <n v="20.56"/>
    <n v="20.57"/>
    <x v="6"/>
    <n v="3014.7411999999999"/>
    <n v="-0.1"/>
    <n v="3014.8411999999998"/>
    <n v="61985.13507199999"/>
    <n v="62015.283484"/>
  </r>
  <r>
    <s v="BITB"/>
    <n v="33.67"/>
    <n v="33.68"/>
    <x v="6"/>
    <n v="1841.9893"/>
    <n v="0.1"/>
    <n v="1841.8893"/>
    <n v="62016.412731000004"/>
    <n v="62034.831623999999"/>
  </r>
  <r>
    <s v="BRRR"/>
    <n v="17.48"/>
    <n v="17.489999999999998"/>
    <x v="6"/>
    <n v="3546.3099000000002"/>
    <n v="0"/>
    <n v="3546.3099000000002"/>
    <n v="61989.497052000006"/>
    <n v="62024.960150999999"/>
  </r>
  <r>
    <s v="BTC"/>
    <n v="27.42"/>
    <n v="27.43"/>
    <x v="6"/>
    <n v="2261.23"/>
    <n v="0.2"/>
    <n v="2261.0300000000002"/>
    <n v="61997.442600000009"/>
    <n v="62020.052900000002"/>
  </r>
  <r>
    <s v="BTCW"/>
    <n v="65.540000000000006"/>
    <n v="65.61"/>
    <x v="6"/>
    <n v="946.05840000000001"/>
    <n v="0"/>
    <n v="946.05840000000001"/>
    <n v="62004.667536000008"/>
    <n v="62070.891623999996"/>
  </r>
  <r>
    <s v="EZBC"/>
    <n v="35.83"/>
    <n v="35.85"/>
    <x v="6"/>
    <n v="1730.0198"/>
    <n v="-0.2"/>
    <n v="1730.2198000000001"/>
    <n v="61993.775434000003"/>
    <n v="62028.379830000005"/>
  </r>
  <r>
    <s v="FBTC"/>
    <n v="53.98"/>
    <n v="53.99"/>
    <x v="6"/>
    <n v="1148.7583999999999"/>
    <n v="0.05"/>
    <n v="1148.7084"/>
    <n v="62007.279431999996"/>
    <n v="62018.766516000003"/>
  </r>
  <r>
    <s v="GBTC"/>
    <n v="48.11"/>
    <n v="48.12"/>
    <x v="6"/>
    <n v="1288.4256"/>
    <n v="-0.05"/>
    <n v="1288.4756"/>
    <n v="61988.561115999997"/>
    <n v="62001.445871999997"/>
  </r>
  <r>
    <s v="HODL"/>
    <n v="17.53"/>
    <n v="17.54"/>
    <x v="6"/>
    <n v="3535.8029000000001"/>
    <n v="0"/>
    <n v="3535.8029000000001"/>
    <n v="61982.624837000003"/>
    <n v="62017.982865999998"/>
  </r>
  <r>
    <s v="IBIT"/>
    <n v="35.130000000000003"/>
    <n v="35.14"/>
    <x v="6"/>
    <n v="1764.9141"/>
    <n v="0"/>
    <n v="1764.9141"/>
    <n v="62001.432333000004"/>
    <n v="62019.081473999999"/>
  </r>
  <r>
    <s v="ARKB"/>
    <n v="20.45"/>
    <n v="20.46"/>
    <x v="7"/>
    <n v="3014.7411999999999"/>
    <n v="-0.1"/>
    <n v="3014.8411999999998"/>
    <n v="61653.502539999994"/>
    <n v="61683.650951999996"/>
  </r>
  <r>
    <s v="BITB"/>
    <n v="33.479999999999997"/>
    <n v="33.49"/>
    <x v="7"/>
    <n v="1841.9893"/>
    <n v="0.1"/>
    <n v="1841.8893"/>
    <n v="61666.453763999998"/>
    <n v="61684.872657000007"/>
  </r>
  <r>
    <s v="BRRR"/>
    <n v="17.38"/>
    <n v="17.39"/>
    <x v="7"/>
    <n v="3546.3099000000002"/>
    <n v="0"/>
    <n v="3546.3099000000002"/>
    <n v="61634.866062000001"/>
    <n v="61670.329161000009"/>
  </r>
  <r>
    <s v="BTC"/>
    <n v="27.27"/>
    <n v="27.28"/>
    <x v="7"/>
    <n v="2261.23"/>
    <n v="0.2"/>
    <n v="2261.0300000000002"/>
    <n v="61658.288100000005"/>
    <n v="61680.898400000005"/>
  </r>
  <r>
    <s v="BTCW"/>
    <n v="65.150000000000006"/>
    <n v="65.25"/>
    <x v="7"/>
    <n v="946.05840000000001"/>
    <n v="0"/>
    <n v="946.05840000000001"/>
    <n v="61635.704760000008"/>
    <n v="61730.310599999997"/>
  </r>
  <r>
    <s v="EZBC"/>
    <n v="35.619999999999997"/>
    <n v="35.65"/>
    <x v="7"/>
    <n v="1730.0198"/>
    <n v="-0.2"/>
    <n v="1730.2198000000001"/>
    <n v="61630.429275999995"/>
    <n v="61682.335870000003"/>
  </r>
  <r>
    <s v="FBTC"/>
    <n v="53.68"/>
    <n v="53.69"/>
    <x v="7"/>
    <n v="1148.7583999999999"/>
    <n v="0.05"/>
    <n v="1148.7084"/>
    <n v="61662.666912000001"/>
    <n v="61674.153995999994"/>
  </r>
  <r>
    <s v="GBTC"/>
    <n v="47.85"/>
    <n v="47.86"/>
    <x v="7"/>
    <n v="1288.4256"/>
    <n v="-0.05"/>
    <n v="1288.4756"/>
    <n v="61653.557460000004"/>
    <n v="61666.442215999996"/>
  </r>
  <r>
    <s v="HODL"/>
    <n v="17.43"/>
    <n v="17.440000000000001"/>
    <x v="7"/>
    <n v="3535.8029000000001"/>
    <n v="0"/>
    <n v="3535.8029000000001"/>
    <n v="61629.044547000005"/>
    <n v="61664.402576000008"/>
  </r>
  <r>
    <s v="IBIT"/>
    <n v="34.93"/>
    <n v="34.94"/>
    <x v="7"/>
    <n v="1764.9141"/>
    <n v="0"/>
    <n v="1764.9141"/>
    <n v="61648.449513"/>
    <n v="61666.098653999994"/>
  </r>
  <r>
    <s v="ARKB"/>
    <n v="20.49"/>
    <n v="20.5"/>
    <x v="8"/>
    <n v="3014.7411999999999"/>
    <n v="-0.1"/>
    <n v="3014.8411999999998"/>
    <n v="61774.096187999989"/>
    <n v="61804.244599999998"/>
  </r>
  <r>
    <s v="BITB"/>
    <n v="33.54"/>
    <n v="33.549999999999997"/>
    <x v="8"/>
    <n v="1841.9893"/>
    <n v="0.1"/>
    <n v="1841.8893"/>
    <n v="61776.967122000002"/>
    <n v="61795.386014999996"/>
  </r>
  <r>
    <s v="BRRR"/>
    <n v="17.420000000000002"/>
    <n v="17.43"/>
    <x v="8"/>
    <n v="3546.3099000000002"/>
    <n v="0"/>
    <n v="3546.3099000000002"/>
    <n v="61776.71845800001"/>
    <n v="61812.181557000004"/>
  </r>
  <r>
    <s v="BTC"/>
    <n v="27.32"/>
    <n v="27.33"/>
    <x v="8"/>
    <n v="2261.23"/>
    <n v="0.2"/>
    <n v="2261.0300000000002"/>
    <n v="61771.339600000007"/>
    <n v="61793.9499"/>
  </r>
  <r>
    <s v="BTCW"/>
    <n v="65.290000000000006"/>
    <n v="65.37"/>
    <x v="8"/>
    <n v="946.05840000000001"/>
    <n v="0"/>
    <n v="946.05840000000001"/>
    <n v="61768.152936000006"/>
    <n v="61843.837608000002"/>
  </r>
  <r>
    <s v="EZBC"/>
    <n v="35.700000000000003"/>
    <n v="35.71"/>
    <x v="8"/>
    <n v="1730.0198"/>
    <n v="-0.2"/>
    <n v="1730.2198000000001"/>
    <n v="61768.846860000005"/>
    <n v="61786.149058000003"/>
  </r>
  <r>
    <s v="FBTC"/>
    <n v="53.78"/>
    <n v="53.79"/>
    <x v="8"/>
    <n v="1148.7583999999999"/>
    <n v="0.05"/>
    <n v="1148.7084"/>
    <n v="61777.537752000004"/>
    <n v="61789.024835999997"/>
  </r>
  <r>
    <s v="GBTC"/>
    <n v="47.94"/>
    <n v="47.95"/>
    <x v="8"/>
    <n v="1288.4256"/>
    <n v="-0.05"/>
    <n v="1288.4756"/>
    <n v="61769.520263999999"/>
    <n v="61782.405020000006"/>
  </r>
  <r>
    <s v="HODL"/>
    <n v="17.46"/>
    <n v="17.47"/>
    <x v="8"/>
    <n v="3535.8029000000001"/>
    <n v="0"/>
    <n v="3535.8029000000001"/>
    <n v="61735.118634000006"/>
    <n v="61770.476663000001"/>
  </r>
  <r>
    <s v="IBIT"/>
    <n v="35"/>
    <n v="35.01"/>
    <x v="8"/>
    <n v="1764.9141"/>
    <n v="0"/>
    <n v="1764.9141"/>
    <n v="61771.993499999997"/>
    <n v="61789.642640999999"/>
  </r>
  <r>
    <s v="ARKB"/>
    <n v="20.55"/>
    <n v="20.56"/>
    <x v="9"/>
    <n v="3014.7411999999999"/>
    <n v="-0.1"/>
    <n v="3014.8411999999998"/>
    <n v="61954.986660000002"/>
    <n v="61985.13507199999"/>
  </r>
  <r>
    <s v="BITB"/>
    <n v="33.65"/>
    <n v="33.659999999999997"/>
    <x v="9"/>
    <n v="1841.9893"/>
    <n v="0.1"/>
    <n v="1841.8893"/>
    <n v="61979.574945"/>
    <n v="61997.993837999995"/>
  </r>
  <r>
    <s v="BRRR"/>
    <n v="17.47"/>
    <n v="17.48"/>
    <x v="9"/>
    <n v="3546.3099000000002"/>
    <n v="0"/>
    <n v="3546.3099000000002"/>
    <n v="61954.033952999998"/>
    <n v="61989.497052000006"/>
  </r>
  <r>
    <s v="BTC"/>
    <n v="27.41"/>
    <n v="27.42"/>
    <x v="9"/>
    <n v="2261.23"/>
    <n v="0.2"/>
    <n v="2261.0300000000002"/>
    <n v="61974.832300000009"/>
    <n v="61997.442600000009"/>
  </r>
  <r>
    <s v="BTCW"/>
    <n v="65.48"/>
    <n v="65.569999999999993"/>
    <x v="9"/>
    <n v="946.05840000000001"/>
    <n v="0"/>
    <n v="946.05840000000001"/>
    <n v="61947.904032000006"/>
    <n v="62033.049287999995"/>
  </r>
  <r>
    <s v="EZBC"/>
    <n v="35.81"/>
    <n v="35.83"/>
    <x v="9"/>
    <n v="1730.0198"/>
    <n v="-0.2"/>
    <n v="1730.2198000000001"/>
    <n v="61959.171038000008"/>
    <n v="61993.775434000003"/>
  </r>
  <r>
    <s v="FBTC"/>
    <n v="53.95"/>
    <n v="53.96"/>
    <x v="9"/>
    <n v="1148.7583999999999"/>
    <n v="0.05"/>
    <n v="1148.7084"/>
    <n v="61972.818180000002"/>
    <n v="61984.305264000002"/>
  </r>
  <r>
    <s v="GBTC"/>
    <n v="48.09"/>
    <n v="48.1"/>
    <x v="9"/>
    <n v="1288.4256"/>
    <n v="-0.05"/>
    <n v="1288.4756"/>
    <n v="61962.791604000005"/>
    <n v="61975.676359999998"/>
  </r>
  <r>
    <s v="HODL"/>
    <n v="17.52"/>
    <n v="17.53"/>
    <x v="9"/>
    <n v="3535.8029000000001"/>
    <n v="0"/>
    <n v="3535.8029000000001"/>
    <n v="61947.266808"/>
    <n v="61982.624837000003"/>
  </r>
  <r>
    <s v="IBIT"/>
    <n v="35.11"/>
    <n v="35.119999999999997"/>
    <x v="9"/>
    <n v="1764.9141"/>
    <n v="0"/>
    <n v="1764.9141"/>
    <n v="61966.134051000001"/>
    <n v="61983.783191999995"/>
  </r>
  <r>
    <s v="ARKB"/>
    <n v="20.51"/>
    <n v="20.52"/>
    <x v="10"/>
    <n v="3014.7411999999999"/>
    <n v="-0.1"/>
    <n v="3014.8411999999998"/>
    <n v="61834.393012"/>
    <n v="61864.541423999995"/>
  </r>
  <r>
    <s v="BITB"/>
    <n v="33.590000000000003"/>
    <n v="33.6"/>
    <x v="10"/>
    <n v="1841.9893"/>
    <n v="0.1"/>
    <n v="1841.8893"/>
    <n v="61869.061587000011"/>
    <n v="61887.480480000006"/>
  </r>
  <r>
    <s v="BRRR"/>
    <n v="17.440000000000001"/>
    <n v="17.45"/>
    <x v="10"/>
    <n v="3546.3099000000002"/>
    <n v="0"/>
    <n v="3546.3099000000002"/>
    <n v="61847.644656000011"/>
    <n v="61883.107755000005"/>
  </r>
  <r>
    <s v="BTC"/>
    <n v="27.36"/>
    <n v="27.37"/>
    <x v="10"/>
    <n v="2261.23"/>
    <n v="0.2"/>
    <n v="2261.0300000000002"/>
    <n v="61861.780800000008"/>
    <n v="61884.391100000008"/>
  </r>
  <r>
    <s v="BTCW"/>
    <n v="65.37"/>
    <n v="65.47"/>
    <x v="10"/>
    <n v="946.05840000000001"/>
    <n v="0"/>
    <n v="946.05840000000001"/>
    <n v="61843.837608000002"/>
    <n v="61938.443447999998"/>
  </r>
  <r>
    <s v="EZBC"/>
    <n v="35.75"/>
    <n v="35.770000000000003"/>
    <x v="10"/>
    <n v="1730.0198"/>
    <n v="-0.2"/>
    <n v="1730.2198000000001"/>
    <n v="61855.35785"/>
    <n v="61889.96224600001"/>
  </r>
  <r>
    <s v="FBTC"/>
    <n v="53.86"/>
    <n v="53.87"/>
    <x v="10"/>
    <n v="1148.7583999999999"/>
    <n v="0.05"/>
    <n v="1148.7084"/>
    <n v="61869.434423999999"/>
    <n v="61880.921507999999"/>
  </r>
  <r>
    <s v="GBTC"/>
    <n v="48.01"/>
    <n v="48.02"/>
    <x v="10"/>
    <n v="1288.4256"/>
    <n v="-0.05"/>
    <n v="1288.4756"/>
    <n v="61859.713555999995"/>
    <n v="61872.598312000002"/>
  </r>
  <r>
    <s v="HODL"/>
    <n v="17.489999999999998"/>
    <n v="17.5"/>
    <x v="10"/>
    <n v="3535.8029000000001"/>
    <n v="0"/>
    <n v="3535.8029000000001"/>
    <n v="61841.192720999999"/>
    <n v="61876.550750000002"/>
  </r>
  <r>
    <s v="IBIT"/>
    <n v="35.049999999999997"/>
    <n v="35.06"/>
    <x v="10"/>
    <n v="1764.9141"/>
    <n v="0"/>
    <n v="1764.9141"/>
    <n v="61860.239204999991"/>
    <n v="61877.888346"/>
  </r>
  <r>
    <s v="ARKB"/>
    <n v="20.47"/>
    <n v="20.48"/>
    <x v="11"/>
    <n v="3014.7411999999999"/>
    <n v="-0.1"/>
    <n v="3014.8411999999998"/>
    <n v="61713.799363999991"/>
    <n v="61743.947776000001"/>
  </r>
  <r>
    <s v="BITB"/>
    <n v="33.520000000000003"/>
    <n v="33.520000000000003"/>
    <x v="11"/>
    <n v="1841.9893"/>
    <n v="0.1"/>
    <n v="1841.8893"/>
    <n v="61740.129336000005"/>
    <n v="61740.129336000005"/>
  </r>
  <r>
    <s v="BRRR"/>
    <n v="17.399999999999999"/>
    <n v="17.41"/>
    <x v="11"/>
    <n v="3546.3099000000002"/>
    <n v="0"/>
    <n v="3546.3099000000002"/>
    <n v="61705.792260000002"/>
    <n v="61741.255359000002"/>
  </r>
  <r>
    <s v="BTC"/>
    <n v="27.29"/>
    <n v="27.3"/>
    <x v="11"/>
    <n v="2261.23"/>
    <n v="0.2"/>
    <n v="2261.0300000000002"/>
    <n v="61703.508700000006"/>
    <n v="61726.119000000006"/>
  </r>
  <r>
    <s v="BTCW"/>
    <n v="65.23"/>
    <n v="65.31"/>
    <x v="11"/>
    <n v="946.05840000000001"/>
    <n v="0"/>
    <n v="946.05840000000001"/>
    <n v="61711.389432000004"/>
    <n v="61787.074103999999"/>
  </r>
  <r>
    <s v="EZBC"/>
    <n v="35.67"/>
    <n v="35.68"/>
    <x v="11"/>
    <n v="1730.0198"/>
    <n v="-0.2"/>
    <n v="1730.2198000000001"/>
    <n v="61716.940266000005"/>
    <n v="61734.242464000003"/>
  </r>
  <r>
    <s v="FBTC"/>
    <n v="53.74"/>
    <n v="53.75"/>
    <x v="11"/>
    <n v="1148.7583999999999"/>
    <n v="0.05"/>
    <n v="1148.7084"/>
    <n v="61731.589416000003"/>
    <n v="61743.076499999996"/>
  </r>
  <r>
    <s v="GBTC"/>
    <n v="47.9"/>
    <n v="47.91"/>
    <x v="11"/>
    <n v="1288.4256"/>
    <n v="-0.05"/>
    <n v="1288.4756"/>
    <n v="61717.981240000001"/>
    <n v="61730.865995999993"/>
  </r>
  <r>
    <s v="HODL"/>
    <n v="17.45"/>
    <n v="17.46"/>
    <x v="11"/>
    <n v="3535.8029000000001"/>
    <n v="0"/>
    <n v="3535.8029000000001"/>
    <n v="61699.760605000003"/>
    <n v="61735.118634000006"/>
  </r>
  <r>
    <s v="IBIT"/>
    <n v="34.97"/>
    <n v="34.979999999999997"/>
    <x v="11"/>
    <n v="1764.9141"/>
    <n v="0"/>
    <n v="1764.9141"/>
    <n v="61719.046076999999"/>
    <n v="61736.695217999993"/>
  </r>
  <r>
    <s v="ARKB"/>
    <n v="20.47"/>
    <n v="20.48"/>
    <x v="12"/>
    <n v="3014.7411999999999"/>
    <n v="-0.1"/>
    <n v="3014.8411999999998"/>
    <n v="61713.799363999991"/>
    <n v="61743.947776000001"/>
  </r>
  <r>
    <s v="BITB"/>
    <n v="33.51"/>
    <n v="33.520000000000003"/>
    <x v="12"/>
    <n v="1841.9893"/>
    <n v="0.1"/>
    <n v="1841.8893"/>
    <n v="61721.710442999996"/>
    <n v="61740.129336000005"/>
  </r>
  <r>
    <s v="BRRR"/>
    <n v="17.399999999999999"/>
    <n v="17.41"/>
    <x v="12"/>
    <n v="3546.3099000000002"/>
    <n v="0"/>
    <n v="3546.3099000000002"/>
    <n v="61705.792260000002"/>
    <n v="61741.255359000002"/>
  </r>
  <r>
    <s v="BTC"/>
    <n v="27.29"/>
    <n v="27.3"/>
    <x v="12"/>
    <n v="2261.23"/>
    <n v="0.2"/>
    <n v="2261.0300000000002"/>
    <n v="61703.508700000006"/>
    <n v="61726.119000000006"/>
  </r>
  <r>
    <s v="BTCW"/>
    <n v="65.22"/>
    <n v="65.33"/>
    <x v="12"/>
    <n v="946.05840000000001"/>
    <n v="0"/>
    <n v="946.05840000000001"/>
    <n v="61701.928847999996"/>
    <n v="61805.995272"/>
  </r>
  <r>
    <s v="EZBC"/>
    <n v="35.67"/>
    <n v="35.68"/>
    <x v="12"/>
    <n v="1730.0198"/>
    <n v="-0.2"/>
    <n v="1730.2198000000001"/>
    <n v="61716.940266000005"/>
    <n v="61734.242464000003"/>
  </r>
  <r>
    <s v="FBTC"/>
    <n v="53.73"/>
    <n v="53.74"/>
    <x v="12"/>
    <n v="1148.7583999999999"/>
    <n v="0.05"/>
    <n v="1148.7084"/>
    <n v="61720.102331999995"/>
    <n v="61731.589416000003"/>
  </r>
  <r>
    <s v="GBTC"/>
    <n v="47.89"/>
    <n v="47.91"/>
    <x v="12"/>
    <n v="1288.4256"/>
    <n v="-0.05"/>
    <n v="1288.4756"/>
    <n v="61705.096484000002"/>
    <n v="61730.865995999993"/>
  </r>
  <r>
    <s v="HODL"/>
    <n v="17.45"/>
    <n v="17.46"/>
    <x v="12"/>
    <n v="3535.8029000000001"/>
    <n v="0"/>
    <n v="3535.8029000000001"/>
    <n v="61699.760605000003"/>
    <n v="61735.118634000006"/>
  </r>
  <r>
    <s v="IBIT"/>
    <n v="34.97"/>
    <n v="34.979999999999997"/>
    <x v="12"/>
    <n v="1764.9141"/>
    <n v="0"/>
    <n v="1764.9141"/>
    <n v="61719.046076999999"/>
    <n v="61736.695217999993"/>
  </r>
  <r>
    <s v="ARKB"/>
    <n v="20.51"/>
    <n v="20.52"/>
    <x v="13"/>
    <n v="3014.7411999999999"/>
    <n v="-0.1"/>
    <n v="3014.8411999999998"/>
    <n v="61834.393012"/>
    <n v="61864.541423999995"/>
  </r>
  <r>
    <s v="BITB"/>
    <n v="33.58"/>
    <n v="33.590000000000003"/>
    <x v="13"/>
    <n v="1841.9893"/>
    <n v="0.1"/>
    <n v="1841.8893"/>
    <n v="61850.642694000002"/>
    <n v="61869.061587000011"/>
  </r>
  <r>
    <s v="BRRR"/>
    <n v="17.440000000000001"/>
    <n v="17.45"/>
    <x v="13"/>
    <n v="3546.3099000000002"/>
    <n v="0"/>
    <n v="3546.3099000000002"/>
    <n v="61847.644656000011"/>
    <n v="61883.107755000005"/>
  </r>
  <r>
    <s v="BTC"/>
    <n v="27.35"/>
    <n v="27.36"/>
    <x v="13"/>
    <n v="2261.23"/>
    <n v="0.2"/>
    <n v="2261.0300000000002"/>
    <n v="61839.170500000007"/>
    <n v="61861.780800000008"/>
  </r>
  <r>
    <s v="BTCW"/>
    <n v="65.37"/>
    <n v="65.44"/>
    <x v="13"/>
    <n v="946.05840000000001"/>
    <n v="0"/>
    <n v="946.05840000000001"/>
    <n v="61843.837608000002"/>
    <n v="61910.061695999997"/>
  </r>
  <r>
    <s v="EZBC"/>
    <n v="35.74"/>
    <n v="35.75"/>
    <x v="13"/>
    <n v="1730.0198"/>
    <n v="-0.2"/>
    <n v="1730.2198000000001"/>
    <n v="61838.055652000003"/>
    <n v="61855.35785"/>
  </r>
  <r>
    <s v="FBTC"/>
    <n v="53.84"/>
    <n v="53.85"/>
    <x v="13"/>
    <n v="1148.7583999999999"/>
    <n v="0.05"/>
    <n v="1148.7084"/>
    <n v="61846.460256000006"/>
    <n v="61857.947339999999"/>
  </r>
  <r>
    <s v="GBTC"/>
    <n v="48"/>
    <n v="48.01"/>
    <x v="13"/>
    <n v="1288.4256"/>
    <n v="-0.05"/>
    <n v="1288.4756"/>
    <n v="61846.828800000003"/>
    <n v="61859.713555999995"/>
  </r>
  <r>
    <s v="HODL"/>
    <n v="17.48"/>
    <n v="17.489999999999998"/>
    <x v="13"/>
    <n v="3535.8029000000001"/>
    <n v="0"/>
    <n v="3535.8029000000001"/>
    <n v="61805.834692000004"/>
    <n v="61841.192720999999"/>
  </r>
  <r>
    <s v="IBIT"/>
    <n v="35.04"/>
    <n v="35.049999999999997"/>
    <x v="13"/>
    <n v="1764.9141"/>
    <n v="0"/>
    <n v="1764.9141"/>
    <n v="61842.590063999996"/>
    <n v="61860.239204999991"/>
  </r>
  <r>
    <s v="ARKB"/>
    <n v="20.43"/>
    <n v="20.440000000000001"/>
    <x v="14"/>
    <n v="3014.7411999999999"/>
    <n v="-0.1"/>
    <n v="3014.8411999999998"/>
    <n v="61593.205715999997"/>
    <n v="61623.354127999999"/>
  </r>
  <r>
    <s v="BITB"/>
    <n v="33.46"/>
    <n v="33.47"/>
    <x v="14"/>
    <n v="1841.9893"/>
    <n v="0.1"/>
    <n v="1841.8893"/>
    <n v="61629.615978000002"/>
    <n v="61648.034870999996"/>
  </r>
  <r>
    <s v="BRRR"/>
    <n v="17.37"/>
    <n v="17.38"/>
    <x v="14"/>
    <n v="3546.3099000000002"/>
    <n v="0"/>
    <n v="3546.3099000000002"/>
    <n v="61599.402963000008"/>
    <n v="61634.866062000001"/>
  </r>
  <r>
    <s v="BTC"/>
    <n v="27.25"/>
    <n v="27.26"/>
    <x v="14"/>
    <n v="2261.23"/>
    <n v="0.2"/>
    <n v="2261.0300000000002"/>
    <n v="61613.067500000005"/>
    <n v="61635.677800000012"/>
  </r>
  <r>
    <s v="BTCW"/>
    <n v="65.12"/>
    <n v="65.19"/>
    <x v="14"/>
    <n v="946.05840000000001"/>
    <n v="0"/>
    <n v="946.05840000000001"/>
    <n v="61607.323008000007"/>
    <n v="61673.547095999995"/>
  </r>
  <r>
    <s v="EZBC"/>
    <n v="35.61"/>
    <n v="35.619999999999997"/>
    <x v="14"/>
    <n v="1730.0198"/>
    <n v="-0.2"/>
    <n v="1730.2198000000001"/>
    <n v="61613.127078000005"/>
    <n v="61630.429275999995"/>
  </r>
  <r>
    <s v="FBTC"/>
    <n v="53.65"/>
    <n v="53.66"/>
    <x v="14"/>
    <n v="1148.7583999999999"/>
    <n v="0.05"/>
    <n v="1148.7084"/>
    <n v="61628.20566"/>
    <n v="61639.692743999993"/>
  </r>
  <r>
    <s v="GBTC"/>
    <n v="47.82"/>
    <n v="47.83"/>
    <x v="14"/>
    <n v="1288.4256"/>
    <n v="-0.05"/>
    <n v="1288.4756"/>
    <n v="61614.903191999998"/>
    <n v="61627.787947999997"/>
  </r>
  <r>
    <s v="HODL"/>
    <n v="17.420000000000002"/>
    <n v="17.43"/>
    <x v="14"/>
    <n v="3535.8029000000001"/>
    <n v="0"/>
    <n v="3535.8029000000001"/>
    <n v="61593.68651800001"/>
    <n v="61629.044547000005"/>
  </r>
  <r>
    <s v="IBIT"/>
    <n v="34.909999999999997"/>
    <n v="34.92"/>
    <x v="14"/>
    <n v="1764.9141"/>
    <n v="0"/>
    <n v="1764.9141"/>
    <n v="61613.151230999996"/>
    <n v="61630.800372000005"/>
  </r>
  <r>
    <s v="ARKB"/>
    <n v="20.53"/>
    <n v="20.54"/>
    <x v="15"/>
    <n v="3014.7411999999999"/>
    <n v="-0.1"/>
    <n v="3014.8411999999998"/>
    <n v="61894.689835999998"/>
    <n v="61924.838247999993"/>
  </r>
  <r>
    <s v="BITB"/>
    <n v="33.619999999999997"/>
    <n v="33.630000000000003"/>
    <x v="15"/>
    <n v="1841.9893"/>
    <n v="0.1"/>
    <n v="1841.8893"/>
    <n v="61924.318265999995"/>
    <n v="61942.737159000004"/>
  </r>
  <r>
    <s v="BRRR"/>
    <n v="17.46"/>
    <n v="17.47"/>
    <x v="15"/>
    <n v="3546.3099000000002"/>
    <n v="0"/>
    <n v="3546.3099000000002"/>
    <n v="61918.570854000005"/>
    <n v="61954.033952999998"/>
  </r>
  <r>
    <s v="BTC"/>
    <n v="27.38"/>
    <n v="27.39"/>
    <x v="15"/>
    <n v="2261.23"/>
    <n v="0.2"/>
    <n v="2261.0300000000002"/>
    <n v="61907.001400000001"/>
    <n v="61929.611700000009"/>
  </r>
  <r>
    <s v="BTCW"/>
    <n v="65.459999999999994"/>
    <n v="65.52"/>
    <x v="15"/>
    <n v="946.05840000000001"/>
    <n v="0"/>
    <n v="946.05840000000001"/>
    <n v="61928.982863999998"/>
    <n v="61985.746368"/>
  </r>
  <r>
    <s v="EZBC"/>
    <n v="35.78"/>
    <n v="35.799999999999997"/>
    <x v="15"/>
    <n v="1730.0198"/>
    <n v="-0.2"/>
    <n v="1730.2198000000001"/>
    <n v="61907.264444000008"/>
    <n v="61941.868839999996"/>
  </r>
  <r>
    <s v="FBTC"/>
    <n v="53.9"/>
    <n v="53.91"/>
    <x v="15"/>
    <n v="1148.7583999999999"/>
    <n v="0.05"/>
    <n v="1148.7084"/>
    <n v="61915.38276"/>
    <n v="61926.869843999993"/>
  </r>
  <r>
    <s v="GBTC"/>
    <n v="48.05"/>
    <n v="48.06"/>
    <x v="15"/>
    <n v="1288.4256"/>
    <n v="-0.05"/>
    <n v="1288.4756"/>
    <n v="61911.252579999993"/>
    <n v="61924.137336"/>
  </r>
  <r>
    <s v="HODL"/>
    <n v="17.5"/>
    <n v="17.510000000000002"/>
    <x v="15"/>
    <n v="3535.8029000000001"/>
    <n v="0"/>
    <n v="3535.8029000000001"/>
    <n v="61876.550750000002"/>
    <n v="61911.908779000005"/>
  </r>
  <r>
    <s v="IBIT"/>
    <n v="35.08"/>
    <n v="35.090000000000003"/>
    <x v="15"/>
    <n v="1764.9141"/>
    <n v="0"/>
    <n v="1764.9141"/>
    <n v="61913.186627999996"/>
    <n v="61930.835769000005"/>
  </r>
  <r>
    <s v="ARKB"/>
    <n v="20.54"/>
    <n v="20.55"/>
    <x v="16"/>
    <n v="3014.7411999999999"/>
    <n v="-0.1"/>
    <n v="3014.8411999999998"/>
    <n v="61924.838247999993"/>
    <n v="61954.986660000002"/>
  </r>
  <r>
    <s v="BITB"/>
    <n v="33.630000000000003"/>
    <n v="33.64"/>
    <x v="16"/>
    <n v="1841.9893"/>
    <n v="0.1"/>
    <n v="1841.8893"/>
    <n v="61942.737159000004"/>
    <n v="61961.156052000006"/>
  </r>
  <r>
    <s v="BRRR"/>
    <n v="17.46"/>
    <n v="17.47"/>
    <x v="16"/>
    <n v="3546.3099000000002"/>
    <n v="0"/>
    <n v="3546.3099000000002"/>
    <n v="61918.570854000005"/>
    <n v="61954.033952999998"/>
  </r>
  <r>
    <s v="BTC"/>
    <n v="27.39"/>
    <n v="27.4"/>
    <x v="16"/>
    <n v="2261.23"/>
    <n v="0.2"/>
    <n v="2261.0300000000002"/>
    <n v="61929.611700000009"/>
    <n v="61952.222000000002"/>
  </r>
  <r>
    <s v="BTCW"/>
    <n v="65.45"/>
    <n v="65.540000000000006"/>
    <x v="16"/>
    <n v="946.05840000000001"/>
    <n v="0"/>
    <n v="946.05840000000001"/>
    <n v="61919.522280000005"/>
    <n v="62004.667536000008"/>
  </r>
  <r>
    <s v="EZBC"/>
    <n v="35.79"/>
    <n v="35.799999999999997"/>
    <x v="16"/>
    <n v="1730.0198"/>
    <n v="-0.2"/>
    <n v="1730.2198000000001"/>
    <n v="61924.566641999998"/>
    <n v="61941.868839999996"/>
  </r>
  <r>
    <s v="FBTC"/>
    <n v="53.92"/>
    <n v="53.93"/>
    <x v="16"/>
    <n v="1148.7583999999999"/>
    <n v="0.05"/>
    <n v="1148.7084"/>
    <n v="61938.356928000001"/>
    <n v="61949.844012000001"/>
  </r>
  <r>
    <s v="GBTC"/>
    <n v="48.06"/>
    <n v="48.07"/>
    <x v="16"/>
    <n v="1288.4256"/>
    <n v="-0.05"/>
    <n v="1288.4756"/>
    <n v="61924.137336"/>
    <n v="61937.022091999999"/>
  </r>
  <r>
    <s v="HODL"/>
    <n v="17.510000000000002"/>
    <n v="17.52"/>
    <x v="16"/>
    <n v="3535.8029000000001"/>
    <n v="0"/>
    <n v="3535.8029000000001"/>
    <n v="61911.908779000005"/>
    <n v="61947.266808"/>
  </r>
  <r>
    <s v="IBIT"/>
    <n v="35.090000000000003"/>
    <n v="35.1"/>
    <x v="16"/>
    <n v="1764.9141"/>
    <n v="0"/>
    <n v="1764.9141"/>
    <n v="61930.835769000005"/>
    <n v="61948.48490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D9046-331D-4C19-AADF-789C4513608A}" name="PivotTable1" cacheId="15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18" firstHeaderRow="0" firstDataRow="1" firstDataCol="1"/>
  <pivotFields count="9">
    <pivotField showAll="0"/>
    <pivotField numFmtId="44" showAll="0"/>
    <pivotField numFmtId="44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7"/>
        <item t="default"/>
      </items>
    </pivotField>
    <pivotField showAll="0"/>
    <pivotField numFmtId="165" showAll="0"/>
    <pivotField numFmtId="165" showAll="0"/>
    <pivotField dataField="1" numFmtId="44" showAll="0"/>
    <pivotField dataField="1" numFmtId="44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BEA57-C0F3-4B98-8604-5F349907A9AE}" name="Table1" displayName="Table1" ref="A1:I171" totalsRowShown="0" headerRowDxfId="12">
  <autoFilter ref="A1:I171" xr:uid="{E3CBEA57-C0F3-4B98-8604-5F349907A9AE}"/>
  <sortState xmlns:xlrd2="http://schemas.microsoft.com/office/spreadsheetml/2017/richdata2" ref="A2:I171">
    <sortCondition ref="D1:D171"/>
  </sortState>
  <tableColumns count="9">
    <tableColumn id="1" xr3:uid="{DC5A1471-CAE6-43B6-A5CD-CA9C70E2D7C9}" name="my_fi_name"/>
    <tableColumn id="2" xr3:uid="{9098254E-86FE-4598-B1DE-2BA1DCF6E9ED}" name="price_mkt_bid" dataCellStyle="Currency"/>
    <tableColumn id="3" xr3:uid="{8BC2BC39-63F5-435A-BACD-B424BA41C66C}" name="price_mkt_ask" dataCellStyle="Currency"/>
    <tableColumn id="4" xr3:uid="{9E9DED97-7827-4AA4-99CB-C60871F8C9DB}" name="time" dataDxfId="11"/>
    <tableColumn id="5" xr3:uid="{C3338448-38B8-4994-93D6-9A2FA878189A}" name="scalar" dataDxfId="10" dataCellStyle="Comma"/>
    <tableColumn id="8" xr3:uid="{0A7DAC5D-E2ED-4433-9CC2-F12E807F3509}" name="adj" dataDxfId="9" dataCellStyle="Comma"/>
    <tableColumn id="9" xr3:uid="{B5783193-7439-47A1-A9F3-7172491C7537}" name="adj scalar" dataDxfId="8" dataCellStyle="Comma">
      <calculatedColumnFormula>Table1[[#This Row],[scalar]]-Table1[[#This Row],[adj]]</calculatedColumnFormula>
    </tableColumn>
    <tableColumn id="6" xr3:uid="{E50648D1-9A34-4432-92D8-8E0C2544ECFC}" name="unit bid" dataDxfId="7">
      <calculatedColumnFormula>Table1[[#This Row],[price_mkt_bid]]*Table1[[#This Row],[adj scalar]]</calculatedColumnFormula>
    </tableColumn>
    <tableColumn id="7" xr3:uid="{23BBEE61-01CE-4F48-AB74-A98E4F55BCB5}" name="unit ask" dataDxfId="6">
      <calculatedColumnFormula>Table1[[#This Row],[price_mkt_ask]]*Table1[[#This Row],[adj scalar]]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7C12-A0DF-492B-8653-BAA597F0DC39}">
  <dimension ref="A1:I171"/>
  <sheetViews>
    <sheetView tabSelected="1" workbookViewId="0">
      <selection activeCell="O19" sqref="O19"/>
    </sheetView>
  </sheetViews>
  <sheetFormatPr defaultRowHeight="15" x14ac:dyDescent="0.25"/>
  <cols>
    <col min="1" max="1" width="13.85546875" customWidth="1"/>
    <col min="2" max="2" width="15.7109375" style="1" customWidth="1"/>
    <col min="3" max="3" width="15.85546875" style="1" customWidth="1"/>
    <col min="4" max="4" width="20.42578125" style="2" customWidth="1"/>
    <col min="5" max="5" width="14.28515625" style="10" customWidth="1"/>
    <col min="6" max="6" width="11.28515625" style="10" bestFit="1" customWidth="1"/>
    <col min="7" max="7" width="14.28515625" style="10" customWidth="1"/>
    <col min="8" max="9" width="11.5703125" style="3" bestFit="1" customWidth="1"/>
  </cols>
  <sheetData>
    <row r="1" spans="1:9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5" t="s">
        <v>31</v>
      </c>
      <c r="F1" s="15" t="s">
        <v>45</v>
      </c>
      <c r="G1" s="15" t="s">
        <v>46</v>
      </c>
      <c r="H1" s="12" t="s">
        <v>32</v>
      </c>
      <c r="I1" s="12" t="s">
        <v>33</v>
      </c>
    </row>
    <row r="2" spans="1:9" x14ac:dyDescent="0.25">
      <c r="A2" t="s">
        <v>4</v>
      </c>
      <c r="B2" s="1">
        <v>20.73</v>
      </c>
      <c r="C2" s="1">
        <v>20.74</v>
      </c>
      <c r="D2" s="2" t="s">
        <v>5</v>
      </c>
      <c r="E2" s="10">
        <v>3014.7411999999999</v>
      </c>
      <c r="F2" s="16">
        <f>Sheet1!L3</f>
        <v>-0.1</v>
      </c>
      <c r="G2" s="10">
        <f>Table1[[#This Row],[scalar]]-Table1[[#This Row],[adj]]</f>
        <v>3014.8411999999998</v>
      </c>
      <c r="H2" s="3">
        <f>Table1[[#This Row],[price_mkt_bid]]*Table1[[#This Row],[adj scalar]]</f>
        <v>62497.658076</v>
      </c>
      <c r="I2" s="3">
        <f>Table1[[#This Row],[price_mkt_ask]]*Table1[[#This Row],[adj scalar]]</f>
        <v>62527.806487999995</v>
      </c>
    </row>
    <row r="3" spans="1:9" x14ac:dyDescent="0.25">
      <c r="A3" t="s">
        <v>6</v>
      </c>
      <c r="B3" s="1">
        <v>33.93</v>
      </c>
      <c r="C3" s="1">
        <v>33.94</v>
      </c>
      <c r="D3" s="2" t="s">
        <v>5</v>
      </c>
      <c r="E3" s="10">
        <v>1841.9893</v>
      </c>
      <c r="F3" s="16">
        <f>Sheet1!L4</f>
        <v>0.1</v>
      </c>
      <c r="G3" s="10">
        <f>Table1[[#This Row],[scalar]]-Table1[[#This Row],[adj]]</f>
        <v>1841.8893</v>
      </c>
      <c r="H3" s="3">
        <f>Table1[[#This Row],[price_mkt_bid]]*Table1[[#This Row],[adj scalar]]</f>
        <v>62495.303949000001</v>
      </c>
      <c r="I3" s="3">
        <f>Table1[[#This Row],[price_mkt_ask]]*Table1[[#This Row],[adj scalar]]</f>
        <v>62513.722841999996</v>
      </c>
    </row>
    <row r="4" spans="1:9" x14ac:dyDescent="0.25">
      <c r="A4" t="s">
        <v>7</v>
      </c>
      <c r="B4" s="1">
        <v>17.62</v>
      </c>
      <c r="C4" s="1">
        <v>17.63</v>
      </c>
      <c r="D4" s="2" t="s">
        <v>5</v>
      </c>
      <c r="E4" s="10">
        <v>3546.3099000000002</v>
      </c>
      <c r="F4" s="16">
        <f>Sheet1!L5</f>
        <v>0</v>
      </c>
      <c r="G4" s="10">
        <f>Table1[[#This Row],[scalar]]-Table1[[#This Row],[adj]]</f>
        <v>3546.3099000000002</v>
      </c>
      <c r="H4" s="3">
        <f>Table1[[#This Row],[price_mkt_bid]]*Table1[[#This Row],[adj scalar]]</f>
        <v>62485.980438000006</v>
      </c>
      <c r="I4" s="3">
        <f>Table1[[#This Row],[price_mkt_ask]]*Table1[[#This Row],[adj scalar]]</f>
        <v>62521.443536999999</v>
      </c>
    </row>
    <row r="5" spans="1:9" x14ac:dyDescent="0.25">
      <c r="A5" t="s">
        <v>8</v>
      </c>
      <c r="B5" s="1">
        <v>27.64</v>
      </c>
      <c r="C5" s="1">
        <v>27.65</v>
      </c>
      <c r="D5" s="2" t="s">
        <v>5</v>
      </c>
      <c r="E5" s="10">
        <v>2261.23</v>
      </c>
      <c r="F5" s="16">
        <f>Sheet1!L6</f>
        <v>0.2</v>
      </c>
      <c r="G5" s="10">
        <f>Table1[[#This Row],[scalar]]-Table1[[#This Row],[adj]]</f>
        <v>2261.0300000000002</v>
      </c>
      <c r="H5" s="3">
        <f>Table1[[#This Row],[price_mkt_bid]]*Table1[[#This Row],[adj scalar]]</f>
        <v>62494.869200000008</v>
      </c>
      <c r="I5" s="3">
        <f>Table1[[#This Row],[price_mkt_ask]]*Table1[[#This Row],[adj scalar]]</f>
        <v>62517.479500000001</v>
      </c>
    </row>
    <row r="6" spans="1:9" x14ac:dyDescent="0.25">
      <c r="A6" t="s">
        <v>9</v>
      </c>
      <c r="B6" s="1">
        <v>66.06</v>
      </c>
      <c r="C6" s="1">
        <v>66.17</v>
      </c>
      <c r="D6" s="2" t="s">
        <v>5</v>
      </c>
      <c r="E6" s="10">
        <v>946.05840000000001</v>
      </c>
      <c r="F6" s="16">
        <f>Sheet1!L7</f>
        <v>0</v>
      </c>
      <c r="G6" s="10">
        <f>Table1[[#This Row],[scalar]]-Table1[[#This Row],[adj]]</f>
        <v>946.05840000000001</v>
      </c>
      <c r="H6" s="3">
        <f>Table1[[#This Row],[price_mkt_bid]]*Table1[[#This Row],[adj scalar]]</f>
        <v>62496.617904000006</v>
      </c>
      <c r="I6" s="3">
        <f>Table1[[#This Row],[price_mkt_ask]]*Table1[[#This Row],[adj scalar]]</f>
        <v>62600.684328000003</v>
      </c>
    </row>
    <row r="7" spans="1:9" x14ac:dyDescent="0.25">
      <c r="A7" t="s">
        <v>10</v>
      </c>
      <c r="B7" s="1">
        <v>36.119999999999997</v>
      </c>
      <c r="C7" s="1">
        <v>36.14</v>
      </c>
      <c r="D7" s="2" t="s">
        <v>5</v>
      </c>
      <c r="E7" s="10">
        <v>1730.0198</v>
      </c>
      <c r="F7" s="16">
        <f>Sheet1!L8</f>
        <v>-0.2</v>
      </c>
      <c r="G7" s="10">
        <f>Table1[[#This Row],[scalar]]-Table1[[#This Row],[adj]]</f>
        <v>1730.2198000000001</v>
      </c>
      <c r="H7" s="3">
        <f>Table1[[#This Row],[price_mkt_bid]]*Table1[[#This Row],[adj scalar]]</f>
        <v>62495.539175999998</v>
      </c>
      <c r="I7" s="3">
        <f>Table1[[#This Row],[price_mkt_ask]]*Table1[[#This Row],[adj scalar]]</f>
        <v>62530.143572000001</v>
      </c>
    </row>
    <row r="8" spans="1:9" x14ac:dyDescent="0.25">
      <c r="A8" t="s">
        <v>11</v>
      </c>
      <c r="B8" s="1">
        <v>54.41</v>
      </c>
      <c r="C8" s="1">
        <v>54.42</v>
      </c>
      <c r="D8" s="2" t="s">
        <v>5</v>
      </c>
      <c r="E8" s="10">
        <v>1148.7583999999999</v>
      </c>
      <c r="F8" s="16">
        <f>Sheet1!L9</f>
        <v>0.05</v>
      </c>
      <c r="G8" s="10">
        <f>Table1[[#This Row],[scalar]]-Table1[[#This Row],[adj]]</f>
        <v>1148.7084</v>
      </c>
      <c r="H8" s="3">
        <f>Table1[[#This Row],[price_mkt_bid]]*Table1[[#This Row],[adj scalar]]</f>
        <v>62501.224043999995</v>
      </c>
      <c r="I8" s="3">
        <f>Table1[[#This Row],[price_mkt_ask]]*Table1[[#This Row],[adj scalar]]</f>
        <v>62512.711128000003</v>
      </c>
    </row>
    <row r="9" spans="1:9" x14ac:dyDescent="0.25">
      <c r="A9" t="s">
        <v>12</v>
      </c>
      <c r="B9" s="1">
        <v>48.51</v>
      </c>
      <c r="C9" s="1">
        <v>48.52</v>
      </c>
      <c r="D9" s="2" t="s">
        <v>5</v>
      </c>
      <c r="E9" s="10">
        <v>1288.4256</v>
      </c>
      <c r="F9" s="16">
        <f>Sheet1!L10</f>
        <v>-0.05</v>
      </c>
      <c r="G9" s="10">
        <f>Table1[[#This Row],[scalar]]-Table1[[#This Row],[adj]]</f>
        <v>1288.4756</v>
      </c>
      <c r="H9" s="3">
        <f>Table1[[#This Row],[price_mkt_bid]]*Table1[[#This Row],[adj scalar]]</f>
        <v>62503.951355999998</v>
      </c>
      <c r="I9" s="3">
        <f>Table1[[#This Row],[price_mkt_ask]]*Table1[[#This Row],[adj scalar]]</f>
        <v>62516.836112000005</v>
      </c>
    </row>
    <row r="10" spans="1:9" x14ac:dyDescent="0.25">
      <c r="A10" t="s">
        <v>13</v>
      </c>
      <c r="B10" s="1">
        <v>17.670000000000002</v>
      </c>
      <c r="C10" s="1">
        <v>17.68</v>
      </c>
      <c r="D10" s="2" t="s">
        <v>5</v>
      </c>
      <c r="E10" s="10">
        <v>3535.8029000000001</v>
      </c>
      <c r="F10" s="16">
        <f>Sheet1!L11</f>
        <v>0</v>
      </c>
      <c r="G10" s="10">
        <f>Table1[[#This Row],[scalar]]-Table1[[#This Row],[adj]]</f>
        <v>3535.8029000000001</v>
      </c>
      <c r="H10" s="3">
        <f>Table1[[#This Row],[price_mkt_bid]]*Table1[[#This Row],[adj scalar]]</f>
        <v>62477.637243000012</v>
      </c>
      <c r="I10" s="3">
        <f>Table1[[#This Row],[price_mkt_ask]]*Table1[[#This Row],[adj scalar]]</f>
        <v>62512.995272</v>
      </c>
    </row>
    <row r="11" spans="1:9" x14ac:dyDescent="0.25">
      <c r="A11" t="s">
        <v>14</v>
      </c>
      <c r="B11" s="1">
        <v>35.409999999999997</v>
      </c>
      <c r="C11" s="1">
        <v>35.42</v>
      </c>
      <c r="D11" s="2" t="s">
        <v>5</v>
      </c>
      <c r="E11" s="10">
        <v>1764.9141</v>
      </c>
      <c r="F11" s="16">
        <f>Sheet1!L12</f>
        <v>0</v>
      </c>
      <c r="G11" s="10">
        <f>Table1[[#This Row],[scalar]]-Table1[[#This Row],[adj]]</f>
        <v>1764.9141</v>
      </c>
      <c r="H11" s="3">
        <f>Table1[[#This Row],[price_mkt_bid]]*Table1[[#This Row],[adj scalar]]</f>
        <v>62495.608280999993</v>
      </c>
      <c r="I11" s="3">
        <f>Table1[[#This Row],[price_mkt_ask]]*Table1[[#This Row],[adj scalar]]</f>
        <v>62513.257422000002</v>
      </c>
    </row>
    <row r="12" spans="1:9" x14ac:dyDescent="0.25">
      <c r="A12" t="s">
        <v>4</v>
      </c>
      <c r="B12" s="1">
        <v>20.68</v>
      </c>
      <c r="C12" s="1">
        <v>20.69</v>
      </c>
      <c r="D12" s="2" t="s">
        <v>15</v>
      </c>
      <c r="E12" s="10">
        <v>3014.7411999999999</v>
      </c>
      <c r="F12" s="10">
        <f>F2</f>
        <v>-0.1</v>
      </c>
      <c r="G12" s="10">
        <f>Table1[[#This Row],[scalar]]-Table1[[#This Row],[adj]]</f>
        <v>3014.8411999999998</v>
      </c>
      <c r="H12" s="3">
        <f>Table1[[#This Row],[price_mkt_bid]]*Table1[[#This Row],[adj scalar]]</f>
        <v>62346.916015999996</v>
      </c>
      <c r="I12" s="3">
        <f>Table1[[#This Row],[price_mkt_ask]]*Table1[[#This Row],[adj scalar]]</f>
        <v>62377.064427999998</v>
      </c>
    </row>
    <row r="13" spans="1:9" x14ac:dyDescent="0.25">
      <c r="A13" t="s">
        <v>6</v>
      </c>
      <c r="B13" s="1">
        <v>33.86</v>
      </c>
      <c r="C13" s="1">
        <v>33.869999999999997</v>
      </c>
      <c r="D13" s="2" t="s">
        <v>15</v>
      </c>
      <c r="E13" s="10">
        <v>1841.9893</v>
      </c>
      <c r="F13" s="10">
        <f t="shared" ref="F13:F76" si="0">F3</f>
        <v>0.1</v>
      </c>
      <c r="G13" s="10">
        <f>Table1[[#This Row],[scalar]]-Table1[[#This Row],[adj]]</f>
        <v>1841.8893</v>
      </c>
      <c r="H13" s="3">
        <f>Table1[[#This Row],[price_mkt_bid]]*Table1[[#This Row],[adj scalar]]</f>
        <v>62366.371698000003</v>
      </c>
      <c r="I13" s="3">
        <f>Table1[[#This Row],[price_mkt_ask]]*Table1[[#This Row],[adj scalar]]</f>
        <v>62384.790590999997</v>
      </c>
    </row>
    <row r="14" spans="1:9" x14ac:dyDescent="0.25">
      <c r="A14" t="s">
        <v>7</v>
      </c>
      <c r="B14" s="1">
        <v>17.579999999999998</v>
      </c>
      <c r="C14" s="1">
        <v>17.59</v>
      </c>
      <c r="D14" s="2" t="s">
        <v>15</v>
      </c>
      <c r="E14" s="10">
        <v>3546.3099000000002</v>
      </c>
      <c r="F14" s="10">
        <f t="shared" si="0"/>
        <v>0</v>
      </c>
      <c r="G14" s="10">
        <f>Table1[[#This Row],[scalar]]-Table1[[#This Row],[adj]]</f>
        <v>3546.3099000000002</v>
      </c>
      <c r="H14" s="3">
        <f>Table1[[#This Row],[price_mkt_bid]]*Table1[[#This Row],[adj scalar]]</f>
        <v>62344.128041999997</v>
      </c>
      <c r="I14" s="3">
        <f>Table1[[#This Row],[price_mkt_ask]]*Table1[[#This Row],[adj scalar]]</f>
        <v>62379.591141000004</v>
      </c>
    </row>
    <row r="15" spans="1:9" x14ac:dyDescent="0.25">
      <c r="A15" t="s">
        <v>8</v>
      </c>
      <c r="B15" s="1">
        <v>27.58</v>
      </c>
      <c r="C15" s="1">
        <v>27.59</v>
      </c>
      <c r="D15" s="2" t="s">
        <v>15</v>
      </c>
      <c r="E15" s="10">
        <v>2261.23</v>
      </c>
      <c r="F15" s="10">
        <f t="shared" si="0"/>
        <v>0.2</v>
      </c>
      <c r="G15" s="10">
        <f>Table1[[#This Row],[scalar]]-Table1[[#This Row],[adj]]</f>
        <v>2261.0300000000002</v>
      </c>
      <c r="H15" s="3">
        <f>Table1[[#This Row],[price_mkt_bid]]*Table1[[#This Row],[adj scalar]]</f>
        <v>62359.207399999999</v>
      </c>
      <c r="I15" s="3">
        <f>Table1[[#This Row],[price_mkt_ask]]*Table1[[#This Row],[adj scalar]]</f>
        <v>62381.817700000007</v>
      </c>
    </row>
    <row r="16" spans="1:9" x14ac:dyDescent="0.25">
      <c r="A16" t="s">
        <v>9</v>
      </c>
      <c r="B16" s="1">
        <v>65.92</v>
      </c>
      <c r="C16" s="1">
        <v>66.03</v>
      </c>
      <c r="D16" s="2" t="s">
        <v>15</v>
      </c>
      <c r="E16" s="10">
        <v>946.05840000000001</v>
      </c>
      <c r="F16" s="10">
        <f t="shared" si="0"/>
        <v>0</v>
      </c>
      <c r="G16" s="10">
        <f>Table1[[#This Row],[scalar]]-Table1[[#This Row],[adj]]</f>
        <v>946.05840000000001</v>
      </c>
      <c r="H16" s="3">
        <f>Table1[[#This Row],[price_mkt_bid]]*Table1[[#This Row],[adj scalar]]</f>
        <v>62364.169728000001</v>
      </c>
      <c r="I16" s="3">
        <f>Table1[[#This Row],[price_mkt_ask]]*Table1[[#This Row],[adj scalar]]</f>
        <v>62468.236152000005</v>
      </c>
    </row>
    <row r="17" spans="1:9" x14ac:dyDescent="0.25">
      <c r="A17" t="s">
        <v>10</v>
      </c>
      <c r="B17" s="1">
        <v>36.03</v>
      </c>
      <c r="C17" s="1">
        <v>36.049999999999997</v>
      </c>
      <c r="D17" s="2" t="s">
        <v>15</v>
      </c>
      <c r="E17" s="10">
        <v>1730.0198</v>
      </c>
      <c r="F17" s="10">
        <f t="shared" si="0"/>
        <v>-0.2</v>
      </c>
      <c r="G17" s="10">
        <f>Table1[[#This Row],[scalar]]-Table1[[#This Row],[adj]]</f>
        <v>1730.2198000000001</v>
      </c>
      <c r="H17" s="3">
        <f>Table1[[#This Row],[price_mkt_bid]]*Table1[[#This Row],[adj scalar]]</f>
        <v>62339.819394000006</v>
      </c>
      <c r="I17" s="3">
        <f>Table1[[#This Row],[price_mkt_ask]]*Table1[[#This Row],[adj scalar]]</f>
        <v>62374.423790000001</v>
      </c>
    </row>
    <row r="18" spans="1:9" x14ac:dyDescent="0.25">
      <c r="A18" t="s">
        <v>11</v>
      </c>
      <c r="B18" s="1">
        <v>54.29</v>
      </c>
      <c r="C18" s="1">
        <v>54.3</v>
      </c>
      <c r="D18" s="2" t="s">
        <v>15</v>
      </c>
      <c r="E18" s="10">
        <v>1148.7583999999999</v>
      </c>
      <c r="F18" s="10">
        <f t="shared" si="0"/>
        <v>0.05</v>
      </c>
      <c r="G18" s="10">
        <f>Table1[[#This Row],[scalar]]-Table1[[#This Row],[adj]]</f>
        <v>1148.7084</v>
      </c>
      <c r="H18" s="3">
        <f>Table1[[#This Row],[price_mkt_bid]]*Table1[[#This Row],[adj scalar]]</f>
        <v>62363.379035999998</v>
      </c>
      <c r="I18" s="3">
        <f>Table1[[#This Row],[price_mkt_ask]]*Table1[[#This Row],[adj scalar]]</f>
        <v>62374.866119999999</v>
      </c>
    </row>
    <row r="19" spans="1:9" x14ac:dyDescent="0.25">
      <c r="A19" t="s">
        <v>12</v>
      </c>
      <c r="B19" s="1">
        <v>48.4</v>
      </c>
      <c r="C19" s="1">
        <v>48.41</v>
      </c>
      <c r="D19" s="2" t="s">
        <v>15</v>
      </c>
      <c r="E19" s="10">
        <v>1288.4256</v>
      </c>
      <c r="F19" s="10">
        <f t="shared" si="0"/>
        <v>-0.05</v>
      </c>
      <c r="G19" s="10">
        <f>Table1[[#This Row],[scalar]]-Table1[[#This Row],[adj]]</f>
        <v>1288.4756</v>
      </c>
      <c r="H19" s="3">
        <f>Table1[[#This Row],[price_mkt_bid]]*Table1[[#This Row],[adj scalar]]</f>
        <v>62362.219039999996</v>
      </c>
      <c r="I19" s="3">
        <f>Table1[[#This Row],[price_mkt_ask]]*Table1[[#This Row],[adj scalar]]</f>
        <v>62375.103795999996</v>
      </c>
    </row>
    <row r="20" spans="1:9" x14ac:dyDescent="0.25">
      <c r="A20" t="s">
        <v>13</v>
      </c>
      <c r="B20" s="1">
        <v>17.63</v>
      </c>
      <c r="C20" s="1">
        <v>17.64</v>
      </c>
      <c r="D20" s="2" t="s">
        <v>15</v>
      </c>
      <c r="E20" s="10">
        <v>3535.8029000000001</v>
      </c>
      <c r="F20" s="10">
        <f t="shared" si="0"/>
        <v>0</v>
      </c>
      <c r="G20" s="10">
        <f>Table1[[#This Row],[scalar]]-Table1[[#This Row],[adj]]</f>
        <v>3535.8029000000001</v>
      </c>
      <c r="H20" s="3">
        <f>Table1[[#This Row],[price_mkt_bid]]*Table1[[#This Row],[adj scalar]]</f>
        <v>62336.205127000001</v>
      </c>
      <c r="I20" s="3">
        <f>Table1[[#This Row],[price_mkt_ask]]*Table1[[#This Row],[adj scalar]]</f>
        <v>62371.563156000004</v>
      </c>
    </row>
    <row r="21" spans="1:9" x14ac:dyDescent="0.25">
      <c r="A21" t="s">
        <v>14</v>
      </c>
      <c r="B21" s="1">
        <v>35.33</v>
      </c>
      <c r="C21" s="1">
        <v>35.340000000000003</v>
      </c>
      <c r="D21" s="2" t="s">
        <v>15</v>
      </c>
      <c r="E21" s="10">
        <v>1764.9141</v>
      </c>
      <c r="F21" s="10">
        <f t="shared" si="0"/>
        <v>0</v>
      </c>
      <c r="G21" s="10">
        <f>Table1[[#This Row],[scalar]]-Table1[[#This Row],[adj]]</f>
        <v>1764.9141</v>
      </c>
      <c r="H21" s="3">
        <f>Table1[[#This Row],[price_mkt_bid]]*Table1[[#This Row],[adj scalar]]</f>
        <v>62354.415152999994</v>
      </c>
      <c r="I21" s="3">
        <f>Table1[[#This Row],[price_mkt_ask]]*Table1[[#This Row],[adj scalar]]</f>
        <v>62372.064294000003</v>
      </c>
    </row>
    <row r="22" spans="1:9" x14ac:dyDescent="0.25">
      <c r="A22" t="s">
        <v>4</v>
      </c>
      <c r="B22" s="1">
        <v>20.64</v>
      </c>
      <c r="C22" s="1">
        <v>20.65</v>
      </c>
      <c r="D22" s="2" t="s">
        <v>16</v>
      </c>
      <c r="E22" s="10">
        <v>3014.7411999999999</v>
      </c>
      <c r="F22" s="10">
        <f t="shared" si="0"/>
        <v>-0.1</v>
      </c>
      <c r="G22" s="10">
        <f>Table1[[#This Row],[scalar]]-Table1[[#This Row],[adj]]</f>
        <v>3014.8411999999998</v>
      </c>
      <c r="H22" s="3">
        <f>Table1[[#This Row],[price_mkt_bid]]*Table1[[#This Row],[adj scalar]]</f>
        <v>62226.322368000001</v>
      </c>
      <c r="I22" s="3">
        <f>Table1[[#This Row],[price_mkt_ask]]*Table1[[#This Row],[adj scalar]]</f>
        <v>62256.470779999996</v>
      </c>
    </row>
    <row r="23" spans="1:9" x14ac:dyDescent="0.25">
      <c r="A23" t="s">
        <v>6</v>
      </c>
      <c r="B23" s="1">
        <v>33.79</v>
      </c>
      <c r="C23" s="1">
        <v>33.799999999999997</v>
      </c>
      <c r="D23" s="2" t="s">
        <v>16</v>
      </c>
      <c r="E23" s="10">
        <v>1841.9893</v>
      </c>
      <c r="F23" s="10">
        <f t="shared" si="0"/>
        <v>0.1</v>
      </c>
      <c r="G23" s="10">
        <f>Table1[[#This Row],[scalar]]-Table1[[#This Row],[adj]]</f>
        <v>1841.8893</v>
      </c>
      <c r="H23" s="3">
        <f>Table1[[#This Row],[price_mkt_bid]]*Table1[[#This Row],[adj scalar]]</f>
        <v>62237.439446999997</v>
      </c>
      <c r="I23" s="3">
        <f>Table1[[#This Row],[price_mkt_ask]]*Table1[[#This Row],[adj scalar]]</f>
        <v>62255.858339999999</v>
      </c>
    </row>
    <row r="24" spans="1:9" x14ac:dyDescent="0.25">
      <c r="A24" t="s">
        <v>7</v>
      </c>
      <c r="B24" s="1">
        <v>17.54</v>
      </c>
      <c r="C24" s="1">
        <v>17.55</v>
      </c>
      <c r="D24" s="2" t="s">
        <v>16</v>
      </c>
      <c r="E24" s="10">
        <v>3546.3099000000002</v>
      </c>
      <c r="F24" s="10">
        <f t="shared" si="0"/>
        <v>0</v>
      </c>
      <c r="G24" s="10">
        <f>Table1[[#This Row],[scalar]]-Table1[[#This Row],[adj]]</f>
        <v>3546.3099000000002</v>
      </c>
      <c r="H24" s="3">
        <f>Table1[[#This Row],[price_mkt_bid]]*Table1[[#This Row],[adj scalar]]</f>
        <v>62202.275646000002</v>
      </c>
      <c r="I24" s="3">
        <f>Table1[[#This Row],[price_mkt_ask]]*Table1[[#This Row],[adj scalar]]</f>
        <v>62237.738745000002</v>
      </c>
    </row>
    <row r="25" spans="1:9" x14ac:dyDescent="0.25">
      <c r="A25" t="s">
        <v>8</v>
      </c>
      <c r="B25" s="1">
        <v>27.52</v>
      </c>
      <c r="C25" s="1">
        <v>27.53</v>
      </c>
      <c r="D25" s="2" t="s">
        <v>16</v>
      </c>
      <c r="E25" s="10">
        <v>2261.23</v>
      </c>
      <c r="F25" s="10">
        <f t="shared" si="0"/>
        <v>0.2</v>
      </c>
      <c r="G25" s="10">
        <f>Table1[[#This Row],[scalar]]-Table1[[#This Row],[adj]]</f>
        <v>2261.0300000000002</v>
      </c>
      <c r="H25" s="3">
        <f>Table1[[#This Row],[price_mkt_bid]]*Table1[[#This Row],[adj scalar]]</f>
        <v>62223.545600000005</v>
      </c>
      <c r="I25" s="3">
        <f>Table1[[#This Row],[price_mkt_ask]]*Table1[[#This Row],[adj scalar]]</f>
        <v>62246.155900000005</v>
      </c>
    </row>
    <row r="26" spans="1:9" x14ac:dyDescent="0.25">
      <c r="A26" t="s">
        <v>9</v>
      </c>
      <c r="B26" s="1">
        <v>65.78</v>
      </c>
      <c r="C26" s="1">
        <v>65.87</v>
      </c>
      <c r="D26" s="2" t="s">
        <v>16</v>
      </c>
      <c r="E26" s="10">
        <v>946.05840000000001</v>
      </c>
      <c r="F26" s="10">
        <f t="shared" si="0"/>
        <v>0</v>
      </c>
      <c r="G26" s="10">
        <f>Table1[[#This Row],[scalar]]-Table1[[#This Row],[adj]]</f>
        <v>946.05840000000001</v>
      </c>
      <c r="H26" s="3">
        <f>Table1[[#This Row],[price_mkt_bid]]*Table1[[#This Row],[adj scalar]]</f>
        <v>62231.721552000003</v>
      </c>
      <c r="I26" s="3">
        <f>Table1[[#This Row],[price_mkt_ask]]*Table1[[#This Row],[adj scalar]]</f>
        <v>62316.866808000006</v>
      </c>
    </row>
    <row r="27" spans="1:9" x14ac:dyDescent="0.25">
      <c r="A27" t="s">
        <v>10</v>
      </c>
      <c r="B27" s="1">
        <v>35.96</v>
      </c>
      <c r="C27" s="1">
        <v>35.979999999999997</v>
      </c>
      <c r="D27" s="2" t="s">
        <v>16</v>
      </c>
      <c r="E27" s="10">
        <v>1730.0198</v>
      </c>
      <c r="F27" s="10">
        <f t="shared" si="0"/>
        <v>-0.2</v>
      </c>
      <c r="G27" s="10">
        <f>Table1[[#This Row],[scalar]]-Table1[[#This Row],[adj]]</f>
        <v>1730.2198000000001</v>
      </c>
      <c r="H27" s="3">
        <f>Table1[[#This Row],[price_mkt_bid]]*Table1[[#This Row],[adj scalar]]</f>
        <v>62218.704008000008</v>
      </c>
      <c r="I27" s="3">
        <f>Table1[[#This Row],[price_mkt_ask]]*Table1[[#This Row],[adj scalar]]</f>
        <v>62253.308403999996</v>
      </c>
    </row>
    <row r="28" spans="1:9" x14ac:dyDescent="0.25">
      <c r="A28" t="s">
        <v>11</v>
      </c>
      <c r="B28" s="1">
        <v>54.18</v>
      </c>
      <c r="C28" s="1">
        <v>54.19</v>
      </c>
      <c r="D28" s="2" t="s">
        <v>16</v>
      </c>
      <c r="E28" s="10">
        <v>1148.7583999999999</v>
      </c>
      <c r="F28" s="10">
        <f t="shared" si="0"/>
        <v>0.05</v>
      </c>
      <c r="G28" s="10">
        <f>Table1[[#This Row],[scalar]]-Table1[[#This Row],[adj]]</f>
        <v>1148.7084</v>
      </c>
      <c r="H28" s="3">
        <f>Table1[[#This Row],[price_mkt_bid]]*Table1[[#This Row],[adj scalar]]</f>
        <v>62237.021112000002</v>
      </c>
      <c r="I28" s="3">
        <f>Table1[[#This Row],[price_mkt_ask]]*Table1[[#This Row],[adj scalar]]</f>
        <v>62248.508195999995</v>
      </c>
    </row>
    <row r="29" spans="1:9" x14ac:dyDescent="0.25">
      <c r="A29" t="s">
        <v>12</v>
      </c>
      <c r="B29" s="1">
        <v>48.3</v>
      </c>
      <c r="C29" s="1">
        <v>48.31</v>
      </c>
      <c r="D29" s="2" t="s">
        <v>16</v>
      </c>
      <c r="E29" s="10">
        <v>1288.4256</v>
      </c>
      <c r="F29" s="10">
        <f t="shared" si="0"/>
        <v>-0.05</v>
      </c>
      <c r="G29" s="10">
        <f>Table1[[#This Row],[scalar]]-Table1[[#This Row],[adj]]</f>
        <v>1288.4756</v>
      </c>
      <c r="H29" s="3">
        <f>Table1[[#This Row],[price_mkt_bid]]*Table1[[#This Row],[adj scalar]]</f>
        <v>62233.371479999994</v>
      </c>
      <c r="I29" s="3">
        <f>Table1[[#This Row],[price_mkt_ask]]*Table1[[#This Row],[adj scalar]]</f>
        <v>62246.256236000001</v>
      </c>
    </row>
    <row r="30" spans="1:9" x14ac:dyDescent="0.25">
      <c r="A30" t="s">
        <v>13</v>
      </c>
      <c r="B30" s="1">
        <v>17.600000000000001</v>
      </c>
      <c r="C30" s="1">
        <v>17.61</v>
      </c>
      <c r="D30" s="2" t="s">
        <v>16</v>
      </c>
      <c r="E30" s="10">
        <v>3535.8029000000001</v>
      </c>
      <c r="F30" s="10">
        <f t="shared" si="0"/>
        <v>0</v>
      </c>
      <c r="G30" s="10">
        <f>Table1[[#This Row],[scalar]]-Table1[[#This Row],[adj]]</f>
        <v>3535.8029000000001</v>
      </c>
      <c r="H30" s="3">
        <f>Table1[[#This Row],[price_mkt_bid]]*Table1[[#This Row],[adj scalar]]</f>
        <v>62230.131040000007</v>
      </c>
      <c r="I30" s="3">
        <f>Table1[[#This Row],[price_mkt_ask]]*Table1[[#This Row],[adj scalar]]</f>
        <v>62265.489069000003</v>
      </c>
    </row>
    <row r="31" spans="1:9" x14ac:dyDescent="0.25">
      <c r="A31" t="s">
        <v>14</v>
      </c>
      <c r="B31" s="1">
        <v>35.25</v>
      </c>
      <c r="C31" s="1">
        <v>35.26</v>
      </c>
      <c r="D31" s="2" t="s">
        <v>16</v>
      </c>
      <c r="E31" s="10">
        <v>1764.9141</v>
      </c>
      <c r="F31" s="10">
        <f t="shared" si="0"/>
        <v>0</v>
      </c>
      <c r="G31" s="10">
        <f>Table1[[#This Row],[scalar]]-Table1[[#This Row],[adj]]</f>
        <v>1764.9141</v>
      </c>
      <c r="H31" s="3">
        <f>Table1[[#This Row],[price_mkt_bid]]*Table1[[#This Row],[adj scalar]]</f>
        <v>62213.222024999995</v>
      </c>
      <c r="I31" s="3">
        <f>Table1[[#This Row],[price_mkt_ask]]*Table1[[#This Row],[adj scalar]]</f>
        <v>62230.871165999997</v>
      </c>
    </row>
    <row r="32" spans="1:9" x14ac:dyDescent="0.25">
      <c r="A32" t="s">
        <v>4</v>
      </c>
      <c r="B32" s="1">
        <v>20.66</v>
      </c>
      <c r="C32" s="1">
        <v>20.67</v>
      </c>
      <c r="D32" s="2" t="s">
        <v>17</v>
      </c>
      <c r="E32" s="10">
        <v>3014.7411999999999</v>
      </c>
      <c r="F32" s="10">
        <f t="shared" si="0"/>
        <v>-0.1</v>
      </c>
      <c r="G32" s="10">
        <f>Table1[[#This Row],[scalar]]-Table1[[#This Row],[adj]]</f>
        <v>3014.8411999999998</v>
      </c>
      <c r="H32" s="3">
        <f>Table1[[#This Row],[price_mkt_bid]]*Table1[[#This Row],[adj scalar]]</f>
        <v>62286.619191999998</v>
      </c>
      <c r="I32" s="3">
        <f>Table1[[#This Row],[price_mkt_ask]]*Table1[[#This Row],[adj scalar]]</f>
        <v>62316.767604000001</v>
      </c>
    </row>
    <row r="33" spans="1:9" x14ac:dyDescent="0.25">
      <c r="A33" t="s">
        <v>6</v>
      </c>
      <c r="B33" s="1">
        <v>33.81</v>
      </c>
      <c r="C33" s="1">
        <v>33.82</v>
      </c>
      <c r="D33" s="2" t="s">
        <v>17</v>
      </c>
      <c r="E33" s="10">
        <v>1841.9893</v>
      </c>
      <c r="F33" s="10">
        <f t="shared" si="0"/>
        <v>0.1</v>
      </c>
      <c r="G33" s="10">
        <f>Table1[[#This Row],[scalar]]-Table1[[#This Row],[adj]]</f>
        <v>1841.8893</v>
      </c>
      <c r="H33" s="3">
        <f>Table1[[#This Row],[price_mkt_bid]]*Table1[[#This Row],[adj scalar]]</f>
        <v>62274.277233000008</v>
      </c>
      <c r="I33" s="3">
        <f>Table1[[#This Row],[price_mkt_ask]]*Table1[[#This Row],[adj scalar]]</f>
        <v>62292.696126000003</v>
      </c>
    </row>
    <row r="34" spans="1:9" x14ac:dyDescent="0.25">
      <c r="A34" t="s">
        <v>7</v>
      </c>
      <c r="B34" s="1">
        <v>17.559999999999999</v>
      </c>
      <c r="C34" s="1">
        <v>17.57</v>
      </c>
      <c r="D34" s="2" t="s">
        <v>17</v>
      </c>
      <c r="E34" s="10">
        <v>3546.3099000000002</v>
      </c>
      <c r="F34" s="10">
        <f t="shared" si="0"/>
        <v>0</v>
      </c>
      <c r="G34" s="10">
        <f>Table1[[#This Row],[scalar]]-Table1[[#This Row],[adj]]</f>
        <v>3546.3099000000002</v>
      </c>
      <c r="H34" s="3">
        <f>Table1[[#This Row],[price_mkt_bid]]*Table1[[#This Row],[adj scalar]]</f>
        <v>62273.201843999996</v>
      </c>
      <c r="I34" s="3">
        <f>Table1[[#This Row],[price_mkt_ask]]*Table1[[#This Row],[adj scalar]]</f>
        <v>62308.664943000003</v>
      </c>
    </row>
    <row r="35" spans="1:9" x14ac:dyDescent="0.25">
      <c r="A35" t="s">
        <v>8</v>
      </c>
      <c r="B35" s="1">
        <v>27.54</v>
      </c>
      <c r="C35" s="1">
        <v>27.55</v>
      </c>
      <c r="D35" s="2" t="s">
        <v>17</v>
      </c>
      <c r="E35" s="10">
        <v>2261.23</v>
      </c>
      <c r="F35" s="10">
        <f t="shared" si="0"/>
        <v>0.2</v>
      </c>
      <c r="G35" s="10">
        <f>Table1[[#This Row],[scalar]]-Table1[[#This Row],[adj]]</f>
        <v>2261.0300000000002</v>
      </c>
      <c r="H35" s="3">
        <f>Table1[[#This Row],[price_mkt_bid]]*Table1[[#This Row],[adj scalar]]</f>
        <v>62268.766200000005</v>
      </c>
      <c r="I35" s="3">
        <f>Table1[[#This Row],[price_mkt_ask]]*Table1[[#This Row],[adj scalar]]</f>
        <v>62291.376500000006</v>
      </c>
    </row>
    <row r="36" spans="1:9" x14ac:dyDescent="0.25">
      <c r="A36" t="s">
        <v>9</v>
      </c>
      <c r="B36" s="1">
        <v>65.819999999999993</v>
      </c>
      <c r="C36" s="1">
        <v>65.89</v>
      </c>
      <c r="D36" s="2" t="s">
        <v>17</v>
      </c>
      <c r="E36" s="10">
        <v>946.05840000000001</v>
      </c>
      <c r="F36" s="10">
        <f t="shared" si="0"/>
        <v>0</v>
      </c>
      <c r="G36" s="10">
        <f>Table1[[#This Row],[scalar]]-Table1[[#This Row],[adj]]</f>
        <v>946.05840000000001</v>
      </c>
      <c r="H36" s="3">
        <f>Table1[[#This Row],[price_mkt_bid]]*Table1[[#This Row],[adj scalar]]</f>
        <v>62269.563887999997</v>
      </c>
      <c r="I36" s="3">
        <f>Table1[[#This Row],[price_mkt_ask]]*Table1[[#This Row],[adj scalar]]</f>
        <v>62335.787976</v>
      </c>
    </row>
    <row r="37" spans="1:9" x14ac:dyDescent="0.25">
      <c r="A37" t="s">
        <v>10</v>
      </c>
      <c r="B37" s="1">
        <v>35.99</v>
      </c>
      <c r="C37" s="1">
        <v>36.01</v>
      </c>
      <c r="D37" s="2" t="s">
        <v>17</v>
      </c>
      <c r="E37" s="10">
        <v>1730.0198</v>
      </c>
      <c r="F37" s="10">
        <f t="shared" si="0"/>
        <v>-0.2</v>
      </c>
      <c r="G37" s="10">
        <f>Table1[[#This Row],[scalar]]-Table1[[#This Row],[adj]]</f>
        <v>1730.2198000000001</v>
      </c>
      <c r="H37" s="3">
        <f>Table1[[#This Row],[price_mkt_bid]]*Table1[[#This Row],[adj scalar]]</f>
        <v>62270.610602000008</v>
      </c>
      <c r="I37" s="3">
        <f>Table1[[#This Row],[price_mkt_ask]]*Table1[[#This Row],[adj scalar]]</f>
        <v>62305.214997999996</v>
      </c>
    </row>
    <row r="38" spans="1:9" x14ac:dyDescent="0.25">
      <c r="A38" t="s">
        <v>11</v>
      </c>
      <c r="B38" s="1">
        <v>54.22</v>
      </c>
      <c r="C38" s="1">
        <v>54.23</v>
      </c>
      <c r="D38" s="2" t="s">
        <v>17</v>
      </c>
      <c r="E38" s="10">
        <v>1148.7583999999999</v>
      </c>
      <c r="F38" s="10">
        <f t="shared" si="0"/>
        <v>0.05</v>
      </c>
      <c r="G38" s="10">
        <f>Table1[[#This Row],[scalar]]-Table1[[#This Row],[adj]]</f>
        <v>1148.7084</v>
      </c>
      <c r="H38" s="3">
        <f>Table1[[#This Row],[price_mkt_bid]]*Table1[[#This Row],[adj scalar]]</f>
        <v>62282.969447999996</v>
      </c>
      <c r="I38" s="3">
        <f>Table1[[#This Row],[price_mkt_ask]]*Table1[[#This Row],[adj scalar]]</f>
        <v>62294.456531999997</v>
      </c>
    </row>
    <row r="39" spans="1:9" x14ac:dyDescent="0.25">
      <c r="A39" t="s">
        <v>12</v>
      </c>
      <c r="B39" s="1">
        <v>48.33</v>
      </c>
      <c r="C39" s="1">
        <v>48.34</v>
      </c>
      <c r="D39" s="2" t="s">
        <v>17</v>
      </c>
      <c r="E39" s="10">
        <v>1288.4256</v>
      </c>
      <c r="F39" s="10">
        <f t="shared" si="0"/>
        <v>-0.05</v>
      </c>
      <c r="G39" s="10">
        <f>Table1[[#This Row],[scalar]]-Table1[[#This Row],[adj]]</f>
        <v>1288.4756</v>
      </c>
      <c r="H39" s="3">
        <f>Table1[[#This Row],[price_mkt_bid]]*Table1[[#This Row],[adj scalar]]</f>
        <v>62272.025748</v>
      </c>
      <c r="I39" s="3">
        <f>Table1[[#This Row],[price_mkt_ask]]*Table1[[#This Row],[adj scalar]]</f>
        <v>62284.910504000007</v>
      </c>
    </row>
    <row r="40" spans="1:9" x14ac:dyDescent="0.25">
      <c r="A40" t="s">
        <v>13</v>
      </c>
      <c r="B40" s="1">
        <v>17.61</v>
      </c>
      <c r="C40" s="1">
        <v>17.62</v>
      </c>
      <c r="D40" s="2" t="s">
        <v>17</v>
      </c>
      <c r="E40" s="10">
        <v>3535.8029000000001</v>
      </c>
      <c r="F40" s="10">
        <f t="shared" si="0"/>
        <v>0</v>
      </c>
      <c r="G40" s="10">
        <f>Table1[[#This Row],[scalar]]-Table1[[#This Row],[adj]]</f>
        <v>3535.8029000000001</v>
      </c>
      <c r="H40" s="3">
        <f>Table1[[#This Row],[price_mkt_bid]]*Table1[[#This Row],[adj scalar]]</f>
        <v>62265.489069000003</v>
      </c>
      <c r="I40" s="3">
        <f>Table1[[#This Row],[price_mkt_ask]]*Table1[[#This Row],[adj scalar]]</f>
        <v>62300.847098000006</v>
      </c>
    </row>
    <row r="41" spans="1:9" x14ac:dyDescent="0.25">
      <c r="A41" t="s">
        <v>14</v>
      </c>
      <c r="B41" s="1">
        <v>35.28</v>
      </c>
      <c r="C41" s="1">
        <v>35.29</v>
      </c>
      <c r="D41" s="2" t="s">
        <v>17</v>
      </c>
      <c r="E41" s="10">
        <v>1764.9141</v>
      </c>
      <c r="F41" s="10">
        <f t="shared" si="0"/>
        <v>0</v>
      </c>
      <c r="G41" s="10">
        <f>Table1[[#This Row],[scalar]]-Table1[[#This Row],[adj]]</f>
        <v>1764.9141</v>
      </c>
      <c r="H41" s="3">
        <f>Table1[[#This Row],[price_mkt_bid]]*Table1[[#This Row],[adj scalar]]</f>
        <v>62266.169448000001</v>
      </c>
      <c r="I41" s="3">
        <f>Table1[[#This Row],[price_mkt_ask]]*Table1[[#This Row],[adj scalar]]</f>
        <v>62283.818588999995</v>
      </c>
    </row>
    <row r="42" spans="1:9" x14ac:dyDescent="0.25">
      <c r="A42" t="s">
        <v>4</v>
      </c>
      <c r="B42" s="1">
        <v>20.59</v>
      </c>
      <c r="C42" s="1">
        <v>20.6</v>
      </c>
      <c r="D42" s="2" t="s">
        <v>18</v>
      </c>
      <c r="E42" s="10">
        <v>3014.7411999999999</v>
      </c>
      <c r="F42" s="10">
        <f t="shared" si="0"/>
        <v>-0.1</v>
      </c>
      <c r="G42" s="10">
        <f>Table1[[#This Row],[scalar]]-Table1[[#This Row],[adj]]</f>
        <v>3014.8411999999998</v>
      </c>
      <c r="H42" s="3">
        <f>Table1[[#This Row],[price_mkt_bid]]*Table1[[#This Row],[adj scalar]]</f>
        <v>62075.580307999997</v>
      </c>
      <c r="I42" s="3">
        <f>Table1[[#This Row],[price_mkt_ask]]*Table1[[#This Row],[adj scalar]]</f>
        <v>62105.728719999999</v>
      </c>
    </row>
    <row r="43" spans="1:9" x14ac:dyDescent="0.25">
      <c r="A43" t="s">
        <v>6</v>
      </c>
      <c r="B43" s="1">
        <v>33.700000000000003</v>
      </c>
      <c r="C43" s="1">
        <v>33.71</v>
      </c>
      <c r="D43" s="2" t="s">
        <v>18</v>
      </c>
      <c r="E43" s="10">
        <v>1841.9893</v>
      </c>
      <c r="F43" s="10">
        <f t="shared" si="0"/>
        <v>0.1</v>
      </c>
      <c r="G43" s="10">
        <f>Table1[[#This Row],[scalar]]-Table1[[#This Row],[adj]]</f>
        <v>1841.8893</v>
      </c>
      <c r="H43" s="3">
        <f>Table1[[#This Row],[price_mkt_bid]]*Table1[[#This Row],[adj scalar]]</f>
        <v>62071.66941000001</v>
      </c>
      <c r="I43" s="3">
        <f>Table1[[#This Row],[price_mkt_ask]]*Table1[[#This Row],[adj scalar]]</f>
        <v>62090.088303000004</v>
      </c>
    </row>
    <row r="44" spans="1:9" x14ac:dyDescent="0.25">
      <c r="A44" t="s">
        <v>7</v>
      </c>
      <c r="B44" s="1">
        <v>17.5</v>
      </c>
      <c r="C44" s="1">
        <v>17.510000000000002</v>
      </c>
      <c r="D44" s="2" t="s">
        <v>18</v>
      </c>
      <c r="E44" s="10">
        <v>3546.3099000000002</v>
      </c>
      <c r="F44" s="10">
        <f t="shared" si="0"/>
        <v>0</v>
      </c>
      <c r="G44" s="10">
        <f>Table1[[#This Row],[scalar]]-Table1[[#This Row],[adj]]</f>
        <v>3546.3099000000002</v>
      </c>
      <c r="H44" s="3">
        <f>Table1[[#This Row],[price_mkt_bid]]*Table1[[#This Row],[adj scalar]]</f>
        <v>62060.423250000007</v>
      </c>
      <c r="I44" s="3">
        <f>Table1[[#This Row],[price_mkt_ask]]*Table1[[#This Row],[adj scalar]]</f>
        <v>62095.886349000008</v>
      </c>
    </row>
    <row r="45" spans="1:9" x14ac:dyDescent="0.25">
      <c r="A45" t="s">
        <v>8</v>
      </c>
      <c r="B45" s="1">
        <v>27.45</v>
      </c>
      <c r="C45" s="1">
        <v>27.46</v>
      </c>
      <c r="D45" s="2" t="s">
        <v>18</v>
      </c>
      <c r="E45" s="10">
        <v>2261.23</v>
      </c>
      <c r="F45" s="10">
        <f t="shared" si="0"/>
        <v>0.2</v>
      </c>
      <c r="G45" s="10">
        <f>Table1[[#This Row],[scalar]]-Table1[[#This Row],[adj]]</f>
        <v>2261.0300000000002</v>
      </c>
      <c r="H45" s="3">
        <f>Table1[[#This Row],[price_mkt_bid]]*Table1[[#This Row],[adj scalar]]</f>
        <v>62065.273500000003</v>
      </c>
      <c r="I45" s="3">
        <f>Table1[[#This Row],[price_mkt_ask]]*Table1[[#This Row],[adj scalar]]</f>
        <v>62087.883800000011</v>
      </c>
    </row>
    <row r="46" spans="1:9" x14ac:dyDescent="0.25">
      <c r="A46" t="s">
        <v>9</v>
      </c>
      <c r="B46" s="1">
        <v>65.62</v>
      </c>
      <c r="C46" s="1">
        <v>65.7</v>
      </c>
      <c r="D46" s="2" t="s">
        <v>18</v>
      </c>
      <c r="E46" s="10">
        <v>946.05840000000001</v>
      </c>
      <c r="F46" s="10">
        <f t="shared" si="0"/>
        <v>0</v>
      </c>
      <c r="G46" s="10">
        <f>Table1[[#This Row],[scalar]]-Table1[[#This Row],[adj]]</f>
        <v>946.05840000000001</v>
      </c>
      <c r="H46" s="3">
        <f>Table1[[#This Row],[price_mkt_bid]]*Table1[[#This Row],[adj scalar]]</f>
        <v>62080.352208000004</v>
      </c>
      <c r="I46" s="3">
        <f>Table1[[#This Row],[price_mkt_ask]]*Table1[[#This Row],[adj scalar]]</f>
        <v>62156.03688</v>
      </c>
    </row>
    <row r="47" spans="1:9" x14ac:dyDescent="0.25">
      <c r="A47" t="s">
        <v>10</v>
      </c>
      <c r="B47" s="1">
        <v>35.869999999999997</v>
      </c>
      <c r="C47" s="1">
        <v>35.89</v>
      </c>
      <c r="D47" s="2" t="s">
        <v>18</v>
      </c>
      <c r="E47" s="10">
        <v>1730.0198</v>
      </c>
      <c r="F47" s="10">
        <f t="shared" si="0"/>
        <v>-0.2</v>
      </c>
      <c r="G47" s="10">
        <f>Table1[[#This Row],[scalar]]-Table1[[#This Row],[adj]]</f>
        <v>1730.2198000000001</v>
      </c>
      <c r="H47" s="3">
        <f>Table1[[#This Row],[price_mkt_bid]]*Table1[[#This Row],[adj scalar]]</f>
        <v>62062.984226</v>
      </c>
      <c r="I47" s="3">
        <f>Table1[[#This Row],[price_mkt_ask]]*Table1[[#This Row],[adj scalar]]</f>
        <v>62097.588622000003</v>
      </c>
    </row>
    <row r="48" spans="1:9" x14ac:dyDescent="0.25">
      <c r="A48" t="s">
        <v>11</v>
      </c>
      <c r="B48" s="1">
        <v>54.04</v>
      </c>
      <c r="C48" s="1">
        <v>54.05</v>
      </c>
      <c r="D48" s="2" t="s">
        <v>18</v>
      </c>
      <c r="E48" s="10">
        <v>1148.7583999999999</v>
      </c>
      <c r="F48" s="10">
        <f t="shared" si="0"/>
        <v>0.05</v>
      </c>
      <c r="G48" s="10">
        <f>Table1[[#This Row],[scalar]]-Table1[[#This Row],[adj]]</f>
        <v>1148.7084</v>
      </c>
      <c r="H48" s="3">
        <f>Table1[[#This Row],[price_mkt_bid]]*Table1[[#This Row],[adj scalar]]</f>
        <v>62076.201935999998</v>
      </c>
      <c r="I48" s="3">
        <f>Table1[[#This Row],[price_mkt_ask]]*Table1[[#This Row],[adj scalar]]</f>
        <v>62087.689019999998</v>
      </c>
    </row>
    <row r="49" spans="1:9" x14ac:dyDescent="0.25">
      <c r="A49" t="s">
        <v>12</v>
      </c>
      <c r="B49" s="1">
        <v>48.17</v>
      </c>
      <c r="C49" s="1">
        <v>48.18</v>
      </c>
      <c r="D49" s="2" t="s">
        <v>18</v>
      </c>
      <c r="E49" s="10">
        <v>1288.4256</v>
      </c>
      <c r="F49" s="10">
        <f t="shared" si="0"/>
        <v>-0.05</v>
      </c>
      <c r="G49" s="10">
        <f>Table1[[#This Row],[scalar]]-Table1[[#This Row],[adj]]</f>
        <v>1288.4756</v>
      </c>
      <c r="H49" s="3">
        <f>Table1[[#This Row],[price_mkt_bid]]*Table1[[#This Row],[adj scalar]]</f>
        <v>62065.869652000001</v>
      </c>
      <c r="I49" s="3">
        <f>Table1[[#This Row],[price_mkt_ask]]*Table1[[#This Row],[adj scalar]]</f>
        <v>62078.754408000001</v>
      </c>
    </row>
    <row r="50" spans="1:9" x14ac:dyDescent="0.25">
      <c r="A50" t="s">
        <v>13</v>
      </c>
      <c r="B50" s="1">
        <v>17.55</v>
      </c>
      <c r="C50" s="1">
        <v>17.559999999999999</v>
      </c>
      <c r="D50" s="2" t="s">
        <v>18</v>
      </c>
      <c r="E50" s="10">
        <v>3535.8029000000001</v>
      </c>
      <c r="F50" s="10">
        <f t="shared" si="0"/>
        <v>0</v>
      </c>
      <c r="G50" s="10">
        <f>Table1[[#This Row],[scalar]]-Table1[[#This Row],[adj]]</f>
        <v>3535.8029000000001</v>
      </c>
      <c r="H50" s="3">
        <f>Table1[[#This Row],[price_mkt_bid]]*Table1[[#This Row],[adj scalar]]</f>
        <v>62053.340895000008</v>
      </c>
      <c r="I50" s="3">
        <f>Table1[[#This Row],[price_mkt_ask]]*Table1[[#This Row],[adj scalar]]</f>
        <v>62088.698923999997</v>
      </c>
    </row>
    <row r="51" spans="1:9" x14ac:dyDescent="0.25">
      <c r="A51" t="s">
        <v>14</v>
      </c>
      <c r="B51" s="1">
        <v>35.17</v>
      </c>
      <c r="C51" s="1">
        <v>35.18</v>
      </c>
      <c r="D51" s="2" t="s">
        <v>18</v>
      </c>
      <c r="E51" s="10">
        <v>1764.9141</v>
      </c>
      <c r="F51" s="10">
        <f t="shared" si="0"/>
        <v>0</v>
      </c>
      <c r="G51" s="10">
        <f>Table1[[#This Row],[scalar]]-Table1[[#This Row],[adj]]</f>
        <v>1764.9141</v>
      </c>
      <c r="H51" s="3">
        <f>Table1[[#This Row],[price_mkt_bid]]*Table1[[#This Row],[adj scalar]]</f>
        <v>62072.028897000004</v>
      </c>
      <c r="I51" s="3">
        <f>Table1[[#This Row],[price_mkt_ask]]*Table1[[#This Row],[adj scalar]]</f>
        <v>62089.678037999998</v>
      </c>
    </row>
    <row r="52" spans="1:9" x14ac:dyDescent="0.25">
      <c r="A52" t="s">
        <v>4</v>
      </c>
      <c r="B52" s="1">
        <v>20.6</v>
      </c>
      <c r="C52" s="1">
        <v>20.6</v>
      </c>
      <c r="D52" s="2" t="s">
        <v>19</v>
      </c>
      <c r="E52" s="10">
        <v>3014.7411999999999</v>
      </c>
      <c r="F52" s="10">
        <f t="shared" si="0"/>
        <v>-0.1</v>
      </c>
      <c r="G52" s="10">
        <f>Table1[[#This Row],[scalar]]-Table1[[#This Row],[adj]]</f>
        <v>3014.8411999999998</v>
      </c>
      <c r="H52" s="3">
        <f>Table1[[#This Row],[price_mkt_bid]]*Table1[[#This Row],[adj scalar]]</f>
        <v>62105.728719999999</v>
      </c>
      <c r="I52" s="3">
        <f>Table1[[#This Row],[price_mkt_ask]]*Table1[[#This Row],[adj scalar]]</f>
        <v>62105.728719999999</v>
      </c>
    </row>
    <row r="53" spans="1:9" x14ac:dyDescent="0.25">
      <c r="A53" t="s">
        <v>6</v>
      </c>
      <c r="B53" s="1">
        <v>33.72</v>
      </c>
      <c r="C53" s="1">
        <v>33.729999999999997</v>
      </c>
      <c r="D53" s="2" t="s">
        <v>19</v>
      </c>
      <c r="E53" s="10">
        <v>1841.9893</v>
      </c>
      <c r="F53" s="10">
        <f t="shared" si="0"/>
        <v>0.1</v>
      </c>
      <c r="G53" s="10">
        <f>Table1[[#This Row],[scalar]]-Table1[[#This Row],[adj]]</f>
        <v>1841.8893</v>
      </c>
      <c r="H53" s="3">
        <f>Table1[[#This Row],[price_mkt_bid]]*Table1[[#This Row],[adj scalar]]</f>
        <v>62108.507195999999</v>
      </c>
      <c r="I53" s="3">
        <f>Table1[[#This Row],[price_mkt_ask]]*Table1[[#This Row],[adj scalar]]</f>
        <v>62126.926088999993</v>
      </c>
    </row>
    <row r="54" spans="1:9" x14ac:dyDescent="0.25">
      <c r="A54" t="s">
        <v>7</v>
      </c>
      <c r="B54" s="1">
        <v>17.510000000000002</v>
      </c>
      <c r="C54" s="1">
        <v>17.52</v>
      </c>
      <c r="D54" s="2" t="s">
        <v>19</v>
      </c>
      <c r="E54" s="10">
        <v>3546.3099000000002</v>
      </c>
      <c r="F54" s="10">
        <f t="shared" si="0"/>
        <v>0</v>
      </c>
      <c r="G54" s="10">
        <f>Table1[[#This Row],[scalar]]-Table1[[#This Row],[adj]]</f>
        <v>3546.3099000000002</v>
      </c>
      <c r="H54" s="3">
        <f>Table1[[#This Row],[price_mkt_bid]]*Table1[[#This Row],[adj scalar]]</f>
        <v>62095.886349000008</v>
      </c>
      <c r="I54" s="3">
        <f>Table1[[#This Row],[price_mkt_ask]]*Table1[[#This Row],[adj scalar]]</f>
        <v>62131.349448000001</v>
      </c>
    </row>
    <row r="55" spans="1:9" x14ac:dyDescent="0.25">
      <c r="A55" t="s">
        <v>8</v>
      </c>
      <c r="B55" s="1">
        <v>27.47</v>
      </c>
      <c r="C55" s="1">
        <v>27.48</v>
      </c>
      <c r="D55" s="2" t="s">
        <v>19</v>
      </c>
      <c r="E55" s="10">
        <v>2261.23</v>
      </c>
      <c r="F55" s="10">
        <f t="shared" si="0"/>
        <v>0.2</v>
      </c>
      <c r="G55" s="10">
        <f>Table1[[#This Row],[scalar]]-Table1[[#This Row],[adj]]</f>
        <v>2261.0300000000002</v>
      </c>
      <c r="H55" s="3">
        <f>Table1[[#This Row],[price_mkt_bid]]*Table1[[#This Row],[adj scalar]]</f>
        <v>62110.494100000004</v>
      </c>
      <c r="I55" s="3">
        <f>Table1[[#This Row],[price_mkt_ask]]*Table1[[#This Row],[adj scalar]]</f>
        <v>62133.104400000004</v>
      </c>
    </row>
    <row r="56" spans="1:9" x14ac:dyDescent="0.25">
      <c r="A56" t="s">
        <v>9</v>
      </c>
      <c r="B56" s="1">
        <v>65.64</v>
      </c>
      <c r="C56" s="1">
        <v>65.72</v>
      </c>
      <c r="D56" s="2" t="s">
        <v>19</v>
      </c>
      <c r="E56" s="10">
        <v>946.05840000000001</v>
      </c>
      <c r="F56" s="10">
        <f t="shared" si="0"/>
        <v>0</v>
      </c>
      <c r="G56" s="10">
        <f>Table1[[#This Row],[scalar]]-Table1[[#This Row],[adj]]</f>
        <v>946.05840000000001</v>
      </c>
      <c r="H56" s="3">
        <f>Table1[[#This Row],[price_mkt_bid]]*Table1[[#This Row],[adj scalar]]</f>
        <v>62099.273375999997</v>
      </c>
      <c r="I56" s="3">
        <f>Table1[[#This Row],[price_mkt_ask]]*Table1[[#This Row],[adj scalar]]</f>
        <v>62174.958048</v>
      </c>
    </row>
    <row r="57" spans="1:9" x14ac:dyDescent="0.25">
      <c r="A57" t="s">
        <v>10</v>
      </c>
      <c r="B57" s="1">
        <v>35.89</v>
      </c>
      <c r="C57" s="1">
        <v>35.909999999999997</v>
      </c>
      <c r="D57" s="2" t="s">
        <v>19</v>
      </c>
      <c r="E57" s="10">
        <v>1730.0198</v>
      </c>
      <c r="F57" s="10">
        <f t="shared" si="0"/>
        <v>-0.2</v>
      </c>
      <c r="G57" s="10">
        <f>Table1[[#This Row],[scalar]]-Table1[[#This Row],[adj]]</f>
        <v>1730.2198000000001</v>
      </c>
      <c r="H57" s="3">
        <f>Table1[[#This Row],[price_mkt_bid]]*Table1[[#This Row],[adj scalar]]</f>
        <v>62097.588622000003</v>
      </c>
      <c r="I57" s="3">
        <f>Table1[[#This Row],[price_mkt_ask]]*Table1[[#This Row],[adj scalar]]</f>
        <v>62132.193017999998</v>
      </c>
    </row>
    <row r="58" spans="1:9" x14ac:dyDescent="0.25">
      <c r="A58" t="s">
        <v>11</v>
      </c>
      <c r="B58" s="1">
        <v>54.07</v>
      </c>
      <c r="C58" s="1">
        <v>54.08</v>
      </c>
      <c r="D58" s="2" t="s">
        <v>19</v>
      </c>
      <c r="E58" s="10">
        <v>1148.7583999999999</v>
      </c>
      <c r="F58" s="10">
        <f t="shared" si="0"/>
        <v>0.05</v>
      </c>
      <c r="G58" s="10">
        <f>Table1[[#This Row],[scalar]]-Table1[[#This Row],[adj]]</f>
        <v>1148.7084</v>
      </c>
      <c r="H58" s="3">
        <f>Table1[[#This Row],[price_mkt_bid]]*Table1[[#This Row],[adj scalar]]</f>
        <v>62110.663187999999</v>
      </c>
      <c r="I58" s="3">
        <f>Table1[[#This Row],[price_mkt_ask]]*Table1[[#This Row],[adj scalar]]</f>
        <v>62122.150271999999</v>
      </c>
    </row>
    <row r="59" spans="1:9" x14ac:dyDescent="0.25">
      <c r="A59" t="s">
        <v>12</v>
      </c>
      <c r="B59" s="1">
        <v>48.2</v>
      </c>
      <c r="C59" s="1">
        <v>48.21</v>
      </c>
      <c r="D59" s="2" t="s">
        <v>19</v>
      </c>
      <c r="E59" s="10">
        <v>1288.4256</v>
      </c>
      <c r="F59" s="10">
        <f t="shared" si="0"/>
        <v>-0.05</v>
      </c>
      <c r="G59" s="10">
        <f>Table1[[#This Row],[scalar]]-Table1[[#This Row],[adj]]</f>
        <v>1288.4756</v>
      </c>
      <c r="H59" s="3">
        <f>Table1[[#This Row],[price_mkt_bid]]*Table1[[#This Row],[adj scalar]]</f>
        <v>62104.52392</v>
      </c>
      <c r="I59" s="3">
        <f>Table1[[#This Row],[price_mkt_ask]]*Table1[[#This Row],[adj scalar]]</f>
        <v>62117.408675999999</v>
      </c>
    </row>
    <row r="60" spans="1:9" x14ac:dyDescent="0.25">
      <c r="A60" t="s">
        <v>13</v>
      </c>
      <c r="B60" s="1">
        <v>17.559999999999999</v>
      </c>
      <c r="C60" s="1">
        <v>17.57</v>
      </c>
      <c r="D60" s="2" t="s">
        <v>19</v>
      </c>
      <c r="E60" s="10">
        <v>3535.8029000000001</v>
      </c>
      <c r="F60" s="10">
        <f t="shared" si="0"/>
        <v>0</v>
      </c>
      <c r="G60" s="10">
        <f>Table1[[#This Row],[scalar]]-Table1[[#This Row],[adj]]</f>
        <v>3535.8029000000001</v>
      </c>
      <c r="H60" s="3">
        <f>Table1[[#This Row],[price_mkt_bid]]*Table1[[#This Row],[adj scalar]]</f>
        <v>62088.698923999997</v>
      </c>
      <c r="I60" s="3">
        <f>Table1[[#This Row],[price_mkt_ask]]*Table1[[#This Row],[adj scalar]]</f>
        <v>62124.056953000007</v>
      </c>
    </row>
    <row r="61" spans="1:9" x14ac:dyDescent="0.25">
      <c r="A61" t="s">
        <v>14</v>
      </c>
      <c r="B61" s="1">
        <v>35.19</v>
      </c>
      <c r="C61" s="1">
        <v>35.200000000000003</v>
      </c>
      <c r="D61" s="2" t="s">
        <v>19</v>
      </c>
      <c r="E61" s="10">
        <v>1764.9141</v>
      </c>
      <c r="F61" s="10">
        <f t="shared" si="0"/>
        <v>0</v>
      </c>
      <c r="G61" s="10">
        <f>Table1[[#This Row],[scalar]]-Table1[[#This Row],[adj]]</f>
        <v>1764.9141</v>
      </c>
      <c r="H61" s="3">
        <f>Table1[[#This Row],[price_mkt_bid]]*Table1[[#This Row],[adj scalar]]</f>
        <v>62107.327178999993</v>
      </c>
      <c r="I61" s="3">
        <f>Table1[[#This Row],[price_mkt_ask]]*Table1[[#This Row],[adj scalar]]</f>
        <v>62124.976320000002</v>
      </c>
    </row>
    <row r="62" spans="1:9" x14ac:dyDescent="0.25">
      <c r="A62" t="s">
        <v>4</v>
      </c>
      <c r="B62" s="1">
        <v>20.56</v>
      </c>
      <c r="C62" s="1">
        <v>20.57</v>
      </c>
      <c r="D62" s="2" t="s">
        <v>20</v>
      </c>
      <c r="E62" s="10">
        <v>3014.7411999999999</v>
      </c>
      <c r="F62" s="10">
        <f t="shared" si="0"/>
        <v>-0.1</v>
      </c>
      <c r="G62" s="10">
        <f>Table1[[#This Row],[scalar]]-Table1[[#This Row],[adj]]</f>
        <v>3014.8411999999998</v>
      </c>
      <c r="H62" s="3">
        <f>Table1[[#This Row],[price_mkt_bid]]*Table1[[#This Row],[adj scalar]]</f>
        <v>61985.13507199999</v>
      </c>
      <c r="I62" s="3">
        <f>Table1[[#This Row],[price_mkt_ask]]*Table1[[#This Row],[adj scalar]]</f>
        <v>62015.283484</v>
      </c>
    </row>
    <row r="63" spans="1:9" x14ac:dyDescent="0.25">
      <c r="A63" t="s">
        <v>6</v>
      </c>
      <c r="B63" s="1">
        <v>33.67</v>
      </c>
      <c r="C63" s="1">
        <v>33.68</v>
      </c>
      <c r="D63" s="2" t="s">
        <v>20</v>
      </c>
      <c r="E63" s="10">
        <v>1841.9893</v>
      </c>
      <c r="F63" s="10">
        <f t="shared" si="0"/>
        <v>0.1</v>
      </c>
      <c r="G63" s="10">
        <f>Table1[[#This Row],[scalar]]-Table1[[#This Row],[adj]]</f>
        <v>1841.8893</v>
      </c>
      <c r="H63" s="3">
        <f>Table1[[#This Row],[price_mkt_bid]]*Table1[[#This Row],[adj scalar]]</f>
        <v>62016.412731000004</v>
      </c>
      <c r="I63" s="3">
        <f>Table1[[#This Row],[price_mkt_ask]]*Table1[[#This Row],[adj scalar]]</f>
        <v>62034.831623999999</v>
      </c>
    </row>
    <row r="64" spans="1:9" x14ac:dyDescent="0.25">
      <c r="A64" t="s">
        <v>7</v>
      </c>
      <c r="B64" s="1">
        <v>17.48</v>
      </c>
      <c r="C64" s="1">
        <v>17.489999999999998</v>
      </c>
      <c r="D64" s="2" t="s">
        <v>20</v>
      </c>
      <c r="E64" s="10">
        <v>3546.3099000000002</v>
      </c>
      <c r="F64" s="10">
        <f t="shared" si="0"/>
        <v>0</v>
      </c>
      <c r="G64" s="10">
        <f>Table1[[#This Row],[scalar]]-Table1[[#This Row],[adj]]</f>
        <v>3546.3099000000002</v>
      </c>
      <c r="H64" s="3">
        <f>Table1[[#This Row],[price_mkt_bid]]*Table1[[#This Row],[adj scalar]]</f>
        <v>61989.497052000006</v>
      </c>
      <c r="I64" s="3">
        <f>Table1[[#This Row],[price_mkt_ask]]*Table1[[#This Row],[adj scalar]]</f>
        <v>62024.960150999999</v>
      </c>
    </row>
    <row r="65" spans="1:9" x14ac:dyDescent="0.25">
      <c r="A65" t="s">
        <v>8</v>
      </c>
      <c r="B65" s="1">
        <v>27.42</v>
      </c>
      <c r="C65" s="1">
        <v>27.43</v>
      </c>
      <c r="D65" s="2" t="s">
        <v>20</v>
      </c>
      <c r="E65" s="10">
        <v>2261.23</v>
      </c>
      <c r="F65" s="10">
        <f t="shared" si="0"/>
        <v>0.2</v>
      </c>
      <c r="G65" s="10">
        <f>Table1[[#This Row],[scalar]]-Table1[[#This Row],[adj]]</f>
        <v>2261.0300000000002</v>
      </c>
      <c r="H65" s="3">
        <f>Table1[[#This Row],[price_mkt_bid]]*Table1[[#This Row],[adj scalar]]</f>
        <v>61997.442600000009</v>
      </c>
      <c r="I65" s="3">
        <f>Table1[[#This Row],[price_mkt_ask]]*Table1[[#This Row],[adj scalar]]</f>
        <v>62020.052900000002</v>
      </c>
    </row>
    <row r="66" spans="1:9" x14ac:dyDescent="0.25">
      <c r="A66" t="s">
        <v>9</v>
      </c>
      <c r="B66" s="1">
        <v>65.540000000000006</v>
      </c>
      <c r="C66" s="1">
        <v>65.61</v>
      </c>
      <c r="D66" s="2" t="s">
        <v>20</v>
      </c>
      <c r="E66" s="10">
        <v>946.05840000000001</v>
      </c>
      <c r="F66" s="10">
        <f t="shared" si="0"/>
        <v>0</v>
      </c>
      <c r="G66" s="10">
        <f>Table1[[#This Row],[scalar]]-Table1[[#This Row],[adj]]</f>
        <v>946.05840000000001</v>
      </c>
      <c r="H66" s="3">
        <f>Table1[[#This Row],[price_mkt_bid]]*Table1[[#This Row],[adj scalar]]</f>
        <v>62004.667536000008</v>
      </c>
      <c r="I66" s="3">
        <f>Table1[[#This Row],[price_mkt_ask]]*Table1[[#This Row],[adj scalar]]</f>
        <v>62070.891623999996</v>
      </c>
    </row>
    <row r="67" spans="1:9" x14ac:dyDescent="0.25">
      <c r="A67" t="s">
        <v>10</v>
      </c>
      <c r="B67" s="1">
        <v>35.83</v>
      </c>
      <c r="C67" s="1">
        <v>35.85</v>
      </c>
      <c r="D67" s="2" t="s">
        <v>20</v>
      </c>
      <c r="E67" s="10">
        <v>1730.0198</v>
      </c>
      <c r="F67" s="10">
        <f t="shared" si="0"/>
        <v>-0.2</v>
      </c>
      <c r="G67" s="10">
        <f>Table1[[#This Row],[scalar]]-Table1[[#This Row],[adj]]</f>
        <v>1730.2198000000001</v>
      </c>
      <c r="H67" s="3">
        <f>Table1[[#This Row],[price_mkt_bid]]*Table1[[#This Row],[adj scalar]]</f>
        <v>61993.775434000003</v>
      </c>
      <c r="I67" s="3">
        <f>Table1[[#This Row],[price_mkt_ask]]*Table1[[#This Row],[adj scalar]]</f>
        <v>62028.379830000005</v>
      </c>
    </row>
    <row r="68" spans="1:9" x14ac:dyDescent="0.25">
      <c r="A68" t="s">
        <v>11</v>
      </c>
      <c r="B68" s="1">
        <v>53.98</v>
      </c>
      <c r="C68" s="1">
        <v>53.99</v>
      </c>
      <c r="D68" s="2" t="s">
        <v>20</v>
      </c>
      <c r="E68" s="10">
        <v>1148.7583999999999</v>
      </c>
      <c r="F68" s="10">
        <f t="shared" si="0"/>
        <v>0.05</v>
      </c>
      <c r="G68" s="10">
        <f>Table1[[#This Row],[scalar]]-Table1[[#This Row],[adj]]</f>
        <v>1148.7084</v>
      </c>
      <c r="H68" s="3">
        <f>Table1[[#This Row],[price_mkt_bid]]*Table1[[#This Row],[adj scalar]]</f>
        <v>62007.279431999996</v>
      </c>
      <c r="I68" s="3">
        <f>Table1[[#This Row],[price_mkt_ask]]*Table1[[#This Row],[adj scalar]]</f>
        <v>62018.766516000003</v>
      </c>
    </row>
    <row r="69" spans="1:9" x14ac:dyDescent="0.25">
      <c r="A69" t="s">
        <v>12</v>
      </c>
      <c r="B69" s="1">
        <v>48.11</v>
      </c>
      <c r="C69" s="1">
        <v>48.12</v>
      </c>
      <c r="D69" s="2" t="s">
        <v>20</v>
      </c>
      <c r="E69" s="10">
        <v>1288.4256</v>
      </c>
      <c r="F69" s="10">
        <f t="shared" si="0"/>
        <v>-0.05</v>
      </c>
      <c r="G69" s="10">
        <f>Table1[[#This Row],[scalar]]-Table1[[#This Row],[adj]]</f>
        <v>1288.4756</v>
      </c>
      <c r="H69" s="3">
        <f>Table1[[#This Row],[price_mkt_bid]]*Table1[[#This Row],[adj scalar]]</f>
        <v>61988.561115999997</v>
      </c>
      <c r="I69" s="3">
        <f>Table1[[#This Row],[price_mkt_ask]]*Table1[[#This Row],[adj scalar]]</f>
        <v>62001.445871999997</v>
      </c>
    </row>
    <row r="70" spans="1:9" x14ac:dyDescent="0.25">
      <c r="A70" t="s">
        <v>13</v>
      </c>
      <c r="B70" s="1">
        <v>17.53</v>
      </c>
      <c r="C70" s="1">
        <v>17.54</v>
      </c>
      <c r="D70" s="2" t="s">
        <v>20</v>
      </c>
      <c r="E70" s="10">
        <v>3535.8029000000001</v>
      </c>
      <c r="F70" s="10">
        <f t="shared" si="0"/>
        <v>0</v>
      </c>
      <c r="G70" s="10">
        <f>Table1[[#This Row],[scalar]]-Table1[[#This Row],[adj]]</f>
        <v>3535.8029000000001</v>
      </c>
      <c r="H70" s="3">
        <f>Table1[[#This Row],[price_mkt_bid]]*Table1[[#This Row],[adj scalar]]</f>
        <v>61982.624837000003</v>
      </c>
      <c r="I70" s="3">
        <f>Table1[[#This Row],[price_mkt_ask]]*Table1[[#This Row],[adj scalar]]</f>
        <v>62017.982865999998</v>
      </c>
    </row>
    <row r="71" spans="1:9" x14ac:dyDescent="0.25">
      <c r="A71" t="s">
        <v>14</v>
      </c>
      <c r="B71" s="1">
        <v>35.130000000000003</v>
      </c>
      <c r="C71" s="1">
        <v>35.14</v>
      </c>
      <c r="D71" s="2" t="s">
        <v>20</v>
      </c>
      <c r="E71" s="10">
        <v>1764.9141</v>
      </c>
      <c r="F71" s="10">
        <f t="shared" si="0"/>
        <v>0</v>
      </c>
      <c r="G71" s="10">
        <f>Table1[[#This Row],[scalar]]-Table1[[#This Row],[adj]]</f>
        <v>1764.9141</v>
      </c>
      <c r="H71" s="3">
        <f>Table1[[#This Row],[price_mkt_bid]]*Table1[[#This Row],[adj scalar]]</f>
        <v>62001.432333000004</v>
      </c>
      <c r="I71" s="3">
        <f>Table1[[#This Row],[price_mkt_ask]]*Table1[[#This Row],[adj scalar]]</f>
        <v>62019.081473999999</v>
      </c>
    </row>
    <row r="72" spans="1:9" x14ac:dyDescent="0.25">
      <c r="A72" t="s">
        <v>4</v>
      </c>
      <c r="B72" s="1">
        <v>20.45</v>
      </c>
      <c r="C72" s="1">
        <v>20.46</v>
      </c>
      <c r="D72" s="2" t="s">
        <v>21</v>
      </c>
      <c r="E72" s="10">
        <v>3014.7411999999999</v>
      </c>
      <c r="F72" s="10">
        <f t="shared" si="0"/>
        <v>-0.1</v>
      </c>
      <c r="G72" s="10">
        <f>Table1[[#This Row],[scalar]]-Table1[[#This Row],[adj]]</f>
        <v>3014.8411999999998</v>
      </c>
      <c r="H72" s="3">
        <f>Table1[[#This Row],[price_mkt_bid]]*Table1[[#This Row],[adj scalar]]</f>
        <v>61653.502539999994</v>
      </c>
      <c r="I72" s="3">
        <f>Table1[[#This Row],[price_mkt_ask]]*Table1[[#This Row],[adj scalar]]</f>
        <v>61683.650951999996</v>
      </c>
    </row>
    <row r="73" spans="1:9" x14ac:dyDescent="0.25">
      <c r="A73" t="s">
        <v>6</v>
      </c>
      <c r="B73" s="1">
        <v>33.479999999999997</v>
      </c>
      <c r="C73" s="1">
        <v>33.49</v>
      </c>
      <c r="D73" s="2" t="s">
        <v>21</v>
      </c>
      <c r="E73" s="10">
        <v>1841.9893</v>
      </c>
      <c r="F73" s="10">
        <f t="shared" si="0"/>
        <v>0.1</v>
      </c>
      <c r="G73" s="10">
        <f>Table1[[#This Row],[scalar]]-Table1[[#This Row],[adj]]</f>
        <v>1841.8893</v>
      </c>
      <c r="H73" s="3">
        <f>Table1[[#This Row],[price_mkt_bid]]*Table1[[#This Row],[adj scalar]]</f>
        <v>61666.453763999998</v>
      </c>
      <c r="I73" s="3">
        <f>Table1[[#This Row],[price_mkt_ask]]*Table1[[#This Row],[adj scalar]]</f>
        <v>61684.872657000007</v>
      </c>
    </row>
    <row r="74" spans="1:9" x14ac:dyDescent="0.25">
      <c r="A74" t="s">
        <v>7</v>
      </c>
      <c r="B74" s="1">
        <v>17.38</v>
      </c>
      <c r="C74" s="1">
        <v>17.39</v>
      </c>
      <c r="D74" s="2" t="s">
        <v>21</v>
      </c>
      <c r="E74" s="10">
        <v>3546.3099000000002</v>
      </c>
      <c r="F74" s="10">
        <f t="shared" si="0"/>
        <v>0</v>
      </c>
      <c r="G74" s="10">
        <f>Table1[[#This Row],[scalar]]-Table1[[#This Row],[adj]]</f>
        <v>3546.3099000000002</v>
      </c>
      <c r="H74" s="3">
        <f>Table1[[#This Row],[price_mkt_bid]]*Table1[[#This Row],[adj scalar]]</f>
        <v>61634.866062000001</v>
      </c>
      <c r="I74" s="3">
        <f>Table1[[#This Row],[price_mkt_ask]]*Table1[[#This Row],[adj scalar]]</f>
        <v>61670.329161000009</v>
      </c>
    </row>
    <row r="75" spans="1:9" x14ac:dyDescent="0.25">
      <c r="A75" t="s">
        <v>8</v>
      </c>
      <c r="B75" s="1">
        <v>27.27</v>
      </c>
      <c r="C75" s="1">
        <v>27.28</v>
      </c>
      <c r="D75" s="2" t="s">
        <v>21</v>
      </c>
      <c r="E75" s="10">
        <v>2261.23</v>
      </c>
      <c r="F75" s="10">
        <f t="shared" si="0"/>
        <v>0.2</v>
      </c>
      <c r="G75" s="10">
        <f>Table1[[#This Row],[scalar]]-Table1[[#This Row],[adj]]</f>
        <v>2261.0300000000002</v>
      </c>
      <c r="H75" s="3">
        <f>Table1[[#This Row],[price_mkt_bid]]*Table1[[#This Row],[adj scalar]]</f>
        <v>61658.288100000005</v>
      </c>
      <c r="I75" s="3">
        <f>Table1[[#This Row],[price_mkt_ask]]*Table1[[#This Row],[adj scalar]]</f>
        <v>61680.898400000005</v>
      </c>
    </row>
    <row r="76" spans="1:9" x14ac:dyDescent="0.25">
      <c r="A76" t="s">
        <v>9</v>
      </c>
      <c r="B76" s="1">
        <v>65.150000000000006</v>
      </c>
      <c r="C76" s="1">
        <v>65.25</v>
      </c>
      <c r="D76" s="2" t="s">
        <v>21</v>
      </c>
      <c r="E76" s="10">
        <v>946.05840000000001</v>
      </c>
      <c r="F76" s="10">
        <f t="shared" si="0"/>
        <v>0</v>
      </c>
      <c r="G76" s="10">
        <f>Table1[[#This Row],[scalar]]-Table1[[#This Row],[adj]]</f>
        <v>946.05840000000001</v>
      </c>
      <c r="H76" s="3">
        <f>Table1[[#This Row],[price_mkt_bid]]*Table1[[#This Row],[adj scalar]]</f>
        <v>61635.704760000008</v>
      </c>
      <c r="I76" s="3">
        <f>Table1[[#This Row],[price_mkt_ask]]*Table1[[#This Row],[adj scalar]]</f>
        <v>61730.310599999997</v>
      </c>
    </row>
    <row r="77" spans="1:9" x14ac:dyDescent="0.25">
      <c r="A77" t="s">
        <v>10</v>
      </c>
      <c r="B77" s="1">
        <v>35.619999999999997</v>
      </c>
      <c r="C77" s="1">
        <v>35.65</v>
      </c>
      <c r="D77" s="2" t="s">
        <v>21</v>
      </c>
      <c r="E77" s="10">
        <v>1730.0198</v>
      </c>
      <c r="F77" s="10">
        <f t="shared" ref="F77:F140" si="1">F67</f>
        <v>-0.2</v>
      </c>
      <c r="G77" s="10">
        <f>Table1[[#This Row],[scalar]]-Table1[[#This Row],[adj]]</f>
        <v>1730.2198000000001</v>
      </c>
      <c r="H77" s="3">
        <f>Table1[[#This Row],[price_mkt_bid]]*Table1[[#This Row],[adj scalar]]</f>
        <v>61630.429275999995</v>
      </c>
      <c r="I77" s="3">
        <f>Table1[[#This Row],[price_mkt_ask]]*Table1[[#This Row],[adj scalar]]</f>
        <v>61682.335870000003</v>
      </c>
    </row>
    <row r="78" spans="1:9" x14ac:dyDescent="0.25">
      <c r="A78" t="s">
        <v>11</v>
      </c>
      <c r="B78" s="1">
        <v>53.68</v>
      </c>
      <c r="C78" s="1">
        <v>53.69</v>
      </c>
      <c r="D78" s="2" t="s">
        <v>21</v>
      </c>
      <c r="E78" s="10">
        <v>1148.7583999999999</v>
      </c>
      <c r="F78" s="10">
        <f t="shared" si="1"/>
        <v>0.05</v>
      </c>
      <c r="G78" s="10">
        <f>Table1[[#This Row],[scalar]]-Table1[[#This Row],[adj]]</f>
        <v>1148.7084</v>
      </c>
      <c r="H78" s="3">
        <f>Table1[[#This Row],[price_mkt_bid]]*Table1[[#This Row],[adj scalar]]</f>
        <v>61662.666912000001</v>
      </c>
      <c r="I78" s="3">
        <f>Table1[[#This Row],[price_mkt_ask]]*Table1[[#This Row],[adj scalar]]</f>
        <v>61674.153995999994</v>
      </c>
    </row>
    <row r="79" spans="1:9" x14ac:dyDescent="0.25">
      <c r="A79" t="s">
        <v>12</v>
      </c>
      <c r="B79" s="1">
        <v>47.85</v>
      </c>
      <c r="C79" s="1">
        <v>47.86</v>
      </c>
      <c r="D79" s="2" t="s">
        <v>21</v>
      </c>
      <c r="E79" s="10">
        <v>1288.4256</v>
      </c>
      <c r="F79" s="10">
        <f t="shared" si="1"/>
        <v>-0.05</v>
      </c>
      <c r="G79" s="10">
        <f>Table1[[#This Row],[scalar]]-Table1[[#This Row],[adj]]</f>
        <v>1288.4756</v>
      </c>
      <c r="H79" s="3">
        <f>Table1[[#This Row],[price_mkt_bid]]*Table1[[#This Row],[adj scalar]]</f>
        <v>61653.557460000004</v>
      </c>
      <c r="I79" s="3">
        <f>Table1[[#This Row],[price_mkt_ask]]*Table1[[#This Row],[adj scalar]]</f>
        <v>61666.442215999996</v>
      </c>
    </row>
    <row r="80" spans="1:9" x14ac:dyDescent="0.25">
      <c r="A80" t="s">
        <v>13</v>
      </c>
      <c r="B80" s="1">
        <v>17.43</v>
      </c>
      <c r="C80" s="1">
        <v>17.440000000000001</v>
      </c>
      <c r="D80" s="2" t="s">
        <v>21</v>
      </c>
      <c r="E80" s="10">
        <v>3535.8029000000001</v>
      </c>
      <c r="F80" s="10">
        <f t="shared" si="1"/>
        <v>0</v>
      </c>
      <c r="G80" s="10">
        <f>Table1[[#This Row],[scalar]]-Table1[[#This Row],[adj]]</f>
        <v>3535.8029000000001</v>
      </c>
      <c r="H80" s="3">
        <f>Table1[[#This Row],[price_mkt_bid]]*Table1[[#This Row],[adj scalar]]</f>
        <v>61629.044547000005</v>
      </c>
      <c r="I80" s="3">
        <f>Table1[[#This Row],[price_mkt_ask]]*Table1[[#This Row],[adj scalar]]</f>
        <v>61664.402576000008</v>
      </c>
    </row>
    <row r="81" spans="1:9" x14ac:dyDescent="0.25">
      <c r="A81" t="s">
        <v>14</v>
      </c>
      <c r="B81" s="1">
        <v>34.93</v>
      </c>
      <c r="C81" s="1">
        <v>34.94</v>
      </c>
      <c r="D81" s="2" t="s">
        <v>21</v>
      </c>
      <c r="E81" s="10">
        <v>1764.9141</v>
      </c>
      <c r="F81" s="10">
        <f t="shared" si="1"/>
        <v>0</v>
      </c>
      <c r="G81" s="10">
        <f>Table1[[#This Row],[scalar]]-Table1[[#This Row],[adj]]</f>
        <v>1764.9141</v>
      </c>
      <c r="H81" s="3">
        <f>Table1[[#This Row],[price_mkt_bid]]*Table1[[#This Row],[adj scalar]]</f>
        <v>61648.449513</v>
      </c>
      <c r="I81" s="3">
        <f>Table1[[#This Row],[price_mkt_ask]]*Table1[[#This Row],[adj scalar]]</f>
        <v>61666.098653999994</v>
      </c>
    </row>
    <row r="82" spans="1:9" x14ac:dyDescent="0.25">
      <c r="A82" t="s">
        <v>4</v>
      </c>
      <c r="B82" s="1">
        <v>20.49</v>
      </c>
      <c r="C82" s="1">
        <v>20.5</v>
      </c>
      <c r="D82" s="2" t="s">
        <v>22</v>
      </c>
      <c r="E82" s="10">
        <v>3014.7411999999999</v>
      </c>
      <c r="F82" s="10">
        <f t="shared" si="1"/>
        <v>-0.1</v>
      </c>
      <c r="G82" s="10">
        <f>Table1[[#This Row],[scalar]]-Table1[[#This Row],[adj]]</f>
        <v>3014.8411999999998</v>
      </c>
      <c r="H82" s="3">
        <f>Table1[[#This Row],[price_mkt_bid]]*Table1[[#This Row],[adj scalar]]</f>
        <v>61774.096187999989</v>
      </c>
      <c r="I82" s="3">
        <f>Table1[[#This Row],[price_mkt_ask]]*Table1[[#This Row],[adj scalar]]</f>
        <v>61804.244599999998</v>
      </c>
    </row>
    <row r="83" spans="1:9" x14ac:dyDescent="0.25">
      <c r="A83" t="s">
        <v>6</v>
      </c>
      <c r="B83" s="1">
        <v>33.54</v>
      </c>
      <c r="C83" s="1">
        <v>33.549999999999997</v>
      </c>
      <c r="D83" s="2" t="s">
        <v>22</v>
      </c>
      <c r="E83" s="10">
        <v>1841.9893</v>
      </c>
      <c r="F83" s="10">
        <f t="shared" si="1"/>
        <v>0.1</v>
      </c>
      <c r="G83" s="10">
        <f>Table1[[#This Row],[scalar]]-Table1[[#This Row],[adj]]</f>
        <v>1841.8893</v>
      </c>
      <c r="H83" s="3">
        <f>Table1[[#This Row],[price_mkt_bid]]*Table1[[#This Row],[adj scalar]]</f>
        <v>61776.967122000002</v>
      </c>
      <c r="I83" s="3">
        <f>Table1[[#This Row],[price_mkt_ask]]*Table1[[#This Row],[adj scalar]]</f>
        <v>61795.386014999996</v>
      </c>
    </row>
    <row r="84" spans="1:9" x14ac:dyDescent="0.25">
      <c r="A84" t="s">
        <v>7</v>
      </c>
      <c r="B84" s="1">
        <v>17.420000000000002</v>
      </c>
      <c r="C84" s="1">
        <v>17.43</v>
      </c>
      <c r="D84" s="2" t="s">
        <v>22</v>
      </c>
      <c r="E84" s="10">
        <v>3546.3099000000002</v>
      </c>
      <c r="F84" s="10">
        <f t="shared" si="1"/>
        <v>0</v>
      </c>
      <c r="G84" s="10">
        <f>Table1[[#This Row],[scalar]]-Table1[[#This Row],[adj]]</f>
        <v>3546.3099000000002</v>
      </c>
      <c r="H84" s="3">
        <f>Table1[[#This Row],[price_mkt_bid]]*Table1[[#This Row],[adj scalar]]</f>
        <v>61776.71845800001</v>
      </c>
      <c r="I84" s="3">
        <f>Table1[[#This Row],[price_mkt_ask]]*Table1[[#This Row],[adj scalar]]</f>
        <v>61812.181557000004</v>
      </c>
    </row>
    <row r="85" spans="1:9" x14ac:dyDescent="0.25">
      <c r="A85" t="s">
        <v>8</v>
      </c>
      <c r="B85" s="1">
        <v>27.32</v>
      </c>
      <c r="C85" s="1">
        <v>27.33</v>
      </c>
      <c r="D85" s="2" t="s">
        <v>22</v>
      </c>
      <c r="E85" s="10">
        <v>2261.23</v>
      </c>
      <c r="F85" s="10">
        <f t="shared" si="1"/>
        <v>0.2</v>
      </c>
      <c r="G85" s="10">
        <f>Table1[[#This Row],[scalar]]-Table1[[#This Row],[adj]]</f>
        <v>2261.0300000000002</v>
      </c>
      <c r="H85" s="3">
        <f>Table1[[#This Row],[price_mkt_bid]]*Table1[[#This Row],[adj scalar]]</f>
        <v>61771.339600000007</v>
      </c>
      <c r="I85" s="3">
        <f>Table1[[#This Row],[price_mkt_ask]]*Table1[[#This Row],[adj scalar]]</f>
        <v>61793.9499</v>
      </c>
    </row>
    <row r="86" spans="1:9" x14ac:dyDescent="0.25">
      <c r="A86" t="s">
        <v>9</v>
      </c>
      <c r="B86" s="1">
        <v>65.290000000000006</v>
      </c>
      <c r="C86" s="1">
        <v>65.37</v>
      </c>
      <c r="D86" s="2" t="s">
        <v>22</v>
      </c>
      <c r="E86" s="10">
        <v>946.05840000000001</v>
      </c>
      <c r="F86" s="10">
        <f t="shared" si="1"/>
        <v>0</v>
      </c>
      <c r="G86" s="10">
        <f>Table1[[#This Row],[scalar]]-Table1[[#This Row],[adj]]</f>
        <v>946.05840000000001</v>
      </c>
      <c r="H86" s="3">
        <f>Table1[[#This Row],[price_mkt_bid]]*Table1[[#This Row],[adj scalar]]</f>
        <v>61768.152936000006</v>
      </c>
      <c r="I86" s="3">
        <f>Table1[[#This Row],[price_mkt_ask]]*Table1[[#This Row],[adj scalar]]</f>
        <v>61843.837608000002</v>
      </c>
    </row>
    <row r="87" spans="1:9" x14ac:dyDescent="0.25">
      <c r="A87" t="s">
        <v>10</v>
      </c>
      <c r="B87" s="1">
        <v>35.700000000000003</v>
      </c>
      <c r="C87" s="1">
        <v>35.71</v>
      </c>
      <c r="D87" s="2" t="s">
        <v>22</v>
      </c>
      <c r="E87" s="10">
        <v>1730.0198</v>
      </c>
      <c r="F87" s="10">
        <f t="shared" si="1"/>
        <v>-0.2</v>
      </c>
      <c r="G87" s="10">
        <f>Table1[[#This Row],[scalar]]-Table1[[#This Row],[adj]]</f>
        <v>1730.2198000000001</v>
      </c>
      <c r="H87" s="3">
        <f>Table1[[#This Row],[price_mkt_bid]]*Table1[[#This Row],[adj scalar]]</f>
        <v>61768.846860000005</v>
      </c>
      <c r="I87" s="3">
        <f>Table1[[#This Row],[price_mkt_ask]]*Table1[[#This Row],[adj scalar]]</f>
        <v>61786.149058000003</v>
      </c>
    </row>
    <row r="88" spans="1:9" x14ac:dyDescent="0.25">
      <c r="A88" t="s">
        <v>11</v>
      </c>
      <c r="B88" s="1">
        <v>53.78</v>
      </c>
      <c r="C88" s="1">
        <v>53.79</v>
      </c>
      <c r="D88" s="2" t="s">
        <v>22</v>
      </c>
      <c r="E88" s="10">
        <v>1148.7583999999999</v>
      </c>
      <c r="F88" s="10">
        <f t="shared" si="1"/>
        <v>0.05</v>
      </c>
      <c r="G88" s="10">
        <f>Table1[[#This Row],[scalar]]-Table1[[#This Row],[adj]]</f>
        <v>1148.7084</v>
      </c>
      <c r="H88" s="3">
        <f>Table1[[#This Row],[price_mkt_bid]]*Table1[[#This Row],[adj scalar]]</f>
        <v>61777.537752000004</v>
      </c>
      <c r="I88" s="3">
        <f>Table1[[#This Row],[price_mkt_ask]]*Table1[[#This Row],[adj scalar]]</f>
        <v>61789.024835999997</v>
      </c>
    </row>
    <row r="89" spans="1:9" x14ac:dyDescent="0.25">
      <c r="A89" t="s">
        <v>12</v>
      </c>
      <c r="B89" s="1">
        <v>47.94</v>
      </c>
      <c r="C89" s="1">
        <v>47.95</v>
      </c>
      <c r="D89" s="2" t="s">
        <v>22</v>
      </c>
      <c r="E89" s="10">
        <v>1288.4256</v>
      </c>
      <c r="F89" s="10">
        <f t="shared" si="1"/>
        <v>-0.05</v>
      </c>
      <c r="G89" s="10">
        <f>Table1[[#This Row],[scalar]]-Table1[[#This Row],[adj]]</f>
        <v>1288.4756</v>
      </c>
      <c r="H89" s="3">
        <f>Table1[[#This Row],[price_mkt_bid]]*Table1[[#This Row],[adj scalar]]</f>
        <v>61769.520263999999</v>
      </c>
      <c r="I89" s="3">
        <f>Table1[[#This Row],[price_mkt_ask]]*Table1[[#This Row],[adj scalar]]</f>
        <v>61782.405020000006</v>
      </c>
    </row>
    <row r="90" spans="1:9" x14ac:dyDescent="0.25">
      <c r="A90" t="s">
        <v>13</v>
      </c>
      <c r="B90" s="1">
        <v>17.46</v>
      </c>
      <c r="C90" s="1">
        <v>17.47</v>
      </c>
      <c r="D90" s="2" t="s">
        <v>22</v>
      </c>
      <c r="E90" s="10">
        <v>3535.8029000000001</v>
      </c>
      <c r="F90" s="10">
        <f t="shared" si="1"/>
        <v>0</v>
      </c>
      <c r="G90" s="10">
        <f>Table1[[#This Row],[scalar]]-Table1[[#This Row],[adj]]</f>
        <v>3535.8029000000001</v>
      </c>
      <c r="H90" s="3">
        <f>Table1[[#This Row],[price_mkt_bid]]*Table1[[#This Row],[adj scalar]]</f>
        <v>61735.118634000006</v>
      </c>
      <c r="I90" s="3">
        <f>Table1[[#This Row],[price_mkt_ask]]*Table1[[#This Row],[adj scalar]]</f>
        <v>61770.476663000001</v>
      </c>
    </row>
    <row r="91" spans="1:9" x14ac:dyDescent="0.25">
      <c r="A91" t="s">
        <v>14</v>
      </c>
      <c r="B91" s="1">
        <v>35</v>
      </c>
      <c r="C91" s="1">
        <v>35.01</v>
      </c>
      <c r="D91" s="2" t="s">
        <v>22</v>
      </c>
      <c r="E91" s="10">
        <v>1764.9141</v>
      </c>
      <c r="F91" s="10">
        <f t="shared" si="1"/>
        <v>0</v>
      </c>
      <c r="G91" s="10">
        <f>Table1[[#This Row],[scalar]]-Table1[[#This Row],[adj]]</f>
        <v>1764.9141</v>
      </c>
      <c r="H91" s="3">
        <f>Table1[[#This Row],[price_mkt_bid]]*Table1[[#This Row],[adj scalar]]</f>
        <v>61771.993499999997</v>
      </c>
      <c r="I91" s="3">
        <f>Table1[[#This Row],[price_mkt_ask]]*Table1[[#This Row],[adj scalar]]</f>
        <v>61789.642640999999</v>
      </c>
    </row>
    <row r="92" spans="1:9" x14ac:dyDescent="0.25">
      <c r="A92" t="s">
        <v>4</v>
      </c>
      <c r="B92" s="1">
        <v>20.55</v>
      </c>
      <c r="C92" s="1">
        <v>20.56</v>
      </c>
      <c r="D92" s="2" t="s">
        <v>23</v>
      </c>
      <c r="E92" s="10">
        <v>3014.7411999999999</v>
      </c>
      <c r="F92" s="10">
        <f t="shared" si="1"/>
        <v>-0.1</v>
      </c>
      <c r="G92" s="10">
        <f>Table1[[#This Row],[scalar]]-Table1[[#This Row],[adj]]</f>
        <v>3014.8411999999998</v>
      </c>
      <c r="H92" s="3">
        <f>Table1[[#This Row],[price_mkt_bid]]*Table1[[#This Row],[adj scalar]]</f>
        <v>61954.986660000002</v>
      </c>
      <c r="I92" s="3">
        <f>Table1[[#This Row],[price_mkt_ask]]*Table1[[#This Row],[adj scalar]]</f>
        <v>61985.13507199999</v>
      </c>
    </row>
    <row r="93" spans="1:9" x14ac:dyDescent="0.25">
      <c r="A93" t="s">
        <v>6</v>
      </c>
      <c r="B93" s="1">
        <v>33.65</v>
      </c>
      <c r="C93" s="1">
        <v>33.659999999999997</v>
      </c>
      <c r="D93" s="2" t="s">
        <v>23</v>
      </c>
      <c r="E93" s="10">
        <v>1841.9893</v>
      </c>
      <c r="F93" s="10">
        <f t="shared" si="1"/>
        <v>0.1</v>
      </c>
      <c r="G93" s="10">
        <f>Table1[[#This Row],[scalar]]-Table1[[#This Row],[adj]]</f>
        <v>1841.8893</v>
      </c>
      <c r="H93" s="3">
        <f>Table1[[#This Row],[price_mkt_bid]]*Table1[[#This Row],[adj scalar]]</f>
        <v>61979.574945</v>
      </c>
      <c r="I93" s="3">
        <f>Table1[[#This Row],[price_mkt_ask]]*Table1[[#This Row],[adj scalar]]</f>
        <v>61997.993837999995</v>
      </c>
    </row>
    <row r="94" spans="1:9" x14ac:dyDescent="0.25">
      <c r="A94" t="s">
        <v>7</v>
      </c>
      <c r="B94" s="1">
        <v>17.47</v>
      </c>
      <c r="C94" s="1">
        <v>17.48</v>
      </c>
      <c r="D94" s="2" t="s">
        <v>23</v>
      </c>
      <c r="E94" s="10">
        <v>3546.3099000000002</v>
      </c>
      <c r="F94" s="10">
        <f t="shared" si="1"/>
        <v>0</v>
      </c>
      <c r="G94" s="10">
        <f>Table1[[#This Row],[scalar]]-Table1[[#This Row],[adj]]</f>
        <v>3546.3099000000002</v>
      </c>
      <c r="H94" s="3">
        <f>Table1[[#This Row],[price_mkt_bid]]*Table1[[#This Row],[adj scalar]]</f>
        <v>61954.033952999998</v>
      </c>
      <c r="I94" s="3">
        <f>Table1[[#This Row],[price_mkt_ask]]*Table1[[#This Row],[adj scalar]]</f>
        <v>61989.497052000006</v>
      </c>
    </row>
    <row r="95" spans="1:9" x14ac:dyDescent="0.25">
      <c r="A95" t="s">
        <v>8</v>
      </c>
      <c r="B95" s="1">
        <v>27.41</v>
      </c>
      <c r="C95" s="1">
        <v>27.42</v>
      </c>
      <c r="D95" s="2" t="s">
        <v>23</v>
      </c>
      <c r="E95" s="10">
        <v>2261.23</v>
      </c>
      <c r="F95" s="10">
        <f t="shared" si="1"/>
        <v>0.2</v>
      </c>
      <c r="G95" s="10">
        <f>Table1[[#This Row],[scalar]]-Table1[[#This Row],[adj]]</f>
        <v>2261.0300000000002</v>
      </c>
      <c r="H95" s="3">
        <f>Table1[[#This Row],[price_mkt_bid]]*Table1[[#This Row],[adj scalar]]</f>
        <v>61974.832300000009</v>
      </c>
      <c r="I95" s="3">
        <f>Table1[[#This Row],[price_mkt_ask]]*Table1[[#This Row],[adj scalar]]</f>
        <v>61997.442600000009</v>
      </c>
    </row>
    <row r="96" spans="1:9" x14ac:dyDescent="0.25">
      <c r="A96" t="s">
        <v>9</v>
      </c>
      <c r="B96" s="1">
        <v>65.48</v>
      </c>
      <c r="C96" s="1">
        <v>65.569999999999993</v>
      </c>
      <c r="D96" s="2" t="s">
        <v>23</v>
      </c>
      <c r="E96" s="10">
        <v>946.05840000000001</v>
      </c>
      <c r="F96" s="10">
        <f t="shared" si="1"/>
        <v>0</v>
      </c>
      <c r="G96" s="10">
        <f>Table1[[#This Row],[scalar]]-Table1[[#This Row],[adj]]</f>
        <v>946.05840000000001</v>
      </c>
      <c r="H96" s="3">
        <f>Table1[[#This Row],[price_mkt_bid]]*Table1[[#This Row],[adj scalar]]</f>
        <v>61947.904032000006</v>
      </c>
      <c r="I96" s="3">
        <f>Table1[[#This Row],[price_mkt_ask]]*Table1[[#This Row],[adj scalar]]</f>
        <v>62033.049287999995</v>
      </c>
    </row>
    <row r="97" spans="1:9" x14ac:dyDescent="0.25">
      <c r="A97" t="s">
        <v>10</v>
      </c>
      <c r="B97" s="1">
        <v>35.81</v>
      </c>
      <c r="C97" s="1">
        <v>35.83</v>
      </c>
      <c r="D97" s="2" t="s">
        <v>23</v>
      </c>
      <c r="E97" s="10">
        <v>1730.0198</v>
      </c>
      <c r="F97" s="10">
        <f t="shared" si="1"/>
        <v>-0.2</v>
      </c>
      <c r="G97" s="10">
        <f>Table1[[#This Row],[scalar]]-Table1[[#This Row],[adj]]</f>
        <v>1730.2198000000001</v>
      </c>
      <c r="H97" s="3">
        <f>Table1[[#This Row],[price_mkt_bid]]*Table1[[#This Row],[adj scalar]]</f>
        <v>61959.171038000008</v>
      </c>
      <c r="I97" s="3">
        <f>Table1[[#This Row],[price_mkt_ask]]*Table1[[#This Row],[adj scalar]]</f>
        <v>61993.775434000003</v>
      </c>
    </row>
    <row r="98" spans="1:9" x14ac:dyDescent="0.25">
      <c r="A98" t="s">
        <v>11</v>
      </c>
      <c r="B98" s="1">
        <v>53.95</v>
      </c>
      <c r="C98" s="1">
        <v>53.96</v>
      </c>
      <c r="D98" s="2" t="s">
        <v>23</v>
      </c>
      <c r="E98" s="10">
        <v>1148.7583999999999</v>
      </c>
      <c r="F98" s="10">
        <f t="shared" si="1"/>
        <v>0.05</v>
      </c>
      <c r="G98" s="10">
        <f>Table1[[#This Row],[scalar]]-Table1[[#This Row],[adj]]</f>
        <v>1148.7084</v>
      </c>
      <c r="H98" s="3">
        <f>Table1[[#This Row],[price_mkt_bid]]*Table1[[#This Row],[adj scalar]]</f>
        <v>61972.818180000002</v>
      </c>
      <c r="I98" s="3">
        <f>Table1[[#This Row],[price_mkt_ask]]*Table1[[#This Row],[adj scalar]]</f>
        <v>61984.305264000002</v>
      </c>
    </row>
    <row r="99" spans="1:9" x14ac:dyDescent="0.25">
      <c r="A99" t="s">
        <v>12</v>
      </c>
      <c r="B99" s="1">
        <v>48.09</v>
      </c>
      <c r="C99" s="1">
        <v>48.1</v>
      </c>
      <c r="D99" s="2" t="s">
        <v>23</v>
      </c>
      <c r="E99" s="10">
        <v>1288.4256</v>
      </c>
      <c r="F99" s="10">
        <f t="shared" si="1"/>
        <v>-0.05</v>
      </c>
      <c r="G99" s="10">
        <f>Table1[[#This Row],[scalar]]-Table1[[#This Row],[adj]]</f>
        <v>1288.4756</v>
      </c>
      <c r="H99" s="3">
        <f>Table1[[#This Row],[price_mkt_bid]]*Table1[[#This Row],[adj scalar]]</f>
        <v>61962.791604000005</v>
      </c>
      <c r="I99" s="3">
        <f>Table1[[#This Row],[price_mkt_ask]]*Table1[[#This Row],[adj scalar]]</f>
        <v>61975.676359999998</v>
      </c>
    </row>
    <row r="100" spans="1:9" x14ac:dyDescent="0.25">
      <c r="A100" t="s">
        <v>13</v>
      </c>
      <c r="B100" s="1">
        <v>17.52</v>
      </c>
      <c r="C100" s="1">
        <v>17.53</v>
      </c>
      <c r="D100" s="2" t="s">
        <v>23</v>
      </c>
      <c r="E100" s="10">
        <v>3535.8029000000001</v>
      </c>
      <c r="F100" s="10">
        <f t="shared" si="1"/>
        <v>0</v>
      </c>
      <c r="G100" s="10">
        <f>Table1[[#This Row],[scalar]]-Table1[[#This Row],[adj]]</f>
        <v>3535.8029000000001</v>
      </c>
      <c r="H100" s="3">
        <f>Table1[[#This Row],[price_mkt_bid]]*Table1[[#This Row],[adj scalar]]</f>
        <v>61947.266808</v>
      </c>
      <c r="I100" s="3">
        <f>Table1[[#This Row],[price_mkt_ask]]*Table1[[#This Row],[adj scalar]]</f>
        <v>61982.624837000003</v>
      </c>
    </row>
    <row r="101" spans="1:9" x14ac:dyDescent="0.25">
      <c r="A101" t="s">
        <v>14</v>
      </c>
      <c r="B101" s="1">
        <v>35.11</v>
      </c>
      <c r="C101" s="1">
        <v>35.119999999999997</v>
      </c>
      <c r="D101" s="2" t="s">
        <v>23</v>
      </c>
      <c r="E101" s="10">
        <v>1764.9141</v>
      </c>
      <c r="F101" s="10">
        <f t="shared" si="1"/>
        <v>0</v>
      </c>
      <c r="G101" s="10">
        <f>Table1[[#This Row],[scalar]]-Table1[[#This Row],[adj]]</f>
        <v>1764.9141</v>
      </c>
      <c r="H101" s="3">
        <f>Table1[[#This Row],[price_mkt_bid]]*Table1[[#This Row],[adj scalar]]</f>
        <v>61966.134051000001</v>
      </c>
      <c r="I101" s="3">
        <f>Table1[[#This Row],[price_mkt_ask]]*Table1[[#This Row],[adj scalar]]</f>
        <v>61983.783191999995</v>
      </c>
    </row>
    <row r="102" spans="1:9" x14ac:dyDescent="0.25">
      <c r="A102" t="s">
        <v>4</v>
      </c>
      <c r="B102" s="1">
        <v>20.51</v>
      </c>
      <c r="C102" s="1">
        <v>20.52</v>
      </c>
      <c r="D102" s="2" t="s">
        <v>24</v>
      </c>
      <c r="E102" s="10">
        <v>3014.7411999999999</v>
      </c>
      <c r="F102" s="10">
        <f t="shared" si="1"/>
        <v>-0.1</v>
      </c>
      <c r="G102" s="10">
        <f>Table1[[#This Row],[scalar]]-Table1[[#This Row],[adj]]</f>
        <v>3014.8411999999998</v>
      </c>
      <c r="H102" s="3">
        <f>Table1[[#This Row],[price_mkt_bid]]*Table1[[#This Row],[adj scalar]]</f>
        <v>61834.393012</v>
      </c>
      <c r="I102" s="3">
        <f>Table1[[#This Row],[price_mkt_ask]]*Table1[[#This Row],[adj scalar]]</f>
        <v>61864.541423999995</v>
      </c>
    </row>
    <row r="103" spans="1:9" x14ac:dyDescent="0.25">
      <c r="A103" t="s">
        <v>6</v>
      </c>
      <c r="B103" s="1">
        <v>33.590000000000003</v>
      </c>
      <c r="C103" s="1">
        <v>33.6</v>
      </c>
      <c r="D103" s="2" t="s">
        <v>24</v>
      </c>
      <c r="E103" s="10">
        <v>1841.9893</v>
      </c>
      <c r="F103" s="10">
        <f t="shared" si="1"/>
        <v>0.1</v>
      </c>
      <c r="G103" s="10">
        <f>Table1[[#This Row],[scalar]]-Table1[[#This Row],[adj]]</f>
        <v>1841.8893</v>
      </c>
      <c r="H103" s="3">
        <f>Table1[[#This Row],[price_mkt_bid]]*Table1[[#This Row],[adj scalar]]</f>
        <v>61869.061587000011</v>
      </c>
      <c r="I103" s="3">
        <f>Table1[[#This Row],[price_mkt_ask]]*Table1[[#This Row],[adj scalar]]</f>
        <v>61887.480480000006</v>
      </c>
    </row>
    <row r="104" spans="1:9" x14ac:dyDescent="0.25">
      <c r="A104" t="s">
        <v>7</v>
      </c>
      <c r="B104" s="1">
        <v>17.440000000000001</v>
      </c>
      <c r="C104" s="1">
        <v>17.45</v>
      </c>
      <c r="D104" s="2" t="s">
        <v>24</v>
      </c>
      <c r="E104" s="10">
        <v>3546.3099000000002</v>
      </c>
      <c r="F104" s="10">
        <f t="shared" si="1"/>
        <v>0</v>
      </c>
      <c r="G104" s="10">
        <f>Table1[[#This Row],[scalar]]-Table1[[#This Row],[adj]]</f>
        <v>3546.3099000000002</v>
      </c>
      <c r="H104" s="3">
        <f>Table1[[#This Row],[price_mkt_bid]]*Table1[[#This Row],[adj scalar]]</f>
        <v>61847.644656000011</v>
      </c>
      <c r="I104" s="3">
        <f>Table1[[#This Row],[price_mkt_ask]]*Table1[[#This Row],[adj scalar]]</f>
        <v>61883.107755000005</v>
      </c>
    </row>
    <row r="105" spans="1:9" x14ac:dyDescent="0.25">
      <c r="A105" t="s">
        <v>8</v>
      </c>
      <c r="B105" s="1">
        <v>27.36</v>
      </c>
      <c r="C105" s="1">
        <v>27.37</v>
      </c>
      <c r="D105" s="2" t="s">
        <v>24</v>
      </c>
      <c r="E105" s="10">
        <v>2261.23</v>
      </c>
      <c r="F105" s="10">
        <f t="shared" si="1"/>
        <v>0.2</v>
      </c>
      <c r="G105" s="10">
        <f>Table1[[#This Row],[scalar]]-Table1[[#This Row],[adj]]</f>
        <v>2261.0300000000002</v>
      </c>
      <c r="H105" s="3">
        <f>Table1[[#This Row],[price_mkt_bid]]*Table1[[#This Row],[adj scalar]]</f>
        <v>61861.780800000008</v>
      </c>
      <c r="I105" s="3">
        <f>Table1[[#This Row],[price_mkt_ask]]*Table1[[#This Row],[adj scalar]]</f>
        <v>61884.391100000008</v>
      </c>
    </row>
    <row r="106" spans="1:9" x14ac:dyDescent="0.25">
      <c r="A106" t="s">
        <v>9</v>
      </c>
      <c r="B106" s="1">
        <v>65.37</v>
      </c>
      <c r="C106" s="1">
        <v>65.47</v>
      </c>
      <c r="D106" s="2" t="s">
        <v>24</v>
      </c>
      <c r="E106" s="10">
        <v>946.05840000000001</v>
      </c>
      <c r="F106" s="10">
        <f t="shared" si="1"/>
        <v>0</v>
      </c>
      <c r="G106" s="10">
        <f>Table1[[#This Row],[scalar]]-Table1[[#This Row],[adj]]</f>
        <v>946.05840000000001</v>
      </c>
      <c r="H106" s="3">
        <f>Table1[[#This Row],[price_mkt_bid]]*Table1[[#This Row],[adj scalar]]</f>
        <v>61843.837608000002</v>
      </c>
      <c r="I106" s="3">
        <f>Table1[[#This Row],[price_mkt_ask]]*Table1[[#This Row],[adj scalar]]</f>
        <v>61938.443447999998</v>
      </c>
    </row>
    <row r="107" spans="1:9" x14ac:dyDescent="0.25">
      <c r="A107" t="s">
        <v>10</v>
      </c>
      <c r="B107" s="1">
        <v>35.75</v>
      </c>
      <c r="C107" s="1">
        <v>35.770000000000003</v>
      </c>
      <c r="D107" s="2" t="s">
        <v>24</v>
      </c>
      <c r="E107" s="10">
        <v>1730.0198</v>
      </c>
      <c r="F107" s="10">
        <f t="shared" si="1"/>
        <v>-0.2</v>
      </c>
      <c r="G107" s="10">
        <f>Table1[[#This Row],[scalar]]-Table1[[#This Row],[adj]]</f>
        <v>1730.2198000000001</v>
      </c>
      <c r="H107" s="3">
        <f>Table1[[#This Row],[price_mkt_bid]]*Table1[[#This Row],[adj scalar]]</f>
        <v>61855.35785</v>
      </c>
      <c r="I107" s="3">
        <f>Table1[[#This Row],[price_mkt_ask]]*Table1[[#This Row],[adj scalar]]</f>
        <v>61889.96224600001</v>
      </c>
    </row>
    <row r="108" spans="1:9" x14ac:dyDescent="0.25">
      <c r="A108" t="s">
        <v>11</v>
      </c>
      <c r="B108" s="1">
        <v>53.86</v>
      </c>
      <c r="C108" s="1">
        <v>53.87</v>
      </c>
      <c r="D108" s="2" t="s">
        <v>24</v>
      </c>
      <c r="E108" s="10">
        <v>1148.7583999999999</v>
      </c>
      <c r="F108" s="10">
        <f t="shared" si="1"/>
        <v>0.05</v>
      </c>
      <c r="G108" s="10">
        <f>Table1[[#This Row],[scalar]]-Table1[[#This Row],[adj]]</f>
        <v>1148.7084</v>
      </c>
      <c r="H108" s="3">
        <f>Table1[[#This Row],[price_mkt_bid]]*Table1[[#This Row],[adj scalar]]</f>
        <v>61869.434423999999</v>
      </c>
      <c r="I108" s="3">
        <f>Table1[[#This Row],[price_mkt_ask]]*Table1[[#This Row],[adj scalar]]</f>
        <v>61880.921507999999</v>
      </c>
    </row>
    <row r="109" spans="1:9" x14ac:dyDescent="0.25">
      <c r="A109" t="s">
        <v>12</v>
      </c>
      <c r="B109" s="1">
        <v>48.01</v>
      </c>
      <c r="C109" s="1">
        <v>48.02</v>
      </c>
      <c r="D109" s="2" t="s">
        <v>24</v>
      </c>
      <c r="E109" s="10">
        <v>1288.4256</v>
      </c>
      <c r="F109" s="10">
        <f t="shared" si="1"/>
        <v>-0.05</v>
      </c>
      <c r="G109" s="10">
        <f>Table1[[#This Row],[scalar]]-Table1[[#This Row],[adj]]</f>
        <v>1288.4756</v>
      </c>
      <c r="H109" s="3">
        <f>Table1[[#This Row],[price_mkt_bid]]*Table1[[#This Row],[adj scalar]]</f>
        <v>61859.713555999995</v>
      </c>
      <c r="I109" s="3">
        <f>Table1[[#This Row],[price_mkt_ask]]*Table1[[#This Row],[adj scalar]]</f>
        <v>61872.598312000002</v>
      </c>
    </row>
    <row r="110" spans="1:9" x14ac:dyDescent="0.25">
      <c r="A110" t="s">
        <v>13</v>
      </c>
      <c r="B110" s="1">
        <v>17.489999999999998</v>
      </c>
      <c r="C110" s="1">
        <v>17.5</v>
      </c>
      <c r="D110" s="2" t="s">
        <v>24</v>
      </c>
      <c r="E110" s="10">
        <v>3535.8029000000001</v>
      </c>
      <c r="F110" s="10">
        <f t="shared" si="1"/>
        <v>0</v>
      </c>
      <c r="G110" s="10">
        <f>Table1[[#This Row],[scalar]]-Table1[[#This Row],[adj]]</f>
        <v>3535.8029000000001</v>
      </c>
      <c r="H110" s="3">
        <f>Table1[[#This Row],[price_mkt_bid]]*Table1[[#This Row],[adj scalar]]</f>
        <v>61841.192720999999</v>
      </c>
      <c r="I110" s="3">
        <f>Table1[[#This Row],[price_mkt_ask]]*Table1[[#This Row],[adj scalar]]</f>
        <v>61876.550750000002</v>
      </c>
    </row>
    <row r="111" spans="1:9" x14ac:dyDescent="0.25">
      <c r="A111" t="s">
        <v>14</v>
      </c>
      <c r="B111" s="1">
        <v>35.049999999999997</v>
      </c>
      <c r="C111" s="1">
        <v>35.06</v>
      </c>
      <c r="D111" s="2" t="s">
        <v>24</v>
      </c>
      <c r="E111" s="10">
        <v>1764.9141</v>
      </c>
      <c r="F111" s="10">
        <f t="shared" si="1"/>
        <v>0</v>
      </c>
      <c r="G111" s="10">
        <f>Table1[[#This Row],[scalar]]-Table1[[#This Row],[adj]]</f>
        <v>1764.9141</v>
      </c>
      <c r="H111" s="3">
        <f>Table1[[#This Row],[price_mkt_bid]]*Table1[[#This Row],[adj scalar]]</f>
        <v>61860.239204999991</v>
      </c>
      <c r="I111" s="3">
        <f>Table1[[#This Row],[price_mkt_ask]]*Table1[[#This Row],[adj scalar]]</f>
        <v>61877.888346</v>
      </c>
    </row>
    <row r="112" spans="1:9" x14ac:dyDescent="0.25">
      <c r="A112" t="s">
        <v>4</v>
      </c>
      <c r="B112" s="1">
        <v>20.47</v>
      </c>
      <c r="C112" s="1">
        <v>20.48</v>
      </c>
      <c r="D112" s="2" t="s">
        <v>25</v>
      </c>
      <c r="E112" s="10">
        <v>3014.7411999999999</v>
      </c>
      <c r="F112" s="10">
        <f t="shared" si="1"/>
        <v>-0.1</v>
      </c>
      <c r="G112" s="10">
        <f>Table1[[#This Row],[scalar]]-Table1[[#This Row],[adj]]</f>
        <v>3014.8411999999998</v>
      </c>
      <c r="H112" s="3">
        <f>Table1[[#This Row],[price_mkt_bid]]*Table1[[#This Row],[adj scalar]]</f>
        <v>61713.799363999991</v>
      </c>
      <c r="I112" s="3">
        <f>Table1[[#This Row],[price_mkt_ask]]*Table1[[#This Row],[adj scalar]]</f>
        <v>61743.947776000001</v>
      </c>
    </row>
    <row r="113" spans="1:9" x14ac:dyDescent="0.25">
      <c r="A113" t="s">
        <v>6</v>
      </c>
      <c r="B113" s="1">
        <v>33.520000000000003</v>
      </c>
      <c r="C113" s="1">
        <v>33.520000000000003</v>
      </c>
      <c r="D113" s="2" t="s">
        <v>25</v>
      </c>
      <c r="E113" s="10">
        <v>1841.9893</v>
      </c>
      <c r="F113" s="10">
        <f t="shared" si="1"/>
        <v>0.1</v>
      </c>
      <c r="G113" s="10">
        <f>Table1[[#This Row],[scalar]]-Table1[[#This Row],[adj]]</f>
        <v>1841.8893</v>
      </c>
      <c r="H113" s="3">
        <f>Table1[[#This Row],[price_mkt_bid]]*Table1[[#This Row],[adj scalar]]</f>
        <v>61740.129336000005</v>
      </c>
      <c r="I113" s="3">
        <f>Table1[[#This Row],[price_mkt_ask]]*Table1[[#This Row],[adj scalar]]</f>
        <v>61740.129336000005</v>
      </c>
    </row>
    <row r="114" spans="1:9" x14ac:dyDescent="0.25">
      <c r="A114" t="s">
        <v>7</v>
      </c>
      <c r="B114" s="1">
        <v>17.399999999999999</v>
      </c>
      <c r="C114" s="1">
        <v>17.41</v>
      </c>
      <c r="D114" s="2" t="s">
        <v>25</v>
      </c>
      <c r="E114" s="10">
        <v>3546.3099000000002</v>
      </c>
      <c r="F114" s="10">
        <f t="shared" si="1"/>
        <v>0</v>
      </c>
      <c r="G114" s="10">
        <f>Table1[[#This Row],[scalar]]-Table1[[#This Row],[adj]]</f>
        <v>3546.3099000000002</v>
      </c>
      <c r="H114" s="3">
        <f>Table1[[#This Row],[price_mkt_bid]]*Table1[[#This Row],[adj scalar]]</f>
        <v>61705.792260000002</v>
      </c>
      <c r="I114" s="3">
        <f>Table1[[#This Row],[price_mkt_ask]]*Table1[[#This Row],[adj scalar]]</f>
        <v>61741.255359000002</v>
      </c>
    </row>
    <row r="115" spans="1:9" x14ac:dyDescent="0.25">
      <c r="A115" t="s">
        <v>8</v>
      </c>
      <c r="B115" s="1">
        <v>27.29</v>
      </c>
      <c r="C115" s="1">
        <v>27.3</v>
      </c>
      <c r="D115" s="2" t="s">
        <v>25</v>
      </c>
      <c r="E115" s="10">
        <v>2261.23</v>
      </c>
      <c r="F115" s="10">
        <f t="shared" si="1"/>
        <v>0.2</v>
      </c>
      <c r="G115" s="10">
        <f>Table1[[#This Row],[scalar]]-Table1[[#This Row],[adj]]</f>
        <v>2261.0300000000002</v>
      </c>
      <c r="H115" s="3">
        <f>Table1[[#This Row],[price_mkt_bid]]*Table1[[#This Row],[adj scalar]]</f>
        <v>61703.508700000006</v>
      </c>
      <c r="I115" s="3">
        <f>Table1[[#This Row],[price_mkt_ask]]*Table1[[#This Row],[adj scalar]]</f>
        <v>61726.119000000006</v>
      </c>
    </row>
    <row r="116" spans="1:9" x14ac:dyDescent="0.25">
      <c r="A116" t="s">
        <v>9</v>
      </c>
      <c r="B116" s="1">
        <v>65.23</v>
      </c>
      <c r="C116" s="1">
        <v>65.31</v>
      </c>
      <c r="D116" s="2" t="s">
        <v>25</v>
      </c>
      <c r="E116" s="10">
        <v>946.05840000000001</v>
      </c>
      <c r="F116" s="10">
        <f t="shared" si="1"/>
        <v>0</v>
      </c>
      <c r="G116" s="10">
        <f>Table1[[#This Row],[scalar]]-Table1[[#This Row],[adj]]</f>
        <v>946.05840000000001</v>
      </c>
      <c r="H116" s="3">
        <f>Table1[[#This Row],[price_mkt_bid]]*Table1[[#This Row],[adj scalar]]</f>
        <v>61711.389432000004</v>
      </c>
      <c r="I116" s="3">
        <f>Table1[[#This Row],[price_mkt_ask]]*Table1[[#This Row],[adj scalar]]</f>
        <v>61787.074103999999</v>
      </c>
    </row>
    <row r="117" spans="1:9" x14ac:dyDescent="0.25">
      <c r="A117" t="s">
        <v>10</v>
      </c>
      <c r="B117" s="1">
        <v>35.67</v>
      </c>
      <c r="C117" s="1">
        <v>35.68</v>
      </c>
      <c r="D117" s="2" t="s">
        <v>25</v>
      </c>
      <c r="E117" s="10">
        <v>1730.0198</v>
      </c>
      <c r="F117" s="10">
        <f t="shared" si="1"/>
        <v>-0.2</v>
      </c>
      <c r="G117" s="10">
        <f>Table1[[#This Row],[scalar]]-Table1[[#This Row],[adj]]</f>
        <v>1730.2198000000001</v>
      </c>
      <c r="H117" s="3">
        <f>Table1[[#This Row],[price_mkt_bid]]*Table1[[#This Row],[adj scalar]]</f>
        <v>61716.940266000005</v>
      </c>
      <c r="I117" s="3">
        <f>Table1[[#This Row],[price_mkt_ask]]*Table1[[#This Row],[adj scalar]]</f>
        <v>61734.242464000003</v>
      </c>
    </row>
    <row r="118" spans="1:9" x14ac:dyDescent="0.25">
      <c r="A118" t="s">
        <v>11</v>
      </c>
      <c r="B118" s="1">
        <v>53.74</v>
      </c>
      <c r="C118" s="1">
        <v>53.75</v>
      </c>
      <c r="D118" s="2" t="s">
        <v>25</v>
      </c>
      <c r="E118" s="10">
        <v>1148.7583999999999</v>
      </c>
      <c r="F118" s="10">
        <f t="shared" si="1"/>
        <v>0.05</v>
      </c>
      <c r="G118" s="10">
        <f>Table1[[#This Row],[scalar]]-Table1[[#This Row],[adj]]</f>
        <v>1148.7084</v>
      </c>
      <c r="H118" s="3">
        <f>Table1[[#This Row],[price_mkt_bid]]*Table1[[#This Row],[adj scalar]]</f>
        <v>61731.589416000003</v>
      </c>
      <c r="I118" s="3">
        <f>Table1[[#This Row],[price_mkt_ask]]*Table1[[#This Row],[adj scalar]]</f>
        <v>61743.076499999996</v>
      </c>
    </row>
    <row r="119" spans="1:9" x14ac:dyDescent="0.25">
      <c r="A119" t="s">
        <v>12</v>
      </c>
      <c r="B119" s="1">
        <v>47.9</v>
      </c>
      <c r="C119" s="1">
        <v>47.91</v>
      </c>
      <c r="D119" s="2" t="s">
        <v>25</v>
      </c>
      <c r="E119" s="10">
        <v>1288.4256</v>
      </c>
      <c r="F119" s="10">
        <f t="shared" si="1"/>
        <v>-0.05</v>
      </c>
      <c r="G119" s="10">
        <f>Table1[[#This Row],[scalar]]-Table1[[#This Row],[adj]]</f>
        <v>1288.4756</v>
      </c>
      <c r="H119" s="3">
        <f>Table1[[#This Row],[price_mkt_bid]]*Table1[[#This Row],[adj scalar]]</f>
        <v>61717.981240000001</v>
      </c>
      <c r="I119" s="3">
        <f>Table1[[#This Row],[price_mkt_ask]]*Table1[[#This Row],[adj scalar]]</f>
        <v>61730.865995999993</v>
      </c>
    </row>
    <row r="120" spans="1:9" x14ac:dyDescent="0.25">
      <c r="A120" t="s">
        <v>13</v>
      </c>
      <c r="B120" s="1">
        <v>17.45</v>
      </c>
      <c r="C120" s="1">
        <v>17.46</v>
      </c>
      <c r="D120" s="2" t="s">
        <v>25</v>
      </c>
      <c r="E120" s="10">
        <v>3535.8029000000001</v>
      </c>
      <c r="F120" s="10">
        <f t="shared" si="1"/>
        <v>0</v>
      </c>
      <c r="G120" s="10">
        <f>Table1[[#This Row],[scalar]]-Table1[[#This Row],[adj]]</f>
        <v>3535.8029000000001</v>
      </c>
      <c r="H120" s="3">
        <f>Table1[[#This Row],[price_mkt_bid]]*Table1[[#This Row],[adj scalar]]</f>
        <v>61699.760605000003</v>
      </c>
      <c r="I120" s="3">
        <f>Table1[[#This Row],[price_mkt_ask]]*Table1[[#This Row],[adj scalar]]</f>
        <v>61735.118634000006</v>
      </c>
    </row>
    <row r="121" spans="1:9" x14ac:dyDescent="0.25">
      <c r="A121" t="s">
        <v>14</v>
      </c>
      <c r="B121" s="1">
        <v>34.97</v>
      </c>
      <c r="C121" s="1">
        <v>34.979999999999997</v>
      </c>
      <c r="D121" s="2" t="s">
        <v>25</v>
      </c>
      <c r="E121" s="10">
        <v>1764.9141</v>
      </c>
      <c r="F121" s="10">
        <f t="shared" si="1"/>
        <v>0</v>
      </c>
      <c r="G121" s="10">
        <f>Table1[[#This Row],[scalar]]-Table1[[#This Row],[adj]]</f>
        <v>1764.9141</v>
      </c>
      <c r="H121" s="3">
        <f>Table1[[#This Row],[price_mkt_bid]]*Table1[[#This Row],[adj scalar]]</f>
        <v>61719.046076999999</v>
      </c>
      <c r="I121" s="3">
        <f>Table1[[#This Row],[price_mkt_ask]]*Table1[[#This Row],[adj scalar]]</f>
        <v>61736.695217999993</v>
      </c>
    </row>
    <row r="122" spans="1:9" x14ac:dyDescent="0.25">
      <c r="A122" t="s">
        <v>4</v>
      </c>
      <c r="B122" s="1">
        <v>20.47</v>
      </c>
      <c r="C122" s="1">
        <v>20.48</v>
      </c>
      <c r="D122" s="2" t="s">
        <v>26</v>
      </c>
      <c r="E122" s="10">
        <v>3014.7411999999999</v>
      </c>
      <c r="F122" s="10">
        <f t="shared" si="1"/>
        <v>-0.1</v>
      </c>
      <c r="G122" s="10">
        <f>Table1[[#This Row],[scalar]]-Table1[[#This Row],[adj]]</f>
        <v>3014.8411999999998</v>
      </c>
      <c r="H122" s="3">
        <f>Table1[[#This Row],[price_mkt_bid]]*Table1[[#This Row],[adj scalar]]</f>
        <v>61713.799363999991</v>
      </c>
      <c r="I122" s="3">
        <f>Table1[[#This Row],[price_mkt_ask]]*Table1[[#This Row],[adj scalar]]</f>
        <v>61743.947776000001</v>
      </c>
    </row>
    <row r="123" spans="1:9" x14ac:dyDescent="0.25">
      <c r="A123" t="s">
        <v>6</v>
      </c>
      <c r="B123" s="1">
        <v>33.51</v>
      </c>
      <c r="C123" s="1">
        <v>33.520000000000003</v>
      </c>
      <c r="D123" s="2" t="s">
        <v>26</v>
      </c>
      <c r="E123" s="10">
        <v>1841.9893</v>
      </c>
      <c r="F123" s="10">
        <f t="shared" si="1"/>
        <v>0.1</v>
      </c>
      <c r="G123" s="10">
        <f>Table1[[#This Row],[scalar]]-Table1[[#This Row],[adj]]</f>
        <v>1841.8893</v>
      </c>
      <c r="H123" s="3">
        <f>Table1[[#This Row],[price_mkt_bid]]*Table1[[#This Row],[adj scalar]]</f>
        <v>61721.710442999996</v>
      </c>
      <c r="I123" s="3">
        <f>Table1[[#This Row],[price_mkt_ask]]*Table1[[#This Row],[adj scalar]]</f>
        <v>61740.129336000005</v>
      </c>
    </row>
    <row r="124" spans="1:9" x14ac:dyDescent="0.25">
      <c r="A124" t="s">
        <v>7</v>
      </c>
      <c r="B124" s="1">
        <v>17.399999999999999</v>
      </c>
      <c r="C124" s="1">
        <v>17.41</v>
      </c>
      <c r="D124" s="2" t="s">
        <v>26</v>
      </c>
      <c r="E124" s="10">
        <v>3546.3099000000002</v>
      </c>
      <c r="F124" s="10">
        <f t="shared" si="1"/>
        <v>0</v>
      </c>
      <c r="G124" s="10">
        <f>Table1[[#This Row],[scalar]]-Table1[[#This Row],[adj]]</f>
        <v>3546.3099000000002</v>
      </c>
      <c r="H124" s="3">
        <f>Table1[[#This Row],[price_mkt_bid]]*Table1[[#This Row],[adj scalar]]</f>
        <v>61705.792260000002</v>
      </c>
      <c r="I124" s="3">
        <f>Table1[[#This Row],[price_mkt_ask]]*Table1[[#This Row],[adj scalar]]</f>
        <v>61741.255359000002</v>
      </c>
    </row>
    <row r="125" spans="1:9" x14ac:dyDescent="0.25">
      <c r="A125" t="s">
        <v>8</v>
      </c>
      <c r="B125" s="1">
        <v>27.29</v>
      </c>
      <c r="C125" s="1">
        <v>27.3</v>
      </c>
      <c r="D125" s="2" t="s">
        <v>26</v>
      </c>
      <c r="E125" s="10">
        <v>2261.23</v>
      </c>
      <c r="F125" s="10">
        <f t="shared" si="1"/>
        <v>0.2</v>
      </c>
      <c r="G125" s="10">
        <f>Table1[[#This Row],[scalar]]-Table1[[#This Row],[adj]]</f>
        <v>2261.0300000000002</v>
      </c>
      <c r="H125" s="3">
        <f>Table1[[#This Row],[price_mkt_bid]]*Table1[[#This Row],[adj scalar]]</f>
        <v>61703.508700000006</v>
      </c>
      <c r="I125" s="3">
        <f>Table1[[#This Row],[price_mkt_ask]]*Table1[[#This Row],[adj scalar]]</f>
        <v>61726.119000000006</v>
      </c>
    </row>
    <row r="126" spans="1:9" x14ac:dyDescent="0.25">
      <c r="A126" t="s">
        <v>9</v>
      </c>
      <c r="B126" s="1">
        <v>65.22</v>
      </c>
      <c r="C126" s="1">
        <v>65.33</v>
      </c>
      <c r="D126" s="2" t="s">
        <v>26</v>
      </c>
      <c r="E126" s="10">
        <v>946.05840000000001</v>
      </c>
      <c r="F126" s="10">
        <f t="shared" si="1"/>
        <v>0</v>
      </c>
      <c r="G126" s="10">
        <f>Table1[[#This Row],[scalar]]-Table1[[#This Row],[adj]]</f>
        <v>946.05840000000001</v>
      </c>
      <c r="H126" s="3">
        <f>Table1[[#This Row],[price_mkt_bid]]*Table1[[#This Row],[adj scalar]]</f>
        <v>61701.928847999996</v>
      </c>
      <c r="I126" s="3">
        <f>Table1[[#This Row],[price_mkt_ask]]*Table1[[#This Row],[adj scalar]]</f>
        <v>61805.995272</v>
      </c>
    </row>
    <row r="127" spans="1:9" x14ac:dyDescent="0.25">
      <c r="A127" t="s">
        <v>10</v>
      </c>
      <c r="B127" s="1">
        <v>35.67</v>
      </c>
      <c r="C127" s="1">
        <v>35.68</v>
      </c>
      <c r="D127" s="2" t="s">
        <v>26</v>
      </c>
      <c r="E127" s="10">
        <v>1730.0198</v>
      </c>
      <c r="F127" s="10">
        <f t="shared" si="1"/>
        <v>-0.2</v>
      </c>
      <c r="G127" s="10">
        <f>Table1[[#This Row],[scalar]]-Table1[[#This Row],[adj]]</f>
        <v>1730.2198000000001</v>
      </c>
      <c r="H127" s="3">
        <f>Table1[[#This Row],[price_mkt_bid]]*Table1[[#This Row],[adj scalar]]</f>
        <v>61716.940266000005</v>
      </c>
      <c r="I127" s="3">
        <f>Table1[[#This Row],[price_mkt_ask]]*Table1[[#This Row],[adj scalar]]</f>
        <v>61734.242464000003</v>
      </c>
    </row>
    <row r="128" spans="1:9" x14ac:dyDescent="0.25">
      <c r="A128" t="s">
        <v>11</v>
      </c>
      <c r="B128" s="1">
        <v>53.73</v>
      </c>
      <c r="C128" s="1">
        <v>53.74</v>
      </c>
      <c r="D128" s="2" t="s">
        <v>26</v>
      </c>
      <c r="E128" s="10">
        <v>1148.7583999999999</v>
      </c>
      <c r="F128" s="10">
        <f t="shared" si="1"/>
        <v>0.05</v>
      </c>
      <c r="G128" s="10">
        <f>Table1[[#This Row],[scalar]]-Table1[[#This Row],[adj]]</f>
        <v>1148.7084</v>
      </c>
      <c r="H128" s="3">
        <f>Table1[[#This Row],[price_mkt_bid]]*Table1[[#This Row],[adj scalar]]</f>
        <v>61720.102331999995</v>
      </c>
      <c r="I128" s="3">
        <f>Table1[[#This Row],[price_mkt_ask]]*Table1[[#This Row],[adj scalar]]</f>
        <v>61731.589416000003</v>
      </c>
    </row>
    <row r="129" spans="1:9" x14ac:dyDescent="0.25">
      <c r="A129" t="s">
        <v>12</v>
      </c>
      <c r="B129" s="1">
        <v>47.89</v>
      </c>
      <c r="C129" s="1">
        <v>47.91</v>
      </c>
      <c r="D129" s="2" t="s">
        <v>26</v>
      </c>
      <c r="E129" s="10">
        <v>1288.4256</v>
      </c>
      <c r="F129" s="10">
        <f t="shared" si="1"/>
        <v>-0.05</v>
      </c>
      <c r="G129" s="10">
        <f>Table1[[#This Row],[scalar]]-Table1[[#This Row],[adj]]</f>
        <v>1288.4756</v>
      </c>
      <c r="H129" s="3">
        <f>Table1[[#This Row],[price_mkt_bid]]*Table1[[#This Row],[adj scalar]]</f>
        <v>61705.096484000002</v>
      </c>
      <c r="I129" s="3">
        <f>Table1[[#This Row],[price_mkt_ask]]*Table1[[#This Row],[adj scalar]]</f>
        <v>61730.865995999993</v>
      </c>
    </row>
    <row r="130" spans="1:9" x14ac:dyDescent="0.25">
      <c r="A130" t="s">
        <v>13</v>
      </c>
      <c r="B130" s="1">
        <v>17.45</v>
      </c>
      <c r="C130" s="1">
        <v>17.46</v>
      </c>
      <c r="D130" s="2" t="s">
        <v>26</v>
      </c>
      <c r="E130" s="10">
        <v>3535.8029000000001</v>
      </c>
      <c r="F130" s="10">
        <f t="shared" si="1"/>
        <v>0</v>
      </c>
      <c r="G130" s="10">
        <f>Table1[[#This Row],[scalar]]-Table1[[#This Row],[adj]]</f>
        <v>3535.8029000000001</v>
      </c>
      <c r="H130" s="3">
        <f>Table1[[#This Row],[price_mkt_bid]]*Table1[[#This Row],[adj scalar]]</f>
        <v>61699.760605000003</v>
      </c>
      <c r="I130" s="3">
        <f>Table1[[#This Row],[price_mkt_ask]]*Table1[[#This Row],[adj scalar]]</f>
        <v>61735.118634000006</v>
      </c>
    </row>
    <row r="131" spans="1:9" x14ac:dyDescent="0.25">
      <c r="A131" t="s">
        <v>14</v>
      </c>
      <c r="B131" s="1">
        <v>34.97</v>
      </c>
      <c r="C131" s="1">
        <v>34.979999999999997</v>
      </c>
      <c r="D131" s="2" t="s">
        <v>26</v>
      </c>
      <c r="E131" s="10">
        <v>1764.9141</v>
      </c>
      <c r="F131" s="10">
        <f t="shared" si="1"/>
        <v>0</v>
      </c>
      <c r="G131" s="10">
        <f>Table1[[#This Row],[scalar]]-Table1[[#This Row],[adj]]</f>
        <v>1764.9141</v>
      </c>
      <c r="H131" s="3">
        <f>Table1[[#This Row],[price_mkt_bid]]*Table1[[#This Row],[adj scalar]]</f>
        <v>61719.046076999999</v>
      </c>
      <c r="I131" s="3">
        <f>Table1[[#This Row],[price_mkt_ask]]*Table1[[#This Row],[adj scalar]]</f>
        <v>61736.695217999993</v>
      </c>
    </row>
    <row r="132" spans="1:9" x14ac:dyDescent="0.25">
      <c r="A132" t="s">
        <v>4</v>
      </c>
      <c r="B132" s="1">
        <v>20.51</v>
      </c>
      <c r="C132" s="1">
        <v>20.52</v>
      </c>
      <c r="D132" s="2" t="s">
        <v>27</v>
      </c>
      <c r="E132" s="10">
        <v>3014.7411999999999</v>
      </c>
      <c r="F132" s="10">
        <f t="shared" si="1"/>
        <v>-0.1</v>
      </c>
      <c r="G132" s="10">
        <f>Table1[[#This Row],[scalar]]-Table1[[#This Row],[adj]]</f>
        <v>3014.8411999999998</v>
      </c>
      <c r="H132" s="3">
        <f>Table1[[#This Row],[price_mkt_bid]]*Table1[[#This Row],[adj scalar]]</f>
        <v>61834.393012</v>
      </c>
      <c r="I132" s="3">
        <f>Table1[[#This Row],[price_mkt_ask]]*Table1[[#This Row],[adj scalar]]</f>
        <v>61864.541423999995</v>
      </c>
    </row>
    <row r="133" spans="1:9" x14ac:dyDescent="0.25">
      <c r="A133" t="s">
        <v>6</v>
      </c>
      <c r="B133" s="1">
        <v>33.58</v>
      </c>
      <c r="C133" s="1">
        <v>33.590000000000003</v>
      </c>
      <c r="D133" s="2" t="s">
        <v>27</v>
      </c>
      <c r="E133" s="10">
        <v>1841.9893</v>
      </c>
      <c r="F133" s="10">
        <f t="shared" si="1"/>
        <v>0.1</v>
      </c>
      <c r="G133" s="10">
        <f>Table1[[#This Row],[scalar]]-Table1[[#This Row],[adj]]</f>
        <v>1841.8893</v>
      </c>
      <c r="H133" s="3">
        <f>Table1[[#This Row],[price_mkt_bid]]*Table1[[#This Row],[adj scalar]]</f>
        <v>61850.642694000002</v>
      </c>
      <c r="I133" s="3">
        <f>Table1[[#This Row],[price_mkt_ask]]*Table1[[#This Row],[adj scalar]]</f>
        <v>61869.061587000011</v>
      </c>
    </row>
    <row r="134" spans="1:9" x14ac:dyDescent="0.25">
      <c r="A134" t="s">
        <v>7</v>
      </c>
      <c r="B134" s="1">
        <v>17.440000000000001</v>
      </c>
      <c r="C134" s="1">
        <v>17.45</v>
      </c>
      <c r="D134" s="2" t="s">
        <v>27</v>
      </c>
      <c r="E134" s="10">
        <v>3546.3099000000002</v>
      </c>
      <c r="F134" s="10">
        <f t="shared" si="1"/>
        <v>0</v>
      </c>
      <c r="G134" s="10">
        <f>Table1[[#This Row],[scalar]]-Table1[[#This Row],[adj]]</f>
        <v>3546.3099000000002</v>
      </c>
      <c r="H134" s="3">
        <f>Table1[[#This Row],[price_mkt_bid]]*Table1[[#This Row],[adj scalar]]</f>
        <v>61847.644656000011</v>
      </c>
      <c r="I134" s="3">
        <f>Table1[[#This Row],[price_mkt_ask]]*Table1[[#This Row],[adj scalar]]</f>
        <v>61883.107755000005</v>
      </c>
    </row>
    <row r="135" spans="1:9" x14ac:dyDescent="0.25">
      <c r="A135" t="s">
        <v>8</v>
      </c>
      <c r="B135" s="1">
        <v>27.35</v>
      </c>
      <c r="C135" s="1">
        <v>27.36</v>
      </c>
      <c r="D135" s="2" t="s">
        <v>27</v>
      </c>
      <c r="E135" s="10">
        <v>2261.23</v>
      </c>
      <c r="F135" s="10">
        <f t="shared" si="1"/>
        <v>0.2</v>
      </c>
      <c r="G135" s="10">
        <f>Table1[[#This Row],[scalar]]-Table1[[#This Row],[adj]]</f>
        <v>2261.0300000000002</v>
      </c>
      <c r="H135" s="3">
        <f>Table1[[#This Row],[price_mkt_bid]]*Table1[[#This Row],[adj scalar]]</f>
        <v>61839.170500000007</v>
      </c>
      <c r="I135" s="3">
        <f>Table1[[#This Row],[price_mkt_ask]]*Table1[[#This Row],[adj scalar]]</f>
        <v>61861.780800000008</v>
      </c>
    </row>
    <row r="136" spans="1:9" x14ac:dyDescent="0.25">
      <c r="A136" t="s">
        <v>9</v>
      </c>
      <c r="B136" s="1">
        <v>65.37</v>
      </c>
      <c r="C136" s="1">
        <v>65.44</v>
      </c>
      <c r="D136" s="2" t="s">
        <v>27</v>
      </c>
      <c r="E136" s="10">
        <v>946.05840000000001</v>
      </c>
      <c r="F136" s="10">
        <f t="shared" si="1"/>
        <v>0</v>
      </c>
      <c r="G136" s="10">
        <f>Table1[[#This Row],[scalar]]-Table1[[#This Row],[adj]]</f>
        <v>946.05840000000001</v>
      </c>
      <c r="H136" s="3">
        <f>Table1[[#This Row],[price_mkt_bid]]*Table1[[#This Row],[adj scalar]]</f>
        <v>61843.837608000002</v>
      </c>
      <c r="I136" s="3">
        <f>Table1[[#This Row],[price_mkt_ask]]*Table1[[#This Row],[adj scalar]]</f>
        <v>61910.061695999997</v>
      </c>
    </row>
    <row r="137" spans="1:9" x14ac:dyDescent="0.25">
      <c r="A137" t="s">
        <v>10</v>
      </c>
      <c r="B137" s="1">
        <v>35.74</v>
      </c>
      <c r="C137" s="1">
        <v>35.75</v>
      </c>
      <c r="D137" s="2" t="s">
        <v>27</v>
      </c>
      <c r="E137" s="10">
        <v>1730.0198</v>
      </c>
      <c r="F137" s="10">
        <f t="shared" si="1"/>
        <v>-0.2</v>
      </c>
      <c r="G137" s="10">
        <f>Table1[[#This Row],[scalar]]-Table1[[#This Row],[adj]]</f>
        <v>1730.2198000000001</v>
      </c>
      <c r="H137" s="3">
        <f>Table1[[#This Row],[price_mkt_bid]]*Table1[[#This Row],[adj scalar]]</f>
        <v>61838.055652000003</v>
      </c>
      <c r="I137" s="3">
        <f>Table1[[#This Row],[price_mkt_ask]]*Table1[[#This Row],[adj scalar]]</f>
        <v>61855.35785</v>
      </c>
    </row>
    <row r="138" spans="1:9" x14ac:dyDescent="0.25">
      <c r="A138" t="s">
        <v>11</v>
      </c>
      <c r="B138" s="1">
        <v>53.84</v>
      </c>
      <c r="C138" s="1">
        <v>53.85</v>
      </c>
      <c r="D138" s="2" t="s">
        <v>27</v>
      </c>
      <c r="E138" s="10">
        <v>1148.7583999999999</v>
      </c>
      <c r="F138" s="10">
        <f t="shared" si="1"/>
        <v>0.05</v>
      </c>
      <c r="G138" s="10">
        <f>Table1[[#This Row],[scalar]]-Table1[[#This Row],[adj]]</f>
        <v>1148.7084</v>
      </c>
      <c r="H138" s="3">
        <f>Table1[[#This Row],[price_mkt_bid]]*Table1[[#This Row],[adj scalar]]</f>
        <v>61846.460256000006</v>
      </c>
      <c r="I138" s="3">
        <f>Table1[[#This Row],[price_mkt_ask]]*Table1[[#This Row],[adj scalar]]</f>
        <v>61857.947339999999</v>
      </c>
    </row>
    <row r="139" spans="1:9" x14ac:dyDescent="0.25">
      <c r="A139" t="s">
        <v>12</v>
      </c>
      <c r="B139" s="1">
        <v>48</v>
      </c>
      <c r="C139" s="1">
        <v>48.01</v>
      </c>
      <c r="D139" s="2" t="s">
        <v>27</v>
      </c>
      <c r="E139" s="10">
        <v>1288.4256</v>
      </c>
      <c r="F139" s="10">
        <f t="shared" si="1"/>
        <v>-0.05</v>
      </c>
      <c r="G139" s="10">
        <f>Table1[[#This Row],[scalar]]-Table1[[#This Row],[adj]]</f>
        <v>1288.4756</v>
      </c>
      <c r="H139" s="3">
        <f>Table1[[#This Row],[price_mkt_bid]]*Table1[[#This Row],[adj scalar]]</f>
        <v>61846.828800000003</v>
      </c>
      <c r="I139" s="3">
        <f>Table1[[#This Row],[price_mkt_ask]]*Table1[[#This Row],[adj scalar]]</f>
        <v>61859.713555999995</v>
      </c>
    </row>
    <row r="140" spans="1:9" x14ac:dyDescent="0.25">
      <c r="A140" t="s">
        <v>13</v>
      </c>
      <c r="B140" s="1">
        <v>17.48</v>
      </c>
      <c r="C140" s="1">
        <v>17.489999999999998</v>
      </c>
      <c r="D140" s="2" t="s">
        <v>27</v>
      </c>
      <c r="E140" s="10">
        <v>3535.8029000000001</v>
      </c>
      <c r="F140" s="10">
        <f t="shared" si="1"/>
        <v>0</v>
      </c>
      <c r="G140" s="10">
        <f>Table1[[#This Row],[scalar]]-Table1[[#This Row],[adj]]</f>
        <v>3535.8029000000001</v>
      </c>
      <c r="H140" s="3">
        <f>Table1[[#This Row],[price_mkt_bid]]*Table1[[#This Row],[adj scalar]]</f>
        <v>61805.834692000004</v>
      </c>
      <c r="I140" s="3">
        <f>Table1[[#This Row],[price_mkt_ask]]*Table1[[#This Row],[adj scalar]]</f>
        <v>61841.192720999999</v>
      </c>
    </row>
    <row r="141" spans="1:9" x14ac:dyDescent="0.25">
      <c r="A141" t="s">
        <v>14</v>
      </c>
      <c r="B141" s="1">
        <v>35.04</v>
      </c>
      <c r="C141" s="1">
        <v>35.049999999999997</v>
      </c>
      <c r="D141" s="2" t="s">
        <v>27</v>
      </c>
      <c r="E141" s="10">
        <v>1764.9141</v>
      </c>
      <c r="F141" s="10">
        <f t="shared" ref="F141:F171" si="2">F131</f>
        <v>0</v>
      </c>
      <c r="G141" s="10">
        <f>Table1[[#This Row],[scalar]]-Table1[[#This Row],[adj]]</f>
        <v>1764.9141</v>
      </c>
      <c r="H141" s="3">
        <f>Table1[[#This Row],[price_mkt_bid]]*Table1[[#This Row],[adj scalar]]</f>
        <v>61842.590063999996</v>
      </c>
      <c r="I141" s="3">
        <f>Table1[[#This Row],[price_mkt_ask]]*Table1[[#This Row],[adj scalar]]</f>
        <v>61860.239204999991</v>
      </c>
    </row>
    <row r="142" spans="1:9" x14ac:dyDescent="0.25">
      <c r="A142" t="s">
        <v>4</v>
      </c>
      <c r="B142" s="1">
        <v>20.43</v>
      </c>
      <c r="C142" s="1">
        <v>20.440000000000001</v>
      </c>
      <c r="D142" s="2" t="s">
        <v>28</v>
      </c>
      <c r="E142" s="10">
        <v>3014.7411999999999</v>
      </c>
      <c r="F142" s="10">
        <f t="shared" si="2"/>
        <v>-0.1</v>
      </c>
      <c r="G142" s="10">
        <f>Table1[[#This Row],[scalar]]-Table1[[#This Row],[adj]]</f>
        <v>3014.8411999999998</v>
      </c>
      <c r="H142" s="3">
        <f>Table1[[#This Row],[price_mkt_bid]]*Table1[[#This Row],[adj scalar]]</f>
        <v>61593.205715999997</v>
      </c>
      <c r="I142" s="3">
        <f>Table1[[#This Row],[price_mkt_ask]]*Table1[[#This Row],[adj scalar]]</f>
        <v>61623.354127999999</v>
      </c>
    </row>
    <row r="143" spans="1:9" x14ac:dyDescent="0.25">
      <c r="A143" t="s">
        <v>6</v>
      </c>
      <c r="B143" s="1">
        <v>33.46</v>
      </c>
      <c r="C143" s="1">
        <v>33.47</v>
      </c>
      <c r="D143" s="2" t="s">
        <v>28</v>
      </c>
      <c r="E143" s="10">
        <v>1841.9893</v>
      </c>
      <c r="F143" s="10">
        <f t="shared" si="2"/>
        <v>0.1</v>
      </c>
      <c r="G143" s="10">
        <f>Table1[[#This Row],[scalar]]-Table1[[#This Row],[adj]]</f>
        <v>1841.8893</v>
      </c>
      <c r="H143" s="3">
        <f>Table1[[#This Row],[price_mkt_bid]]*Table1[[#This Row],[adj scalar]]</f>
        <v>61629.615978000002</v>
      </c>
      <c r="I143" s="3">
        <f>Table1[[#This Row],[price_mkt_ask]]*Table1[[#This Row],[adj scalar]]</f>
        <v>61648.034870999996</v>
      </c>
    </row>
    <row r="144" spans="1:9" x14ac:dyDescent="0.25">
      <c r="A144" t="s">
        <v>7</v>
      </c>
      <c r="B144" s="1">
        <v>17.37</v>
      </c>
      <c r="C144" s="1">
        <v>17.38</v>
      </c>
      <c r="D144" s="2" t="s">
        <v>28</v>
      </c>
      <c r="E144" s="10">
        <v>3546.3099000000002</v>
      </c>
      <c r="F144" s="10">
        <f t="shared" si="2"/>
        <v>0</v>
      </c>
      <c r="G144" s="10">
        <f>Table1[[#This Row],[scalar]]-Table1[[#This Row],[adj]]</f>
        <v>3546.3099000000002</v>
      </c>
      <c r="H144" s="3">
        <f>Table1[[#This Row],[price_mkt_bid]]*Table1[[#This Row],[adj scalar]]</f>
        <v>61599.402963000008</v>
      </c>
      <c r="I144" s="3">
        <f>Table1[[#This Row],[price_mkt_ask]]*Table1[[#This Row],[adj scalar]]</f>
        <v>61634.866062000001</v>
      </c>
    </row>
    <row r="145" spans="1:9" x14ac:dyDescent="0.25">
      <c r="A145" t="s">
        <v>8</v>
      </c>
      <c r="B145" s="1">
        <v>27.25</v>
      </c>
      <c r="C145" s="1">
        <v>27.26</v>
      </c>
      <c r="D145" s="2" t="s">
        <v>28</v>
      </c>
      <c r="E145" s="10">
        <v>2261.23</v>
      </c>
      <c r="F145" s="10">
        <f t="shared" si="2"/>
        <v>0.2</v>
      </c>
      <c r="G145" s="10">
        <f>Table1[[#This Row],[scalar]]-Table1[[#This Row],[adj]]</f>
        <v>2261.0300000000002</v>
      </c>
      <c r="H145" s="3">
        <f>Table1[[#This Row],[price_mkt_bid]]*Table1[[#This Row],[adj scalar]]</f>
        <v>61613.067500000005</v>
      </c>
      <c r="I145" s="3">
        <f>Table1[[#This Row],[price_mkt_ask]]*Table1[[#This Row],[adj scalar]]</f>
        <v>61635.677800000012</v>
      </c>
    </row>
    <row r="146" spans="1:9" x14ac:dyDescent="0.25">
      <c r="A146" t="s">
        <v>9</v>
      </c>
      <c r="B146" s="1">
        <v>65.12</v>
      </c>
      <c r="C146" s="1">
        <v>65.19</v>
      </c>
      <c r="D146" s="2" t="s">
        <v>28</v>
      </c>
      <c r="E146" s="10">
        <v>946.05840000000001</v>
      </c>
      <c r="F146" s="10">
        <f t="shared" si="2"/>
        <v>0</v>
      </c>
      <c r="G146" s="10">
        <f>Table1[[#This Row],[scalar]]-Table1[[#This Row],[adj]]</f>
        <v>946.05840000000001</v>
      </c>
      <c r="H146" s="3">
        <f>Table1[[#This Row],[price_mkt_bid]]*Table1[[#This Row],[adj scalar]]</f>
        <v>61607.323008000007</v>
      </c>
      <c r="I146" s="3">
        <f>Table1[[#This Row],[price_mkt_ask]]*Table1[[#This Row],[adj scalar]]</f>
        <v>61673.547095999995</v>
      </c>
    </row>
    <row r="147" spans="1:9" x14ac:dyDescent="0.25">
      <c r="A147" t="s">
        <v>10</v>
      </c>
      <c r="B147" s="1">
        <v>35.61</v>
      </c>
      <c r="C147" s="1">
        <v>35.619999999999997</v>
      </c>
      <c r="D147" s="2" t="s">
        <v>28</v>
      </c>
      <c r="E147" s="10">
        <v>1730.0198</v>
      </c>
      <c r="F147" s="10">
        <f t="shared" si="2"/>
        <v>-0.2</v>
      </c>
      <c r="G147" s="10">
        <f>Table1[[#This Row],[scalar]]-Table1[[#This Row],[adj]]</f>
        <v>1730.2198000000001</v>
      </c>
      <c r="H147" s="3">
        <f>Table1[[#This Row],[price_mkt_bid]]*Table1[[#This Row],[adj scalar]]</f>
        <v>61613.127078000005</v>
      </c>
      <c r="I147" s="3">
        <f>Table1[[#This Row],[price_mkt_ask]]*Table1[[#This Row],[adj scalar]]</f>
        <v>61630.429275999995</v>
      </c>
    </row>
    <row r="148" spans="1:9" x14ac:dyDescent="0.25">
      <c r="A148" t="s">
        <v>11</v>
      </c>
      <c r="B148" s="1">
        <v>53.65</v>
      </c>
      <c r="C148" s="1">
        <v>53.66</v>
      </c>
      <c r="D148" s="2" t="s">
        <v>28</v>
      </c>
      <c r="E148" s="10">
        <v>1148.7583999999999</v>
      </c>
      <c r="F148" s="10">
        <f t="shared" si="2"/>
        <v>0.05</v>
      </c>
      <c r="G148" s="10">
        <f>Table1[[#This Row],[scalar]]-Table1[[#This Row],[adj]]</f>
        <v>1148.7084</v>
      </c>
      <c r="H148" s="3">
        <f>Table1[[#This Row],[price_mkt_bid]]*Table1[[#This Row],[adj scalar]]</f>
        <v>61628.20566</v>
      </c>
      <c r="I148" s="3">
        <f>Table1[[#This Row],[price_mkt_ask]]*Table1[[#This Row],[adj scalar]]</f>
        <v>61639.692743999993</v>
      </c>
    </row>
    <row r="149" spans="1:9" x14ac:dyDescent="0.25">
      <c r="A149" t="s">
        <v>12</v>
      </c>
      <c r="B149" s="1">
        <v>47.82</v>
      </c>
      <c r="C149" s="1">
        <v>47.83</v>
      </c>
      <c r="D149" s="2" t="s">
        <v>28</v>
      </c>
      <c r="E149" s="10">
        <v>1288.4256</v>
      </c>
      <c r="F149" s="10">
        <f t="shared" si="2"/>
        <v>-0.05</v>
      </c>
      <c r="G149" s="10">
        <f>Table1[[#This Row],[scalar]]-Table1[[#This Row],[adj]]</f>
        <v>1288.4756</v>
      </c>
      <c r="H149" s="3">
        <f>Table1[[#This Row],[price_mkt_bid]]*Table1[[#This Row],[adj scalar]]</f>
        <v>61614.903191999998</v>
      </c>
      <c r="I149" s="3">
        <f>Table1[[#This Row],[price_mkt_ask]]*Table1[[#This Row],[adj scalar]]</f>
        <v>61627.787947999997</v>
      </c>
    </row>
    <row r="150" spans="1:9" x14ac:dyDescent="0.25">
      <c r="A150" t="s">
        <v>13</v>
      </c>
      <c r="B150" s="1">
        <v>17.420000000000002</v>
      </c>
      <c r="C150" s="1">
        <v>17.43</v>
      </c>
      <c r="D150" s="2" t="s">
        <v>28</v>
      </c>
      <c r="E150" s="10">
        <v>3535.8029000000001</v>
      </c>
      <c r="F150" s="10">
        <f t="shared" si="2"/>
        <v>0</v>
      </c>
      <c r="G150" s="10">
        <f>Table1[[#This Row],[scalar]]-Table1[[#This Row],[adj]]</f>
        <v>3535.8029000000001</v>
      </c>
      <c r="H150" s="3">
        <f>Table1[[#This Row],[price_mkt_bid]]*Table1[[#This Row],[adj scalar]]</f>
        <v>61593.68651800001</v>
      </c>
      <c r="I150" s="3">
        <f>Table1[[#This Row],[price_mkt_ask]]*Table1[[#This Row],[adj scalar]]</f>
        <v>61629.044547000005</v>
      </c>
    </row>
    <row r="151" spans="1:9" x14ac:dyDescent="0.25">
      <c r="A151" t="s">
        <v>14</v>
      </c>
      <c r="B151" s="1">
        <v>34.909999999999997</v>
      </c>
      <c r="C151" s="1">
        <v>34.92</v>
      </c>
      <c r="D151" s="2" t="s">
        <v>28</v>
      </c>
      <c r="E151" s="10">
        <v>1764.9141</v>
      </c>
      <c r="F151" s="10">
        <f t="shared" si="2"/>
        <v>0</v>
      </c>
      <c r="G151" s="10">
        <f>Table1[[#This Row],[scalar]]-Table1[[#This Row],[adj]]</f>
        <v>1764.9141</v>
      </c>
      <c r="H151" s="3">
        <f>Table1[[#This Row],[price_mkt_bid]]*Table1[[#This Row],[adj scalar]]</f>
        <v>61613.151230999996</v>
      </c>
      <c r="I151" s="3">
        <f>Table1[[#This Row],[price_mkt_ask]]*Table1[[#This Row],[adj scalar]]</f>
        <v>61630.800372000005</v>
      </c>
    </row>
    <row r="152" spans="1:9" x14ac:dyDescent="0.25">
      <c r="A152" t="s">
        <v>4</v>
      </c>
      <c r="B152" s="1">
        <v>20.53</v>
      </c>
      <c r="C152" s="1">
        <v>20.54</v>
      </c>
      <c r="D152" s="2" t="s">
        <v>29</v>
      </c>
      <c r="E152" s="10">
        <v>3014.7411999999999</v>
      </c>
      <c r="F152" s="10">
        <f t="shared" si="2"/>
        <v>-0.1</v>
      </c>
      <c r="G152" s="10">
        <f>Table1[[#This Row],[scalar]]-Table1[[#This Row],[adj]]</f>
        <v>3014.8411999999998</v>
      </c>
      <c r="H152" s="3">
        <f>Table1[[#This Row],[price_mkt_bid]]*Table1[[#This Row],[adj scalar]]</f>
        <v>61894.689835999998</v>
      </c>
      <c r="I152" s="3">
        <f>Table1[[#This Row],[price_mkt_ask]]*Table1[[#This Row],[adj scalar]]</f>
        <v>61924.838247999993</v>
      </c>
    </row>
    <row r="153" spans="1:9" x14ac:dyDescent="0.25">
      <c r="A153" t="s">
        <v>6</v>
      </c>
      <c r="B153" s="1">
        <v>33.619999999999997</v>
      </c>
      <c r="C153" s="1">
        <v>33.630000000000003</v>
      </c>
      <c r="D153" s="2" t="s">
        <v>29</v>
      </c>
      <c r="E153" s="10">
        <v>1841.9893</v>
      </c>
      <c r="F153" s="10">
        <f t="shared" si="2"/>
        <v>0.1</v>
      </c>
      <c r="G153" s="10">
        <f>Table1[[#This Row],[scalar]]-Table1[[#This Row],[adj]]</f>
        <v>1841.8893</v>
      </c>
      <c r="H153" s="3">
        <f>Table1[[#This Row],[price_mkt_bid]]*Table1[[#This Row],[adj scalar]]</f>
        <v>61924.318265999995</v>
      </c>
      <c r="I153" s="3">
        <f>Table1[[#This Row],[price_mkt_ask]]*Table1[[#This Row],[adj scalar]]</f>
        <v>61942.737159000004</v>
      </c>
    </row>
    <row r="154" spans="1:9" x14ac:dyDescent="0.25">
      <c r="A154" t="s">
        <v>7</v>
      </c>
      <c r="B154" s="1">
        <v>17.46</v>
      </c>
      <c r="C154" s="1">
        <v>17.47</v>
      </c>
      <c r="D154" s="2" t="s">
        <v>29</v>
      </c>
      <c r="E154" s="10">
        <v>3546.3099000000002</v>
      </c>
      <c r="F154" s="10">
        <f t="shared" si="2"/>
        <v>0</v>
      </c>
      <c r="G154" s="10">
        <f>Table1[[#This Row],[scalar]]-Table1[[#This Row],[adj]]</f>
        <v>3546.3099000000002</v>
      </c>
      <c r="H154" s="3">
        <f>Table1[[#This Row],[price_mkt_bid]]*Table1[[#This Row],[adj scalar]]</f>
        <v>61918.570854000005</v>
      </c>
      <c r="I154" s="3">
        <f>Table1[[#This Row],[price_mkt_ask]]*Table1[[#This Row],[adj scalar]]</f>
        <v>61954.033952999998</v>
      </c>
    </row>
    <row r="155" spans="1:9" x14ac:dyDescent="0.25">
      <c r="A155" t="s">
        <v>8</v>
      </c>
      <c r="B155" s="1">
        <v>27.38</v>
      </c>
      <c r="C155" s="1">
        <v>27.39</v>
      </c>
      <c r="D155" s="2" t="s">
        <v>29</v>
      </c>
      <c r="E155" s="10">
        <v>2261.23</v>
      </c>
      <c r="F155" s="10">
        <f t="shared" si="2"/>
        <v>0.2</v>
      </c>
      <c r="G155" s="10">
        <f>Table1[[#This Row],[scalar]]-Table1[[#This Row],[adj]]</f>
        <v>2261.0300000000002</v>
      </c>
      <c r="H155" s="3">
        <f>Table1[[#This Row],[price_mkt_bid]]*Table1[[#This Row],[adj scalar]]</f>
        <v>61907.001400000001</v>
      </c>
      <c r="I155" s="3">
        <f>Table1[[#This Row],[price_mkt_ask]]*Table1[[#This Row],[adj scalar]]</f>
        <v>61929.611700000009</v>
      </c>
    </row>
    <row r="156" spans="1:9" x14ac:dyDescent="0.25">
      <c r="A156" t="s">
        <v>9</v>
      </c>
      <c r="B156" s="1">
        <v>65.459999999999994</v>
      </c>
      <c r="C156" s="1">
        <v>65.52</v>
      </c>
      <c r="D156" s="2" t="s">
        <v>29</v>
      </c>
      <c r="E156" s="10">
        <v>946.05840000000001</v>
      </c>
      <c r="F156" s="10">
        <f t="shared" si="2"/>
        <v>0</v>
      </c>
      <c r="G156" s="10">
        <f>Table1[[#This Row],[scalar]]-Table1[[#This Row],[adj]]</f>
        <v>946.05840000000001</v>
      </c>
      <c r="H156" s="3">
        <f>Table1[[#This Row],[price_mkt_bid]]*Table1[[#This Row],[adj scalar]]</f>
        <v>61928.982863999998</v>
      </c>
      <c r="I156" s="3">
        <f>Table1[[#This Row],[price_mkt_ask]]*Table1[[#This Row],[adj scalar]]</f>
        <v>61985.746368</v>
      </c>
    </row>
    <row r="157" spans="1:9" x14ac:dyDescent="0.25">
      <c r="A157" t="s">
        <v>10</v>
      </c>
      <c r="B157" s="1">
        <v>35.78</v>
      </c>
      <c r="C157" s="1">
        <v>35.799999999999997</v>
      </c>
      <c r="D157" s="2" t="s">
        <v>29</v>
      </c>
      <c r="E157" s="10">
        <v>1730.0198</v>
      </c>
      <c r="F157" s="10">
        <f t="shared" si="2"/>
        <v>-0.2</v>
      </c>
      <c r="G157" s="10">
        <f>Table1[[#This Row],[scalar]]-Table1[[#This Row],[adj]]</f>
        <v>1730.2198000000001</v>
      </c>
      <c r="H157" s="3">
        <f>Table1[[#This Row],[price_mkt_bid]]*Table1[[#This Row],[adj scalar]]</f>
        <v>61907.264444000008</v>
      </c>
      <c r="I157" s="3">
        <f>Table1[[#This Row],[price_mkt_ask]]*Table1[[#This Row],[adj scalar]]</f>
        <v>61941.868839999996</v>
      </c>
    </row>
    <row r="158" spans="1:9" x14ac:dyDescent="0.25">
      <c r="A158" t="s">
        <v>11</v>
      </c>
      <c r="B158" s="1">
        <v>53.9</v>
      </c>
      <c r="C158" s="1">
        <v>53.91</v>
      </c>
      <c r="D158" s="2" t="s">
        <v>29</v>
      </c>
      <c r="E158" s="10">
        <v>1148.7583999999999</v>
      </c>
      <c r="F158" s="10">
        <f t="shared" si="2"/>
        <v>0.05</v>
      </c>
      <c r="G158" s="10">
        <f>Table1[[#This Row],[scalar]]-Table1[[#This Row],[adj]]</f>
        <v>1148.7084</v>
      </c>
      <c r="H158" s="3">
        <f>Table1[[#This Row],[price_mkt_bid]]*Table1[[#This Row],[adj scalar]]</f>
        <v>61915.38276</v>
      </c>
      <c r="I158" s="3">
        <f>Table1[[#This Row],[price_mkt_ask]]*Table1[[#This Row],[adj scalar]]</f>
        <v>61926.869843999993</v>
      </c>
    </row>
    <row r="159" spans="1:9" x14ac:dyDescent="0.25">
      <c r="A159" t="s">
        <v>12</v>
      </c>
      <c r="B159" s="1">
        <v>48.05</v>
      </c>
      <c r="C159" s="1">
        <v>48.06</v>
      </c>
      <c r="D159" s="2" t="s">
        <v>29</v>
      </c>
      <c r="E159" s="10">
        <v>1288.4256</v>
      </c>
      <c r="F159" s="10">
        <f t="shared" si="2"/>
        <v>-0.05</v>
      </c>
      <c r="G159" s="10">
        <f>Table1[[#This Row],[scalar]]-Table1[[#This Row],[adj]]</f>
        <v>1288.4756</v>
      </c>
      <c r="H159" s="3">
        <f>Table1[[#This Row],[price_mkt_bid]]*Table1[[#This Row],[adj scalar]]</f>
        <v>61911.252579999993</v>
      </c>
      <c r="I159" s="3">
        <f>Table1[[#This Row],[price_mkt_ask]]*Table1[[#This Row],[adj scalar]]</f>
        <v>61924.137336</v>
      </c>
    </row>
    <row r="160" spans="1:9" x14ac:dyDescent="0.25">
      <c r="A160" t="s">
        <v>13</v>
      </c>
      <c r="B160" s="1">
        <v>17.5</v>
      </c>
      <c r="C160" s="1">
        <v>17.510000000000002</v>
      </c>
      <c r="D160" s="2" t="s">
        <v>29</v>
      </c>
      <c r="E160" s="10">
        <v>3535.8029000000001</v>
      </c>
      <c r="F160" s="10">
        <f t="shared" si="2"/>
        <v>0</v>
      </c>
      <c r="G160" s="10">
        <f>Table1[[#This Row],[scalar]]-Table1[[#This Row],[adj]]</f>
        <v>3535.8029000000001</v>
      </c>
      <c r="H160" s="3">
        <f>Table1[[#This Row],[price_mkt_bid]]*Table1[[#This Row],[adj scalar]]</f>
        <v>61876.550750000002</v>
      </c>
      <c r="I160" s="3">
        <f>Table1[[#This Row],[price_mkt_ask]]*Table1[[#This Row],[adj scalar]]</f>
        <v>61911.908779000005</v>
      </c>
    </row>
    <row r="161" spans="1:9" x14ac:dyDescent="0.25">
      <c r="A161" t="s">
        <v>14</v>
      </c>
      <c r="B161" s="1">
        <v>35.08</v>
      </c>
      <c r="C161" s="1">
        <v>35.090000000000003</v>
      </c>
      <c r="D161" s="2" t="s">
        <v>29</v>
      </c>
      <c r="E161" s="10">
        <v>1764.9141</v>
      </c>
      <c r="F161" s="10">
        <f t="shared" si="2"/>
        <v>0</v>
      </c>
      <c r="G161" s="10">
        <f>Table1[[#This Row],[scalar]]-Table1[[#This Row],[adj]]</f>
        <v>1764.9141</v>
      </c>
      <c r="H161" s="3">
        <f>Table1[[#This Row],[price_mkt_bid]]*Table1[[#This Row],[adj scalar]]</f>
        <v>61913.186627999996</v>
      </c>
      <c r="I161" s="3">
        <f>Table1[[#This Row],[price_mkt_ask]]*Table1[[#This Row],[adj scalar]]</f>
        <v>61930.835769000005</v>
      </c>
    </row>
    <row r="162" spans="1:9" x14ac:dyDescent="0.25">
      <c r="A162" t="s">
        <v>4</v>
      </c>
      <c r="B162" s="1">
        <v>20.54</v>
      </c>
      <c r="C162" s="1">
        <v>20.55</v>
      </c>
      <c r="D162" s="2" t="s">
        <v>30</v>
      </c>
      <c r="E162" s="10">
        <v>3014.7411999999999</v>
      </c>
      <c r="F162" s="10">
        <f t="shared" si="2"/>
        <v>-0.1</v>
      </c>
      <c r="G162" s="10">
        <f>Table1[[#This Row],[scalar]]-Table1[[#This Row],[adj]]</f>
        <v>3014.8411999999998</v>
      </c>
      <c r="H162" s="3">
        <f>Table1[[#This Row],[price_mkt_bid]]*Table1[[#This Row],[adj scalar]]</f>
        <v>61924.838247999993</v>
      </c>
      <c r="I162" s="3">
        <f>Table1[[#This Row],[price_mkt_ask]]*Table1[[#This Row],[adj scalar]]</f>
        <v>61954.986660000002</v>
      </c>
    </row>
    <row r="163" spans="1:9" x14ac:dyDescent="0.25">
      <c r="A163" t="s">
        <v>6</v>
      </c>
      <c r="B163" s="1">
        <v>33.630000000000003</v>
      </c>
      <c r="C163" s="1">
        <v>33.64</v>
      </c>
      <c r="D163" s="2" t="s">
        <v>30</v>
      </c>
      <c r="E163" s="10">
        <v>1841.9893</v>
      </c>
      <c r="F163" s="10">
        <f t="shared" si="2"/>
        <v>0.1</v>
      </c>
      <c r="G163" s="10">
        <f>Table1[[#This Row],[scalar]]-Table1[[#This Row],[adj]]</f>
        <v>1841.8893</v>
      </c>
      <c r="H163" s="3">
        <f>Table1[[#This Row],[price_mkt_bid]]*Table1[[#This Row],[adj scalar]]</f>
        <v>61942.737159000004</v>
      </c>
      <c r="I163" s="3">
        <f>Table1[[#This Row],[price_mkt_ask]]*Table1[[#This Row],[adj scalar]]</f>
        <v>61961.156052000006</v>
      </c>
    </row>
    <row r="164" spans="1:9" x14ac:dyDescent="0.25">
      <c r="A164" t="s">
        <v>7</v>
      </c>
      <c r="B164" s="1">
        <v>17.46</v>
      </c>
      <c r="C164" s="1">
        <v>17.47</v>
      </c>
      <c r="D164" s="2" t="s">
        <v>30</v>
      </c>
      <c r="E164" s="10">
        <v>3546.3099000000002</v>
      </c>
      <c r="F164" s="10">
        <f t="shared" si="2"/>
        <v>0</v>
      </c>
      <c r="G164" s="10">
        <f>Table1[[#This Row],[scalar]]-Table1[[#This Row],[adj]]</f>
        <v>3546.3099000000002</v>
      </c>
      <c r="H164" s="3">
        <f>Table1[[#This Row],[price_mkt_bid]]*Table1[[#This Row],[adj scalar]]</f>
        <v>61918.570854000005</v>
      </c>
      <c r="I164" s="3">
        <f>Table1[[#This Row],[price_mkt_ask]]*Table1[[#This Row],[adj scalar]]</f>
        <v>61954.033952999998</v>
      </c>
    </row>
    <row r="165" spans="1:9" x14ac:dyDescent="0.25">
      <c r="A165" t="s">
        <v>8</v>
      </c>
      <c r="B165" s="1">
        <v>27.39</v>
      </c>
      <c r="C165" s="1">
        <v>27.4</v>
      </c>
      <c r="D165" s="2" t="s">
        <v>30</v>
      </c>
      <c r="E165" s="10">
        <v>2261.23</v>
      </c>
      <c r="F165" s="10">
        <f t="shared" si="2"/>
        <v>0.2</v>
      </c>
      <c r="G165" s="10">
        <f>Table1[[#This Row],[scalar]]-Table1[[#This Row],[adj]]</f>
        <v>2261.0300000000002</v>
      </c>
      <c r="H165" s="3">
        <f>Table1[[#This Row],[price_mkt_bid]]*Table1[[#This Row],[adj scalar]]</f>
        <v>61929.611700000009</v>
      </c>
      <c r="I165" s="3">
        <f>Table1[[#This Row],[price_mkt_ask]]*Table1[[#This Row],[adj scalar]]</f>
        <v>61952.222000000002</v>
      </c>
    </row>
    <row r="166" spans="1:9" x14ac:dyDescent="0.25">
      <c r="A166" t="s">
        <v>9</v>
      </c>
      <c r="B166" s="1">
        <v>65.45</v>
      </c>
      <c r="C166" s="1">
        <v>65.540000000000006</v>
      </c>
      <c r="D166" s="2" t="s">
        <v>30</v>
      </c>
      <c r="E166" s="10">
        <v>946.05840000000001</v>
      </c>
      <c r="F166" s="10">
        <f t="shared" si="2"/>
        <v>0</v>
      </c>
      <c r="G166" s="10">
        <f>Table1[[#This Row],[scalar]]-Table1[[#This Row],[adj]]</f>
        <v>946.05840000000001</v>
      </c>
      <c r="H166" s="3">
        <f>Table1[[#This Row],[price_mkt_bid]]*Table1[[#This Row],[adj scalar]]</f>
        <v>61919.522280000005</v>
      </c>
      <c r="I166" s="3">
        <f>Table1[[#This Row],[price_mkt_ask]]*Table1[[#This Row],[adj scalar]]</f>
        <v>62004.667536000008</v>
      </c>
    </row>
    <row r="167" spans="1:9" x14ac:dyDescent="0.25">
      <c r="A167" t="s">
        <v>10</v>
      </c>
      <c r="B167" s="1">
        <v>35.79</v>
      </c>
      <c r="C167" s="1">
        <v>35.799999999999997</v>
      </c>
      <c r="D167" s="2" t="s">
        <v>30</v>
      </c>
      <c r="E167" s="10">
        <v>1730.0198</v>
      </c>
      <c r="F167" s="10">
        <f t="shared" si="2"/>
        <v>-0.2</v>
      </c>
      <c r="G167" s="10">
        <f>Table1[[#This Row],[scalar]]-Table1[[#This Row],[adj]]</f>
        <v>1730.2198000000001</v>
      </c>
      <c r="H167" s="3">
        <f>Table1[[#This Row],[price_mkt_bid]]*Table1[[#This Row],[adj scalar]]</f>
        <v>61924.566641999998</v>
      </c>
      <c r="I167" s="3">
        <f>Table1[[#This Row],[price_mkt_ask]]*Table1[[#This Row],[adj scalar]]</f>
        <v>61941.868839999996</v>
      </c>
    </row>
    <row r="168" spans="1:9" x14ac:dyDescent="0.25">
      <c r="A168" t="s">
        <v>11</v>
      </c>
      <c r="B168" s="1">
        <v>53.92</v>
      </c>
      <c r="C168" s="1">
        <v>53.93</v>
      </c>
      <c r="D168" s="2" t="s">
        <v>30</v>
      </c>
      <c r="E168" s="10">
        <v>1148.7583999999999</v>
      </c>
      <c r="F168" s="10">
        <f t="shared" si="2"/>
        <v>0.05</v>
      </c>
      <c r="G168" s="10">
        <f>Table1[[#This Row],[scalar]]-Table1[[#This Row],[adj]]</f>
        <v>1148.7084</v>
      </c>
      <c r="H168" s="3">
        <f>Table1[[#This Row],[price_mkt_bid]]*Table1[[#This Row],[adj scalar]]</f>
        <v>61938.356928000001</v>
      </c>
      <c r="I168" s="3">
        <f>Table1[[#This Row],[price_mkt_ask]]*Table1[[#This Row],[adj scalar]]</f>
        <v>61949.844012000001</v>
      </c>
    </row>
    <row r="169" spans="1:9" x14ac:dyDescent="0.25">
      <c r="A169" t="s">
        <v>12</v>
      </c>
      <c r="B169" s="1">
        <v>48.06</v>
      </c>
      <c r="C169" s="1">
        <v>48.07</v>
      </c>
      <c r="D169" s="2" t="s">
        <v>30</v>
      </c>
      <c r="E169" s="10">
        <v>1288.4256</v>
      </c>
      <c r="F169" s="10">
        <f t="shared" si="2"/>
        <v>-0.05</v>
      </c>
      <c r="G169" s="10">
        <f>Table1[[#This Row],[scalar]]-Table1[[#This Row],[adj]]</f>
        <v>1288.4756</v>
      </c>
      <c r="H169" s="3">
        <f>Table1[[#This Row],[price_mkt_bid]]*Table1[[#This Row],[adj scalar]]</f>
        <v>61924.137336</v>
      </c>
      <c r="I169" s="3">
        <f>Table1[[#This Row],[price_mkt_ask]]*Table1[[#This Row],[adj scalar]]</f>
        <v>61937.022091999999</v>
      </c>
    </row>
    <row r="170" spans="1:9" x14ac:dyDescent="0.25">
      <c r="A170" t="s">
        <v>13</v>
      </c>
      <c r="B170" s="1">
        <v>17.510000000000002</v>
      </c>
      <c r="C170" s="1">
        <v>17.52</v>
      </c>
      <c r="D170" s="2" t="s">
        <v>30</v>
      </c>
      <c r="E170" s="10">
        <v>3535.8029000000001</v>
      </c>
      <c r="F170" s="10">
        <f t="shared" si="2"/>
        <v>0</v>
      </c>
      <c r="G170" s="10">
        <f>Table1[[#This Row],[scalar]]-Table1[[#This Row],[adj]]</f>
        <v>3535.8029000000001</v>
      </c>
      <c r="H170" s="3">
        <f>Table1[[#This Row],[price_mkt_bid]]*Table1[[#This Row],[adj scalar]]</f>
        <v>61911.908779000005</v>
      </c>
      <c r="I170" s="3">
        <f>Table1[[#This Row],[price_mkt_ask]]*Table1[[#This Row],[adj scalar]]</f>
        <v>61947.266808</v>
      </c>
    </row>
    <row r="171" spans="1:9" x14ac:dyDescent="0.25">
      <c r="A171" t="s">
        <v>14</v>
      </c>
      <c r="B171" s="1">
        <v>35.090000000000003</v>
      </c>
      <c r="C171" s="1">
        <v>35.1</v>
      </c>
      <c r="D171" s="2" t="s">
        <v>30</v>
      </c>
      <c r="E171" s="10">
        <v>1764.9141</v>
      </c>
      <c r="F171" s="10">
        <f t="shared" si="2"/>
        <v>0</v>
      </c>
      <c r="G171" s="10">
        <f>Table1[[#This Row],[scalar]]-Table1[[#This Row],[adj]]</f>
        <v>1764.9141</v>
      </c>
      <c r="H171" s="3">
        <f>Table1[[#This Row],[price_mkt_bid]]*Table1[[#This Row],[adj scalar]]</f>
        <v>61930.835769000005</v>
      </c>
      <c r="I171" s="3">
        <f>Table1[[#This Row],[price_mkt_ask]]*Table1[[#This Row],[adj scalar]]</f>
        <v>61948.484909999999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B294-C262-4E1C-81C5-64E61E31435A}">
  <dimension ref="A1:S29"/>
  <sheetViews>
    <sheetView workbookViewId="0">
      <selection activeCell="B9" sqref="B9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12" bestFit="1" customWidth="1"/>
    <col min="6" max="6" width="9.5703125" style="12" bestFit="1" customWidth="1"/>
    <col min="8" max="12" width="10.85546875" customWidth="1"/>
    <col min="13" max="14" width="10.85546875" style="1" customWidth="1"/>
  </cols>
  <sheetData>
    <row r="1" spans="1:19" x14ac:dyDescent="0.25">
      <c r="A1" s="4" t="s">
        <v>34</v>
      </c>
      <c r="B1" t="s">
        <v>35</v>
      </c>
      <c r="C1" t="s">
        <v>36</v>
      </c>
      <c r="D1" s="13" t="s">
        <v>39</v>
      </c>
      <c r="E1" s="13" t="s">
        <v>43</v>
      </c>
      <c r="F1" s="13" t="s">
        <v>44</v>
      </c>
      <c r="Q1" s="19" t="s">
        <v>48</v>
      </c>
      <c r="R1" s="19"/>
      <c r="S1" s="19"/>
    </row>
    <row r="2" spans="1:19" x14ac:dyDescent="0.25">
      <c r="A2" s="5" t="s">
        <v>5</v>
      </c>
      <c r="B2" s="3">
        <v>62503.951355999998</v>
      </c>
      <c r="C2" s="3">
        <v>62512.711128000003</v>
      </c>
      <c r="D2" s="3">
        <f>C2-B2</f>
        <v>8.7597720000048866</v>
      </c>
      <c r="E2" s="12" t="str">
        <f>_xlfn.XLOOKUP(B2,'ETF_2026-06-10'!H$1:H$171,'ETF_2026-06-10'!A$1:A$171)</f>
        <v>GBTC</v>
      </c>
      <c r="F2" s="12" t="str">
        <f>_xlfn.XLOOKUP(C2,'ETF_2026-06-10'!I$1:I$171,'ETF_2026-06-10'!A$1:A$171)</f>
        <v>FBTC</v>
      </c>
      <c r="I2" s="8" t="s">
        <v>37</v>
      </c>
      <c r="J2" s="8" t="s">
        <v>38</v>
      </c>
      <c r="K2" s="8" t="s">
        <v>39</v>
      </c>
      <c r="L2" s="8" t="s">
        <v>40</v>
      </c>
      <c r="M2" s="11" t="s">
        <v>41</v>
      </c>
      <c r="N2" s="8" t="s">
        <v>42</v>
      </c>
      <c r="O2" s="8" t="s">
        <v>47</v>
      </c>
      <c r="Q2" s="8" t="str">
        <f>I2</f>
        <v>hit bid</v>
      </c>
      <c r="R2" s="8" t="str">
        <f>J2</f>
        <v>lift ask</v>
      </c>
      <c r="S2" s="8" t="str">
        <f>K2</f>
        <v>net</v>
      </c>
    </row>
    <row r="3" spans="1:19" x14ac:dyDescent="0.25">
      <c r="A3" s="5" t="s">
        <v>15</v>
      </c>
      <c r="B3" s="3">
        <v>62366.371698000003</v>
      </c>
      <c r="C3" s="3">
        <v>62371.563156000004</v>
      </c>
      <c r="D3" s="3">
        <f t="shared" ref="D3:D18" si="0">C3-B3</f>
        <v>5.1914580000011483</v>
      </c>
      <c r="E3" s="12" t="str">
        <f>_xlfn.XLOOKUP(B3,'ETF_2026-06-10'!H$1:H$171,'ETF_2026-06-10'!A$1:A$171)</f>
        <v>BITB</v>
      </c>
      <c r="F3" s="12" t="str">
        <f>_xlfn.XLOOKUP(C3,'ETF_2026-06-10'!I$1:I$171,'ETF_2026-06-10'!A$1:A$171)</f>
        <v>HODL</v>
      </c>
      <c r="G3" s="9"/>
      <c r="H3" s="9" t="s">
        <v>4</v>
      </c>
      <c r="I3">
        <f t="shared" ref="I3:I12" si="1">COUNTIF(E:E,H3)</f>
        <v>1</v>
      </c>
      <c r="J3">
        <f t="shared" ref="J3:J12" si="2">COUNTIF(F:F,H3)</f>
        <v>3</v>
      </c>
      <c r="K3">
        <f>I3-J3</f>
        <v>-2</v>
      </c>
      <c r="L3" s="17">
        <f>[1]Sheet1!L3</f>
        <v>-0.1</v>
      </c>
      <c r="M3" s="1">
        <f>'ETF_2026-06-10'!C2</f>
        <v>20.74</v>
      </c>
      <c r="N3" s="1">
        <f>L3*M3</f>
        <v>-2.0739999999999998</v>
      </c>
      <c r="O3" s="14">
        <f>N3/C3</f>
        <v>-3.3252333195700671E-5</v>
      </c>
      <c r="Q3">
        <f>I3</f>
        <v>1</v>
      </c>
      <c r="R3">
        <f t="shared" ref="R3:R12" si="3">J3</f>
        <v>3</v>
      </c>
      <c r="S3">
        <f>Q3-R3</f>
        <v>-2</v>
      </c>
    </row>
    <row r="4" spans="1:19" x14ac:dyDescent="0.25">
      <c r="A4" s="5" t="s">
        <v>16</v>
      </c>
      <c r="B4" s="3">
        <v>62237.439446999997</v>
      </c>
      <c r="C4" s="3">
        <v>62230.871165999997</v>
      </c>
      <c r="D4" s="3">
        <f t="shared" si="0"/>
        <v>-6.5682809999998426</v>
      </c>
      <c r="E4" s="12" t="str">
        <f>_xlfn.XLOOKUP(B4,'ETF_2026-06-10'!H$1:H$171,'ETF_2026-06-10'!A$1:A$171)</f>
        <v>BITB</v>
      </c>
      <c r="F4" s="12" t="str">
        <f>_xlfn.XLOOKUP(C4,'ETF_2026-06-10'!I$1:I$171,'ETF_2026-06-10'!A$1:A$171)</f>
        <v>IBIT</v>
      </c>
      <c r="G4" s="9"/>
      <c r="H4" s="9" t="s">
        <v>6</v>
      </c>
      <c r="I4">
        <f t="shared" si="1"/>
        <v>10</v>
      </c>
      <c r="J4">
        <f t="shared" si="2"/>
        <v>0</v>
      </c>
      <c r="K4">
        <f t="shared" ref="K4:K12" si="4">I4-J4</f>
        <v>10</v>
      </c>
      <c r="L4" s="17">
        <f>[1]Sheet1!L4</f>
        <v>0.1</v>
      </c>
      <c r="M4" s="1">
        <f>'ETF_2026-06-10'!C3</f>
        <v>33.94</v>
      </c>
      <c r="N4" s="1">
        <f>L4*M4</f>
        <v>3.3940000000000001</v>
      </c>
      <c r="O4" s="14">
        <f>N4/C4</f>
        <v>5.4538847623497858E-5</v>
      </c>
      <c r="Q4">
        <f t="shared" ref="Q4:Q12" si="5">I4</f>
        <v>10</v>
      </c>
      <c r="R4">
        <f t="shared" si="3"/>
        <v>0</v>
      </c>
      <c r="S4">
        <f t="shared" ref="S4:S12" si="6">Q4-R4</f>
        <v>10</v>
      </c>
    </row>
    <row r="5" spans="1:19" x14ac:dyDescent="0.25">
      <c r="A5" s="5" t="s">
        <v>17</v>
      </c>
      <c r="B5" s="3">
        <v>62286.619191999998</v>
      </c>
      <c r="C5" s="3">
        <v>62283.818588999995</v>
      </c>
      <c r="D5" s="3">
        <f t="shared" si="0"/>
        <v>-2.8006030000033206</v>
      </c>
      <c r="E5" s="12" t="str">
        <f>_xlfn.XLOOKUP(B5,'ETF_2026-06-10'!H$1:H$171,'ETF_2026-06-10'!A$1:A$171)</f>
        <v>ARKB</v>
      </c>
      <c r="F5" s="12" t="str">
        <f>_xlfn.XLOOKUP(C5,'ETF_2026-06-10'!I$1:I$171,'ETF_2026-06-10'!A$1:A$171)</f>
        <v>IBIT</v>
      </c>
      <c r="G5" s="9"/>
      <c r="H5" s="9" t="s">
        <v>7</v>
      </c>
      <c r="I5">
        <f t="shared" si="1"/>
        <v>0</v>
      </c>
      <c r="J5">
        <f t="shared" si="2"/>
        <v>0</v>
      </c>
      <c r="K5">
        <f t="shared" si="4"/>
        <v>0</v>
      </c>
      <c r="L5" s="17">
        <f>[1]Sheet1!L5</f>
        <v>0</v>
      </c>
      <c r="M5" s="1">
        <f>'ETF_2026-06-10'!C4</f>
        <v>17.63</v>
      </c>
      <c r="N5" s="1">
        <f t="shared" ref="N5:N12" si="7">L5*M5</f>
        <v>0</v>
      </c>
      <c r="O5" s="14">
        <f>N5/C5</f>
        <v>0</v>
      </c>
      <c r="Q5">
        <f t="shared" si="5"/>
        <v>0</v>
      </c>
      <c r="R5">
        <f t="shared" si="3"/>
        <v>0</v>
      </c>
      <c r="S5">
        <f t="shared" si="6"/>
        <v>0</v>
      </c>
    </row>
    <row r="6" spans="1:19" x14ac:dyDescent="0.25">
      <c r="A6" s="5" t="s">
        <v>18</v>
      </c>
      <c r="B6" s="3">
        <v>62080.352208000004</v>
      </c>
      <c r="C6" s="3">
        <v>62078.754408000001</v>
      </c>
      <c r="D6" s="3">
        <f t="shared" si="0"/>
        <v>-1.5978000000031898</v>
      </c>
      <c r="E6" s="12" t="str">
        <f>_xlfn.XLOOKUP(B6,'ETF_2026-06-10'!H$1:H$171,'ETF_2026-06-10'!A$1:A$171)</f>
        <v>BTCW</v>
      </c>
      <c r="F6" s="12" t="str">
        <f>_xlfn.XLOOKUP(C6,'ETF_2026-06-10'!I$1:I$171,'ETF_2026-06-10'!A$1:A$171)</f>
        <v>GBTC</v>
      </c>
      <c r="G6" s="9"/>
      <c r="H6" s="9" t="s">
        <v>8</v>
      </c>
      <c r="I6">
        <f t="shared" si="1"/>
        <v>0</v>
      </c>
      <c r="J6">
        <f t="shared" si="2"/>
        <v>2</v>
      </c>
      <c r="K6">
        <f t="shared" si="4"/>
        <v>-2</v>
      </c>
      <c r="L6" s="17">
        <f>[1]Sheet1!L6</f>
        <v>0.2</v>
      </c>
      <c r="M6" s="1">
        <f>'ETF_2026-06-10'!C5</f>
        <v>27.65</v>
      </c>
      <c r="N6" s="1">
        <f t="shared" si="7"/>
        <v>5.53</v>
      </c>
      <c r="O6" s="14">
        <f>N6/C6</f>
        <v>8.908039558357113E-5</v>
      </c>
      <c r="Q6">
        <f t="shared" si="5"/>
        <v>0</v>
      </c>
      <c r="R6">
        <f t="shared" si="3"/>
        <v>2</v>
      </c>
      <c r="S6">
        <f t="shared" si="6"/>
        <v>-2</v>
      </c>
    </row>
    <row r="7" spans="1:19" x14ac:dyDescent="0.25">
      <c r="A7" s="5" t="s">
        <v>19</v>
      </c>
      <c r="B7" s="3">
        <v>62110.663187999999</v>
      </c>
      <c r="C7" s="3">
        <v>62105.728719999999</v>
      </c>
      <c r="D7" s="3">
        <f t="shared" si="0"/>
        <v>-4.9344679999994696</v>
      </c>
      <c r="E7" s="12" t="str">
        <f>_xlfn.XLOOKUP(B7,'ETF_2026-06-10'!H$1:H$171,'ETF_2026-06-10'!A$1:A$171)</f>
        <v>FBTC</v>
      </c>
      <c r="F7" s="12" t="str">
        <f>_xlfn.XLOOKUP(C7,'ETF_2026-06-10'!I$1:I$171,'ETF_2026-06-10'!A$1:A$171)</f>
        <v>ARKB</v>
      </c>
      <c r="G7" s="9"/>
      <c r="H7" s="9" t="s">
        <v>9</v>
      </c>
      <c r="I7">
        <f t="shared" si="1"/>
        <v>2</v>
      </c>
      <c r="J7">
        <f t="shared" si="2"/>
        <v>0</v>
      </c>
      <c r="K7">
        <f t="shared" si="4"/>
        <v>2</v>
      </c>
      <c r="L7" s="17">
        <f>[1]Sheet1!L7</f>
        <v>0</v>
      </c>
      <c r="M7" s="1">
        <f>'ETF_2026-06-10'!C6</f>
        <v>66.17</v>
      </c>
      <c r="N7" s="1">
        <f t="shared" si="7"/>
        <v>0</v>
      </c>
      <c r="O7" s="14">
        <f>N7/C7</f>
        <v>0</v>
      </c>
      <c r="Q7">
        <f t="shared" si="5"/>
        <v>2</v>
      </c>
      <c r="R7">
        <f t="shared" si="3"/>
        <v>0</v>
      </c>
      <c r="S7">
        <f t="shared" si="6"/>
        <v>2</v>
      </c>
    </row>
    <row r="8" spans="1:19" x14ac:dyDescent="0.25">
      <c r="A8" s="5" t="s">
        <v>20</v>
      </c>
      <c r="B8" s="3">
        <v>62016.412731000004</v>
      </c>
      <c r="C8" s="3">
        <v>62001.445871999997</v>
      </c>
      <c r="D8" s="3">
        <f t="shared" si="0"/>
        <v>-14.966859000007389</v>
      </c>
      <c r="E8" s="12" t="str">
        <f>_xlfn.XLOOKUP(B8,'ETF_2026-06-10'!H$1:H$171,'ETF_2026-06-10'!A$1:A$171)</f>
        <v>BITB</v>
      </c>
      <c r="F8" s="12" t="str">
        <f>_xlfn.XLOOKUP(C8,'ETF_2026-06-10'!I$1:I$171,'ETF_2026-06-10'!A$1:A$171)</f>
        <v>GBTC</v>
      </c>
      <c r="G8" s="9"/>
      <c r="H8" s="9" t="s">
        <v>10</v>
      </c>
      <c r="I8">
        <f t="shared" si="1"/>
        <v>0</v>
      </c>
      <c r="J8">
        <f t="shared" si="2"/>
        <v>0</v>
      </c>
      <c r="K8">
        <f t="shared" si="4"/>
        <v>0</v>
      </c>
      <c r="L8" s="17">
        <f>[1]Sheet1!L8</f>
        <v>-0.2</v>
      </c>
      <c r="M8" s="1">
        <f>'ETF_2026-06-10'!C7</f>
        <v>36.14</v>
      </c>
      <c r="N8" s="1">
        <f t="shared" si="7"/>
        <v>-7.2280000000000006</v>
      </c>
      <c r="O8" s="14">
        <f>N8/C8</f>
        <v>-1.1657792650387502E-4</v>
      </c>
      <c r="Q8">
        <f t="shared" si="5"/>
        <v>0</v>
      </c>
      <c r="R8">
        <f t="shared" si="3"/>
        <v>0</v>
      </c>
      <c r="S8">
        <f t="shared" si="6"/>
        <v>0</v>
      </c>
    </row>
    <row r="9" spans="1:19" x14ac:dyDescent="0.25">
      <c r="A9" s="5" t="s">
        <v>21</v>
      </c>
      <c r="B9" s="3">
        <v>61666.453763999998</v>
      </c>
      <c r="C9" s="3">
        <v>61664.402576000008</v>
      </c>
      <c r="D9" s="3">
        <f t="shared" si="0"/>
        <v>-2.0511879999903613</v>
      </c>
      <c r="E9" s="12" t="str">
        <f>_xlfn.XLOOKUP(B9,'ETF_2026-06-10'!H$1:H$171,'ETF_2026-06-10'!A$1:A$171)</f>
        <v>BITB</v>
      </c>
      <c r="F9" s="12" t="str">
        <f>_xlfn.XLOOKUP(C9,'ETF_2026-06-10'!I$1:I$171,'ETF_2026-06-10'!A$1:A$171)</f>
        <v>HODL</v>
      </c>
      <c r="G9" s="9"/>
      <c r="H9" s="9" t="s">
        <v>11</v>
      </c>
      <c r="I9">
        <f t="shared" si="1"/>
        <v>3</v>
      </c>
      <c r="J9">
        <f t="shared" si="2"/>
        <v>1</v>
      </c>
      <c r="K9">
        <f t="shared" si="4"/>
        <v>2</v>
      </c>
      <c r="L9" s="17">
        <f>[1]Sheet1!L9</f>
        <v>0.05</v>
      </c>
      <c r="M9" s="1">
        <f>'ETF_2026-06-10'!C8</f>
        <v>54.42</v>
      </c>
      <c r="N9" s="1">
        <f t="shared" si="7"/>
        <v>2.7210000000000001</v>
      </c>
      <c r="O9" s="14">
        <f>N9/C9</f>
        <v>4.412594440765769E-5</v>
      </c>
      <c r="Q9">
        <f t="shared" si="5"/>
        <v>3</v>
      </c>
      <c r="R9">
        <f t="shared" si="3"/>
        <v>1</v>
      </c>
      <c r="S9">
        <f t="shared" si="6"/>
        <v>2</v>
      </c>
    </row>
    <row r="10" spans="1:19" x14ac:dyDescent="0.25">
      <c r="A10" s="5" t="s">
        <v>22</v>
      </c>
      <c r="B10" s="3">
        <v>61777.537752000004</v>
      </c>
      <c r="C10" s="3">
        <v>61770.476663000001</v>
      </c>
      <c r="D10" s="3">
        <f t="shared" si="0"/>
        <v>-7.0610890000025393</v>
      </c>
      <c r="E10" s="12" t="str">
        <f>_xlfn.XLOOKUP(B10,'ETF_2026-06-10'!H$1:H$171,'ETF_2026-06-10'!A$1:A$171)</f>
        <v>FBTC</v>
      </c>
      <c r="F10" s="12" t="str">
        <f>_xlfn.XLOOKUP(C10,'ETF_2026-06-10'!I$1:I$171,'ETF_2026-06-10'!A$1:A$171)</f>
        <v>HODL</v>
      </c>
      <c r="G10" s="9"/>
      <c r="H10" s="9" t="s">
        <v>12</v>
      </c>
      <c r="I10">
        <f t="shared" si="1"/>
        <v>1</v>
      </c>
      <c r="J10">
        <f t="shared" si="2"/>
        <v>4</v>
      </c>
      <c r="K10">
        <f t="shared" si="4"/>
        <v>-3</v>
      </c>
      <c r="L10" s="17">
        <f>[1]Sheet1!L10</f>
        <v>-0.05</v>
      </c>
      <c r="M10" s="1">
        <f>'ETF_2026-06-10'!C9</f>
        <v>48.52</v>
      </c>
      <c r="N10" s="1">
        <f t="shared" si="7"/>
        <v>-2.4260000000000002</v>
      </c>
      <c r="O10" s="14">
        <f>N10/C10</f>
        <v>-3.9274425762253406E-5</v>
      </c>
      <c r="Q10">
        <f t="shared" si="5"/>
        <v>1</v>
      </c>
      <c r="R10">
        <f t="shared" si="3"/>
        <v>4</v>
      </c>
      <c r="S10">
        <f t="shared" si="6"/>
        <v>-3</v>
      </c>
    </row>
    <row r="11" spans="1:19" x14ac:dyDescent="0.25">
      <c r="A11" s="5" t="s">
        <v>23</v>
      </c>
      <c r="B11" s="3">
        <v>61979.574945</v>
      </c>
      <c r="C11" s="3">
        <v>61975.676359999998</v>
      </c>
      <c r="D11" s="3">
        <f t="shared" si="0"/>
        <v>-3.8985850000026403</v>
      </c>
      <c r="E11" s="12" t="str">
        <f>_xlfn.XLOOKUP(B11,'ETF_2026-06-10'!H$1:H$171,'ETF_2026-06-10'!A$1:A$171)</f>
        <v>BITB</v>
      </c>
      <c r="F11" s="12" t="str">
        <f>_xlfn.XLOOKUP(C11,'ETF_2026-06-10'!I$1:I$171,'ETF_2026-06-10'!A$1:A$171)</f>
        <v>GBTC</v>
      </c>
      <c r="G11" s="9"/>
      <c r="H11" s="9" t="s">
        <v>13</v>
      </c>
      <c r="I11">
        <f t="shared" si="1"/>
        <v>0</v>
      </c>
      <c r="J11">
        <f t="shared" si="2"/>
        <v>5</v>
      </c>
      <c r="K11">
        <f t="shared" si="4"/>
        <v>-5</v>
      </c>
      <c r="L11" s="17">
        <f>[1]Sheet1!L11</f>
        <v>0</v>
      </c>
      <c r="M11" s="1">
        <f>'ETF_2026-06-10'!C10</f>
        <v>17.68</v>
      </c>
      <c r="N11" s="1">
        <f t="shared" si="7"/>
        <v>0</v>
      </c>
      <c r="O11" s="14">
        <f>N11/C11</f>
        <v>0</v>
      </c>
      <c r="Q11">
        <f t="shared" si="5"/>
        <v>0</v>
      </c>
      <c r="R11">
        <f t="shared" si="3"/>
        <v>5</v>
      </c>
      <c r="S11">
        <f t="shared" si="6"/>
        <v>-5</v>
      </c>
    </row>
    <row r="12" spans="1:19" x14ac:dyDescent="0.25">
      <c r="A12" s="5" t="s">
        <v>24</v>
      </c>
      <c r="B12" s="3">
        <v>61869.434423999999</v>
      </c>
      <c r="C12" s="3">
        <v>61864.541423999995</v>
      </c>
      <c r="D12" s="3">
        <f t="shared" si="0"/>
        <v>-4.8930000000036671</v>
      </c>
      <c r="E12" s="12" t="str">
        <f>_xlfn.XLOOKUP(B12,'ETF_2026-06-10'!H$1:H$171,'ETF_2026-06-10'!A$1:A$171)</f>
        <v>FBTC</v>
      </c>
      <c r="F12" s="12" t="str">
        <f>_xlfn.XLOOKUP(C12,'ETF_2026-06-10'!I$1:I$171,'ETF_2026-06-10'!A$1:A$171)</f>
        <v>ARKB</v>
      </c>
      <c r="G12" s="9"/>
      <c r="H12" s="9" t="s">
        <v>14</v>
      </c>
      <c r="I12" s="7">
        <f t="shared" si="1"/>
        <v>0</v>
      </c>
      <c r="J12" s="7">
        <f t="shared" si="2"/>
        <v>2</v>
      </c>
      <c r="K12" s="7">
        <f t="shared" si="4"/>
        <v>-2</v>
      </c>
      <c r="L12" s="17">
        <f>[1]Sheet1!L12</f>
        <v>0</v>
      </c>
      <c r="M12" s="1">
        <f>'ETF_2026-06-10'!C11</f>
        <v>35.42</v>
      </c>
      <c r="N12" s="1">
        <f t="shared" si="7"/>
        <v>0</v>
      </c>
      <c r="O12" s="14">
        <f>N12/C12</f>
        <v>0</v>
      </c>
      <c r="Q12" s="7">
        <f t="shared" si="5"/>
        <v>0</v>
      </c>
      <c r="R12" s="7">
        <f t="shared" si="3"/>
        <v>2</v>
      </c>
      <c r="S12" s="7">
        <f t="shared" si="6"/>
        <v>-2</v>
      </c>
    </row>
    <row r="13" spans="1:19" x14ac:dyDescent="0.25">
      <c r="A13" s="5" t="s">
        <v>25</v>
      </c>
      <c r="B13" s="3">
        <v>61740.129336000005</v>
      </c>
      <c r="C13" s="3">
        <v>61726.119000000006</v>
      </c>
      <c r="D13" s="3">
        <f t="shared" si="0"/>
        <v>-14.01033599999937</v>
      </c>
      <c r="E13" s="12" t="str">
        <f>_xlfn.XLOOKUP(B13,'ETF_2026-06-10'!H$1:H$171,'ETF_2026-06-10'!A$1:A$171)</f>
        <v>BITB</v>
      </c>
      <c r="F13" s="12" t="str">
        <f>_xlfn.XLOOKUP(C13,'ETF_2026-06-10'!I$1:I$171,'ETF_2026-06-10'!A$1:A$171)</f>
        <v>BTC</v>
      </c>
      <c r="G13" s="9"/>
      <c r="H13" s="9"/>
      <c r="I13">
        <f>SUM(I3:I12)</f>
        <v>17</v>
      </c>
      <c r="J13">
        <f t="shared" ref="J13:K13" si="8">SUM(J3:J12)</f>
        <v>17</v>
      </c>
      <c r="K13">
        <f t="shared" si="8"/>
        <v>0</v>
      </c>
      <c r="L13" s="6"/>
      <c r="Q13">
        <f>SUM(Q3:Q12)</f>
        <v>17</v>
      </c>
      <c r="R13">
        <f t="shared" ref="R13:S13" si="9">SUM(R3:R12)</f>
        <v>17</v>
      </c>
      <c r="S13">
        <f t="shared" si="9"/>
        <v>0</v>
      </c>
    </row>
    <row r="14" spans="1:19" x14ac:dyDescent="0.25">
      <c r="A14" s="5" t="s">
        <v>26</v>
      </c>
      <c r="B14" s="3">
        <v>61721.710442999996</v>
      </c>
      <c r="C14" s="3">
        <v>61726.119000000006</v>
      </c>
      <c r="D14" s="3">
        <f t="shared" si="0"/>
        <v>4.4085570000097505</v>
      </c>
      <c r="E14" s="12" t="str">
        <f>_xlfn.XLOOKUP(B14,'ETF_2026-06-10'!H$1:H$171,'ETF_2026-06-10'!A$1:A$171)</f>
        <v>BITB</v>
      </c>
      <c r="F14" s="12" t="str">
        <f>_xlfn.XLOOKUP(C14,'ETF_2026-06-10'!I$1:I$171,'ETF_2026-06-10'!A$1:A$171)</f>
        <v>BTC</v>
      </c>
    </row>
    <row r="15" spans="1:19" x14ac:dyDescent="0.25">
      <c r="A15" s="5" t="s">
        <v>27</v>
      </c>
      <c r="B15" s="3">
        <v>61850.642694000002</v>
      </c>
      <c r="C15" s="3">
        <v>61841.192720999999</v>
      </c>
      <c r="D15" s="3">
        <f t="shared" si="0"/>
        <v>-9.4499730000025011</v>
      </c>
      <c r="E15" s="12" t="str">
        <f>_xlfn.XLOOKUP(B15,'ETF_2026-06-10'!H$1:H$171,'ETF_2026-06-10'!A$1:A$171)</f>
        <v>BITB</v>
      </c>
      <c r="F15" s="12" t="str">
        <f>_xlfn.XLOOKUP(C15,'ETF_2026-06-10'!I$1:I$171,'ETF_2026-06-10'!A$1:A$171)</f>
        <v>HODL</v>
      </c>
    </row>
    <row r="16" spans="1:19" x14ac:dyDescent="0.25">
      <c r="A16" s="5" t="s">
        <v>28</v>
      </c>
      <c r="B16" s="3">
        <v>61629.615978000002</v>
      </c>
      <c r="C16" s="3">
        <v>61623.354127999999</v>
      </c>
      <c r="D16" s="3">
        <f t="shared" si="0"/>
        <v>-6.2618500000025961</v>
      </c>
      <c r="E16" s="12" t="str">
        <f>_xlfn.XLOOKUP(B16,'ETF_2026-06-10'!H$1:H$171,'ETF_2026-06-10'!A$1:A$171)</f>
        <v>BITB</v>
      </c>
      <c r="F16" s="12" t="str">
        <f>_xlfn.XLOOKUP(C16,'ETF_2026-06-10'!I$1:I$171,'ETF_2026-06-10'!A$1:A$171)</f>
        <v>ARKB</v>
      </c>
    </row>
    <row r="17" spans="1:12" x14ac:dyDescent="0.25">
      <c r="A17" s="5" t="s">
        <v>29</v>
      </c>
      <c r="B17" s="3">
        <v>61928.982863999998</v>
      </c>
      <c r="C17" s="3">
        <v>61911.908779000005</v>
      </c>
      <c r="D17" s="3">
        <f t="shared" si="0"/>
        <v>-17.07408499999292</v>
      </c>
      <c r="E17" s="12" t="str">
        <f>_xlfn.XLOOKUP(B17,'ETF_2026-06-10'!H$1:H$171,'ETF_2026-06-10'!A$1:A$171)</f>
        <v>BTCW</v>
      </c>
      <c r="F17" s="12" t="str">
        <f>_xlfn.XLOOKUP(C17,'ETF_2026-06-10'!I$1:I$171,'ETF_2026-06-10'!A$1:A$171)</f>
        <v>HODL</v>
      </c>
    </row>
    <row r="18" spans="1:12" ht="17.25" x14ac:dyDescent="0.4">
      <c r="A18" s="5" t="s">
        <v>30</v>
      </c>
      <c r="B18" s="3">
        <v>61942.737159000004</v>
      </c>
      <c r="C18" s="3">
        <v>61937.022091999999</v>
      </c>
      <c r="D18" s="18">
        <f t="shared" si="0"/>
        <v>-5.7150670000046375</v>
      </c>
      <c r="E18" s="12" t="str">
        <f>_xlfn.XLOOKUP(B18,'ETF_2026-06-10'!H$1:H$171,'ETF_2026-06-10'!A$1:A$171)</f>
        <v>BITB</v>
      </c>
      <c r="F18" s="12" t="str">
        <f>_xlfn.XLOOKUP(C18,'ETF_2026-06-10'!I$1:I$171,'ETF_2026-06-10'!A$1:A$171)</f>
        <v>GBTC</v>
      </c>
    </row>
    <row r="19" spans="1:12" x14ac:dyDescent="0.25">
      <c r="D19" s="3">
        <f>SUM(D2:D18)</f>
        <v>-82.923396999998658</v>
      </c>
    </row>
    <row r="29" spans="1:12" x14ac:dyDescent="0.25">
      <c r="L29" s="6"/>
    </row>
  </sheetData>
  <mergeCells count="1">
    <mergeCell ref="Q1:S1"/>
  </mergeCells>
  <conditionalFormatting sqref="K3:K12">
    <cfRule type="top10" dxfId="3" priority="5" bottom="1" rank="3"/>
    <cfRule type="top10" dxfId="2" priority="6" rank="3"/>
  </conditionalFormatting>
  <conditionalFormatting sqref="S3:S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2026-06-10T20:56:57Z</dcterms:created>
  <dcterms:modified xsi:type="dcterms:W3CDTF">2026-06-12T22:07:29Z</dcterms:modified>
</cp:coreProperties>
</file>