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spreadsheets\"/>
    </mc:Choice>
  </mc:AlternateContent>
  <xr:revisionPtr revIDLastSave="0" documentId="13_ncr:9_{E7519DDF-9975-4A36-AE10-81FC56443B83}" xr6:coauthVersionLast="47" xr6:coauthVersionMax="47" xr10:uidLastSave="{00000000-0000-0000-0000-000000000000}"/>
  <bookViews>
    <workbookView xWindow="30270" yWindow="3810" windowWidth="27135" windowHeight="11670" activeTab="1" xr2:uid="{030F4038-7B66-4F91-89D9-5CB788A6413B}"/>
  </bookViews>
  <sheets>
    <sheet name="ETF_2026-06-15" sheetId="1" r:id="rId1"/>
    <sheet name="Sheet1" sheetId="2" r:id="rId2"/>
  </sheets>
  <calcPr calcId="0"/>
  <pivotCaches>
    <pivotCache cacheId="16" r:id="rId3"/>
  </pivotCaches>
</workbook>
</file>

<file path=xl/calcChain.xml><?xml version="1.0" encoding="utf-8"?>
<calcChain xmlns="http://schemas.openxmlformats.org/spreadsheetml/2006/main">
  <c r="M4" i="2" l="1"/>
  <c r="M5" i="2"/>
  <c r="M6" i="2"/>
  <c r="M7" i="2"/>
  <c r="M8" i="2"/>
  <c r="M9" i="2"/>
  <c r="M10" i="2"/>
  <c r="M11" i="2"/>
  <c r="M12" i="2"/>
  <c r="M3" i="2"/>
  <c r="F11" i="1"/>
  <c r="F10" i="1"/>
  <c r="F9" i="1"/>
  <c r="F8" i="1"/>
  <c r="F7" i="1"/>
  <c r="F6" i="1"/>
  <c r="F5" i="1"/>
  <c r="F4" i="1"/>
  <c r="F3" i="1"/>
  <c r="F2" i="1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G3" i="1"/>
  <c r="I3" i="1"/>
  <c r="G4" i="1"/>
  <c r="G5" i="1"/>
  <c r="H5" i="1"/>
  <c r="I5" i="1"/>
  <c r="G6" i="1"/>
  <c r="G7" i="1"/>
  <c r="G8" i="1"/>
  <c r="I8" i="1"/>
  <c r="G9" i="1"/>
  <c r="H9" i="1"/>
  <c r="I9" i="1"/>
  <c r="G10" i="1"/>
  <c r="H10" i="1"/>
  <c r="I10" i="1"/>
  <c r="G11" i="1"/>
  <c r="G2" i="1"/>
  <c r="F13" i="1"/>
  <c r="F14" i="1"/>
  <c r="F15" i="1"/>
  <c r="F16" i="1"/>
  <c r="F17" i="1"/>
  <c r="F18" i="1"/>
  <c r="F19" i="1"/>
  <c r="F20" i="1"/>
  <c r="F21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7" i="1"/>
  <c r="F38" i="1"/>
  <c r="F39" i="1"/>
  <c r="F40" i="1"/>
  <c r="F41" i="1"/>
  <c r="F43" i="1"/>
  <c r="F44" i="1"/>
  <c r="F45" i="1"/>
  <c r="F46" i="1"/>
  <c r="F47" i="1"/>
  <c r="F48" i="1"/>
  <c r="F49" i="1"/>
  <c r="F50" i="1"/>
  <c r="F51" i="1"/>
  <c r="F53" i="1"/>
  <c r="F54" i="1"/>
  <c r="F55" i="1"/>
  <c r="F56" i="1"/>
  <c r="F57" i="1"/>
  <c r="F58" i="1"/>
  <c r="F59" i="1"/>
  <c r="F60" i="1"/>
  <c r="F61" i="1"/>
  <c r="F63" i="1"/>
  <c r="F64" i="1"/>
  <c r="F65" i="1"/>
  <c r="F66" i="1"/>
  <c r="F67" i="1"/>
  <c r="F68" i="1"/>
  <c r="F69" i="1"/>
  <c r="F70" i="1"/>
  <c r="F71" i="1"/>
  <c r="F75" i="1"/>
  <c r="F76" i="1"/>
  <c r="F77" i="1"/>
  <c r="F79" i="1"/>
  <c r="F80" i="1"/>
  <c r="F81" i="1"/>
  <c r="F85" i="1"/>
  <c r="F87" i="1"/>
  <c r="F89" i="1"/>
  <c r="F90" i="1"/>
  <c r="F91" i="1"/>
  <c r="F95" i="1"/>
  <c r="F97" i="1"/>
  <c r="F99" i="1"/>
  <c r="F100" i="1"/>
  <c r="F105" i="1"/>
  <c r="F107" i="1"/>
  <c r="F110" i="1"/>
  <c r="F117" i="1"/>
  <c r="F120" i="1"/>
  <c r="I6" i="1" l="1"/>
  <c r="H8" i="1"/>
  <c r="H11" i="1"/>
  <c r="F130" i="1"/>
  <c r="F140" i="1" s="1"/>
  <c r="H7" i="1"/>
  <c r="I7" i="1"/>
  <c r="F101" i="1"/>
  <c r="F111" i="1" s="1"/>
  <c r="F121" i="1" s="1"/>
  <c r="F131" i="1" s="1"/>
  <c r="F141" i="1" s="1"/>
  <c r="F127" i="1"/>
  <c r="F137" i="1" s="1"/>
  <c r="F86" i="1"/>
  <c r="F109" i="1"/>
  <c r="F119" i="1" s="1"/>
  <c r="F129" i="1" s="1"/>
  <c r="F139" i="1"/>
  <c r="F115" i="1"/>
  <c r="F125" i="1" s="1"/>
  <c r="H3" i="1"/>
  <c r="I11" i="1"/>
  <c r="F73" i="1"/>
  <c r="F83" i="1" s="1"/>
  <c r="F93" i="1"/>
  <c r="F103" i="1" s="1"/>
  <c r="F113" i="1" s="1"/>
  <c r="F123" i="1" s="1"/>
  <c r="F133" i="1" s="1"/>
  <c r="F78" i="1"/>
  <c r="F88" i="1" s="1"/>
  <c r="F98" i="1" s="1"/>
  <c r="F108" i="1" s="1"/>
  <c r="F118" i="1" s="1"/>
  <c r="F128" i="1" s="1"/>
  <c r="F138" i="1" s="1"/>
  <c r="F74" i="1"/>
  <c r="F84" i="1" s="1"/>
  <c r="F94" i="1" s="1"/>
  <c r="F104" i="1" s="1"/>
  <c r="F114" i="1" s="1"/>
  <c r="F124" i="1" s="1"/>
  <c r="F134" i="1" s="1"/>
  <c r="N7" i="2"/>
  <c r="O7" i="2" s="1"/>
  <c r="N6" i="2"/>
  <c r="O6" i="2" s="1"/>
  <c r="N8" i="2"/>
  <c r="O8" i="2" s="1"/>
  <c r="N9" i="2"/>
  <c r="O9" i="2" s="1"/>
  <c r="N4" i="2"/>
  <c r="O4" i="2" s="1"/>
  <c r="N11" i="2"/>
  <c r="O11" i="2" s="1"/>
  <c r="N5" i="2"/>
  <c r="O5" i="2" s="1"/>
  <c r="N12" i="2"/>
  <c r="O12" i="2" s="1"/>
  <c r="N10" i="2"/>
  <c r="O10" i="2" s="1"/>
  <c r="N3" i="2"/>
  <c r="O3" i="2" s="1"/>
  <c r="D16" i="2"/>
  <c r="G16" i="1"/>
  <c r="G17" i="1"/>
  <c r="G19" i="1"/>
  <c r="G21" i="1"/>
  <c r="G24" i="1"/>
  <c r="G26" i="1"/>
  <c r="I26" i="1" s="1"/>
  <c r="G27" i="1"/>
  <c r="G34" i="1"/>
  <c r="G40" i="1"/>
  <c r="G43" i="1"/>
  <c r="G44" i="1"/>
  <c r="I44" i="1" s="1"/>
  <c r="G45" i="1"/>
  <c r="G49" i="1"/>
  <c r="I49" i="1" s="1"/>
  <c r="G51" i="1"/>
  <c r="G53" i="1"/>
  <c r="I53" i="1" s="1"/>
  <c r="G54" i="1"/>
  <c r="G56" i="1"/>
  <c r="G60" i="1"/>
  <c r="G63" i="1"/>
  <c r="G65" i="1"/>
  <c r="G71" i="1"/>
  <c r="G73" i="1"/>
  <c r="G74" i="1"/>
  <c r="I74" i="1" s="1"/>
  <c r="G75" i="1"/>
  <c r="G76" i="1"/>
  <c r="I76" i="1" s="1"/>
  <c r="G81" i="1"/>
  <c r="G84" i="1"/>
  <c r="I84" i="1" s="1"/>
  <c r="G85" i="1"/>
  <c r="I85" i="1" s="1"/>
  <c r="G87" i="1"/>
  <c r="I87" i="1" s="1"/>
  <c r="G89" i="1"/>
  <c r="G115" i="1"/>
  <c r="G121" i="1"/>
  <c r="G124" i="1"/>
  <c r="I124" i="1" s="1"/>
  <c r="G140" i="1"/>
  <c r="G83" i="1"/>
  <c r="I83" i="1" s="1"/>
  <c r="G110" i="1"/>
  <c r="G113" i="1"/>
  <c r="G117" i="1"/>
  <c r="G120" i="1"/>
  <c r="G127" i="1"/>
  <c r="G129" i="1"/>
  <c r="G86" i="1"/>
  <c r="G99" i="1"/>
  <c r="G100" i="1"/>
  <c r="G114" i="1"/>
  <c r="G123" i="1"/>
  <c r="I123" i="1" s="1"/>
  <c r="G130" i="1"/>
  <c r="G134" i="1"/>
  <c r="G137" i="1"/>
  <c r="G141" i="1"/>
  <c r="G94" i="1"/>
  <c r="I94" i="1" s="1"/>
  <c r="G95" i="1"/>
  <c r="G131" i="1"/>
  <c r="I131" i="1" s="1"/>
  <c r="G139" i="1"/>
  <c r="G101" i="1"/>
  <c r="I101" i="1" s="1"/>
  <c r="G111" i="1"/>
  <c r="G119" i="1"/>
  <c r="G125" i="1"/>
  <c r="H125" i="1" s="1"/>
  <c r="G133" i="1"/>
  <c r="I2" i="1"/>
  <c r="G64" i="1"/>
  <c r="G77" i="1"/>
  <c r="G79" i="1"/>
  <c r="I79" i="1" s="1"/>
  <c r="G80" i="1"/>
  <c r="G93" i="1"/>
  <c r="G97" i="1"/>
  <c r="I97" i="1" s="1"/>
  <c r="G103" i="1"/>
  <c r="G104" i="1"/>
  <c r="G105" i="1"/>
  <c r="I105" i="1" s="1"/>
  <c r="H2" i="1"/>
  <c r="H4" i="1"/>
  <c r="I4" i="1"/>
  <c r="H6" i="1"/>
  <c r="G13" i="1"/>
  <c r="I13" i="1" s="1"/>
  <c r="G14" i="1"/>
  <c r="G15" i="1"/>
  <c r="I15" i="1" s="1"/>
  <c r="G18" i="1"/>
  <c r="I18" i="1" s="1"/>
  <c r="G20" i="1"/>
  <c r="I20" i="1" s="1"/>
  <c r="G23" i="1"/>
  <c r="G25" i="1"/>
  <c r="G28" i="1"/>
  <c r="I28" i="1" s="1"/>
  <c r="G29" i="1"/>
  <c r="G30" i="1"/>
  <c r="G31" i="1"/>
  <c r="G33" i="1"/>
  <c r="I33" i="1" s="1"/>
  <c r="G35" i="1"/>
  <c r="I35" i="1" s="1"/>
  <c r="G36" i="1"/>
  <c r="G37" i="1"/>
  <c r="G39" i="1"/>
  <c r="G41" i="1"/>
  <c r="G46" i="1"/>
  <c r="G47" i="1"/>
  <c r="I47" i="1" s="1"/>
  <c r="G50" i="1"/>
  <c r="G55" i="1"/>
  <c r="G57" i="1"/>
  <c r="I57" i="1" s="1"/>
  <c r="G59" i="1"/>
  <c r="G61" i="1"/>
  <c r="G66" i="1"/>
  <c r="I66" i="1" s="1"/>
  <c r="G67" i="1"/>
  <c r="G69" i="1"/>
  <c r="H69" i="1" s="1"/>
  <c r="G70" i="1"/>
  <c r="I70" i="1" s="1"/>
  <c r="G90" i="1"/>
  <c r="I90" i="1" s="1"/>
  <c r="G91" i="1"/>
  <c r="G107" i="1"/>
  <c r="I107" i="1" s="1"/>
  <c r="G109" i="1"/>
  <c r="H26" i="1"/>
  <c r="H44" i="1"/>
  <c r="H49" i="1"/>
  <c r="H53" i="1"/>
  <c r="H56" i="1"/>
  <c r="H60" i="1"/>
  <c r="H65" i="1"/>
  <c r="H66" i="1"/>
  <c r="I67" i="1"/>
  <c r="I69" i="1"/>
  <c r="I75" i="1"/>
  <c r="H85" i="1"/>
  <c r="H87" i="1"/>
  <c r="H124" i="1"/>
  <c r="H129" i="1"/>
  <c r="H84" i="1"/>
  <c r="I100" i="1"/>
  <c r="H101" i="1"/>
  <c r="H109" i="1"/>
  <c r="H55" i="1"/>
  <c r="H105" i="1"/>
  <c r="I125" i="1"/>
  <c r="I129" i="1"/>
  <c r="H74" i="1"/>
  <c r="H79" i="1"/>
  <c r="I81" i="1"/>
  <c r="H97" i="1"/>
  <c r="H123" i="1"/>
  <c r="H67" i="1"/>
  <c r="I73" i="1"/>
  <c r="H77" i="1"/>
  <c r="I130" i="1"/>
  <c r="I65" i="1"/>
  <c r="H76" i="1"/>
  <c r="H107" i="1"/>
  <c r="I109" i="1"/>
  <c r="H13" i="1"/>
  <c r="H18" i="1"/>
  <c r="H20" i="1"/>
  <c r="H28" i="1"/>
  <c r="H35" i="1"/>
  <c r="H47" i="1"/>
  <c r="I55" i="1"/>
  <c r="I56" i="1"/>
  <c r="H57" i="1"/>
  <c r="I60" i="1"/>
  <c r="H64" i="1"/>
  <c r="H70" i="1"/>
  <c r="H73" i="1"/>
  <c r="H75" i="1"/>
  <c r="H81" i="1"/>
  <c r="H83" i="1"/>
  <c r="H90" i="1"/>
  <c r="H94" i="1"/>
  <c r="H100" i="1"/>
  <c r="H130" i="1"/>
  <c r="F12" i="1"/>
  <c r="F22" i="1" s="1"/>
  <c r="F32" i="1" s="1"/>
  <c r="F42" i="1" s="1"/>
  <c r="F52" i="1" s="1"/>
  <c r="F62" i="1" s="1"/>
  <c r="F72" i="1" s="1"/>
  <c r="F82" i="1" s="1"/>
  <c r="F92" i="1" s="1"/>
  <c r="F102" i="1" s="1"/>
  <c r="F112" i="1" s="1"/>
  <c r="F122" i="1" s="1"/>
  <c r="F132" i="1" s="1"/>
  <c r="F135" i="1" l="1"/>
  <c r="G135" i="1" s="1"/>
  <c r="F96" i="1"/>
  <c r="H131" i="1"/>
  <c r="I64" i="1"/>
  <c r="H15" i="1"/>
  <c r="H33" i="1"/>
  <c r="I77" i="1"/>
  <c r="I16" i="1"/>
  <c r="H16" i="1"/>
  <c r="H17" i="1"/>
  <c r="I17" i="1"/>
  <c r="H19" i="1"/>
  <c r="I19" i="1"/>
  <c r="I21" i="1"/>
  <c r="H21" i="1"/>
  <c r="H24" i="1"/>
  <c r="I24" i="1"/>
  <c r="H27" i="1"/>
  <c r="I27" i="1"/>
  <c r="H34" i="1"/>
  <c r="I34" i="1"/>
  <c r="H40" i="1"/>
  <c r="I40" i="1"/>
  <c r="H43" i="1"/>
  <c r="I43" i="1"/>
  <c r="H45" i="1"/>
  <c r="I45" i="1"/>
  <c r="H51" i="1"/>
  <c r="I51" i="1"/>
  <c r="H54" i="1"/>
  <c r="I54" i="1"/>
  <c r="I63" i="1"/>
  <c r="H63" i="1"/>
  <c r="H71" i="1"/>
  <c r="I71" i="1"/>
  <c r="H89" i="1"/>
  <c r="I89" i="1"/>
  <c r="H115" i="1"/>
  <c r="I115" i="1"/>
  <c r="H121" i="1"/>
  <c r="I121" i="1"/>
  <c r="I140" i="1"/>
  <c r="H140" i="1"/>
  <c r="I110" i="1"/>
  <c r="H110" i="1"/>
  <c r="I113" i="1"/>
  <c r="H113" i="1"/>
  <c r="H117" i="1"/>
  <c r="I117" i="1"/>
  <c r="H120" i="1"/>
  <c r="I120" i="1"/>
  <c r="I127" i="1"/>
  <c r="H127" i="1"/>
  <c r="I86" i="1"/>
  <c r="H86" i="1"/>
  <c r="I99" i="1"/>
  <c r="H99" i="1"/>
  <c r="I114" i="1"/>
  <c r="H114" i="1"/>
  <c r="H134" i="1"/>
  <c r="I134" i="1"/>
  <c r="H137" i="1"/>
  <c r="I137" i="1"/>
  <c r="I141" i="1"/>
  <c r="H141" i="1"/>
  <c r="H95" i="1"/>
  <c r="I95" i="1"/>
  <c r="I139" i="1"/>
  <c r="H139" i="1"/>
  <c r="H111" i="1"/>
  <c r="I111" i="1"/>
  <c r="I119" i="1"/>
  <c r="H119" i="1"/>
  <c r="I133" i="1"/>
  <c r="H133" i="1"/>
  <c r="I80" i="1"/>
  <c r="H80" i="1"/>
  <c r="I93" i="1"/>
  <c r="H93" i="1"/>
  <c r="H103" i="1"/>
  <c r="I103" i="1"/>
  <c r="H104" i="1"/>
  <c r="I104" i="1"/>
  <c r="I14" i="1"/>
  <c r="H14" i="1"/>
  <c r="H23" i="1"/>
  <c r="I23" i="1"/>
  <c r="H25" i="1"/>
  <c r="I25" i="1"/>
  <c r="I29" i="1"/>
  <c r="H29" i="1"/>
  <c r="H30" i="1"/>
  <c r="I30" i="1"/>
  <c r="I31" i="1"/>
  <c r="H31" i="1"/>
  <c r="I36" i="1"/>
  <c r="H36" i="1"/>
  <c r="I37" i="1"/>
  <c r="H37" i="1"/>
  <c r="H39" i="1"/>
  <c r="I39" i="1"/>
  <c r="I41" i="1"/>
  <c r="H41" i="1"/>
  <c r="I46" i="1"/>
  <c r="H46" i="1"/>
  <c r="H50" i="1"/>
  <c r="I50" i="1"/>
  <c r="H59" i="1"/>
  <c r="I59" i="1"/>
  <c r="H61" i="1"/>
  <c r="I61" i="1"/>
  <c r="I91" i="1"/>
  <c r="H91" i="1"/>
  <c r="G22" i="1"/>
  <c r="G12" i="1"/>
  <c r="G38" i="1"/>
  <c r="H135" i="1" l="1"/>
  <c r="I135" i="1"/>
  <c r="G96" i="1"/>
  <c r="F106" i="1"/>
  <c r="H22" i="1"/>
  <c r="I22" i="1"/>
  <c r="G32" i="1"/>
  <c r="I12" i="1"/>
  <c r="H12" i="1"/>
  <c r="G48" i="1"/>
  <c r="H38" i="1"/>
  <c r="I38" i="1"/>
  <c r="I96" i="1" l="1"/>
  <c r="H96" i="1"/>
  <c r="F116" i="1"/>
  <c r="G106" i="1"/>
  <c r="G42" i="1"/>
  <c r="I32" i="1"/>
  <c r="H32" i="1"/>
  <c r="I48" i="1"/>
  <c r="H48" i="1"/>
  <c r="G58" i="1"/>
  <c r="G116" i="1" l="1"/>
  <c r="F126" i="1"/>
  <c r="H106" i="1"/>
  <c r="I106" i="1"/>
  <c r="H42" i="1"/>
  <c r="I42" i="1"/>
  <c r="G52" i="1"/>
  <c r="H58" i="1"/>
  <c r="I58" i="1"/>
  <c r="G68" i="1"/>
  <c r="H116" i="1" l="1"/>
  <c r="I116" i="1"/>
  <c r="G126" i="1"/>
  <c r="F136" i="1"/>
  <c r="G136" i="1" s="1"/>
  <c r="H52" i="1"/>
  <c r="I52" i="1"/>
  <c r="G62" i="1"/>
  <c r="I68" i="1"/>
  <c r="H68" i="1"/>
  <c r="G78" i="1"/>
  <c r="H126" i="1" l="1"/>
  <c r="I126" i="1"/>
  <c r="H136" i="1"/>
  <c r="I136" i="1"/>
  <c r="I62" i="1"/>
  <c r="H62" i="1"/>
  <c r="G72" i="1"/>
  <c r="H78" i="1"/>
  <c r="I78" i="1"/>
  <c r="G88" i="1"/>
  <c r="G82" i="1" l="1"/>
  <c r="H72" i="1"/>
  <c r="I72" i="1"/>
  <c r="I88" i="1"/>
  <c r="H88" i="1"/>
  <c r="G98" i="1"/>
  <c r="I82" i="1" l="1"/>
  <c r="H82" i="1"/>
  <c r="G92" i="1"/>
  <c r="H98" i="1"/>
  <c r="I98" i="1"/>
  <c r="G108" i="1"/>
  <c r="H92" i="1" l="1"/>
  <c r="I92" i="1"/>
  <c r="G102" i="1"/>
  <c r="H108" i="1"/>
  <c r="I108" i="1"/>
  <c r="G118" i="1"/>
  <c r="G112" i="1" l="1"/>
  <c r="H102" i="1"/>
  <c r="I102" i="1"/>
  <c r="H118" i="1"/>
  <c r="I118" i="1"/>
  <c r="G128" i="1"/>
  <c r="G138" i="1"/>
  <c r="H112" i="1" l="1"/>
  <c r="I112" i="1"/>
  <c r="G132" i="1"/>
  <c r="G122" i="1"/>
  <c r="H128" i="1"/>
  <c r="I128" i="1"/>
  <c r="H138" i="1"/>
  <c r="I138" i="1"/>
  <c r="F13" i="2" l="1"/>
  <c r="H132" i="1"/>
  <c r="I132" i="1"/>
  <c r="H122" i="1"/>
  <c r="I122" i="1"/>
  <c r="E7" i="2" l="1"/>
  <c r="F5" i="2"/>
  <c r="E11" i="2"/>
  <c r="E6" i="2"/>
  <c r="F15" i="2"/>
  <c r="F4" i="2"/>
  <c r="F8" i="2"/>
  <c r="F3" i="2"/>
  <c r="F14" i="2"/>
  <c r="F9" i="2"/>
  <c r="F11" i="2"/>
  <c r="F12" i="2"/>
  <c r="F7" i="2"/>
  <c r="F10" i="2"/>
  <c r="E3" i="2"/>
  <c r="E10" i="2"/>
  <c r="E9" i="2"/>
  <c r="E12" i="2"/>
  <c r="E5" i="2"/>
  <c r="F6" i="2"/>
  <c r="E13" i="2"/>
  <c r="E4" i="2"/>
  <c r="E15" i="2"/>
  <c r="F2" i="2"/>
  <c r="E2" i="2"/>
  <c r="E8" i="2"/>
  <c r="E14" i="2"/>
  <c r="J8" i="2" l="1"/>
  <c r="J5" i="2"/>
  <c r="J12" i="2"/>
  <c r="J4" i="2"/>
  <c r="J7" i="2"/>
  <c r="J3" i="2"/>
  <c r="J11" i="2"/>
  <c r="J10" i="2"/>
  <c r="J6" i="2"/>
  <c r="J9" i="2"/>
  <c r="I10" i="2"/>
  <c r="I3" i="2"/>
  <c r="I7" i="2"/>
  <c r="I4" i="2"/>
  <c r="I8" i="2"/>
  <c r="K8" i="2" s="1"/>
  <c r="I9" i="2"/>
  <c r="I11" i="2"/>
  <c r="I5" i="2"/>
  <c r="K5" i="2" s="1"/>
  <c r="I6" i="2"/>
  <c r="I12" i="2"/>
  <c r="K12" i="2" l="1"/>
  <c r="K11" i="2"/>
  <c r="K7" i="2"/>
  <c r="K6" i="2"/>
  <c r="K10" i="2"/>
  <c r="K9" i="2"/>
  <c r="K3" i="2"/>
  <c r="I13" i="2"/>
  <c r="K4" i="2"/>
  <c r="J13" i="2"/>
  <c r="K13" i="2" l="1"/>
</calcChain>
</file>

<file path=xl/sharedStrings.xml><?xml version="1.0" encoding="utf-8"?>
<sst xmlns="http://schemas.openxmlformats.org/spreadsheetml/2006/main" count="325" uniqueCount="44">
  <si>
    <t>my_fi_name</t>
  </si>
  <si>
    <t>price_screen_bid</t>
  </si>
  <si>
    <t>price_screen_ask</t>
  </si>
  <si>
    <t>time</t>
  </si>
  <si>
    <t>ARKB</t>
  </si>
  <si>
    <t>2026-06-15_12-35-12</t>
  </si>
  <si>
    <t>BITB</t>
  </si>
  <si>
    <t>BRRR</t>
  </si>
  <si>
    <t>BTC</t>
  </si>
  <si>
    <t>BTCW</t>
  </si>
  <si>
    <t>EZBC</t>
  </si>
  <si>
    <t>FBTC</t>
  </si>
  <si>
    <t>GBTC</t>
  </si>
  <si>
    <t>HODL</t>
  </si>
  <si>
    <t>IBIT</t>
  </si>
  <si>
    <t>2026-06-15_12-50-12</t>
  </si>
  <si>
    <t>2026-06-15_13-05-12</t>
  </si>
  <si>
    <t>2026-06-15_13-20-12</t>
  </si>
  <si>
    <t>2026-06-15_13-35-12</t>
  </si>
  <si>
    <t>2026-06-15_13-50-12</t>
  </si>
  <si>
    <t>2026-06-15_14-05-12</t>
  </si>
  <si>
    <t>2026-06-15_14-20-12</t>
  </si>
  <si>
    <t>2026-06-15_14-35-12</t>
  </si>
  <si>
    <t>2026-06-15_14-50-12</t>
  </si>
  <si>
    <t>2026-06-15_15-05-12</t>
  </si>
  <si>
    <t>2026-06-15_15-20-12</t>
  </si>
  <si>
    <t>2026-06-15_15-35-12</t>
  </si>
  <si>
    <t>2026-06-15_15-50-13</t>
  </si>
  <si>
    <t>scalar</t>
  </si>
  <si>
    <t>adj</t>
  </si>
  <si>
    <t>adj scalar</t>
  </si>
  <si>
    <t>unit bid</t>
  </si>
  <si>
    <t>unit ask</t>
  </si>
  <si>
    <t>Row Labels</t>
  </si>
  <si>
    <t>Max of unit bid</t>
  </si>
  <si>
    <t>Min of unit ask</t>
  </si>
  <si>
    <t>net</t>
  </si>
  <si>
    <t>bid name</t>
  </si>
  <si>
    <t>ask name</t>
  </si>
  <si>
    <t>hit bid</t>
  </si>
  <si>
    <t>lift ask</t>
  </si>
  <si>
    <t>diff</t>
  </si>
  <si>
    <t>price</t>
  </si>
  <si>
    <t>$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</si>
</sst>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0_);_(* \(#,##0.0000\);_(* &quot;-&quot;??_);_(@_)"/>
    <numFmt numFmtId="168" formatCode="0.000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64" fontId="0" fillId="0" borderId="0" xfId="1" applyNumberFormat="1" applyFont="1" applyAlignment="1">
      <alignment horizontal="center"/>
    </xf>
    <xf numFmtId="44" fontId="0" fillId="0" borderId="0" xfId="2" applyFont="1" applyAlignment="1">
      <alignment horizontal="center"/>
    </xf>
    <xf numFmtId="164" fontId="0" fillId="0" borderId="0" xfId="1" applyNumberFormat="1" applyFont="1"/>
    <xf numFmtId="164" fontId="0" fillId="33" borderId="0" xfId="1" applyNumberFormat="1" applyFont="1" applyFill="1"/>
    <xf numFmtId="44" fontId="0" fillId="0" borderId="0" xfId="2" applyFont="1"/>
    <xf numFmtId="164" fontId="0" fillId="0" borderId="0" xfId="0" applyNumberFormat="1"/>
    <xf numFmtId="44" fontId="0" fillId="0" borderId="0" xfId="0" applyNumberFormat="1"/>
    <xf numFmtId="0" fontId="18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8" fillId="0" borderId="0" xfId="0" applyFont="1" applyAlignment="1">
      <alignment horizontal="right"/>
    </xf>
    <xf numFmtId="44" fontId="18" fillId="0" borderId="0" xfId="2" applyFont="1" applyAlignment="1">
      <alignment horizontal="right"/>
    </xf>
    <xf numFmtId="0" fontId="16" fillId="0" borderId="0" xfId="0" applyFont="1"/>
    <xf numFmtId="168" fontId="0" fillId="0" borderId="0" xfId="3" applyNumberFormat="1" applyFont="1"/>
    <xf numFmtId="0" fontId="19" fillId="0" borderId="0" xfId="0" applyFont="1"/>
    <xf numFmtId="44" fontId="20" fillId="0" borderId="0" xfId="0" applyNumberFormat="1" applyFont="1"/>
    <xf numFmtId="0" fontId="0" fillId="0" borderId="0" xfId="0" pivotButton="1"/>
    <xf numFmtId="164" fontId="18" fillId="0" borderId="0" xfId="1" applyNumberFormat="1" applyFont="1" applyAlignment="1">
      <alignment horizontal="right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.0000_);_(* \(#,##0.00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.0000_);_(* \(#,##0.00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Hyland" refreshedDate="46188.708738773152" createdVersion="8" refreshedVersion="8" minRefreshableVersion="3" recordCount="140" xr:uid="{8F4B61DB-1D00-4305-943A-1EEE62277E9D}">
  <cacheSource type="worksheet">
    <worksheetSource name="Table1"/>
  </cacheSource>
  <cacheFields count="9">
    <cacheField name="my_fi_name" numFmtId="0">
      <sharedItems/>
    </cacheField>
    <cacheField name="price_screen_bid" numFmtId="44">
      <sharedItems containsSemiMixedTypes="0" containsString="0" containsNumber="1" minValue="18.739999999999998" maxValue="70.95"/>
    </cacheField>
    <cacheField name="price_screen_ask" numFmtId="44">
      <sharedItems containsSemiMixedTypes="0" containsString="0" containsNumber="1" minValue="18.75" maxValue="71.069999999999993"/>
    </cacheField>
    <cacheField name="time" numFmtId="0">
      <sharedItems count="14">
        <s v="2026-06-15_12-35-12"/>
        <s v="2026-06-15_12-50-12"/>
        <s v="2026-06-15_13-05-12"/>
        <s v="2026-06-15_13-20-12"/>
        <s v="2026-06-15_13-35-12"/>
        <s v="2026-06-15_13-50-12"/>
        <s v="2026-06-15_14-05-12"/>
        <s v="2026-06-15_14-20-12"/>
        <s v="2026-06-15_14-35-12"/>
        <s v="2026-06-15_14-50-12"/>
        <s v="2026-06-15_15-05-12"/>
        <s v="2026-06-15_15-20-12"/>
        <s v="2026-06-15_15-35-12"/>
        <s v="2026-06-15_15-50-13"/>
      </sharedItems>
    </cacheField>
    <cacheField name="scalar" numFmtId="164">
      <sharedItems containsSemiMixedTypes="0" containsString="0" containsNumber="1" minValue="946.09090000000003" maxValue="3546.4313999999999"/>
    </cacheField>
    <cacheField name="adj" numFmtId="164">
      <sharedItems containsSemiMixedTypes="0" containsString="0" containsNumber="1" minValue="-0.2" maxValue="0.2"/>
    </cacheField>
    <cacheField name="adj scalar" numFmtId="164">
      <sharedItems containsSemiMixedTypes="0" containsString="0" containsNumber="1" minValue="946.09090000000003" maxValue="3546.4313999999999"/>
    </cacheField>
    <cacheField name="unit bid" numFmtId="44">
      <sharedItems containsSemiMixedTypes="0" containsString="0" containsNumber="1" minValue="66406.120271000007" maxValue="67188.466814999992"/>
    </cacheField>
    <cacheField name="unit ask" numFmtId="44">
      <sharedItems containsSemiMixedTypes="0" containsString="0" containsNumber="1" minValue="66468.076990000001" maxValue="67238.680263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ARKB"/>
    <n v="22.28"/>
    <n v="22.29"/>
    <x v="0"/>
    <n v="3014.8276999999998"/>
    <n v="0.1"/>
    <n v="3014.7276999999999"/>
    <n v="67168.133155999996"/>
    <n v="67198.280432999993"/>
  </r>
  <r>
    <s v="BITB"/>
    <n v="36.47"/>
    <n v="36.479999999999997"/>
    <x v="0"/>
    <n v="1842.0398"/>
    <n v="-0.1"/>
    <n v="1842.1397999999999"/>
    <n v="67182.838506"/>
    <n v="67201.259903999991"/>
  </r>
  <r>
    <s v="BRRR"/>
    <n v="18.940000000000001"/>
    <n v="18.95"/>
    <x v="0"/>
    <n v="3546.4313999999999"/>
    <n v="0"/>
    <n v="3546.4313999999999"/>
    <n v="67169.410715999999"/>
    <n v="67204.875029999996"/>
  </r>
  <r>
    <s v="BTC"/>
    <n v="29.71"/>
    <n v="29.72"/>
    <x v="0"/>
    <n v="2261.2764999999999"/>
    <n v="-0.2"/>
    <n v="2261.4764999999998"/>
    <n v="67188.466814999992"/>
    <n v="67211.081579999984"/>
  </r>
  <r>
    <s v="BTCW"/>
    <n v="70.95"/>
    <n v="71.069999999999993"/>
    <x v="0"/>
    <n v="946.09090000000003"/>
    <n v="0"/>
    <n v="946.09090000000003"/>
    <n v="67125.149355000001"/>
    <n v="67238.680263000002"/>
  </r>
  <r>
    <s v="EZBC"/>
    <n v="38.81"/>
    <n v="38.840000000000003"/>
    <x v="0"/>
    <n v="1730.0648000000001"/>
    <n v="0.2"/>
    <n v="1729.8648000000001"/>
    <n v="67136.052888000006"/>
    <n v="67187.948832000009"/>
  </r>
  <r>
    <s v="FBTC"/>
    <n v="58.47"/>
    <n v="58.48"/>
    <x v="0"/>
    <n v="1148.7979"/>
    <n v="-0.05"/>
    <n v="1148.8479"/>
    <n v="67173.136713"/>
    <n v="67184.625191999992"/>
  </r>
  <r>
    <s v="GBTC"/>
    <n v="52.12"/>
    <n v="52.13"/>
    <x v="0"/>
    <n v="1288.6904999999999"/>
    <n v="0.05"/>
    <n v="1288.6405"/>
    <n v="67163.942859999996"/>
    <n v="67176.829265000008"/>
  </r>
  <r>
    <s v="HODL"/>
    <n v="18.989999999999998"/>
    <n v="19"/>
    <x v="0"/>
    <n v="3535.8029000000001"/>
    <n v="0"/>
    <n v="3535.8029000000001"/>
    <n v="67144.897070999999"/>
    <n v="67180.255100000009"/>
  </r>
  <r>
    <s v="IBIT"/>
    <n v="38.06"/>
    <n v="38.07"/>
    <x v="0"/>
    <n v="1764.9746"/>
    <n v="0"/>
    <n v="1764.9746"/>
    <n v="67174.933276000011"/>
    <n v="67192.583022000006"/>
  </r>
  <r>
    <s v="ARKB"/>
    <n v="22.25"/>
    <n v="22.26"/>
    <x v="1"/>
    <n v="3014.8276999999998"/>
    <n v="0.1"/>
    <n v="3014.7276999999999"/>
    <n v="67077.691324999993"/>
    <n v="67107.838602000003"/>
  </r>
  <r>
    <s v="BITB"/>
    <n v="36.409999999999997"/>
    <n v="36.42"/>
    <x v="1"/>
    <n v="1842.0398"/>
    <n v="-0.1"/>
    <n v="1842.1397999999999"/>
    <n v="67072.310117999994"/>
    <n v="67090.731516"/>
  </r>
  <r>
    <s v="BRRR"/>
    <n v="18.91"/>
    <n v="18.920000000000002"/>
    <x v="1"/>
    <n v="3546.4313999999999"/>
    <n v="0"/>
    <n v="3546.4313999999999"/>
    <n v="67063.017773999993"/>
    <n v="67098.482088000004"/>
  </r>
  <r>
    <s v="BTC"/>
    <n v="29.67"/>
    <n v="29.68"/>
    <x v="1"/>
    <n v="2261.2764999999999"/>
    <n v="-0.2"/>
    <n v="2261.4764999999998"/>
    <n v="67098.007754999999"/>
    <n v="67120.62251999999"/>
  </r>
  <r>
    <s v="BTCW"/>
    <n v="70.84"/>
    <n v="70.959999999999994"/>
    <x v="1"/>
    <n v="946.09090000000003"/>
    <n v="0"/>
    <n v="946.09090000000003"/>
    <n v="67021.079356000002"/>
    <n v="67134.610264000003"/>
  </r>
  <r>
    <s v="EZBC"/>
    <n v="38.75"/>
    <n v="38.78"/>
    <x v="1"/>
    <n v="1730.0648000000001"/>
    <n v="0.2"/>
    <n v="1729.8648000000001"/>
    <n v="67032.260999999999"/>
    <n v="67084.156944000002"/>
  </r>
  <r>
    <s v="FBTC"/>
    <n v="58.39"/>
    <n v="58.4"/>
    <x v="1"/>
    <n v="1148.7979"/>
    <n v="-0.05"/>
    <n v="1148.8479"/>
    <n v="67081.228881000003"/>
    <n v="67092.717359999995"/>
  </r>
  <r>
    <s v="GBTC"/>
    <n v="52.05"/>
    <n v="52.06"/>
    <x v="1"/>
    <n v="1288.6904999999999"/>
    <n v="0.05"/>
    <n v="1288.6405"/>
    <n v="67073.738024999999"/>
    <n v="67086.624429999996"/>
  </r>
  <r>
    <s v="HODL"/>
    <n v="18.97"/>
    <n v="18.98"/>
    <x v="1"/>
    <n v="3535.8029000000001"/>
    <n v="0"/>
    <n v="3535.8029000000001"/>
    <n v="67074.181012999994"/>
    <n v="67109.539042000004"/>
  </r>
  <r>
    <s v="IBIT"/>
    <n v="38"/>
    <n v="38.01"/>
    <x v="1"/>
    <n v="1764.9746"/>
    <n v="0"/>
    <n v="1764.9746"/>
    <n v="67069.034799999994"/>
    <n v="67086.684546000004"/>
  </r>
  <r>
    <s v="ARKB"/>
    <n v="22.17"/>
    <n v="22.18"/>
    <x v="2"/>
    <n v="3014.8276999999998"/>
    <n v="0.1"/>
    <n v="3014.7276999999999"/>
    <n v="66836.513109000007"/>
    <n v="66866.660386000003"/>
  </r>
  <r>
    <s v="BITB"/>
    <n v="36.29"/>
    <n v="36.299999999999997"/>
    <x v="2"/>
    <n v="1842.0398"/>
    <n v="-0.1"/>
    <n v="1842.1397999999999"/>
    <n v="66851.253341999996"/>
    <n v="66869.674739999988"/>
  </r>
  <r>
    <s v="BRRR"/>
    <n v="18.850000000000001"/>
    <n v="18.86"/>
    <x v="2"/>
    <n v="3546.4313999999999"/>
    <n v="0"/>
    <n v="3546.4313999999999"/>
    <n v="66850.23189000001"/>
    <n v="66885.696203999993"/>
  </r>
  <r>
    <s v="BTC"/>
    <n v="29.57"/>
    <n v="29.58"/>
    <x v="2"/>
    <n v="2261.2764999999999"/>
    <n v="-0.2"/>
    <n v="2261.4764999999998"/>
    <n v="66871.860105"/>
    <n v="66894.474869999991"/>
  </r>
  <r>
    <s v="BTCW"/>
    <n v="70.61"/>
    <n v="70.72"/>
    <x v="2"/>
    <n v="946.09090000000003"/>
    <n v="0"/>
    <n v="946.09090000000003"/>
    <n v="66803.478449000002"/>
    <n v="66907.548448000001"/>
  </r>
  <r>
    <s v="EZBC"/>
    <n v="38.619999999999997"/>
    <n v="38.65"/>
    <x v="2"/>
    <n v="1730.0648000000001"/>
    <n v="0.2"/>
    <n v="1729.8648000000001"/>
    <n v="66807.378576000003"/>
    <n v="66859.274520000006"/>
  </r>
  <r>
    <s v="FBTC"/>
    <n v="58.19"/>
    <n v="58.2"/>
    <x v="2"/>
    <n v="1148.7979"/>
    <n v="-0.05"/>
    <n v="1148.8479"/>
    <n v="66851.459300999995"/>
    <n v="66862.947780000002"/>
  </r>
  <r>
    <s v="GBTC"/>
    <n v="51.87"/>
    <n v="51.88"/>
    <x v="2"/>
    <n v="1288.6904999999999"/>
    <n v="0.05"/>
    <n v="1288.6405"/>
    <n v="66841.782735000001"/>
    <n v="66854.669139999998"/>
  </r>
  <r>
    <s v="HODL"/>
    <n v="18.899999999999999"/>
    <n v="18.91"/>
    <x v="2"/>
    <n v="3535.8029000000001"/>
    <n v="0"/>
    <n v="3535.8029000000001"/>
    <n v="66826.674809999997"/>
    <n v="66862.032839000007"/>
  </r>
  <r>
    <s v="IBIT"/>
    <n v="37.869999999999997"/>
    <n v="37.880000000000003"/>
    <x v="2"/>
    <n v="1764.9746"/>
    <n v="0"/>
    <n v="1764.9746"/>
    <n v="66839.588101999994"/>
    <n v="66857.237848000004"/>
  </r>
  <r>
    <s v="ARKB"/>
    <n v="22.16"/>
    <n v="22.17"/>
    <x v="3"/>
    <n v="3014.8276999999998"/>
    <n v="0.1"/>
    <n v="3014.7276999999999"/>
    <n v="66806.365831999996"/>
    <n v="66836.513109000007"/>
  </r>
  <r>
    <s v="BITB"/>
    <n v="36.270000000000003"/>
    <n v="36.28"/>
    <x v="3"/>
    <n v="1842.0398"/>
    <n v="-0.1"/>
    <n v="1842.1397999999999"/>
    <n v="66814.410545999999"/>
    <n v="66832.831944000005"/>
  </r>
  <r>
    <s v="BRRR"/>
    <n v="18.84"/>
    <n v="18.850000000000001"/>
    <x v="3"/>
    <n v="3546.4313999999999"/>
    <n v="0"/>
    <n v="3546.4313999999999"/>
    <n v="66814.767575999998"/>
    <n v="66850.23189000001"/>
  </r>
  <r>
    <s v="BTC"/>
    <n v="29.55"/>
    <n v="29.56"/>
    <x v="3"/>
    <n v="2261.2764999999999"/>
    <n v="-0.2"/>
    <n v="2261.4764999999998"/>
    <n v="66826.630574999988"/>
    <n v="66849.245339999994"/>
  </r>
  <r>
    <s v="BTCW"/>
    <n v="70.58"/>
    <n v="70.7"/>
    <x v="3"/>
    <n v="946.09090000000003"/>
    <n v="0"/>
    <n v="946.09090000000003"/>
    <n v="66775.095721999998"/>
    <n v="66888.626629999999"/>
  </r>
  <r>
    <s v="EZBC"/>
    <n v="38.6"/>
    <n v="38.630000000000003"/>
    <x v="3"/>
    <n v="1730.0648000000001"/>
    <n v="0.2"/>
    <n v="1729.8648000000001"/>
    <n v="66772.78128000001"/>
    <n v="66824.677224000014"/>
  </r>
  <r>
    <s v="FBTC"/>
    <n v="58.16"/>
    <n v="58.17"/>
    <x v="3"/>
    <n v="1148.7979"/>
    <n v="-0.05"/>
    <n v="1148.8479"/>
    <n v="66816.993863999989"/>
    <n v="66828.482342999996"/>
  </r>
  <r>
    <s v="GBTC"/>
    <n v="51.84"/>
    <n v="51.85"/>
    <x v="3"/>
    <n v="1288.6904999999999"/>
    <n v="0.05"/>
    <n v="1288.6405"/>
    <n v="66803.123520000008"/>
    <n v="66816.009925000006"/>
  </r>
  <r>
    <s v="HODL"/>
    <n v="18.89"/>
    <n v="18.899999999999999"/>
    <x v="3"/>
    <n v="3535.8029000000001"/>
    <n v="0"/>
    <n v="3535.8029000000001"/>
    <n v="66791.316781000001"/>
    <n v="66826.674809999997"/>
  </r>
  <r>
    <s v="IBIT"/>
    <n v="37.85"/>
    <n v="37.86"/>
    <x v="3"/>
    <n v="1764.9746"/>
    <n v="0"/>
    <n v="1764.9746"/>
    <n v="66804.288610000003"/>
    <n v="66821.938355999999"/>
  </r>
  <r>
    <s v="ARKB"/>
    <n v="22.13"/>
    <n v="22.14"/>
    <x v="4"/>
    <n v="3014.8276999999998"/>
    <n v="0.1"/>
    <n v="3014.7276999999999"/>
    <n v="66715.924000999992"/>
    <n v="66746.071278000003"/>
  </r>
  <r>
    <s v="BITB"/>
    <n v="36.22"/>
    <n v="36.229999999999997"/>
    <x v="4"/>
    <n v="1842.0398"/>
    <n v="-0.1"/>
    <n v="1842.1397999999999"/>
    <n v="66722.303555999999"/>
    <n v="66740.72495399999"/>
  </r>
  <r>
    <s v="BRRR"/>
    <n v="18.82"/>
    <n v="18.829999999999998"/>
    <x v="4"/>
    <n v="3546.4313999999999"/>
    <n v="0"/>
    <n v="3546.4313999999999"/>
    <n v="66743.838948000004"/>
    <n v="66779.303261999987"/>
  </r>
  <r>
    <s v="BTC"/>
    <n v="29.51"/>
    <n v="29.52"/>
    <x v="4"/>
    <n v="2261.2764999999999"/>
    <n v="-0.2"/>
    <n v="2261.4764999999998"/>
    <n v="66736.171514999995"/>
    <n v="66758.786279999986"/>
  </r>
  <r>
    <s v="BTCW"/>
    <n v="70.47"/>
    <n v="70.599999999999994"/>
    <x v="4"/>
    <n v="946.09090000000003"/>
    <n v="0"/>
    <n v="946.09090000000003"/>
    <n v="66671.025722999999"/>
    <n v="66794.017540000001"/>
  </r>
  <r>
    <s v="EZBC"/>
    <n v="38.549999999999997"/>
    <n v="38.58"/>
    <x v="4"/>
    <n v="1730.0648000000001"/>
    <n v="0.2"/>
    <n v="1729.8648000000001"/>
    <n v="66686.288039999999"/>
    <n v="66738.183984000003"/>
  </r>
  <r>
    <s v="FBTC"/>
    <n v="58.07"/>
    <n v="58.08"/>
    <x v="4"/>
    <n v="1148.7979"/>
    <n v="-0.05"/>
    <n v="1148.8479"/>
    <n v="66713.597553"/>
    <n v="66725.086031999992"/>
  </r>
  <r>
    <s v="GBTC"/>
    <n v="51.77"/>
    <n v="51.78"/>
    <x v="4"/>
    <n v="1288.6904999999999"/>
    <n v="0.05"/>
    <n v="1288.6405"/>
    <n v="66712.918684999997"/>
    <n v="66725.805089999994"/>
  </r>
  <r>
    <s v="HODL"/>
    <n v="18.87"/>
    <n v="18.88"/>
    <x v="4"/>
    <n v="3535.8029000000001"/>
    <n v="0"/>
    <n v="3535.8029000000001"/>
    <n v="66720.60072300001"/>
    <n v="66755.958752000006"/>
  </r>
  <r>
    <s v="IBIT"/>
    <n v="37.81"/>
    <n v="37.82"/>
    <x v="4"/>
    <n v="1764.9746"/>
    <n v="0"/>
    <n v="1764.9746"/>
    <n v="66733.689626000007"/>
    <n v="66751.339372000002"/>
  </r>
  <r>
    <s v="ARKB"/>
    <n v="22.18"/>
    <n v="22.19"/>
    <x v="5"/>
    <n v="3014.8276999999998"/>
    <n v="0.1"/>
    <n v="3014.7276999999999"/>
    <n v="66866.660386000003"/>
    <n v="66896.807663"/>
  </r>
  <r>
    <s v="BITB"/>
    <n v="36.299999999999997"/>
    <n v="36.31"/>
    <x v="5"/>
    <n v="1842.0398"/>
    <n v="-0.1"/>
    <n v="1842.1397999999999"/>
    <n v="66869.674739999988"/>
    <n v="66888.096138000008"/>
  </r>
  <r>
    <s v="BRRR"/>
    <n v="18.86"/>
    <n v="18.87"/>
    <x v="5"/>
    <n v="3546.4313999999999"/>
    <n v="0"/>
    <n v="3546.4313999999999"/>
    <n v="66885.696203999993"/>
    <n v="66921.160518000004"/>
  </r>
  <r>
    <s v="BTC"/>
    <n v="29.57"/>
    <n v="29.58"/>
    <x v="5"/>
    <n v="2261.2764999999999"/>
    <n v="-0.2"/>
    <n v="2261.4764999999998"/>
    <n v="66871.860105"/>
    <n v="66894.474869999991"/>
  </r>
  <r>
    <s v="BTCW"/>
    <n v="70.64"/>
    <n v="70.75"/>
    <x v="5"/>
    <n v="946.09090000000003"/>
    <n v="0"/>
    <n v="946.09090000000003"/>
    <n v="66831.861176000006"/>
    <n v="66935.931175000005"/>
  </r>
  <r>
    <s v="EZBC"/>
    <n v="38.64"/>
    <n v="38.659999999999997"/>
    <x v="5"/>
    <n v="1730.0648000000001"/>
    <n v="0.2"/>
    <n v="1729.8648000000001"/>
    <n v="66841.97587200001"/>
    <n v="66876.573168000003"/>
  </r>
  <r>
    <s v="FBTC"/>
    <n v="58.2"/>
    <n v="58.21"/>
    <x v="5"/>
    <n v="1148.7979"/>
    <n v="-0.05"/>
    <n v="1148.8479"/>
    <n v="66862.947780000002"/>
    <n v="66874.436258999995"/>
  </r>
  <r>
    <s v="GBTC"/>
    <n v="51.88"/>
    <n v="51.89"/>
    <x v="5"/>
    <n v="1288.6904999999999"/>
    <n v="0.05"/>
    <n v="1288.6405"/>
    <n v="66854.669139999998"/>
    <n v="66867.555544999996"/>
  </r>
  <r>
    <s v="HODL"/>
    <n v="18.91"/>
    <n v="18.920000000000002"/>
    <x v="5"/>
    <n v="3535.8029000000001"/>
    <n v="0"/>
    <n v="3535.8029000000001"/>
    <n v="66862.032839000007"/>
    <n v="66897.390868000002"/>
  </r>
  <r>
    <s v="IBIT"/>
    <n v="37.89"/>
    <n v="37.9"/>
    <x v="5"/>
    <n v="1764.9746"/>
    <n v="0"/>
    <n v="1764.9746"/>
    <n v="66874.887594"/>
    <n v="66892.537339999995"/>
  </r>
  <r>
    <s v="ARKB"/>
    <n v="22.14"/>
    <n v="22.15"/>
    <x v="6"/>
    <n v="3014.8276999999998"/>
    <n v="0.1"/>
    <n v="3014.7276999999999"/>
    <n v="66746.071278000003"/>
    <n v="66776.218554999999"/>
  </r>
  <r>
    <s v="BITB"/>
    <n v="36.24"/>
    <n v="36.25"/>
    <x v="6"/>
    <n v="1842.0398"/>
    <n v="-0.1"/>
    <n v="1842.1397999999999"/>
    <n v="66759.146351999996"/>
    <n v="66777.567750000002"/>
  </r>
  <r>
    <s v="BRRR"/>
    <n v="18.82"/>
    <n v="18.829999999999998"/>
    <x v="6"/>
    <n v="3546.4313999999999"/>
    <n v="0"/>
    <n v="3546.4313999999999"/>
    <n v="66743.838948000004"/>
    <n v="66779.303261999987"/>
  </r>
  <r>
    <s v="BTC"/>
    <n v="29.52"/>
    <n v="29.53"/>
    <x v="6"/>
    <n v="2261.2764999999999"/>
    <n v="-0.2"/>
    <n v="2261.4764999999998"/>
    <n v="66758.786279999986"/>
    <n v="66781.401044999991"/>
  </r>
  <r>
    <s v="BTCW"/>
    <n v="70.540000000000006"/>
    <n v="70.650000000000006"/>
    <x v="6"/>
    <n v="946.09090000000003"/>
    <n v="0"/>
    <n v="946.09090000000003"/>
    <n v="66737.252086000008"/>
    <n v="66841.322085000007"/>
  </r>
  <r>
    <s v="EZBC"/>
    <n v="38.58"/>
    <n v="38.6"/>
    <x v="6"/>
    <n v="1730.0648000000001"/>
    <n v="0.2"/>
    <n v="1729.8648000000001"/>
    <n v="66738.183984000003"/>
    <n v="66772.78128000001"/>
  </r>
  <r>
    <s v="FBTC"/>
    <n v="58.1"/>
    <n v="58.11"/>
    <x v="6"/>
    <n v="1148.7979"/>
    <n v="-0.05"/>
    <n v="1148.8479"/>
    <n v="66748.062990000006"/>
    <n v="66759.551468999998"/>
  </r>
  <r>
    <s v="GBTC"/>
    <n v="51.79"/>
    <n v="51.8"/>
    <x v="6"/>
    <n v="1288.6904999999999"/>
    <n v="0.05"/>
    <n v="1288.6405"/>
    <n v="66738.691494999992"/>
    <n v="66751.577899999989"/>
  </r>
  <r>
    <s v="HODL"/>
    <n v="18.87"/>
    <n v="18.88"/>
    <x v="6"/>
    <n v="3535.8029000000001"/>
    <n v="0"/>
    <n v="3535.8029000000001"/>
    <n v="66720.60072300001"/>
    <n v="66755.958752000006"/>
  </r>
  <r>
    <s v="IBIT"/>
    <n v="37.82"/>
    <n v="37.83"/>
    <x v="6"/>
    <n v="1764.9746"/>
    <n v="0"/>
    <n v="1764.9746"/>
    <n v="66751.339372000002"/>
    <n v="66768.989117999998"/>
  </r>
  <r>
    <s v="ARKB"/>
    <n v="22.15"/>
    <n v="22.16"/>
    <x v="7"/>
    <n v="3014.8276999999998"/>
    <n v="0.1"/>
    <n v="3014.7276999999999"/>
    <n v="66776.218554999999"/>
    <n v="66806.365831999996"/>
  </r>
  <r>
    <s v="BITB"/>
    <n v="36.26"/>
    <n v="36.270000000000003"/>
    <x v="7"/>
    <n v="1842.0398"/>
    <n v="-0.1"/>
    <n v="1842.1397999999999"/>
    <n v="66795.989147999993"/>
    <n v="66814.410545999999"/>
  </r>
  <r>
    <s v="BRRR"/>
    <n v="18.829999999999998"/>
    <n v="18.84"/>
    <x v="7"/>
    <n v="3546.4313999999999"/>
    <n v="0"/>
    <n v="3546.4313999999999"/>
    <n v="66779.303261999987"/>
    <n v="66814.767575999998"/>
  </r>
  <r>
    <s v="BTC"/>
    <n v="29.54"/>
    <n v="29.55"/>
    <x v="7"/>
    <n v="2261.2764999999999"/>
    <n v="-0.2"/>
    <n v="2261.4764999999998"/>
    <n v="66804.015809999997"/>
    <n v="66826.630574999988"/>
  </r>
  <r>
    <s v="BTCW"/>
    <n v="70.56"/>
    <n v="70.66"/>
    <x v="7"/>
    <n v="946.09090000000003"/>
    <n v="0"/>
    <n v="946.09090000000003"/>
    <n v="66756.17390400001"/>
    <n v="66850.782993999994"/>
  </r>
  <r>
    <s v="EZBC"/>
    <n v="38.590000000000003"/>
    <n v="38.619999999999997"/>
    <x v="7"/>
    <n v="1730.0648000000001"/>
    <n v="0.2"/>
    <n v="1729.8648000000001"/>
    <n v="66755.482632000014"/>
    <n v="66807.378576000003"/>
  </r>
  <r>
    <s v="FBTC"/>
    <n v="58.13"/>
    <n v="58.14"/>
    <x v="7"/>
    <n v="1148.7979"/>
    <n v="-0.05"/>
    <n v="1148.8479"/>
    <n v="66782.528426999997"/>
    <n v="66794.016906000004"/>
  </r>
  <r>
    <s v="GBTC"/>
    <n v="51.82"/>
    <n v="51.83"/>
    <x v="7"/>
    <n v="1288.6904999999999"/>
    <n v="0.05"/>
    <n v="1288.6405"/>
    <n v="66777.350709999999"/>
    <n v="66790.237114999996"/>
  </r>
  <r>
    <s v="HODL"/>
    <n v="18.89"/>
    <n v="18.899999999999999"/>
    <x v="7"/>
    <n v="3535.8029000000001"/>
    <n v="0"/>
    <n v="3535.8029000000001"/>
    <n v="66791.316781000001"/>
    <n v="66826.674809999997"/>
  </r>
  <r>
    <s v="IBIT"/>
    <n v="37.840000000000003"/>
    <n v="37.85"/>
    <x v="7"/>
    <n v="1764.9746"/>
    <n v="0"/>
    <n v="1764.9746"/>
    <n v="66786.638864000008"/>
    <n v="66804.288610000003"/>
  </r>
  <r>
    <s v="ARKB"/>
    <n v="22.15"/>
    <n v="22.16"/>
    <x v="8"/>
    <n v="3014.8276999999998"/>
    <n v="0.1"/>
    <n v="3014.7276999999999"/>
    <n v="66776.218554999999"/>
    <n v="66806.365831999996"/>
  </r>
  <r>
    <s v="BITB"/>
    <n v="36.26"/>
    <n v="36.270000000000003"/>
    <x v="8"/>
    <n v="1842.0398"/>
    <n v="-0.1"/>
    <n v="1842.1397999999999"/>
    <n v="66795.989147999993"/>
    <n v="66814.410545999999"/>
  </r>
  <r>
    <s v="BRRR"/>
    <n v="18.829999999999998"/>
    <n v="18.84"/>
    <x v="8"/>
    <n v="3546.4313999999999"/>
    <n v="0"/>
    <n v="3546.4313999999999"/>
    <n v="66779.303261999987"/>
    <n v="66814.767575999998"/>
  </r>
  <r>
    <s v="BTC"/>
    <n v="29.54"/>
    <n v="29.55"/>
    <x v="8"/>
    <n v="2261.2764999999999"/>
    <n v="-0.2"/>
    <n v="2261.4764999999998"/>
    <n v="66804.015809999997"/>
    <n v="66826.630574999988"/>
  </r>
  <r>
    <s v="BTCW"/>
    <n v="70.569999999999993"/>
    <n v="70.680000000000007"/>
    <x v="8"/>
    <n v="946.09090000000003"/>
    <n v="0"/>
    <n v="946.09090000000003"/>
    <n v="66765.634812999997"/>
    <n v="66869.704812000011"/>
  </r>
  <r>
    <s v="EZBC"/>
    <n v="38.58"/>
    <n v="38.61"/>
    <x v="8"/>
    <n v="1730.0648000000001"/>
    <n v="0.2"/>
    <n v="1729.8648000000001"/>
    <n v="66738.183984000003"/>
    <n v="66790.079928000006"/>
  </r>
  <r>
    <s v="FBTC"/>
    <n v="58.12"/>
    <n v="58.13"/>
    <x v="8"/>
    <n v="1148.7979"/>
    <n v="-0.05"/>
    <n v="1148.8479"/>
    <n v="66771.039947999991"/>
    <n v="66782.528426999997"/>
  </r>
  <r>
    <s v="GBTC"/>
    <n v="51.81"/>
    <n v="51.82"/>
    <x v="8"/>
    <n v="1288.6904999999999"/>
    <n v="0.05"/>
    <n v="1288.6405"/>
    <n v="66764.464305000001"/>
    <n v="66777.350709999999"/>
  </r>
  <r>
    <s v="HODL"/>
    <n v="18.88"/>
    <n v="18.89"/>
    <x v="8"/>
    <n v="3535.8029000000001"/>
    <n v="0"/>
    <n v="3535.8029000000001"/>
    <n v="66755.958752000006"/>
    <n v="66791.316781000001"/>
  </r>
  <r>
    <s v="IBIT"/>
    <n v="37.840000000000003"/>
    <n v="37.85"/>
    <x v="8"/>
    <n v="1764.9746"/>
    <n v="0"/>
    <n v="1764.9746"/>
    <n v="66786.638864000008"/>
    <n v="66804.288610000003"/>
  </r>
  <r>
    <s v="ARKB"/>
    <n v="22.18"/>
    <n v="22.19"/>
    <x v="9"/>
    <n v="3014.8276999999998"/>
    <n v="0.1"/>
    <n v="3014.7276999999999"/>
    <n v="66866.660386000003"/>
    <n v="66896.807663"/>
  </r>
  <r>
    <s v="BITB"/>
    <n v="36.299999999999997"/>
    <n v="36.31"/>
    <x v="9"/>
    <n v="1842.0398"/>
    <n v="-0.1"/>
    <n v="1842.1397999999999"/>
    <n v="66869.674739999988"/>
    <n v="66888.096138000008"/>
  </r>
  <r>
    <s v="BRRR"/>
    <n v="18.86"/>
    <n v="18.87"/>
    <x v="9"/>
    <n v="3546.4313999999999"/>
    <n v="0"/>
    <n v="3546.4313999999999"/>
    <n v="66885.696203999993"/>
    <n v="66921.160518000004"/>
  </r>
  <r>
    <s v="BTC"/>
    <n v="29.57"/>
    <n v="29.58"/>
    <x v="9"/>
    <n v="2261.2764999999999"/>
    <n v="-0.2"/>
    <n v="2261.4764999999998"/>
    <n v="66871.860105"/>
    <n v="66894.474869999991"/>
  </r>
  <r>
    <s v="BTCW"/>
    <n v="70.64"/>
    <n v="70.77"/>
    <x v="9"/>
    <n v="946.09090000000003"/>
    <n v="0"/>
    <n v="946.09090000000003"/>
    <n v="66831.861176000006"/>
    <n v="66954.852992999993"/>
  </r>
  <r>
    <s v="EZBC"/>
    <n v="38.64"/>
    <n v="38.659999999999997"/>
    <x v="9"/>
    <n v="1730.0648000000001"/>
    <n v="0.2"/>
    <n v="1729.8648000000001"/>
    <n v="66841.97587200001"/>
    <n v="66876.573168000003"/>
  </r>
  <r>
    <s v="FBTC"/>
    <n v="58.2"/>
    <n v="58.21"/>
    <x v="9"/>
    <n v="1148.7979"/>
    <n v="-0.05"/>
    <n v="1148.8479"/>
    <n v="66862.947780000002"/>
    <n v="66874.436258999995"/>
  </r>
  <r>
    <s v="GBTC"/>
    <n v="51.88"/>
    <n v="51.89"/>
    <x v="9"/>
    <n v="1288.6904999999999"/>
    <n v="0.05"/>
    <n v="1288.6405"/>
    <n v="66854.669139999998"/>
    <n v="66867.555544999996"/>
  </r>
  <r>
    <s v="HODL"/>
    <n v="18.91"/>
    <n v="18.920000000000002"/>
    <x v="9"/>
    <n v="3535.8029000000001"/>
    <n v="0"/>
    <n v="3535.8029000000001"/>
    <n v="66862.032839000007"/>
    <n v="66897.390868000002"/>
  </r>
  <r>
    <s v="IBIT"/>
    <n v="37.880000000000003"/>
    <n v="37.89"/>
    <x v="9"/>
    <n v="1764.9746"/>
    <n v="0"/>
    <n v="1764.9746"/>
    <n v="66857.237848000004"/>
    <n v="66874.887594"/>
  </r>
  <r>
    <s v="ARKB"/>
    <n v="22.15"/>
    <n v="22.16"/>
    <x v="10"/>
    <n v="3014.8276999999998"/>
    <n v="0.1"/>
    <n v="3014.7276999999999"/>
    <n v="66776.218554999999"/>
    <n v="66806.365831999996"/>
  </r>
  <r>
    <s v="BITB"/>
    <n v="36.26"/>
    <n v="36.270000000000003"/>
    <x v="10"/>
    <n v="1842.0398"/>
    <n v="-0.1"/>
    <n v="1842.1397999999999"/>
    <n v="66795.989147999993"/>
    <n v="66814.410545999999"/>
  </r>
  <r>
    <s v="BRRR"/>
    <n v="18.829999999999998"/>
    <n v="18.84"/>
    <x v="10"/>
    <n v="3546.4313999999999"/>
    <n v="0"/>
    <n v="3546.4313999999999"/>
    <n v="66779.303261999987"/>
    <n v="66814.767575999998"/>
  </r>
  <r>
    <s v="BTC"/>
    <n v="29.54"/>
    <n v="29.55"/>
    <x v="10"/>
    <n v="2261.2764999999999"/>
    <n v="-0.2"/>
    <n v="2261.4764999999998"/>
    <n v="66804.015809999997"/>
    <n v="66826.630574999988"/>
  </r>
  <r>
    <s v="BTCW"/>
    <n v="70.569999999999993"/>
    <n v="70.680000000000007"/>
    <x v="10"/>
    <n v="946.09090000000003"/>
    <n v="0"/>
    <n v="946.09090000000003"/>
    <n v="66765.634812999997"/>
    <n v="66869.704812000011"/>
  </r>
  <r>
    <s v="EZBC"/>
    <n v="38.590000000000003"/>
    <n v="38.619999999999997"/>
    <x v="10"/>
    <n v="1730.0648000000001"/>
    <n v="0.2"/>
    <n v="1729.8648000000001"/>
    <n v="66755.482632000014"/>
    <n v="66807.378576000003"/>
  </r>
  <r>
    <s v="FBTC"/>
    <n v="58.14"/>
    <n v="58.15"/>
    <x v="10"/>
    <n v="1148.7979"/>
    <n v="-0.05"/>
    <n v="1148.8479"/>
    <n v="66794.016906000004"/>
    <n v="66805.505384999997"/>
  </r>
  <r>
    <s v="GBTC"/>
    <n v="51.83"/>
    <n v="51.84"/>
    <x v="10"/>
    <n v="1288.6904999999999"/>
    <n v="0.05"/>
    <n v="1288.6405"/>
    <n v="66790.237114999996"/>
    <n v="66803.123520000008"/>
  </r>
  <r>
    <s v="HODL"/>
    <n v="18.89"/>
    <n v="18.899999999999999"/>
    <x v="10"/>
    <n v="3535.8029000000001"/>
    <n v="0"/>
    <n v="3535.8029000000001"/>
    <n v="66791.316781000001"/>
    <n v="66826.674809999997"/>
  </r>
  <r>
    <s v="IBIT"/>
    <n v="37.840000000000003"/>
    <n v="37.85"/>
    <x v="10"/>
    <n v="1764.9746"/>
    <n v="0"/>
    <n v="1764.9746"/>
    <n v="66786.638864000008"/>
    <n v="66804.288610000003"/>
  </r>
  <r>
    <s v="ARKB"/>
    <n v="22.04"/>
    <n v="22.05"/>
    <x v="11"/>
    <n v="3014.8276999999998"/>
    <n v="0.1"/>
    <n v="3014.7276999999999"/>
    <n v="66444.598507999995"/>
    <n v="66474.745785000006"/>
  </r>
  <r>
    <s v="BITB"/>
    <n v="36.08"/>
    <n v="36.090000000000003"/>
    <x v="11"/>
    <n v="1842.0398"/>
    <n v="-0.1"/>
    <n v="1842.1397999999999"/>
    <n v="66464.40398399999"/>
    <n v="66482.82538200001"/>
  </r>
  <r>
    <s v="BRRR"/>
    <n v="18.739999999999998"/>
    <n v="18.75"/>
    <x v="11"/>
    <n v="3546.4313999999999"/>
    <n v="0"/>
    <n v="3546.4313999999999"/>
    <n v="66460.124435999998"/>
    <n v="66495.588749999995"/>
  </r>
  <r>
    <s v="BTC"/>
    <n v="29.4"/>
    <n v="29.41"/>
    <x v="11"/>
    <n v="2261.2764999999999"/>
    <n v="-0.2"/>
    <n v="2261.4764999999998"/>
    <n v="66487.40909999999"/>
    <n v="66510.023864999996"/>
  </r>
  <r>
    <s v="BTCW"/>
    <n v="70.19"/>
    <n v="70.31"/>
    <x v="11"/>
    <n v="946.09090000000003"/>
    <n v="0"/>
    <n v="946.09090000000003"/>
    <n v="66406.120271000007"/>
    <n v="66519.651179000008"/>
  </r>
  <r>
    <s v="EZBC"/>
    <n v="38.4"/>
    <n v="38.43"/>
    <x v="11"/>
    <n v="1730.0648000000001"/>
    <n v="0.2"/>
    <n v="1729.8648000000001"/>
    <n v="66426.808319999996"/>
    <n v="66478.704264"/>
  </r>
  <r>
    <s v="FBTC"/>
    <n v="57.86"/>
    <n v="57.87"/>
    <x v="11"/>
    <n v="1148.7979"/>
    <n v="-0.05"/>
    <n v="1148.8479"/>
    <n v="66472.339494"/>
    <n v="66483.827972999992"/>
  </r>
  <r>
    <s v="GBTC"/>
    <n v="51.57"/>
    <n v="51.58"/>
    <x v="11"/>
    <n v="1288.6904999999999"/>
    <n v="0.05"/>
    <n v="1288.6405"/>
    <n v="66455.190585000004"/>
    <n v="66468.076990000001"/>
  </r>
  <r>
    <s v="HODL"/>
    <n v="18.79"/>
    <n v="18.8"/>
    <x v="11"/>
    <n v="3535.8029000000001"/>
    <n v="0"/>
    <n v="3535.8029000000001"/>
    <n v="66437.736491000003"/>
    <n v="66473.094519999999"/>
  </r>
  <r>
    <s v="IBIT"/>
    <n v="37.65"/>
    <n v="37.659999999999997"/>
    <x v="11"/>
    <n v="1764.9746"/>
    <n v="0"/>
    <n v="1764.9746"/>
    <n v="66451.293689999991"/>
    <n v="66468.943436000001"/>
  </r>
  <r>
    <s v="ARKB"/>
    <n v="22.1"/>
    <n v="22.11"/>
    <x v="12"/>
    <n v="3014.8276999999998"/>
    <n v="0.1"/>
    <n v="3014.7276999999999"/>
    <n v="66625.482170000003"/>
    <n v="66655.629446999999"/>
  </r>
  <r>
    <s v="BITB"/>
    <n v="36.17"/>
    <n v="36.18"/>
    <x v="12"/>
    <n v="1842.0398"/>
    <n v="-0.1"/>
    <n v="1842.1397999999999"/>
    <n v="66630.196565999999"/>
    <n v="66648.61796399999"/>
  </r>
  <r>
    <s v="BRRR"/>
    <n v="18.79"/>
    <n v="18.8"/>
    <x v="12"/>
    <n v="3546.4313999999999"/>
    <n v="0"/>
    <n v="3546.4313999999999"/>
    <n v="66637.446005999998"/>
    <n v="66672.910319999995"/>
  </r>
  <r>
    <s v="BTC"/>
    <n v="29.47"/>
    <n v="29.48"/>
    <x v="12"/>
    <n v="2261.2764999999999"/>
    <n v="-0.2"/>
    <n v="2261.4764999999998"/>
    <n v="66645.712454999986"/>
    <n v="66668.327219999992"/>
  </r>
  <r>
    <s v="BTCW"/>
    <n v="70.38"/>
    <n v="70.5"/>
    <x v="12"/>
    <n v="946.09090000000003"/>
    <n v="0"/>
    <n v="946.09090000000003"/>
    <n v="66585.877542000002"/>
    <n v="66699.408450000003"/>
  </r>
  <r>
    <s v="EZBC"/>
    <n v="38.5"/>
    <n v="38.53"/>
    <x v="12"/>
    <n v="1730.0648000000001"/>
    <n v="0.2"/>
    <n v="1729.8648000000001"/>
    <n v="66599.794800000003"/>
    <n v="66651.690744000007"/>
  </r>
  <r>
    <s v="FBTC"/>
    <n v="58"/>
    <n v="58.01"/>
    <x v="12"/>
    <n v="1148.7979"/>
    <n v="-0.05"/>
    <n v="1148.8479"/>
    <n v="66633.178199999995"/>
    <n v="66644.666679000002"/>
  </r>
  <r>
    <s v="GBTC"/>
    <n v="51.7"/>
    <n v="51.71"/>
    <x v="12"/>
    <n v="1288.6904999999999"/>
    <n v="0.05"/>
    <n v="1288.6405"/>
    <n v="66622.71385"/>
    <n v="66635.600254999998"/>
  </r>
  <r>
    <s v="HODL"/>
    <n v="18.84"/>
    <n v="18.850000000000001"/>
    <x v="12"/>
    <n v="3535.8029000000001"/>
    <n v="0"/>
    <n v="3535.8029000000001"/>
    <n v="66614.526635999995"/>
    <n v="66649.884665000005"/>
  </r>
  <r>
    <s v="IBIT"/>
    <n v="37.75"/>
    <n v="37.76"/>
    <x v="12"/>
    <n v="1764.9746"/>
    <n v="0"/>
    <n v="1764.9746"/>
    <n v="66627.791150000005"/>
    <n v="66645.440896"/>
  </r>
  <r>
    <s v="ARKB"/>
    <n v="22.07"/>
    <n v="22.08"/>
    <x v="13"/>
    <n v="3014.8276999999998"/>
    <n v="0.1"/>
    <n v="3014.7276999999999"/>
    <n v="66535.040338999999"/>
    <n v="66565.187615999996"/>
  </r>
  <r>
    <s v="BITB"/>
    <n v="36.130000000000003"/>
    <n v="36.14"/>
    <x v="13"/>
    <n v="1842.0398"/>
    <n v="-0.1"/>
    <n v="1842.1397999999999"/>
    <n v="66556.510974000004"/>
    <n v="66574.932371999996"/>
  </r>
  <r>
    <s v="BRRR"/>
    <n v="18.77"/>
    <n v="18.78"/>
    <x v="13"/>
    <n v="3546.4313999999999"/>
    <n v="0"/>
    <n v="3546.4313999999999"/>
    <n v="66566.517378000004"/>
    <n v="66601.981692000001"/>
  </r>
  <r>
    <s v="BTC"/>
    <n v="29.44"/>
    <n v="29.45"/>
    <x v="13"/>
    <n v="2261.2764999999999"/>
    <n v="-0.2"/>
    <n v="2261.4764999999998"/>
    <n v="66577.868159999998"/>
    <n v="66600.482924999989"/>
  </r>
  <r>
    <s v="BTCW"/>
    <n v="70.260000000000005"/>
    <n v="70.42"/>
    <x v="13"/>
    <n v="946.09090000000003"/>
    <n v="0"/>
    <n v="946.09090000000003"/>
    <n v="66472.346634000001"/>
    <n v="66623.721178000007"/>
  </r>
  <r>
    <s v="EZBC"/>
    <n v="38.46"/>
    <n v="38.479999999999997"/>
    <x v="13"/>
    <n v="1730.0648000000001"/>
    <n v="0.2"/>
    <n v="1729.8648000000001"/>
    <n v="66530.600208000003"/>
    <n v="66565.197503999996"/>
  </r>
  <r>
    <s v="FBTC"/>
    <n v="57.93"/>
    <n v="57.94"/>
    <x v="13"/>
    <n v="1148.7979"/>
    <n v="-0.05"/>
    <n v="1148.8479"/>
    <n v="66552.758847000005"/>
    <n v="66564.247325999997"/>
  </r>
  <r>
    <s v="GBTC"/>
    <n v="51.64"/>
    <n v="51.65"/>
    <x v="13"/>
    <n v="1288.6904999999999"/>
    <n v="0.05"/>
    <n v="1288.6405"/>
    <n v="66545.395420000001"/>
    <n v="66558.281824999998"/>
  </r>
  <r>
    <s v="HODL"/>
    <n v="18.82"/>
    <n v="18.829999999999998"/>
    <x v="13"/>
    <n v="3535.8029000000001"/>
    <n v="0"/>
    <n v="3535.8029000000001"/>
    <n v="66543.810578000004"/>
    <n v="66579.168607"/>
  </r>
  <r>
    <s v="IBIT"/>
    <n v="37.71"/>
    <n v="37.72"/>
    <x v="13"/>
    <n v="1764.9746"/>
    <n v="0"/>
    <n v="1764.9746"/>
    <n v="66557.192166000008"/>
    <n v="66574.841912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15417E-1210-4648-AF4E-FFB5176A6725}" name="PivotTable1" cacheId="1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1:C15" firstHeaderRow="0" firstDataRow="1" firstDataCol="1"/>
  <pivotFields count="9">
    <pivotField showAll="0"/>
    <pivotField numFmtId="44" showAll="0"/>
    <pivotField numFmtId="4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164" showAll="0"/>
    <pivotField numFmtId="164" showAll="0"/>
    <pivotField dataField="1" numFmtId="44" showAll="0"/>
    <pivotField dataField="1" numFmtId="44" showAll="0"/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Fields count="1">
    <field x="-2"/>
  </colFields>
  <colItems count="2">
    <i>
      <x/>
    </i>
    <i i="1">
      <x v="1"/>
    </i>
  </colItems>
  <dataFields count="2">
    <dataField name="Max of unit bid" fld="7" subtotal="max" baseField="3" baseItem="0" numFmtId="44"/>
    <dataField name="Min of unit ask" fld="8" subtotal="min" baseField="3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A82901-94DD-4BE7-8C3D-2C7D0D4C5E91}" name="Table1" displayName="Table1" ref="A1:I141" totalsRowShown="0">
  <autoFilter ref="A1:I141" xr:uid="{36A82901-94DD-4BE7-8C3D-2C7D0D4C5E91}"/>
  <tableColumns count="9">
    <tableColumn id="1" xr3:uid="{586D7A46-BF21-4FE4-ADC8-CEFFB316575C}" name="my_fi_name"/>
    <tableColumn id="2" xr3:uid="{DC9889D4-3DAE-4ABF-96FA-CA724D49447E}" name="price_screen_bid" dataCellStyle="Currency"/>
    <tableColumn id="3" xr3:uid="{7BE00038-83A0-4D0B-BD01-A6FCAC43F6AC}" name="price_screen_ask" dataCellStyle="Currency"/>
    <tableColumn id="4" xr3:uid="{1CA8EB2E-D2F9-4433-B403-F55E46703008}" name="time"/>
    <tableColumn id="5" xr3:uid="{6BDD0306-C570-4773-B983-2D6120327E22}" name="scalar" dataDxfId="6" dataCellStyle="Comma"/>
    <tableColumn id="6" xr3:uid="{59268B4B-CCEF-4A77-83C1-9EC5E1D31EAE}" name="adj" dataDxfId="5" dataCellStyle="Comma"/>
    <tableColumn id="7" xr3:uid="{A9269C32-AA7F-48D0-ACCE-39DA3BEABD2C}" name="adj scalar" dataDxfId="4" dataCellStyle="Comma">
      <calculatedColumnFormula>E2-F2</calculatedColumnFormula>
    </tableColumn>
    <tableColumn id="8" xr3:uid="{C2747741-A7E0-48AD-8D07-AEB59D9EFF54}" name="unit bid" dataDxfId="3" dataCellStyle="Currency">
      <calculatedColumnFormula>Table1[[#This Row],[price_screen_bid]]*G2</calculatedColumnFormula>
    </tableColumn>
    <tableColumn id="9" xr3:uid="{5577FFFA-8BEA-4D36-9898-7071BF29EFCB}" name="unit ask" dataDxfId="2" dataCellStyle="Currency">
      <calculatedColumnFormula>Table1[[#This Row],[price_screen_ask]]*G2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A9062-08BF-410E-B1DE-C7E91C226774}">
  <dimension ref="A1:I211"/>
  <sheetViews>
    <sheetView workbookViewId="0">
      <selection activeCell="F8" sqref="F8"/>
    </sheetView>
  </sheetViews>
  <sheetFormatPr defaultRowHeight="15" x14ac:dyDescent="0.25"/>
  <cols>
    <col min="1" max="1" width="13.85546875" customWidth="1"/>
    <col min="2" max="2" width="18.42578125" customWidth="1"/>
    <col min="3" max="3" width="18.5703125" customWidth="1"/>
    <col min="4" max="4" width="20.140625" customWidth="1"/>
    <col min="5" max="5" width="12.5703125" style="3" bestFit="1" customWidth="1"/>
    <col min="6" max="6" width="11.5703125" style="3" bestFit="1" customWidth="1"/>
    <col min="7" max="7" width="15.42578125" bestFit="1" customWidth="1"/>
    <col min="8" max="8" width="13.85546875" bestFit="1" customWidth="1"/>
    <col min="9" max="9" width="14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s="1" t="s">
        <v>28</v>
      </c>
      <c r="F1" s="1" t="s">
        <v>29</v>
      </c>
      <c r="G1" s="1" t="s">
        <v>30</v>
      </c>
      <c r="H1" s="2" t="s">
        <v>31</v>
      </c>
      <c r="I1" s="2" t="s">
        <v>32</v>
      </c>
    </row>
    <row r="2" spans="1:9" x14ac:dyDescent="0.25">
      <c r="A2" t="s">
        <v>4</v>
      </c>
      <c r="B2" s="5">
        <v>22.28</v>
      </c>
      <c r="C2" s="5">
        <v>22.29</v>
      </c>
      <c r="D2" t="s">
        <v>5</v>
      </c>
      <c r="E2" s="4">
        <v>3014.8276999999998</v>
      </c>
      <c r="F2" s="4">
        <f>Sheet1!L3</f>
        <v>0.1</v>
      </c>
      <c r="G2" s="3">
        <f>E2-F2</f>
        <v>3014.7276999999999</v>
      </c>
      <c r="H2" s="5">
        <f>Table1[[#This Row],[price_screen_bid]]*G2</f>
        <v>67168.133155999996</v>
      </c>
      <c r="I2" s="5">
        <f>Table1[[#This Row],[price_screen_ask]]*G2</f>
        <v>67198.280432999993</v>
      </c>
    </row>
    <row r="3" spans="1:9" x14ac:dyDescent="0.25">
      <c r="A3" t="s">
        <v>6</v>
      </c>
      <c r="B3" s="5">
        <v>36.47</v>
      </c>
      <c r="C3" s="5">
        <v>36.479999999999997</v>
      </c>
      <c r="D3" t="s">
        <v>5</v>
      </c>
      <c r="E3" s="4">
        <v>1842.0398</v>
      </c>
      <c r="F3" s="4">
        <f>Sheet1!L4</f>
        <v>-0.1</v>
      </c>
      <c r="G3" s="3">
        <f t="shared" ref="G3:G66" si="0">E3-F3</f>
        <v>1842.1397999999999</v>
      </c>
      <c r="H3" s="5">
        <f>Table1[[#This Row],[price_screen_bid]]*G3</f>
        <v>67182.838506</v>
      </c>
      <c r="I3" s="5">
        <f>Table1[[#This Row],[price_screen_ask]]*G3</f>
        <v>67201.259903999991</v>
      </c>
    </row>
    <row r="4" spans="1:9" x14ac:dyDescent="0.25">
      <c r="A4" t="s">
        <v>7</v>
      </c>
      <c r="B4" s="5">
        <v>18.940000000000001</v>
      </c>
      <c r="C4" s="5">
        <v>18.95</v>
      </c>
      <c r="D4" t="s">
        <v>5</v>
      </c>
      <c r="E4" s="4">
        <v>3546.4313999999999</v>
      </c>
      <c r="F4" s="4">
        <f>Sheet1!L5</f>
        <v>0</v>
      </c>
      <c r="G4" s="3">
        <f t="shared" si="0"/>
        <v>3546.4313999999999</v>
      </c>
      <c r="H4" s="5">
        <f>Table1[[#This Row],[price_screen_bid]]*G4</f>
        <v>67169.410715999999</v>
      </c>
      <c r="I4" s="5">
        <f>Table1[[#This Row],[price_screen_ask]]*G4</f>
        <v>67204.875029999996</v>
      </c>
    </row>
    <row r="5" spans="1:9" x14ac:dyDescent="0.25">
      <c r="A5" t="s">
        <v>8</v>
      </c>
      <c r="B5" s="5">
        <v>29.71</v>
      </c>
      <c r="C5" s="5">
        <v>29.72</v>
      </c>
      <c r="D5" t="s">
        <v>5</v>
      </c>
      <c r="E5" s="4">
        <v>2261.2764999999999</v>
      </c>
      <c r="F5" s="4">
        <f>Sheet1!L6</f>
        <v>-0.2</v>
      </c>
      <c r="G5" s="3">
        <f t="shared" si="0"/>
        <v>2261.4764999999998</v>
      </c>
      <c r="H5" s="5">
        <f>Table1[[#This Row],[price_screen_bid]]*G5</f>
        <v>67188.466814999992</v>
      </c>
      <c r="I5" s="5">
        <f>Table1[[#This Row],[price_screen_ask]]*G5</f>
        <v>67211.081579999984</v>
      </c>
    </row>
    <row r="6" spans="1:9" x14ac:dyDescent="0.25">
      <c r="A6" t="s">
        <v>9</v>
      </c>
      <c r="B6" s="5">
        <v>70.95</v>
      </c>
      <c r="C6" s="5">
        <v>71.069999999999993</v>
      </c>
      <c r="D6" t="s">
        <v>5</v>
      </c>
      <c r="E6" s="4">
        <v>946.09090000000003</v>
      </c>
      <c r="F6" s="4">
        <f>Sheet1!L7</f>
        <v>0</v>
      </c>
      <c r="G6" s="3">
        <f t="shared" si="0"/>
        <v>946.09090000000003</v>
      </c>
      <c r="H6" s="5">
        <f>Table1[[#This Row],[price_screen_bid]]*G6</f>
        <v>67125.149355000001</v>
      </c>
      <c r="I6" s="5">
        <f>Table1[[#This Row],[price_screen_ask]]*G6</f>
        <v>67238.680263000002</v>
      </c>
    </row>
    <row r="7" spans="1:9" x14ac:dyDescent="0.25">
      <c r="A7" t="s">
        <v>10</v>
      </c>
      <c r="B7" s="5">
        <v>38.81</v>
      </c>
      <c r="C7" s="5">
        <v>38.840000000000003</v>
      </c>
      <c r="D7" t="s">
        <v>5</v>
      </c>
      <c r="E7" s="4">
        <v>1730.0648000000001</v>
      </c>
      <c r="F7" s="4">
        <f>Sheet1!L8</f>
        <v>0.2</v>
      </c>
      <c r="G7" s="3">
        <f t="shared" si="0"/>
        <v>1729.8648000000001</v>
      </c>
      <c r="H7" s="5">
        <f>Table1[[#This Row],[price_screen_bid]]*G7</f>
        <v>67136.052888000006</v>
      </c>
      <c r="I7" s="5">
        <f>Table1[[#This Row],[price_screen_ask]]*G7</f>
        <v>67187.948832000009</v>
      </c>
    </row>
    <row r="8" spans="1:9" x14ac:dyDescent="0.25">
      <c r="A8" t="s">
        <v>11</v>
      </c>
      <c r="B8" s="5">
        <v>58.47</v>
      </c>
      <c r="C8" s="5">
        <v>58.48</v>
      </c>
      <c r="D8" t="s">
        <v>5</v>
      </c>
      <c r="E8" s="4">
        <v>1148.7979</v>
      </c>
      <c r="F8" s="4">
        <f>Sheet1!L9</f>
        <v>-0.05</v>
      </c>
      <c r="G8" s="3">
        <f t="shared" si="0"/>
        <v>1148.8479</v>
      </c>
      <c r="H8" s="5">
        <f>Table1[[#This Row],[price_screen_bid]]*G8</f>
        <v>67173.136713</v>
      </c>
      <c r="I8" s="5">
        <f>Table1[[#This Row],[price_screen_ask]]*G8</f>
        <v>67184.625191999992</v>
      </c>
    </row>
    <row r="9" spans="1:9" x14ac:dyDescent="0.25">
      <c r="A9" t="s">
        <v>12</v>
      </c>
      <c r="B9" s="5">
        <v>52.12</v>
      </c>
      <c r="C9" s="5">
        <v>52.13</v>
      </c>
      <c r="D9" t="s">
        <v>5</v>
      </c>
      <c r="E9" s="4">
        <v>1288.6904999999999</v>
      </c>
      <c r="F9" s="4">
        <f>Sheet1!L10</f>
        <v>0.05</v>
      </c>
      <c r="G9" s="3">
        <f t="shared" si="0"/>
        <v>1288.6405</v>
      </c>
      <c r="H9" s="5">
        <f>Table1[[#This Row],[price_screen_bid]]*G9</f>
        <v>67163.942859999996</v>
      </c>
      <c r="I9" s="5">
        <f>Table1[[#This Row],[price_screen_ask]]*G9</f>
        <v>67176.829265000008</v>
      </c>
    </row>
    <row r="10" spans="1:9" x14ac:dyDescent="0.25">
      <c r="A10" t="s">
        <v>13</v>
      </c>
      <c r="B10" s="5">
        <v>18.989999999999998</v>
      </c>
      <c r="C10" s="5">
        <v>19</v>
      </c>
      <c r="D10" t="s">
        <v>5</v>
      </c>
      <c r="E10" s="4">
        <v>3535.8029000000001</v>
      </c>
      <c r="F10" s="4">
        <f>Sheet1!L11</f>
        <v>0</v>
      </c>
      <c r="G10" s="3">
        <f t="shared" si="0"/>
        <v>3535.8029000000001</v>
      </c>
      <c r="H10" s="5">
        <f>Table1[[#This Row],[price_screen_bid]]*G10</f>
        <v>67144.897070999999</v>
      </c>
      <c r="I10" s="5">
        <f>Table1[[#This Row],[price_screen_ask]]*G10</f>
        <v>67180.255100000009</v>
      </c>
    </row>
    <row r="11" spans="1:9" x14ac:dyDescent="0.25">
      <c r="A11" t="s">
        <v>14</v>
      </c>
      <c r="B11" s="5">
        <v>38.06</v>
      </c>
      <c r="C11" s="5">
        <v>38.07</v>
      </c>
      <c r="D11" t="s">
        <v>5</v>
      </c>
      <c r="E11" s="4">
        <v>1764.9746</v>
      </c>
      <c r="F11" s="4">
        <f>Sheet1!L12</f>
        <v>0</v>
      </c>
      <c r="G11" s="3">
        <f t="shared" si="0"/>
        <v>1764.9746</v>
      </c>
      <c r="H11" s="5">
        <f>Table1[[#This Row],[price_screen_bid]]*G11</f>
        <v>67174.933276000011</v>
      </c>
      <c r="I11" s="5">
        <f>Table1[[#This Row],[price_screen_ask]]*G11</f>
        <v>67192.583022000006</v>
      </c>
    </row>
    <row r="12" spans="1:9" x14ac:dyDescent="0.25">
      <c r="A12" t="s">
        <v>4</v>
      </c>
      <c r="B12" s="5">
        <v>22.25</v>
      </c>
      <c r="C12" s="5">
        <v>22.26</v>
      </c>
      <c r="D12" t="s">
        <v>15</v>
      </c>
      <c r="E12" s="3">
        <v>3014.8276999999998</v>
      </c>
      <c r="F12" s="3">
        <f>F2</f>
        <v>0.1</v>
      </c>
      <c r="G12" s="3">
        <f t="shared" si="0"/>
        <v>3014.7276999999999</v>
      </c>
      <c r="H12" s="5">
        <f>Table1[[#This Row],[price_screen_bid]]*G12</f>
        <v>67077.691324999993</v>
      </c>
      <c r="I12" s="5">
        <f>Table1[[#This Row],[price_screen_ask]]*G12</f>
        <v>67107.838602000003</v>
      </c>
    </row>
    <row r="13" spans="1:9" x14ac:dyDescent="0.25">
      <c r="A13" t="s">
        <v>6</v>
      </c>
      <c r="B13" s="5">
        <v>36.409999999999997</v>
      </c>
      <c r="C13" s="5">
        <v>36.42</v>
      </c>
      <c r="D13" t="s">
        <v>15</v>
      </c>
      <c r="E13" s="3">
        <v>1842.0398</v>
      </c>
      <c r="F13" s="3">
        <f t="shared" ref="E13:F13" si="1">F3</f>
        <v>-0.1</v>
      </c>
      <c r="G13" s="3">
        <f t="shared" si="0"/>
        <v>1842.1397999999999</v>
      </c>
      <c r="H13" s="5">
        <f>Table1[[#This Row],[price_screen_bid]]*G13</f>
        <v>67072.310117999994</v>
      </c>
      <c r="I13" s="5">
        <f>Table1[[#This Row],[price_screen_ask]]*G13</f>
        <v>67090.731516</v>
      </c>
    </row>
    <row r="14" spans="1:9" x14ac:dyDescent="0.25">
      <c r="A14" t="s">
        <v>7</v>
      </c>
      <c r="B14" s="5">
        <v>18.91</v>
      </c>
      <c r="C14" s="5">
        <v>18.920000000000002</v>
      </c>
      <c r="D14" t="s">
        <v>15</v>
      </c>
      <c r="E14" s="3">
        <v>3546.4313999999999</v>
      </c>
      <c r="F14" s="3">
        <f t="shared" ref="E14:F14" si="2">F4</f>
        <v>0</v>
      </c>
      <c r="G14" s="3">
        <f t="shared" si="0"/>
        <v>3546.4313999999999</v>
      </c>
      <c r="H14" s="5">
        <f>Table1[[#This Row],[price_screen_bid]]*G14</f>
        <v>67063.017773999993</v>
      </c>
      <c r="I14" s="5">
        <f>Table1[[#This Row],[price_screen_ask]]*G14</f>
        <v>67098.482088000004</v>
      </c>
    </row>
    <row r="15" spans="1:9" x14ac:dyDescent="0.25">
      <c r="A15" t="s">
        <v>8</v>
      </c>
      <c r="B15" s="5">
        <v>29.67</v>
      </c>
      <c r="C15" s="5">
        <v>29.68</v>
      </c>
      <c r="D15" t="s">
        <v>15</v>
      </c>
      <c r="E15" s="3">
        <v>2261.2764999999999</v>
      </c>
      <c r="F15" s="3">
        <f t="shared" ref="E15:F15" si="3">F5</f>
        <v>-0.2</v>
      </c>
      <c r="G15" s="3">
        <f t="shared" si="0"/>
        <v>2261.4764999999998</v>
      </c>
      <c r="H15" s="5">
        <f>Table1[[#This Row],[price_screen_bid]]*G15</f>
        <v>67098.007754999999</v>
      </c>
      <c r="I15" s="5">
        <f>Table1[[#This Row],[price_screen_ask]]*G15</f>
        <v>67120.62251999999</v>
      </c>
    </row>
    <row r="16" spans="1:9" x14ac:dyDescent="0.25">
      <c r="A16" t="s">
        <v>9</v>
      </c>
      <c r="B16" s="5">
        <v>70.84</v>
      </c>
      <c r="C16" s="5">
        <v>70.959999999999994</v>
      </c>
      <c r="D16" t="s">
        <v>15</v>
      </c>
      <c r="E16" s="3">
        <v>946.09090000000003</v>
      </c>
      <c r="F16" s="3">
        <f t="shared" ref="E16:F16" si="4">F6</f>
        <v>0</v>
      </c>
      <c r="G16" s="3">
        <f t="shared" si="0"/>
        <v>946.09090000000003</v>
      </c>
      <c r="H16" s="5">
        <f>Table1[[#This Row],[price_screen_bid]]*G16</f>
        <v>67021.079356000002</v>
      </c>
      <c r="I16" s="5">
        <f>Table1[[#This Row],[price_screen_ask]]*G16</f>
        <v>67134.610264000003</v>
      </c>
    </row>
    <row r="17" spans="1:9" x14ac:dyDescent="0.25">
      <c r="A17" t="s">
        <v>10</v>
      </c>
      <c r="B17" s="5">
        <v>38.75</v>
      </c>
      <c r="C17" s="5">
        <v>38.78</v>
      </c>
      <c r="D17" t="s">
        <v>15</v>
      </c>
      <c r="E17" s="3">
        <v>1730.0648000000001</v>
      </c>
      <c r="F17" s="3">
        <f t="shared" ref="E17:F17" si="5">F7</f>
        <v>0.2</v>
      </c>
      <c r="G17" s="3">
        <f t="shared" si="0"/>
        <v>1729.8648000000001</v>
      </c>
      <c r="H17" s="5">
        <f>Table1[[#This Row],[price_screen_bid]]*G17</f>
        <v>67032.260999999999</v>
      </c>
      <c r="I17" s="5">
        <f>Table1[[#This Row],[price_screen_ask]]*G17</f>
        <v>67084.156944000002</v>
      </c>
    </row>
    <row r="18" spans="1:9" x14ac:dyDescent="0.25">
      <c r="A18" t="s">
        <v>11</v>
      </c>
      <c r="B18" s="5">
        <v>58.39</v>
      </c>
      <c r="C18" s="5">
        <v>58.4</v>
      </c>
      <c r="D18" t="s">
        <v>15</v>
      </c>
      <c r="E18" s="3">
        <v>1148.7979</v>
      </c>
      <c r="F18" s="3">
        <f t="shared" ref="E18:F18" si="6">F8</f>
        <v>-0.05</v>
      </c>
      <c r="G18" s="3">
        <f t="shared" si="0"/>
        <v>1148.8479</v>
      </c>
      <c r="H18" s="5">
        <f>Table1[[#This Row],[price_screen_bid]]*G18</f>
        <v>67081.228881000003</v>
      </c>
      <c r="I18" s="5">
        <f>Table1[[#This Row],[price_screen_ask]]*G18</f>
        <v>67092.717359999995</v>
      </c>
    </row>
    <row r="19" spans="1:9" x14ac:dyDescent="0.25">
      <c r="A19" t="s">
        <v>12</v>
      </c>
      <c r="B19" s="5">
        <v>52.05</v>
      </c>
      <c r="C19" s="5">
        <v>52.06</v>
      </c>
      <c r="D19" t="s">
        <v>15</v>
      </c>
      <c r="E19" s="3">
        <v>1288.6904999999999</v>
      </c>
      <c r="F19" s="3">
        <f t="shared" ref="E19:F19" si="7">F9</f>
        <v>0.05</v>
      </c>
      <c r="G19" s="3">
        <f t="shared" si="0"/>
        <v>1288.6405</v>
      </c>
      <c r="H19" s="5">
        <f>Table1[[#This Row],[price_screen_bid]]*G19</f>
        <v>67073.738024999999</v>
      </c>
      <c r="I19" s="5">
        <f>Table1[[#This Row],[price_screen_ask]]*G19</f>
        <v>67086.624429999996</v>
      </c>
    </row>
    <row r="20" spans="1:9" x14ac:dyDescent="0.25">
      <c r="A20" t="s">
        <v>13</v>
      </c>
      <c r="B20" s="5">
        <v>18.97</v>
      </c>
      <c r="C20" s="5">
        <v>18.98</v>
      </c>
      <c r="D20" t="s">
        <v>15</v>
      </c>
      <c r="E20" s="3">
        <v>3535.8029000000001</v>
      </c>
      <c r="F20" s="3">
        <f t="shared" ref="E20:F20" si="8">F10</f>
        <v>0</v>
      </c>
      <c r="G20" s="3">
        <f t="shared" si="0"/>
        <v>3535.8029000000001</v>
      </c>
      <c r="H20" s="5">
        <f>Table1[[#This Row],[price_screen_bid]]*G20</f>
        <v>67074.181012999994</v>
      </c>
      <c r="I20" s="5">
        <f>Table1[[#This Row],[price_screen_ask]]*G20</f>
        <v>67109.539042000004</v>
      </c>
    </row>
    <row r="21" spans="1:9" x14ac:dyDescent="0.25">
      <c r="A21" t="s">
        <v>14</v>
      </c>
      <c r="B21" s="5">
        <v>38</v>
      </c>
      <c r="C21" s="5">
        <v>38.01</v>
      </c>
      <c r="D21" t="s">
        <v>15</v>
      </c>
      <c r="E21" s="3">
        <v>1764.9746</v>
      </c>
      <c r="F21" s="3">
        <f t="shared" ref="E21:F21" si="9">F11</f>
        <v>0</v>
      </c>
      <c r="G21" s="3">
        <f t="shared" si="0"/>
        <v>1764.9746</v>
      </c>
      <c r="H21" s="5">
        <f>Table1[[#This Row],[price_screen_bid]]*G21</f>
        <v>67069.034799999994</v>
      </c>
      <c r="I21" s="5">
        <f>Table1[[#This Row],[price_screen_ask]]*G21</f>
        <v>67086.684546000004</v>
      </c>
    </row>
    <row r="22" spans="1:9" x14ac:dyDescent="0.25">
      <c r="A22" t="s">
        <v>4</v>
      </c>
      <c r="B22" s="5">
        <v>22.17</v>
      </c>
      <c r="C22" s="5">
        <v>22.18</v>
      </c>
      <c r="D22" t="s">
        <v>16</v>
      </c>
      <c r="E22" s="3">
        <v>3014.8276999999998</v>
      </c>
      <c r="F22" s="3">
        <f t="shared" ref="E22:F22" si="10">F12</f>
        <v>0.1</v>
      </c>
      <c r="G22" s="3">
        <f t="shared" si="0"/>
        <v>3014.7276999999999</v>
      </c>
      <c r="H22" s="5">
        <f>Table1[[#This Row],[price_screen_bid]]*G22</f>
        <v>66836.513109000007</v>
      </c>
      <c r="I22" s="5">
        <f>Table1[[#This Row],[price_screen_ask]]*G22</f>
        <v>66866.660386000003</v>
      </c>
    </row>
    <row r="23" spans="1:9" x14ac:dyDescent="0.25">
      <c r="A23" t="s">
        <v>6</v>
      </c>
      <c r="B23" s="5">
        <v>36.29</v>
      </c>
      <c r="C23" s="5">
        <v>36.299999999999997</v>
      </c>
      <c r="D23" t="s">
        <v>16</v>
      </c>
      <c r="E23" s="3">
        <v>1842.0398</v>
      </c>
      <c r="F23" s="3">
        <f t="shared" ref="E23:F23" si="11">F13</f>
        <v>-0.1</v>
      </c>
      <c r="G23" s="3">
        <f t="shared" si="0"/>
        <v>1842.1397999999999</v>
      </c>
      <c r="H23" s="5">
        <f>Table1[[#This Row],[price_screen_bid]]*G23</f>
        <v>66851.253341999996</v>
      </c>
      <c r="I23" s="5">
        <f>Table1[[#This Row],[price_screen_ask]]*G23</f>
        <v>66869.674739999988</v>
      </c>
    </row>
    <row r="24" spans="1:9" x14ac:dyDescent="0.25">
      <c r="A24" t="s">
        <v>7</v>
      </c>
      <c r="B24" s="5">
        <v>18.850000000000001</v>
      </c>
      <c r="C24" s="5">
        <v>18.86</v>
      </c>
      <c r="D24" t="s">
        <v>16</v>
      </c>
      <c r="E24" s="3">
        <v>3546.4313999999999</v>
      </c>
      <c r="F24" s="3">
        <f t="shared" ref="E24:F24" si="12">F14</f>
        <v>0</v>
      </c>
      <c r="G24" s="3">
        <f t="shared" si="0"/>
        <v>3546.4313999999999</v>
      </c>
      <c r="H24" s="5">
        <f>Table1[[#This Row],[price_screen_bid]]*G24</f>
        <v>66850.23189000001</v>
      </c>
      <c r="I24" s="5">
        <f>Table1[[#This Row],[price_screen_ask]]*G24</f>
        <v>66885.696203999993</v>
      </c>
    </row>
    <row r="25" spans="1:9" x14ac:dyDescent="0.25">
      <c r="A25" t="s">
        <v>8</v>
      </c>
      <c r="B25" s="5">
        <v>29.57</v>
      </c>
      <c r="C25" s="5">
        <v>29.58</v>
      </c>
      <c r="D25" t="s">
        <v>16</v>
      </c>
      <c r="E25" s="3">
        <v>2261.2764999999999</v>
      </c>
      <c r="F25" s="3">
        <f t="shared" ref="E25:F25" si="13">F15</f>
        <v>-0.2</v>
      </c>
      <c r="G25" s="3">
        <f t="shared" si="0"/>
        <v>2261.4764999999998</v>
      </c>
      <c r="H25" s="5">
        <f>Table1[[#This Row],[price_screen_bid]]*G25</f>
        <v>66871.860105</v>
      </c>
      <c r="I25" s="5">
        <f>Table1[[#This Row],[price_screen_ask]]*G25</f>
        <v>66894.474869999991</v>
      </c>
    </row>
    <row r="26" spans="1:9" x14ac:dyDescent="0.25">
      <c r="A26" t="s">
        <v>9</v>
      </c>
      <c r="B26" s="5">
        <v>70.61</v>
      </c>
      <c r="C26" s="5">
        <v>70.72</v>
      </c>
      <c r="D26" t="s">
        <v>16</v>
      </c>
      <c r="E26" s="3">
        <v>946.09090000000003</v>
      </c>
      <c r="F26" s="3">
        <f t="shared" ref="E26:F26" si="14">F16</f>
        <v>0</v>
      </c>
      <c r="G26" s="3">
        <f t="shared" si="0"/>
        <v>946.09090000000003</v>
      </c>
      <c r="H26" s="5">
        <f>Table1[[#This Row],[price_screen_bid]]*G26</f>
        <v>66803.478449000002</v>
      </c>
      <c r="I26" s="5">
        <f>Table1[[#This Row],[price_screen_ask]]*G26</f>
        <v>66907.548448000001</v>
      </c>
    </row>
    <row r="27" spans="1:9" x14ac:dyDescent="0.25">
      <c r="A27" t="s">
        <v>10</v>
      </c>
      <c r="B27" s="5">
        <v>38.619999999999997</v>
      </c>
      <c r="C27" s="5">
        <v>38.65</v>
      </c>
      <c r="D27" t="s">
        <v>16</v>
      </c>
      <c r="E27" s="3">
        <v>1730.0648000000001</v>
      </c>
      <c r="F27" s="3">
        <f t="shared" ref="E27:F27" si="15">F17</f>
        <v>0.2</v>
      </c>
      <c r="G27" s="3">
        <f t="shared" si="0"/>
        <v>1729.8648000000001</v>
      </c>
      <c r="H27" s="5">
        <f>Table1[[#This Row],[price_screen_bid]]*G27</f>
        <v>66807.378576000003</v>
      </c>
      <c r="I27" s="5">
        <f>Table1[[#This Row],[price_screen_ask]]*G27</f>
        <v>66859.274520000006</v>
      </c>
    </row>
    <row r="28" spans="1:9" x14ac:dyDescent="0.25">
      <c r="A28" t="s">
        <v>11</v>
      </c>
      <c r="B28" s="5">
        <v>58.19</v>
      </c>
      <c r="C28" s="5">
        <v>58.2</v>
      </c>
      <c r="D28" t="s">
        <v>16</v>
      </c>
      <c r="E28" s="3">
        <v>1148.7979</v>
      </c>
      <c r="F28" s="3">
        <f t="shared" ref="E28:F28" si="16">F18</f>
        <v>-0.05</v>
      </c>
      <c r="G28" s="3">
        <f t="shared" si="0"/>
        <v>1148.8479</v>
      </c>
      <c r="H28" s="5">
        <f>Table1[[#This Row],[price_screen_bid]]*G28</f>
        <v>66851.459300999995</v>
      </c>
      <c r="I28" s="5">
        <f>Table1[[#This Row],[price_screen_ask]]*G28</f>
        <v>66862.947780000002</v>
      </c>
    </row>
    <row r="29" spans="1:9" x14ac:dyDescent="0.25">
      <c r="A29" t="s">
        <v>12</v>
      </c>
      <c r="B29" s="5">
        <v>51.87</v>
      </c>
      <c r="C29" s="5">
        <v>51.88</v>
      </c>
      <c r="D29" t="s">
        <v>16</v>
      </c>
      <c r="E29" s="3">
        <v>1288.6904999999999</v>
      </c>
      <c r="F29" s="3">
        <f t="shared" ref="E29:F29" si="17">F19</f>
        <v>0.05</v>
      </c>
      <c r="G29" s="3">
        <f t="shared" si="0"/>
        <v>1288.6405</v>
      </c>
      <c r="H29" s="5">
        <f>Table1[[#This Row],[price_screen_bid]]*G29</f>
        <v>66841.782735000001</v>
      </c>
      <c r="I29" s="5">
        <f>Table1[[#This Row],[price_screen_ask]]*G29</f>
        <v>66854.669139999998</v>
      </c>
    </row>
    <row r="30" spans="1:9" x14ac:dyDescent="0.25">
      <c r="A30" t="s">
        <v>13</v>
      </c>
      <c r="B30" s="5">
        <v>18.899999999999999</v>
      </c>
      <c r="C30" s="5">
        <v>18.91</v>
      </c>
      <c r="D30" t="s">
        <v>16</v>
      </c>
      <c r="E30" s="3">
        <v>3535.8029000000001</v>
      </c>
      <c r="F30" s="3">
        <f t="shared" ref="E30:F30" si="18">F20</f>
        <v>0</v>
      </c>
      <c r="G30" s="3">
        <f t="shared" si="0"/>
        <v>3535.8029000000001</v>
      </c>
      <c r="H30" s="5">
        <f>Table1[[#This Row],[price_screen_bid]]*G30</f>
        <v>66826.674809999997</v>
      </c>
      <c r="I30" s="5">
        <f>Table1[[#This Row],[price_screen_ask]]*G30</f>
        <v>66862.032839000007</v>
      </c>
    </row>
    <row r="31" spans="1:9" x14ac:dyDescent="0.25">
      <c r="A31" t="s">
        <v>14</v>
      </c>
      <c r="B31" s="5">
        <v>37.869999999999997</v>
      </c>
      <c r="C31" s="5">
        <v>37.880000000000003</v>
      </c>
      <c r="D31" t="s">
        <v>16</v>
      </c>
      <c r="E31" s="3">
        <v>1764.9746</v>
      </c>
      <c r="F31" s="3">
        <f t="shared" ref="E31:F31" si="19">F21</f>
        <v>0</v>
      </c>
      <c r="G31" s="3">
        <f t="shared" si="0"/>
        <v>1764.9746</v>
      </c>
      <c r="H31" s="5">
        <f>Table1[[#This Row],[price_screen_bid]]*G31</f>
        <v>66839.588101999994</v>
      </c>
      <c r="I31" s="5">
        <f>Table1[[#This Row],[price_screen_ask]]*G31</f>
        <v>66857.237848000004</v>
      </c>
    </row>
    <row r="32" spans="1:9" x14ac:dyDescent="0.25">
      <c r="A32" t="s">
        <v>4</v>
      </c>
      <c r="B32" s="5">
        <v>22.16</v>
      </c>
      <c r="C32" s="5">
        <v>22.17</v>
      </c>
      <c r="D32" t="s">
        <v>17</v>
      </c>
      <c r="E32" s="3">
        <v>3014.8276999999998</v>
      </c>
      <c r="F32" s="3">
        <f t="shared" ref="E32:F32" si="20">F22</f>
        <v>0.1</v>
      </c>
      <c r="G32" s="3">
        <f t="shared" si="0"/>
        <v>3014.7276999999999</v>
      </c>
      <c r="H32" s="5">
        <f>Table1[[#This Row],[price_screen_bid]]*G32</f>
        <v>66806.365831999996</v>
      </c>
      <c r="I32" s="5">
        <f>Table1[[#This Row],[price_screen_ask]]*G32</f>
        <v>66836.513109000007</v>
      </c>
    </row>
    <row r="33" spans="1:9" x14ac:dyDescent="0.25">
      <c r="A33" t="s">
        <v>6</v>
      </c>
      <c r="B33" s="5">
        <v>36.270000000000003</v>
      </c>
      <c r="C33" s="5">
        <v>36.28</v>
      </c>
      <c r="D33" t="s">
        <v>17</v>
      </c>
      <c r="E33" s="3">
        <v>1842.0398</v>
      </c>
      <c r="F33" s="3">
        <f t="shared" ref="E33:F33" si="21">F23</f>
        <v>-0.1</v>
      </c>
      <c r="G33" s="3">
        <f t="shared" si="0"/>
        <v>1842.1397999999999</v>
      </c>
      <c r="H33" s="5">
        <f>Table1[[#This Row],[price_screen_bid]]*G33</f>
        <v>66814.410545999999</v>
      </c>
      <c r="I33" s="5">
        <f>Table1[[#This Row],[price_screen_ask]]*G33</f>
        <v>66832.831944000005</v>
      </c>
    </row>
    <row r="34" spans="1:9" x14ac:dyDescent="0.25">
      <c r="A34" t="s">
        <v>7</v>
      </c>
      <c r="B34" s="5">
        <v>18.84</v>
      </c>
      <c r="C34" s="5">
        <v>18.850000000000001</v>
      </c>
      <c r="D34" t="s">
        <v>17</v>
      </c>
      <c r="E34" s="3">
        <v>3546.4313999999999</v>
      </c>
      <c r="F34" s="3">
        <f t="shared" ref="E34:F34" si="22">F24</f>
        <v>0</v>
      </c>
      <c r="G34" s="3">
        <f t="shared" si="0"/>
        <v>3546.4313999999999</v>
      </c>
      <c r="H34" s="5">
        <f>Table1[[#This Row],[price_screen_bid]]*G34</f>
        <v>66814.767575999998</v>
      </c>
      <c r="I34" s="5">
        <f>Table1[[#This Row],[price_screen_ask]]*G34</f>
        <v>66850.23189000001</v>
      </c>
    </row>
    <row r="35" spans="1:9" x14ac:dyDescent="0.25">
      <c r="A35" t="s">
        <v>8</v>
      </c>
      <c r="B35" s="5">
        <v>29.55</v>
      </c>
      <c r="C35" s="5">
        <v>29.56</v>
      </c>
      <c r="D35" t="s">
        <v>17</v>
      </c>
      <c r="E35" s="3">
        <v>2261.2764999999999</v>
      </c>
      <c r="F35" s="3">
        <f t="shared" ref="E35:F35" si="23">F25</f>
        <v>-0.2</v>
      </c>
      <c r="G35" s="3">
        <f t="shared" si="0"/>
        <v>2261.4764999999998</v>
      </c>
      <c r="H35" s="5">
        <f>Table1[[#This Row],[price_screen_bid]]*G35</f>
        <v>66826.630574999988</v>
      </c>
      <c r="I35" s="5">
        <f>Table1[[#This Row],[price_screen_ask]]*G35</f>
        <v>66849.245339999994</v>
      </c>
    </row>
    <row r="36" spans="1:9" x14ac:dyDescent="0.25">
      <c r="A36" t="s">
        <v>9</v>
      </c>
      <c r="B36" s="5">
        <v>70.58</v>
      </c>
      <c r="C36" s="5">
        <v>70.7</v>
      </c>
      <c r="D36" t="s">
        <v>17</v>
      </c>
      <c r="E36" s="3">
        <v>946.09090000000003</v>
      </c>
      <c r="F36" s="3">
        <f t="shared" ref="E36:F36" si="24">F26</f>
        <v>0</v>
      </c>
      <c r="G36" s="3">
        <f t="shared" si="0"/>
        <v>946.09090000000003</v>
      </c>
      <c r="H36" s="5">
        <f>Table1[[#This Row],[price_screen_bid]]*G36</f>
        <v>66775.095721999998</v>
      </c>
      <c r="I36" s="5">
        <f>Table1[[#This Row],[price_screen_ask]]*G36</f>
        <v>66888.626629999999</v>
      </c>
    </row>
    <row r="37" spans="1:9" x14ac:dyDescent="0.25">
      <c r="A37" t="s">
        <v>10</v>
      </c>
      <c r="B37" s="5">
        <v>38.6</v>
      </c>
      <c r="C37" s="5">
        <v>38.630000000000003</v>
      </c>
      <c r="D37" t="s">
        <v>17</v>
      </c>
      <c r="E37" s="3">
        <v>1730.0648000000001</v>
      </c>
      <c r="F37" s="3">
        <f t="shared" ref="E37:F37" si="25">F27</f>
        <v>0.2</v>
      </c>
      <c r="G37" s="3">
        <f t="shared" si="0"/>
        <v>1729.8648000000001</v>
      </c>
      <c r="H37" s="5">
        <f>Table1[[#This Row],[price_screen_bid]]*G37</f>
        <v>66772.78128000001</v>
      </c>
      <c r="I37" s="5">
        <f>Table1[[#This Row],[price_screen_ask]]*G37</f>
        <v>66824.677224000014</v>
      </c>
    </row>
    <row r="38" spans="1:9" x14ac:dyDescent="0.25">
      <c r="A38" t="s">
        <v>11</v>
      </c>
      <c r="B38" s="5">
        <v>58.16</v>
      </c>
      <c r="C38" s="5">
        <v>58.17</v>
      </c>
      <c r="D38" t="s">
        <v>17</v>
      </c>
      <c r="E38" s="3">
        <v>1148.7979</v>
      </c>
      <c r="F38" s="3">
        <f t="shared" ref="E38:F38" si="26">F28</f>
        <v>-0.05</v>
      </c>
      <c r="G38" s="3">
        <f t="shared" si="0"/>
        <v>1148.8479</v>
      </c>
      <c r="H38" s="5">
        <f>Table1[[#This Row],[price_screen_bid]]*G38</f>
        <v>66816.993863999989</v>
      </c>
      <c r="I38" s="5">
        <f>Table1[[#This Row],[price_screen_ask]]*G38</f>
        <v>66828.482342999996</v>
      </c>
    </row>
    <row r="39" spans="1:9" x14ac:dyDescent="0.25">
      <c r="A39" t="s">
        <v>12</v>
      </c>
      <c r="B39" s="5">
        <v>51.84</v>
      </c>
      <c r="C39" s="5">
        <v>51.85</v>
      </c>
      <c r="D39" t="s">
        <v>17</v>
      </c>
      <c r="E39" s="3">
        <v>1288.6904999999999</v>
      </c>
      <c r="F39" s="3">
        <f t="shared" ref="E39:F39" si="27">F29</f>
        <v>0.05</v>
      </c>
      <c r="G39" s="3">
        <f t="shared" si="0"/>
        <v>1288.6405</v>
      </c>
      <c r="H39" s="5">
        <f>Table1[[#This Row],[price_screen_bid]]*G39</f>
        <v>66803.123520000008</v>
      </c>
      <c r="I39" s="5">
        <f>Table1[[#This Row],[price_screen_ask]]*G39</f>
        <v>66816.009925000006</v>
      </c>
    </row>
    <row r="40" spans="1:9" x14ac:dyDescent="0.25">
      <c r="A40" t="s">
        <v>13</v>
      </c>
      <c r="B40" s="5">
        <v>18.89</v>
      </c>
      <c r="C40" s="5">
        <v>18.899999999999999</v>
      </c>
      <c r="D40" t="s">
        <v>17</v>
      </c>
      <c r="E40" s="3">
        <v>3535.8029000000001</v>
      </c>
      <c r="F40" s="3">
        <f t="shared" ref="E40:F40" si="28">F30</f>
        <v>0</v>
      </c>
      <c r="G40" s="3">
        <f t="shared" si="0"/>
        <v>3535.8029000000001</v>
      </c>
      <c r="H40" s="5">
        <f>Table1[[#This Row],[price_screen_bid]]*G40</f>
        <v>66791.316781000001</v>
      </c>
      <c r="I40" s="5">
        <f>Table1[[#This Row],[price_screen_ask]]*G40</f>
        <v>66826.674809999997</v>
      </c>
    </row>
    <row r="41" spans="1:9" x14ac:dyDescent="0.25">
      <c r="A41" t="s">
        <v>14</v>
      </c>
      <c r="B41" s="5">
        <v>37.85</v>
      </c>
      <c r="C41" s="5">
        <v>37.86</v>
      </c>
      <c r="D41" t="s">
        <v>17</v>
      </c>
      <c r="E41" s="3">
        <v>1764.9746</v>
      </c>
      <c r="F41" s="3">
        <f t="shared" ref="E41:F41" si="29">F31</f>
        <v>0</v>
      </c>
      <c r="G41" s="3">
        <f t="shared" si="0"/>
        <v>1764.9746</v>
      </c>
      <c r="H41" s="5">
        <f>Table1[[#This Row],[price_screen_bid]]*G41</f>
        <v>66804.288610000003</v>
      </c>
      <c r="I41" s="5">
        <f>Table1[[#This Row],[price_screen_ask]]*G41</f>
        <v>66821.938355999999</v>
      </c>
    </row>
    <row r="42" spans="1:9" x14ac:dyDescent="0.25">
      <c r="A42" t="s">
        <v>4</v>
      </c>
      <c r="B42" s="5">
        <v>22.13</v>
      </c>
      <c r="C42" s="5">
        <v>22.14</v>
      </c>
      <c r="D42" t="s">
        <v>18</v>
      </c>
      <c r="E42" s="3">
        <v>3014.8276999999998</v>
      </c>
      <c r="F42" s="3">
        <f t="shared" ref="E42:F42" si="30">F32</f>
        <v>0.1</v>
      </c>
      <c r="G42" s="3">
        <f t="shared" si="0"/>
        <v>3014.7276999999999</v>
      </c>
      <c r="H42" s="5">
        <f>Table1[[#This Row],[price_screen_bid]]*G42</f>
        <v>66715.924000999992</v>
      </c>
      <c r="I42" s="5">
        <f>Table1[[#This Row],[price_screen_ask]]*G42</f>
        <v>66746.071278000003</v>
      </c>
    </row>
    <row r="43" spans="1:9" x14ac:dyDescent="0.25">
      <c r="A43" t="s">
        <v>6</v>
      </c>
      <c r="B43" s="5">
        <v>36.22</v>
      </c>
      <c r="C43" s="5">
        <v>36.229999999999997</v>
      </c>
      <c r="D43" t="s">
        <v>18</v>
      </c>
      <c r="E43" s="3">
        <v>1842.0398</v>
      </c>
      <c r="F43" s="3">
        <f t="shared" ref="E43:F43" si="31">F33</f>
        <v>-0.1</v>
      </c>
      <c r="G43" s="3">
        <f t="shared" si="0"/>
        <v>1842.1397999999999</v>
      </c>
      <c r="H43" s="5">
        <f>Table1[[#This Row],[price_screen_bid]]*G43</f>
        <v>66722.303555999999</v>
      </c>
      <c r="I43" s="5">
        <f>Table1[[#This Row],[price_screen_ask]]*G43</f>
        <v>66740.72495399999</v>
      </c>
    </row>
    <row r="44" spans="1:9" x14ac:dyDescent="0.25">
      <c r="A44" t="s">
        <v>7</v>
      </c>
      <c r="B44" s="5">
        <v>18.82</v>
      </c>
      <c r="C44" s="5">
        <v>18.829999999999998</v>
      </c>
      <c r="D44" t="s">
        <v>18</v>
      </c>
      <c r="E44" s="3">
        <v>3546.4313999999999</v>
      </c>
      <c r="F44" s="3">
        <f t="shared" ref="E44:F44" si="32">F34</f>
        <v>0</v>
      </c>
      <c r="G44" s="3">
        <f t="shared" si="0"/>
        <v>3546.4313999999999</v>
      </c>
      <c r="H44" s="5">
        <f>Table1[[#This Row],[price_screen_bid]]*G44</f>
        <v>66743.838948000004</v>
      </c>
      <c r="I44" s="5">
        <f>Table1[[#This Row],[price_screen_ask]]*G44</f>
        <v>66779.303261999987</v>
      </c>
    </row>
    <row r="45" spans="1:9" x14ac:dyDescent="0.25">
      <c r="A45" t="s">
        <v>8</v>
      </c>
      <c r="B45" s="5">
        <v>29.51</v>
      </c>
      <c r="C45" s="5">
        <v>29.52</v>
      </c>
      <c r="D45" t="s">
        <v>18</v>
      </c>
      <c r="E45" s="3">
        <v>2261.2764999999999</v>
      </c>
      <c r="F45" s="3">
        <f t="shared" ref="E45:F45" si="33">F35</f>
        <v>-0.2</v>
      </c>
      <c r="G45" s="3">
        <f t="shared" si="0"/>
        <v>2261.4764999999998</v>
      </c>
      <c r="H45" s="5">
        <f>Table1[[#This Row],[price_screen_bid]]*G45</f>
        <v>66736.171514999995</v>
      </c>
      <c r="I45" s="5">
        <f>Table1[[#This Row],[price_screen_ask]]*G45</f>
        <v>66758.786279999986</v>
      </c>
    </row>
    <row r="46" spans="1:9" x14ac:dyDescent="0.25">
      <c r="A46" t="s">
        <v>9</v>
      </c>
      <c r="B46" s="5">
        <v>70.47</v>
      </c>
      <c r="C46" s="5">
        <v>70.599999999999994</v>
      </c>
      <c r="D46" t="s">
        <v>18</v>
      </c>
      <c r="E46" s="3">
        <v>946.09090000000003</v>
      </c>
      <c r="F46" s="3">
        <f t="shared" ref="E46:F46" si="34">F36</f>
        <v>0</v>
      </c>
      <c r="G46" s="3">
        <f t="shared" si="0"/>
        <v>946.09090000000003</v>
      </c>
      <c r="H46" s="5">
        <f>Table1[[#This Row],[price_screen_bid]]*G46</f>
        <v>66671.025722999999</v>
      </c>
      <c r="I46" s="5">
        <f>Table1[[#This Row],[price_screen_ask]]*G46</f>
        <v>66794.017540000001</v>
      </c>
    </row>
    <row r="47" spans="1:9" x14ac:dyDescent="0.25">
      <c r="A47" t="s">
        <v>10</v>
      </c>
      <c r="B47" s="5">
        <v>38.549999999999997</v>
      </c>
      <c r="C47" s="5">
        <v>38.58</v>
      </c>
      <c r="D47" t="s">
        <v>18</v>
      </c>
      <c r="E47" s="3">
        <v>1730.0648000000001</v>
      </c>
      <c r="F47" s="3">
        <f t="shared" ref="E47:F47" si="35">F37</f>
        <v>0.2</v>
      </c>
      <c r="G47" s="3">
        <f t="shared" si="0"/>
        <v>1729.8648000000001</v>
      </c>
      <c r="H47" s="5">
        <f>Table1[[#This Row],[price_screen_bid]]*G47</f>
        <v>66686.288039999999</v>
      </c>
      <c r="I47" s="5">
        <f>Table1[[#This Row],[price_screen_ask]]*G47</f>
        <v>66738.183984000003</v>
      </c>
    </row>
    <row r="48" spans="1:9" x14ac:dyDescent="0.25">
      <c r="A48" t="s">
        <v>11</v>
      </c>
      <c r="B48" s="5">
        <v>58.07</v>
      </c>
      <c r="C48" s="5">
        <v>58.08</v>
      </c>
      <c r="D48" t="s">
        <v>18</v>
      </c>
      <c r="E48" s="3">
        <v>1148.7979</v>
      </c>
      <c r="F48" s="3">
        <f t="shared" ref="E48:F48" si="36">F38</f>
        <v>-0.05</v>
      </c>
      <c r="G48" s="3">
        <f t="shared" si="0"/>
        <v>1148.8479</v>
      </c>
      <c r="H48" s="5">
        <f>Table1[[#This Row],[price_screen_bid]]*G48</f>
        <v>66713.597553</v>
      </c>
      <c r="I48" s="5">
        <f>Table1[[#This Row],[price_screen_ask]]*G48</f>
        <v>66725.086031999992</v>
      </c>
    </row>
    <row r="49" spans="1:9" x14ac:dyDescent="0.25">
      <c r="A49" t="s">
        <v>12</v>
      </c>
      <c r="B49" s="5">
        <v>51.77</v>
      </c>
      <c r="C49" s="5">
        <v>51.78</v>
      </c>
      <c r="D49" t="s">
        <v>18</v>
      </c>
      <c r="E49" s="3">
        <v>1288.6904999999999</v>
      </c>
      <c r="F49" s="3">
        <f t="shared" ref="E49:F49" si="37">F39</f>
        <v>0.05</v>
      </c>
      <c r="G49" s="3">
        <f t="shared" si="0"/>
        <v>1288.6405</v>
      </c>
      <c r="H49" s="5">
        <f>Table1[[#This Row],[price_screen_bid]]*G49</f>
        <v>66712.918684999997</v>
      </c>
      <c r="I49" s="5">
        <f>Table1[[#This Row],[price_screen_ask]]*G49</f>
        <v>66725.805089999994</v>
      </c>
    </row>
    <row r="50" spans="1:9" x14ac:dyDescent="0.25">
      <c r="A50" t="s">
        <v>13</v>
      </c>
      <c r="B50" s="5">
        <v>18.87</v>
      </c>
      <c r="C50" s="5">
        <v>18.88</v>
      </c>
      <c r="D50" t="s">
        <v>18</v>
      </c>
      <c r="E50" s="3">
        <v>3535.8029000000001</v>
      </c>
      <c r="F50" s="3">
        <f t="shared" ref="E50:F50" si="38">F40</f>
        <v>0</v>
      </c>
      <c r="G50" s="3">
        <f t="shared" si="0"/>
        <v>3535.8029000000001</v>
      </c>
      <c r="H50" s="5">
        <f>Table1[[#This Row],[price_screen_bid]]*G50</f>
        <v>66720.60072300001</v>
      </c>
      <c r="I50" s="5">
        <f>Table1[[#This Row],[price_screen_ask]]*G50</f>
        <v>66755.958752000006</v>
      </c>
    </row>
    <row r="51" spans="1:9" x14ac:dyDescent="0.25">
      <c r="A51" t="s">
        <v>14</v>
      </c>
      <c r="B51" s="5">
        <v>37.81</v>
      </c>
      <c r="C51" s="5">
        <v>37.82</v>
      </c>
      <c r="D51" t="s">
        <v>18</v>
      </c>
      <c r="E51" s="3">
        <v>1764.9746</v>
      </c>
      <c r="F51" s="3">
        <f t="shared" ref="E51:F51" si="39">F41</f>
        <v>0</v>
      </c>
      <c r="G51" s="3">
        <f t="shared" si="0"/>
        <v>1764.9746</v>
      </c>
      <c r="H51" s="5">
        <f>Table1[[#This Row],[price_screen_bid]]*G51</f>
        <v>66733.689626000007</v>
      </c>
      <c r="I51" s="5">
        <f>Table1[[#This Row],[price_screen_ask]]*G51</f>
        <v>66751.339372000002</v>
      </c>
    </row>
    <row r="52" spans="1:9" x14ac:dyDescent="0.25">
      <c r="A52" t="s">
        <v>4</v>
      </c>
      <c r="B52" s="5">
        <v>22.18</v>
      </c>
      <c r="C52" s="5">
        <v>22.19</v>
      </c>
      <c r="D52" t="s">
        <v>19</v>
      </c>
      <c r="E52" s="3">
        <v>3014.8276999999998</v>
      </c>
      <c r="F52" s="3">
        <f t="shared" ref="E52:F52" si="40">F42</f>
        <v>0.1</v>
      </c>
      <c r="G52" s="3">
        <f t="shared" si="0"/>
        <v>3014.7276999999999</v>
      </c>
      <c r="H52" s="5">
        <f>Table1[[#This Row],[price_screen_bid]]*G52</f>
        <v>66866.660386000003</v>
      </c>
      <c r="I52" s="5">
        <f>Table1[[#This Row],[price_screen_ask]]*G52</f>
        <v>66896.807663</v>
      </c>
    </row>
    <row r="53" spans="1:9" x14ac:dyDescent="0.25">
      <c r="A53" t="s">
        <v>6</v>
      </c>
      <c r="B53" s="5">
        <v>36.299999999999997</v>
      </c>
      <c r="C53" s="5">
        <v>36.31</v>
      </c>
      <c r="D53" t="s">
        <v>19</v>
      </c>
      <c r="E53" s="3">
        <v>1842.0398</v>
      </c>
      <c r="F53" s="3">
        <f t="shared" ref="E53:F53" si="41">F43</f>
        <v>-0.1</v>
      </c>
      <c r="G53" s="3">
        <f t="shared" si="0"/>
        <v>1842.1397999999999</v>
      </c>
      <c r="H53" s="5">
        <f>Table1[[#This Row],[price_screen_bid]]*G53</f>
        <v>66869.674739999988</v>
      </c>
      <c r="I53" s="5">
        <f>Table1[[#This Row],[price_screen_ask]]*G53</f>
        <v>66888.096138000008</v>
      </c>
    </row>
    <row r="54" spans="1:9" x14ac:dyDescent="0.25">
      <c r="A54" t="s">
        <v>7</v>
      </c>
      <c r="B54" s="5">
        <v>18.86</v>
      </c>
      <c r="C54" s="5">
        <v>18.87</v>
      </c>
      <c r="D54" t="s">
        <v>19</v>
      </c>
      <c r="E54" s="3">
        <v>3546.4313999999999</v>
      </c>
      <c r="F54" s="3">
        <f t="shared" ref="E54:F54" si="42">F44</f>
        <v>0</v>
      </c>
      <c r="G54" s="3">
        <f t="shared" si="0"/>
        <v>3546.4313999999999</v>
      </c>
      <c r="H54" s="5">
        <f>Table1[[#This Row],[price_screen_bid]]*G54</f>
        <v>66885.696203999993</v>
      </c>
      <c r="I54" s="5">
        <f>Table1[[#This Row],[price_screen_ask]]*G54</f>
        <v>66921.160518000004</v>
      </c>
    </row>
    <row r="55" spans="1:9" x14ac:dyDescent="0.25">
      <c r="A55" t="s">
        <v>8</v>
      </c>
      <c r="B55" s="5">
        <v>29.57</v>
      </c>
      <c r="C55" s="5">
        <v>29.58</v>
      </c>
      <c r="D55" t="s">
        <v>19</v>
      </c>
      <c r="E55" s="3">
        <v>2261.2764999999999</v>
      </c>
      <c r="F55" s="3">
        <f t="shared" ref="E55:F55" si="43">F45</f>
        <v>-0.2</v>
      </c>
      <c r="G55" s="3">
        <f t="shared" si="0"/>
        <v>2261.4764999999998</v>
      </c>
      <c r="H55" s="5">
        <f>Table1[[#This Row],[price_screen_bid]]*G55</f>
        <v>66871.860105</v>
      </c>
      <c r="I55" s="5">
        <f>Table1[[#This Row],[price_screen_ask]]*G55</f>
        <v>66894.474869999991</v>
      </c>
    </row>
    <row r="56" spans="1:9" x14ac:dyDescent="0.25">
      <c r="A56" t="s">
        <v>9</v>
      </c>
      <c r="B56" s="5">
        <v>70.64</v>
      </c>
      <c r="C56" s="5">
        <v>70.75</v>
      </c>
      <c r="D56" t="s">
        <v>19</v>
      </c>
      <c r="E56" s="3">
        <v>946.09090000000003</v>
      </c>
      <c r="F56" s="3">
        <f t="shared" ref="E56:F56" si="44">F46</f>
        <v>0</v>
      </c>
      <c r="G56" s="3">
        <f t="shared" si="0"/>
        <v>946.09090000000003</v>
      </c>
      <c r="H56" s="5">
        <f>Table1[[#This Row],[price_screen_bid]]*G56</f>
        <v>66831.861176000006</v>
      </c>
      <c r="I56" s="5">
        <f>Table1[[#This Row],[price_screen_ask]]*G56</f>
        <v>66935.931175000005</v>
      </c>
    </row>
    <row r="57" spans="1:9" x14ac:dyDescent="0.25">
      <c r="A57" t="s">
        <v>10</v>
      </c>
      <c r="B57" s="5">
        <v>38.64</v>
      </c>
      <c r="C57" s="5">
        <v>38.659999999999997</v>
      </c>
      <c r="D57" t="s">
        <v>19</v>
      </c>
      <c r="E57" s="3">
        <v>1730.0648000000001</v>
      </c>
      <c r="F57" s="3">
        <f t="shared" ref="E57:F57" si="45">F47</f>
        <v>0.2</v>
      </c>
      <c r="G57" s="3">
        <f t="shared" si="0"/>
        <v>1729.8648000000001</v>
      </c>
      <c r="H57" s="5">
        <f>Table1[[#This Row],[price_screen_bid]]*G57</f>
        <v>66841.97587200001</v>
      </c>
      <c r="I57" s="5">
        <f>Table1[[#This Row],[price_screen_ask]]*G57</f>
        <v>66876.573168000003</v>
      </c>
    </row>
    <row r="58" spans="1:9" x14ac:dyDescent="0.25">
      <c r="A58" t="s">
        <v>11</v>
      </c>
      <c r="B58" s="5">
        <v>58.2</v>
      </c>
      <c r="C58" s="5">
        <v>58.21</v>
      </c>
      <c r="D58" t="s">
        <v>19</v>
      </c>
      <c r="E58" s="3">
        <v>1148.7979</v>
      </c>
      <c r="F58" s="3">
        <f t="shared" ref="E58:F58" si="46">F48</f>
        <v>-0.05</v>
      </c>
      <c r="G58" s="3">
        <f t="shared" si="0"/>
        <v>1148.8479</v>
      </c>
      <c r="H58" s="5">
        <f>Table1[[#This Row],[price_screen_bid]]*G58</f>
        <v>66862.947780000002</v>
      </c>
      <c r="I58" s="5">
        <f>Table1[[#This Row],[price_screen_ask]]*G58</f>
        <v>66874.436258999995</v>
      </c>
    </row>
    <row r="59" spans="1:9" x14ac:dyDescent="0.25">
      <c r="A59" t="s">
        <v>12</v>
      </c>
      <c r="B59" s="5">
        <v>51.88</v>
      </c>
      <c r="C59" s="5">
        <v>51.89</v>
      </c>
      <c r="D59" t="s">
        <v>19</v>
      </c>
      <c r="E59" s="3">
        <v>1288.6904999999999</v>
      </c>
      <c r="F59" s="3">
        <f t="shared" ref="E59:F59" si="47">F49</f>
        <v>0.05</v>
      </c>
      <c r="G59" s="3">
        <f t="shared" si="0"/>
        <v>1288.6405</v>
      </c>
      <c r="H59" s="5">
        <f>Table1[[#This Row],[price_screen_bid]]*G59</f>
        <v>66854.669139999998</v>
      </c>
      <c r="I59" s="5">
        <f>Table1[[#This Row],[price_screen_ask]]*G59</f>
        <v>66867.555544999996</v>
      </c>
    </row>
    <row r="60" spans="1:9" x14ac:dyDescent="0.25">
      <c r="A60" t="s">
        <v>13</v>
      </c>
      <c r="B60" s="5">
        <v>18.91</v>
      </c>
      <c r="C60" s="5">
        <v>18.920000000000002</v>
      </c>
      <c r="D60" t="s">
        <v>19</v>
      </c>
      <c r="E60" s="3">
        <v>3535.8029000000001</v>
      </c>
      <c r="F60" s="3">
        <f t="shared" ref="E60:F60" si="48">F50</f>
        <v>0</v>
      </c>
      <c r="G60" s="3">
        <f t="shared" si="0"/>
        <v>3535.8029000000001</v>
      </c>
      <c r="H60" s="5">
        <f>Table1[[#This Row],[price_screen_bid]]*G60</f>
        <v>66862.032839000007</v>
      </c>
      <c r="I60" s="5">
        <f>Table1[[#This Row],[price_screen_ask]]*G60</f>
        <v>66897.390868000002</v>
      </c>
    </row>
    <row r="61" spans="1:9" x14ac:dyDescent="0.25">
      <c r="A61" t="s">
        <v>14</v>
      </c>
      <c r="B61" s="5">
        <v>37.89</v>
      </c>
      <c r="C61" s="5">
        <v>37.9</v>
      </c>
      <c r="D61" t="s">
        <v>19</v>
      </c>
      <c r="E61" s="3">
        <v>1764.9746</v>
      </c>
      <c r="F61" s="3">
        <f t="shared" ref="E61:F61" si="49">F51</f>
        <v>0</v>
      </c>
      <c r="G61" s="3">
        <f t="shared" si="0"/>
        <v>1764.9746</v>
      </c>
      <c r="H61" s="5">
        <f>Table1[[#This Row],[price_screen_bid]]*G61</f>
        <v>66874.887594</v>
      </c>
      <c r="I61" s="5">
        <f>Table1[[#This Row],[price_screen_ask]]*G61</f>
        <v>66892.537339999995</v>
      </c>
    </row>
    <row r="62" spans="1:9" x14ac:dyDescent="0.25">
      <c r="A62" t="s">
        <v>4</v>
      </c>
      <c r="B62" s="5">
        <v>22.14</v>
      </c>
      <c r="C62" s="5">
        <v>22.15</v>
      </c>
      <c r="D62" t="s">
        <v>20</v>
      </c>
      <c r="E62" s="3">
        <v>3014.8276999999998</v>
      </c>
      <c r="F62" s="3">
        <f t="shared" ref="E62:F62" si="50">F52</f>
        <v>0.1</v>
      </c>
      <c r="G62" s="3">
        <f t="shared" si="0"/>
        <v>3014.7276999999999</v>
      </c>
      <c r="H62" s="5">
        <f>Table1[[#This Row],[price_screen_bid]]*G62</f>
        <v>66746.071278000003</v>
      </c>
      <c r="I62" s="5">
        <f>Table1[[#This Row],[price_screen_ask]]*G62</f>
        <v>66776.218554999999</v>
      </c>
    </row>
    <row r="63" spans="1:9" x14ac:dyDescent="0.25">
      <c r="A63" t="s">
        <v>6</v>
      </c>
      <c r="B63" s="5">
        <v>36.24</v>
      </c>
      <c r="C63" s="5">
        <v>36.25</v>
      </c>
      <c r="D63" t="s">
        <v>20</v>
      </c>
      <c r="E63" s="3">
        <v>1842.0398</v>
      </c>
      <c r="F63" s="3">
        <f t="shared" ref="E63:F63" si="51">F53</f>
        <v>-0.1</v>
      </c>
      <c r="G63" s="3">
        <f t="shared" si="0"/>
        <v>1842.1397999999999</v>
      </c>
      <c r="H63" s="5">
        <f>Table1[[#This Row],[price_screen_bid]]*G63</f>
        <v>66759.146351999996</v>
      </c>
      <c r="I63" s="5">
        <f>Table1[[#This Row],[price_screen_ask]]*G63</f>
        <v>66777.567750000002</v>
      </c>
    </row>
    <row r="64" spans="1:9" x14ac:dyDescent="0.25">
      <c r="A64" t="s">
        <v>7</v>
      </c>
      <c r="B64" s="5">
        <v>18.82</v>
      </c>
      <c r="C64" s="5">
        <v>18.829999999999998</v>
      </c>
      <c r="D64" t="s">
        <v>20</v>
      </c>
      <c r="E64" s="3">
        <v>3546.4313999999999</v>
      </c>
      <c r="F64" s="3">
        <f t="shared" ref="E64:F64" si="52">F54</f>
        <v>0</v>
      </c>
      <c r="G64" s="3">
        <f t="shared" si="0"/>
        <v>3546.4313999999999</v>
      </c>
      <c r="H64" s="5">
        <f>Table1[[#This Row],[price_screen_bid]]*G64</f>
        <v>66743.838948000004</v>
      </c>
      <c r="I64" s="5">
        <f>Table1[[#This Row],[price_screen_ask]]*G64</f>
        <v>66779.303261999987</v>
      </c>
    </row>
    <row r="65" spans="1:9" x14ac:dyDescent="0.25">
      <c r="A65" t="s">
        <v>8</v>
      </c>
      <c r="B65" s="5">
        <v>29.52</v>
      </c>
      <c r="C65" s="5">
        <v>29.53</v>
      </c>
      <c r="D65" t="s">
        <v>20</v>
      </c>
      <c r="E65" s="3">
        <v>2261.2764999999999</v>
      </c>
      <c r="F65" s="3">
        <f t="shared" ref="E65:F65" si="53">F55</f>
        <v>-0.2</v>
      </c>
      <c r="G65" s="3">
        <f t="shared" si="0"/>
        <v>2261.4764999999998</v>
      </c>
      <c r="H65" s="5">
        <f>Table1[[#This Row],[price_screen_bid]]*G65</f>
        <v>66758.786279999986</v>
      </c>
      <c r="I65" s="5">
        <f>Table1[[#This Row],[price_screen_ask]]*G65</f>
        <v>66781.401044999991</v>
      </c>
    </row>
    <row r="66" spans="1:9" x14ac:dyDescent="0.25">
      <c r="A66" t="s">
        <v>9</v>
      </c>
      <c r="B66" s="5">
        <v>70.540000000000006</v>
      </c>
      <c r="C66" s="5">
        <v>70.650000000000006</v>
      </c>
      <c r="D66" t="s">
        <v>20</v>
      </c>
      <c r="E66" s="3">
        <v>946.09090000000003</v>
      </c>
      <c r="F66" s="3">
        <f t="shared" ref="E66:F66" si="54">F56</f>
        <v>0</v>
      </c>
      <c r="G66" s="3">
        <f t="shared" si="0"/>
        <v>946.09090000000003</v>
      </c>
      <c r="H66" s="5">
        <f>Table1[[#This Row],[price_screen_bid]]*G66</f>
        <v>66737.252086000008</v>
      </c>
      <c r="I66" s="5">
        <f>Table1[[#This Row],[price_screen_ask]]*G66</f>
        <v>66841.322085000007</v>
      </c>
    </row>
    <row r="67" spans="1:9" x14ac:dyDescent="0.25">
      <c r="A67" t="s">
        <v>10</v>
      </c>
      <c r="B67" s="5">
        <v>38.58</v>
      </c>
      <c r="C67" s="5">
        <v>38.6</v>
      </c>
      <c r="D67" t="s">
        <v>20</v>
      </c>
      <c r="E67" s="3">
        <v>1730.0648000000001</v>
      </c>
      <c r="F67" s="3">
        <f t="shared" ref="E67:F67" si="55">F57</f>
        <v>0.2</v>
      </c>
      <c r="G67" s="3">
        <f t="shared" ref="G67:G130" si="56">E67-F67</f>
        <v>1729.8648000000001</v>
      </c>
      <c r="H67" s="5">
        <f>Table1[[#This Row],[price_screen_bid]]*G67</f>
        <v>66738.183984000003</v>
      </c>
      <c r="I67" s="5">
        <f>Table1[[#This Row],[price_screen_ask]]*G67</f>
        <v>66772.78128000001</v>
      </c>
    </row>
    <row r="68" spans="1:9" x14ac:dyDescent="0.25">
      <c r="A68" t="s">
        <v>11</v>
      </c>
      <c r="B68" s="5">
        <v>58.1</v>
      </c>
      <c r="C68" s="5">
        <v>58.11</v>
      </c>
      <c r="D68" t="s">
        <v>20</v>
      </c>
      <c r="E68" s="3">
        <v>1148.7979</v>
      </c>
      <c r="F68" s="3">
        <f t="shared" ref="E68:F68" si="57">F58</f>
        <v>-0.05</v>
      </c>
      <c r="G68" s="3">
        <f t="shared" si="56"/>
        <v>1148.8479</v>
      </c>
      <c r="H68" s="5">
        <f>Table1[[#This Row],[price_screen_bid]]*G68</f>
        <v>66748.062990000006</v>
      </c>
      <c r="I68" s="5">
        <f>Table1[[#This Row],[price_screen_ask]]*G68</f>
        <v>66759.551468999998</v>
      </c>
    </row>
    <row r="69" spans="1:9" x14ac:dyDescent="0.25">
      <c r="A69" t="s">
        <v>12</v>
      </c>
      <c r="B69" s="5">
        <v>51.79</v>
      </c>
      <c r="C69" s="5">
        <v>51.8</v>
      </c>
      <c r="D69" t="s">
        <v>20</v>
      </c>
      <c r="E69" s="3">
        <v>1288.6904999999999</v>
      </c>
      <c r="F69" s="3">
        <f t="shared" ref="E69:F69" si="58">F59</f>
        <v>0.05</v>
      </c>
      <c r="G69" s="3">
        <f t="shared" si="56"/>
        <v>1288.6405</v>
      </c>
      <c r="H69" s="5">
        <f>Table1[[#This Row],[price_screen_bid]]*G69</f>
        <v>66738.691494999992</v>
      </c>
      <c r="I69" s="5">
        <f>Table1[[#This Row],[price_screen_ask]]*G69</f>
        <v>66751.577899999989</v>
      </c>
    </row>
    <row r="70" spans="1:9" x14ac:dyDescent="0.25">
      <c r="A70" t="s">
        <v>13</v>
      </c>
      <c r="B70" s="5">
        <v>18.87</v>
      </c>
      <c r="C70" s="5">
        <v>18.88</v>
      </c>
      <c r="D70" t="s">
        <v>20</v>
      </c>
      <c r="E70" s="3">
        <v>3535.8029000000001</v>
      </c>
      <c r="F70" s="3">
        <f t="shared" ref="E70:F70" si="59">F60</f>
        <v>0</v>
      </c>
      <c r="G70" s="3">
        <f t="shared" si="56"/>
        <v>3535.8029000000001</v>
      </c>
      <c r="H70" s="5">
        <f>Table1[[#This Row],[price_screen_bid]]*G70</f>
        <v>66720.60072300001</v>
      </c>
      <c r="I70" s="5">
        <f>Table1[[#This Row],[price_screen_ask]]*G70</f>
        <v>66755.958752000006</v>
      </c>
    </row>
    <row r="71" spans="1:9" x14ac:dyDescent="0.25">
      <c r="A71" t="s">
        <v>14</v>
      </c>
      <c r="B71" s="5">
        <v>37.82</v>
      </c>
      <c r="C71" s="5">
        <v>37.83</v>
      </c>
      <c r="D71" t="s">
        <v>20</v>
      </c>
      <c r="E71" s="3">
        <v>1764.9746</v>
      </c>
      <c r="F71" s="3">
        <f t="shared" ref="E71:F71" si="60">F61</f>
        <v>0</v>
      </c>
      <c r="G71" s="3">
        <f t="shared" si="56"/>
        <v>1764.9746</v>
      </c>
      <c r="H71" s="5">
        <f>Table1[[#This Row],[price_screen_bid]]*G71</f>
        <v>66751.339372000002</v>
      </c>
      <c r="I71" s="5">
        <f>Table1[[#This Row],[price_screen_ask]]*G71</f>
        <v>66768.989117999998</v>
      </c>
    </row>
    <row r="72" spans="1:9" x14ac:dyDescent="0.25">
      <c r="A72" t="s">
        <v>4</v>
      </c>
      <c r="B72" s="5">
        <v>22.15</v>
      </c>
      <c r="C72" s="5">
        <v>22.16</v>
      </c>
      <c r="D72" t="s">
        <v>21</v>
      </c>
      <c r="E72" s="3">
        <v>3014.8276999999998</v>
      </c>
      <c r="F72" s="3">
        <f t="shared" ref="E72:F72" si="61">F62</f>
        <v>0.1</v>
      </c>
      <c r="G72" s="3">
        <f t="shared" si="56"/>
        <v>3014.7276999999999</v>
      </c>
      <c r="H72" s="5">
        <f>Table1[[#This Row],[price_screen_bid]]*G72</f>
        <v>66776.218554999999</v>
      </c>
      <c r="I72" s="5">
        <f>Table1[[#This Row],[price_screen_ask]]*G72</f>
        <v>66806.365831999996</v>
      </c>
    </row>
    <row r="73" spans="1:9" x14ac:dyDescent="0.25">
      <c r="A73" t="s">
        <v>6</v>
      </c>
      <c r="B73" s="5">
        <v>36.26</v>
      </c>
      <c r="C73" s="5">
        <v>36.270000000000003</v>
      </c>
      <c r="D73" t="s">
        <v>21</v>
      </c>
      <c r="E73" s="3">
        <v>1842.0398</v>
      </c>
      <c r="F73" s="3">
        <f t="shared" ref="E73:F73" si="62">F63</f>
        <v>-0.1</v>
      </c>
      <c r="G73" s="3">
        <f t="shared" si="56"/>
        <v>1842.1397999999999</v>
      </c>
      <c r="H73" s="5">
        <f>Table1[[#This Row],[price_screen_bid]]*G73</f>
        <v>66795.989147999993</v>
      </c>
      <c r="I73" s="5">
        <f>Table1[[#This Row],[price_screen_ask]]*G73</f>
        <v>66814.410545999999</v>
      </c>
    </row>
    <row r="74" spans="1:9" x14ac:dyDescent="0.25">
      <c r="A74" t="s">
        <v>7</v>
      </c>
      <c r="B74" s="5">
        <v>18.829999999999998</v>
      </c>
      <c r="C74" s="5">
        <v>18.84</v>
      </c>
      <c r="D74" t="s">
        <v>21</v>
      </c>
      <c r="E74" s="3">
        <v>3546.4313999999999</v>
      </c>
      <c r="F74" s="3">
        <f t="shared" ref="E74:F74" si="63">F64</f>
        <v>0</v>
      </c>
      <c r="G74" s="3">
        <f t="shared" si="56"/>
        <v>3546.4313999999999</v>
      </c>
      <c r="H74" s="5">
        <f>Table1[[#This Row],[price_screen_bid]]*G74</f>
        <v>66779.303261999987</v>
      </c>
      <c r="I74" s="5">
        <f>Table1[[#This Row],[price_screen_ask]]*G74</f>
        <v>66814.767575999998</v>
      </c>
    </row>
    <row r="75" spans="1:9" x14ac:dyDescent="0.25">
      <c r="A75" t="s">
        <v>8</v>
      </c>
      <c r="B75" s="5">
        <v>29.54</v>
      </c>
      <c r="C75" s="5">
        <v>29.55</v>
      </c>
      <c r="D75" t="s">
        <v>21</v>
      </c>
      <c r="E75" s="3">
        <v>2261.2764999999999</v>
      </c>
      <c r="F75" s="3">
        <f t="shared" ref="E75:F75" si="64">F65</f>
        <v>-0.2</v>
      </c>
      <c r="G75" s="3">
        <f t="shared" si="56"/>
        <v>2261.4764999999998</v>
      </c>
      <c r="H75" s="5">
        <f>Table1[[#This Row],[price_screen_bid]]*G75</f>
        <v>66804.015809999997</v>
      </c>
      <c r="I75" s="5">
        <f>Table1[[#This Row],[price_screen_ask]]*G75</f>
        <v>66826.630574999988</v>
      </c>
    </row>
    <row r="76" spans="1:9" x14ac:dyDescent="0.25">
      <c r="A76" t="s">
        <v>9</v>
      </c>
      <c r="B76" s="5">
        <v>70.56</v>
      </c>
      <c r="C76" s="5">
        <v>70.66</v>
      </c>
      <c r="D76" t="s">
        <v>21</v>
      </c>
      <c r="E76" s="3">
        <v>946.09090000000003</v>
      </c>
      <c r="F76" s="3">
        <f t="shared" ref="E76:F76" si="65">F66</f>
        <v>0</v>
      </c>
      <c r="G76" s="3">
        <f t="shared" si="56"/>
        <v>946.09090000000003</v>
      </c>
      <c r="H76" s="5">
        <f>Table1[[#This Row],[price_screen_bid]]*G76</f>
        <v>66756.17390400001</v>
      </c>
      <c r="I76" s="5">
        <f>Table1[[#This Row],[price_screen_ask]]*G76</f>
        <v>66850.782993999994</v>
      </c>
    </row>
    <row r="77" spans="1:9" x14ac:dyDescent="0.25">
      <c r="A77" t="s">
        <v>10</v>
      </c>
      <c r="B77" s="5">
        <v>38.590000000000003</v>
      </c>
      <c r="C77" s="5">
        <v>38.619999999999997</v>
      </c>
      <c r="D77" t="s">
        <v>21</v>
      </c>
      <c r="E77" s="3">
        <v>1730.0648000000001</v>
      </c>
      <c r="F77" s="3">
        <f t="shared" ref="E77:F77" si="66">F67</f>
        <v>0.2</v>
      </c>
      <c r="G77" s="3">
        <f t="shared" si="56"/>
        <v>1729.8648000000001</v>
      </c>
      <c r="H77" s="5">
        <f>Table1[[#This Row],[price_screen_bid]]*G77</f>
        <v>66755.482632000014</v>
      </c>
      <c r="I77" s="5">
        <f>Table1[[#This Row],[price_screen_ask]]*G77</f>
        <v>66807.378576000003</v>
      </c>
    </row>
    <row r="78" spans="1:9" x14ac:dyDescent="0.25">
      <c r="A78" t="s">
        <v>11</v>
      </c>
      <c r="B78" s="5">
        <v>58.13</v>
      </c>
      <c r="C78" s="5">
        <v>58.14</v>
      </c>
      <c r="D78" t="s">
        <v>21</v>
      </c>
      <c r="E78" s="3">
        <v>1148.7979</v>
      </c>
      <c r="F78" s="3">
        <f t="shared" ref="E78:F78" si="67">F68</f>
        <v>-0.05</v>
      </c>
      <c r="G78" s="3">
        <f t="shared" si="56"/>
        <v>1148.8479</v>
      </c>
      <c r="H78" s="5">
        <f>Table1[[#This Row],[price_screen_bid]]*G78</f>
        <v>66782.528426999997</v>
      </c>
      <c r="I78" s="5">
        <f>Table1[[#This Row],[price_screen_ask]]*G78</f>
        <v>66794.016906000004</v>
      </c>
    </row>
    <row r="79" spans="1:9" x14ac:dyDescent="0.25">
      <c r="A79" t="s">
        <v>12</v>
      </c>
      <c r="B79" s="5">
        <v>51.82</v>
      </c>
      <c r="C79" s="5">
        <v>51.83</v>
      </c>
      <c r="D79" t="s">
        <v>21</v>
      </c>
      <c r="E79" s="3">
        <v>1288.6904999999999</v>
      </c>
      <c r="F79" s="3">
        <f t="shared" ref="E79:F79" si="68">F69</f>
        <v>0.05</v>
      </c>
      <c r="G79" s="3">
        <f t="shared" si="56"/>
        <v>1288.6405</v>
      </c>
      <c r="H79" s="5">
        <f>Table1[[#This Row],[price_screen_bid]]*G79</f>
        <v>66777.350709999999</v>
      </c>
      <c r="I79" s="5">
        <f>Table1[[#This Row],[price_screen_ask]]*G79</f>
        <v>66790.237114999996</v>
      </c>
    </row>
    <row r="80" spans="1:9" x14ac:dyDescent="0.25">
      <c r="A80" t="s">
        <v>13</v>
      </c>
      <c r="B80" s="5">
        <v>18.89</v>
      </c>
      <c r="C80" s="5">
        <v>18.899999999999999</v>
      </c>
      <c r="D80" t="s">
        <v>21</v>
      </c>
      <c r="E80" s="3">
        <v>3535.8029000000001</v>
      </c>
      <c r="F80" s="3">
        <f t="shared" ref="E80:F80" si="69">F70</f>
        <v>0</v>
      </c>
      <c r="G80" s="3">
        <f t="shared" si="56"/>
        <v>3535.8029000000001</v>
      </c>
      <c r="H80" s="5">
        <f>Table1[[#This Row],[price_screen_bid]]*G80</f>
        <v>66791.316781000001</v>
      </c>
      <c r="I80" s="5">
        <f>Table1[[#This Row],[price_screen_ask]]*G80</f>
        <v>66826.674809999997</v>
      </c>
    </row>
    <row r="81" spans="1:9" x14ac:dyDescent="0.25">
      <c r="A81" t="s">
        <v>14</v>
      </c>
      <c r="B81" s="5">
        <v>37.840000000000003</v>
      </c>
      <c r="C81" s="5">
        <v>37.85</v>
      </c>
      <c r="D81" t="s">
        <v>21</v>
      </c>
      <c r="E81" s="3">
        <v>1764.9746</v>
      </c>
      <c r="F81" s="3">
        <f t="shared" ref="E81:F81" si="70">F71</f>
        <v>0</v>
      </c>
      <c r="G81" s="3">
        <f t="shared" si="56"/>
        <v>1764.9746</v>
      </c>
      <c r="H81" s="5">
        <f>Table1[[#This Row],[price_screen_bid]]*G81</f>
        <v>66786.638864000008</v>
      </c>
      <c r="I81" s="5">
        <f>Table1[[#This Row],[price_screen_ask]]*G81</f>
        <v>66804.288610000003</v>
      </c>
    </row>
    <row r="82" spans="1:9" x14ac:dyDescent="0.25">
      <c r="A82" t="s">
        <v>4</v>
      </c>
      <c r="B82" s="5">
        <v>22.15</v>
      </c>
      <c r="C82" s="5">
        <v>22.16</v>
      </c>
      <c r="D82" t="s">
        <v>22</v>
      </c>
      <c r="E82" s="3">
        <v>3014.8276999999998</v>
      </c>
      <c r="F82" s="3">
        <f t="shared" ref="E82:F82" si="71">F72</f>
        <v>0.1</v>
      </c>
      <c r="G82" s="3">
        <f t="shared" si="56"/>
        <v>3014.7276999999999</v>
      </c>
      <c r="H82" s="5">
        <f>Table1[[#This Row],[price_screen_bid]]*G82</f>
        <v>66776.218554999999</v>
      </c>
      <c r="I82" s="5">
        <f>Table1[[#This Row],[price_screen_ask]]*G82</f>
        <v>66806.365831999996</v>
      </c>
    </row>
    <row r="83" spans="1:9" x14ac:dyDescent="0.25">
      <c r="A83" t="s">
        <v>6</v>
      </c>
      <c r="B83" s="5">
        <v>36.26</v>
      </c>
      <c r="C83" s="5">
        <v>36.270000000000003</v>
      </c>
      <c r="D83" t="s">
        <v>22</v>
      </c>
      <c r="E83" s="3">
        <v>1842.0398</v>
      </c>
      <c r="F83" s="3">
        <f t="shared" ref="E83:F83" si="72">F73</f>
        <v>-0.1</v>
      </c>
      <c r="G83" s="3">
        <f t="shared" si="56"/>
        <v>1842.1397999999999</v>
      </c>
      <c r="H83" s="5">
        <f>Table1[[#This Row],[price_screen_bid]]*G83</f>
        <v>66795.989147999993</v>
      </c>
      <c r="I83" s="5">
        <f>Table1[[#This Row],[price_screen_ask]]*G83</f>
        <v>66814.410545999999</v>
      </c>
    </row>
    <row r="84" spans="1:9" x14ac:dyDescent="0.25">
      <c r="A84" t="s">
        <v>7</v>
      </c>
      <c r="B84" s="5">
        <v>18.829999999999998</v>
      </c>
      <c r="C84" s="5">
        <v>18.84</v>
      </c>
      <c r="D84" t="s">
        <v>22</v>
      </c>
      <c r="E84" s="3">
        <v>3546.4313999999999</v>
      </c>
      <c r="F84" s="3">
        <f t="shared" ref="E84:F84" si="73">F74</f>
        <v>0</v>
      </c>
      <c r="G84" s="3">
        <f t="shared" si="56"/>
        <v>3546.4313999999999</v>
      </c>
      <c r="H84" s="5">
        <f>Table1[[#This Row],[price_screen_bid]]*G84</f>
        <v>66779.303261999987</v>
      </c>
      <c r="I84" s="5">
        <f>Table1[[#This Row],[price_screen_ask]]*G84</f>
        <v>66814.767575999998</v>
      </c>
    </row>
    <row r="85" spans="1:9" x14ac:dyDescent="0.25">
      <c r="A85" t="s">
        <v>8</v>
      </c>
      <c r="B85" s="5">
        <v>29.54</v>
      </c>
      <c r="C85" s="5">
        <v>29.55</v>
      </c>
      <c r="D85" t="s">
        <v>22</v>
      </c>
      <c r="E85" s="3">
        <v>2261.2764999999999</v>
      </c>
      <c r="F85" s="3">
        <f t="shared" ref="E85:F85" si="74">F75</f>
        <v>-0.2</v>
      </c>
      <c r="G85" s="3">
        <f t="shared" si="56"/>
        <v>2261.4764999999998</v>
      </c>
      <c r="H85" s="5">
        <f>Table1[[#This Row],[price_screen_bid]]*G85</f>
        <v>66804.015809999997</v>
      </c>
      <c r="I85" s="5">
        <f>Table1[[#This Row],[price_screen_ask]]*G85</f>
        <v>66826.630574999988</v>
      </c>
    </row>
    <row r="86" spans="1:9" x14ac:dyDescent="0.25">
      <c r="A86" t="s">
        <v>9</v>
      </c>
      <c r="B86" s="5">
        <v>70.569999999999993</v>
      </c>
      <c r="C86" s="5">
        <v>70.680000000000007</v>
      </c>
      <c r="D86" t="s">
        <v>22</v>
      </c>
      <c r="E86" s="3">
        <v>946.09090000000003</v>
      </c>
      <c r="F86" s="3">
        <f t="shared" ref="E86:F86" si="75">F76</f>
        <v>0</v>
      </c>
      <c r="G86" s="3">
        <f t="shared" si="56"/>
        <v>946.09090000000003</v>
      </c>
      <c r="H86" s="5">
        <f>Table1[[#This Row],[price_screen_bid]]*G86</f>
        <v>66765.634812999997</v>
      </c>
      <c r="I86" s="5">
        <f>Table1[[#This Row],[price_screen_ask]]*G86</f>
        <v>66869.704812000011</v>
      </c>
    </row>
    <row r="87" spans="1:9" x14ac:dyDescent="0.25">
      <c r="A87" t="s">
        <v>10</v>
      </c>
      <c r="B87" s="5">
        <v>38.58</v>
      </c>
      <c r="C87" s="5">
        <v>38.61</v>
      </c>
      <c r="D87" t="s">
        <v>22</v>
      </c>
      <c r="E87" s="3">
        <v>1730.0648000000001</v>
      </c>
      <c r="F87" s="3">
        <f t="shared" ref="E87:F87" si="76">F77</f>
        <v>0.2</v>
      </c>
      <c r="G87" s="3">
        <f t="shared" si="56"/>
        <v>1729.8648000000001</v>
      </c>
      <c r="H87" s="5">
        <f>Table1[[#This Row],[price_screen_bid]]*G87</f>
        <v>66738.183984000003</v>
      </c>
      <c r="I87" s="5">
        <f>Table1[[#This Row],[price_screen_ask]]*G87</f>
        <v>66790.079928000006</v>
      </c>
    </row>
    <row r="88" spans="1:9" x14ac:dyDescent="0.25">
      <c r="A88" t="s">
        <v>11</v>
      </c>
      <c r="B88" s="5">
        <v>58.12</v>
      </c>
      <c r="C88" s="5">
        <v>58.13</v>
      </c>
      <c r="D88" t="s">
        <v>22</v>
      </c>
      <c r="E88" s="3">
        <v>1148.7979</v>
      </c>
      <c r="F88" s="3">
        <f t="shared" ref="E88:F88" si="77">F78</f>
        <v>-0.05</v>
      </c>
      <c r="G88" s="3">
        <f t="shared" si="56"/>
        <v>1148.8479</v>
      </c>
      <c r="H88" s="5">
        <f>Table1[[#This Row],[price_screen_bid]]*G88</f>
        <v>66771.039947999991</v>
      </c>
      <c r="I88" s="5">
        <f>Table1[[#This Row],[price_screen_ask]]*G88</f>
        <v>66782.528426999997</v>
      </c>
    </row>
    <row r="89" spans="1:9" x14ac:dyDescent="0.25">
      <c r="A89" t="s">
        <v>12</v>
      </c>
      <c r="B89" s="5">
        <v>51.81</v>
      </c>
      <c r="C89" s="5">
        <v>51.82</v>
      </c>
      <c r="D89" t="s">
        <v>22</v>
      </c>
      <c r="E89" s="3">
        <v>1288.6904999999999</v>
      </c>
      <c r="F89" s="3">
        <f t="shared" ref="E89:F89" si="78">F79</f>
        <v>0.05</v>
      </c>
      <c r="G89" s="3">
        <f t="shared" si="56"/>
        <v>1288.6405</v>
      </c>
      <c r="H89" s="5">
        <f>Table1[[#This Row],[price_screen_bid]]*G89</f>
        <v>66764.464305000001</v>
      </c>
      <c r="I89" s="5">
        <f>Table1[[#This Row],[price_screen_ask]]*G89</f>
        <v>66777.350709999999</v>
      </c>
    </row>
    <row r="90" spans="1:9" x14ac:dyDescent="0.25">
      <c r="A90" t="s">
        <v>13</v>
      </c>
      <c r="B90" s="5">
        <v>18.88</v>
      </c>
      <c r="C90" s="5">
        <v>18.89</v>
      </c>
      <c r="D90" t="s">
        <v>22</v>
      </c>
      <c r="E90" s="3">
        <v>3535.8029000000001</v>
      </c>
      <c r="F90" s="3">
        <f t="shared" ref="E90:F90" si="79">F80</f>
        <v>0</v>
      </c>
      <c r="G90" s="3">
        <f t="shared" si="56"/>
        <v>3535.8029000000001</v>
      </c>
      <c r="H90" s="5">
        <f>Table1[[#This Row],[price_screen_bid]]*G90</f>
        <v>66755.958752000006</v>
      </c>
      <c r="I90" s="5">
        <f>Table1[[#This Row],[price_screen_ask]]*G90</f>
        <v>66791.316781000001</v>
      </c>
    </row>
    <row r="91" spans="1:9" x14ac:dyDescent="0.25">
      <c r="A91" t="s">
        <v>14</v>
      </c>
      <c r="B91" s="5">
        <v>37.840000000000003</v>
      </c>
      <c r="C91" s="5">
        <v>37.85</v>
      </c>
      <c r="D91" t="s">
        <v>22</v>
      </c>
      <c r="E91" s="3">
        <v>1764.9746</v>
      </c>
      <c r="F91" s="3">
        <f t="shared" ref="E91:F91" si="80">F81</f>
        <v>0</v>
      </c>
      <c r="G91" s="3">
        <f t="shared" si="56"/>
        <v>1764.9746</v>
      </c>
      <c r="H91" s="5">
        <f>Table1[[#This Row],[price_screen_bid]]*G91</f>
        <v>66786.638864000008</v>
      </c>
      <c r="I91" s="5">
        <f>Table1[[#This Row],[price_screen_ask]]*G91</f>
        <v>66804.288610000003</v>
      </c>
    </row>
    <row r="92" spans="1:9" x14ac:dyDescent="0.25">
      <c r="A92" t="s">
        <v>4</v>
      </c>
      <c r="B92" s="5">
        <v>22.18</v>
      </c>
      <c r="C92" s="5">
        <v>22.19</v>
      </c>
      <c r="D92" t="s">
        <v>23</v>
      </c>
      <c r="E92" s="3">
        <v>3014.8276999999998</v>
      </c>
      <c r="F92" s="3">
        <f t="shared" ref="E92:F92" si="81">F82</f>
        <v>0.1</v>
      </c>
      <c r="G92" s="3">
        <f t="shared" si="56"/>
        <v>3014.7276999999999</v>
      </c>
      <c r="H92" s="5">
        <f>Table1[[#This Row],[price_screen_bid]]*G92</f>
        <v>66866.660386000003</v>
      </c>
      <c r="I92" s="5">
        <f>Table1[[#This Row],[price_screen_ask]]*G92</f>
        <v>66896.807663</v>
      </c>
    </row>
    <row r="93" spans="1:9" x14ac:dyDescent="0.25">
      <c r="A93" t="s">
        <v>6</v>
      </c>
      <c r="B93" s="5">
        <v>36.299999999999997</v>
      </c>
      <c r="C93" s="5">
        <v>36.31</v>
      </c>
      <c r="D93" t="s">
        <v>23</v>
      </c>
      <c r="E93" s="3">
        <v>1842.0398</v>
      </c>
      <c r="F93" s="3">
        <f t="shared" ref="E93:F93" si="82">F83</f>
        <v>-0.1</v>
      </c>
      <c r="G93" s="3">
        <f t="shared" si="56"/>
        <v>1842.1397999999999</v>
      </c>
      <c r="H93" s="5">
        <f>Table1[[#This Row],[price_screen_bid]]*G93</f>
        <v>66869.674739999988</v>
      </c>
      <c r="I93" s="5">
        <f>Table1[[#This Row],[price_screen_ask]]*G93</f>
        <v>66888.096138000008</v>
      </c>
    </row>
    <row r="94" spans="1:9" x14ac:dyDescent="0.25">
      <c r="A94" t="s">
        <v>7</v>
      </c>
      <c r="B94" s="5">
        <v>18.86</v>
      </c>
      <c r="C94" s="5">
        <v>18.87</v>
      </c>
      <c r="D94" t="s">
        <v>23</v>
      </c>
      <c r="E94" s="3">
        <v>3546.4313999999999</v>
      </c>
      <c r="F94" s="3">
        <f t="shared" ref="E94:F94" si="83">F84</f>
        <v>0</v>
      </c>
      <c r="G94" s="3">
        <f t="shared" si="56"/>
        <v>3546.4313999999999</v>
      </c>
      <c r="H94" s="5">
        <f>Table1[[#This Row],[price_screen_bid]]*G94</f>
        <v>66885.696203999993</v>
      </c>
      <c r="I94" s="5">
        <f>Table1[[#This Row],[price_screen_ask]]*G94</f>
        <v>66921.160518000004</v>
      </c>
    </row>
    <row r="95" spans="1:9" x14ac:dyDescent="0.25">
      <c r="A95" t="s">
        <v>8</v>
      </c>
      <c r="B95" s="5">
        <v>29.57</v>
      </c>
      <c r="C95" s="5">
        <v>29.58</v>
      </c>
      <c r="D95" t="s">
        <v>23</v>
      </c>
      <c r="E95" s="3">
        <v>2261.2764999999999</v>
      </c>
      <c r="F95" s="3">
        <f t="shared" ref="E95:F95" si="84">F85</f>
        <v>-0.2</v>
      </c>
      <c r="G95" s="3">
        <f t="shared" si="56"/>
        <v>2261.4764999999998</v>
      </c>
      <c r="H95" s="5">
        <f>Table1[[#This Row],[price_screen_bid]]*G95</f>
        <v>66871.860105</v>
      </c>
      <c r="I95" s="5">
        <f>Table1[[#This Row],[price_screen_ask]]*G95</f>
        <v>66894.474869999991</v>
      </c>
    </row>
    <row r="96" spans="1:9" x14ac:dyDescent="0.25">
      <c r="A96" t="s">
        <v>9</v>
      </c>
      <c r="B96" s="5">
        <v>70.64</v>
      </c>
      <c r="C96" s="5">
        <v>70.77</v>
      </c>
      <c r="D96" t="s">
        <v>23</v>
      </c>
      <c r="E96" s="3">
        <v>946.09090000000003</v>
      </c>
      <c r="F96" s="3">
        <f t="shared" ref="E96:F96" si="85">F86</f>
        <v>0</v>
      </c>
      <c r="G96" s="3">
        <f t="shared" si="56"/>
        <v>946.09090000000003</v>
      </c>
      <c r="H96" s="5">
        <f>Table1[[#This Row],[price_screen_bid]]*G96</f>
        <v>66831.861176000006</v>
      </c>
      <c r="I96" s="5">
        <f>Table1[[#This Row],[price_screen_ask]]*G96</f>
        <v>66954.852992999993</v>
      </c>
    </row>
    <row r="97" spans="1:9" x14ac:dyDescent="0.25">
      <c r="A97" t="s">
        <v>10</v>
      </c>
      <c r="B97" s="5">
        <v>38.64</v>
      </c>
      <c r="C97" s="5">
        <v>38.659999999999997</v>
      </c>
      <c r="D97" t="s">
        <v>23</v>
      </c>
      <c r="E97" s="3">
        <v>1730.0648000000001</v>
      </c>
      <c r="F97" s="3">
        <f t="shared" ref="E97:F97" si="86">F87</f>
        <v>0.2</v>
      </c>
      <c r="G97" s="3">
        <f t="shared" si="56"/>
        <v>1729.8648000000001</v>
      </c>
      <c r="H97" s="5">
        <f>Table1[[#This Row],[price_screen_bid]]*G97</f>
        <v>66841.97587200001</v>
      </c>
      <c r="I97" s="5">
        <f>Table1[[#This Row],[price_screen_ask]]*G97</f>
        <v>66876.573168000003</v>
      </c>
    </row>
    <row r="98" spans="1:9" x14ac:dyDescent="0.25">
      <c r="A98" t="s">
        <v>11</v>
      </c>
      <c r="B98" s="5">
        <v>58.2</v>
      </c>
      <c r="C98" s="5">
        <v>58.21</v>
      </c>
      <c r="D98" t="s">
        <v>23</v>
      </c>
      <c r="E98" s="3">
        <v>1148.7979</v>
      </c>
      <c r="F98" s="3">
        <f t="shared" ref="E98:F98" si="87">F88</f>
        <v>-0.05</v>
      </c>
      <c r="G98" s="3">
        <f t="shared" si="56"/>
        <v>1148.8479</v>
      </c>
      <c r="H98" s="5">
        <f>Table1[[#This Row],[price_screen_bid]]*G98</f>
        <v>66862.947780000002</v>
      </c>
      <c r="I98" s="5">
        <f>Table1[[#This Row],[price_screen_ask]]*G98</f>
        <v>66874.436258999995</v>
      </c>
    </row>
    <row r="99" spans="1:9" x14ac:dyDescent="0.25">
      <c r="A99" t="s">
        <v>12</v>
      </c>
      <c r="B99" s="5">
        <v>51.88</v>
      </c>
      <c r="C99" s="5">
        <v>51.89</v>
      </c>
      <c r="D99" t="s">
        <v>23</v>
      </c>
      <c r="E99" s="3">
        <v>1288.6904999999999</v>
      </c>
      <c r="F99" s="3">
        <f t="shared" ref="E99:F99" si="88">F89</f>
        <v>0.05</v>
      </c>
      <c r="G99" s="3">
        <f t="shared" si="56"/>
        <v>1288.6405</v>
      </c>
      <c r="H99" s="5">
        <f>Table1[[#This Row],[price_screen_bid]]*G99</f>
        <v>66854.669139999998</v>
      </c>
      <c r="I99" s="5">
        <f>Table1[[#This Row],[price_screen_ask]]*G99</f>
        <v>66867.555544999996</v>
      </c>
    </row>
    <row r="100" spans="1:9" x14ac:dyDescent="0.25">
      <c r="A100" t="s">
        <v>13</v>
      </c>
      <c r="B100" s="5">
        <v>18.91</v>
      </c>
      <c r="C100" s="5">
        <v>18.920000000000002</v>
      </c>
      <c r="D100" t="s">
        <v>23</v>
      </c>
      <c r="E100" s="3">
        <v>3535.8029000000001</v>
      </c>
      <c r="F100" s="3">
        <f t="shared" ref="E100:F100" si="89">F90</f>
        <v>0</v>
      </c>
      <c r="G100" s="3">
        <f t="shared" si="56"/>
        <v>3535.8029000000001</v>
      </c>
      <c r="H100" s="5">
        <f>Table1[[#This Row],[price_screen_bid]]*G100</f>
        <v>66862.032839000007</v>
      </c>
      <c r="I100" s="5">
        <f>Table1[[#This Row],[price_screen_ask]]*G100</f>
        <v>66897.390868000002</v>
      </c>
    </row>
    <row r="101" spans="1:9" x14ac:dyDescent="0.25">
      <c r="A101" t="s">
        <v>14</v>
      </c>
      <c r="B101" s="5">
        <v>37.880000000000003</v>
      </c>
      <c r="C101" s="5">
        <v>37.89</v>
      </c>
      <c r="D101" t="s">
        <v>23</v>
      </c>
      <c r="E101" s="3">
        <v>1764.9746</v>
      </c>
      <c r="F101" s="3">
        <f t="shared" ref="E101:F101" si="90">F91</f>
        <v>0</v>
      </c>
      <c r="G101" s="3">
        <f t="shared" si="56"/>
        <v>1764.9746</v>
      </c>
      <c r="H101" s="5">
        <f>Table1[[#This Row],[price_screen_bid]]*G101</f>
        <v>66857.237848000004</v>
      </c>
      <c r="I101" s="5">
        <f>Table1[[#This Row],[price_screen_ask]]*G101</f>
        <v>66874.887594</v>
      </c>
    </row>
    <row r="102" spans="1:9" x14ac:dyDescent="0.25">
      <c r="A102" t="s">
        <v>4</v>
      </c>
      <c r="B102" s="5">
        <v>22.15</v>
      </c>
      <c r="C102" s="5">
        <v>22.16</v>
      </c>
      <c r="D102" t="s">
        <v>24</v>
      </c>
      <c r="E102" s="3">
        <v>3014.8276999999998</v>
      </c>
      <c r="F102" s="3">
        <f t="shared" ref="E102:F102" si="91">F92</f>
        <v>0.1</v>
      </c>
      <c r="G102" s="3">
        <f t="shared" si="56"/>
        <v>3014.7276999999999</v>
      </c>
      <c r="H102" s="5">
        <f>Table1[[#This Row],[price_screen_bid]]*G102</f>
        <v>66776.218554999999</v>
      </c>
      <c r="I102" s="5">
        <f>Table1[[#This Row],[price_screen_ask]]*G102</f>
        <v>66806.365831999996</v>
      </c>
    </row>
    <row r="103" spans="1:9" x14ac:dyDescent="0.25">
      <c r="A103" t="s">
        <v>6</v>
      </c>
      <c r="B103" s="5">
        <v>36.26</v>
      </c>
      <c r="C103" s="5">
        <v>36.270000000000003</v>
      </c>
      <c r="D103" t="s">
        <v>24</v>
      </c>
      <c r="E103" s="3">
        <v>1842.0398</v>
      </c>
      <c r="F103" s="3">
        <f t="shared" ref="E103:F103" si="92">F93</f>
        <v>-0.1</v>
      </c>
      <c r="G103" s="3">
        <f t="shared" si="56"/>
        <v>1842.1397999999999</v>
      </c>
      <c r="H103" s="5">
        <f>Table1[[#This Row],[price_screen_bid]]*G103</f>
        <v>66795.989147999993</v>
      </c>
      <c r="I103" s="5">
        <f>Table1[[#This Row],[price_screen_ask]]*G103</f>
        <v>66814.410545999999</v>
      </c>
    </row>
    <row r="104" spans="1:9" x14ac:dyDescent="0.25">
      <c r="A104" t="s">
        <v>7</v>
      </c>
      <c r="B104" s="5">
        <v>18.829999999999998</v>
      </c>
      <c r="C104" s="5">
        <v>18.84</v>
      </c>
      <c r="D104" t="s">
        <v>24</v>
      </c>
      <c r="E104" s="3">
        <v>3546.4313999999999</v>
      </c>
      <c r="F104" s="3">
        <f t="shared" ref="E104:F104" si="93">F94</f>
        <v>0</v>
      </c>
      <c r="G104" s="3">
        <f t="shared" si="56"/>
        <v>3546.4313999999999</v>
      </c>
      <c r="H104" s="5">
        <f>Table1[[#This Row],[price_screen_bid]]*G104</f>
        <v>66779.303261999987</v>
      </c>
      <c r="I104" s="5">
        <f>Table1[[#This Row],[price_screen_ask]]*G104</f>
        <v>66814.767575999998</v>
      </c>
    </row>
    <row r="105" spans="1:9" x14ac:dyDescent="0.25">
      <c r="A105" t="s">
        <v>8</v>
      </c>
      <c r="B105" s="5">
        <v>29.54</v>
      </c>
      <c r="C105" s="5">
        <v>29.55</v>
      </c>
      <c r="D105" t="s">
        <v>24</v>
      </c>
      <c r="E105" s="3">
        <v>2261.2764999999999</v>
      </c>
      <c r="F105" s="3">
        <f t="shared" ref="E105:F105" si="94">F95</f>
        <v>-0.2</v>
      </c>
      <c r="G105" s="3">
        <f t="shared" si="56"/>
        <v>2261.4764999999998</v>
      </c>
      <c r="H105" s="5">
        <f>Table1[[#This Row],[price_screen_bid]]*G105</f>
        <v>66804.015809999997</v>
      </c>
      <c r="I105" s="5">
        <f>Table1[[#This Row],[price_screen_ask]]*G105</f>
        <v>66826.630574999988</v>
      </c>
    </row>
    <row r="106" spans="1:9" x14ac:dyDescent="0.25">
      <c r="A106" t="s">
        <v>9</v>
      </c>
      <c r="B106" s="5">
        <v>70.569999999999993</v>
      </c>
      <c r="C106" s="5">
        <v>70.680000000000007</v>
      </c>
      <c r="D106" t="s">
        <v>24</v>
      </c>
      <c r="E106" s="3">
        <v>946.09090000000003</v>
      </c>
      <c r="F106" s="3">
        <f t="shared" ref="E106:F106" si="95">F96</f>
        <v>0</v>
      </c>
      <c r="G106" s="3">
        <f t="shared" si="56"/>
        <v>946.09090000000003</v>
      </c>
      <c r="H106" s="5">
        <f>Table1[[#This Row],[price_screen_bid]]*G106</f>
        <v>66765.634812999997</v>
      </c>
      <c r="I106" s="5">
        <f>Table1[[#This Row],[price_screen_ask]]*G106</f>
        <v>66869.704812000011</v>
      </c>
    </row>
    <row r="107" spans="1:9" x14ac:dyDescent="0.25">
      <c r="A107" t="s">
        <v>10</v>
      </c>
      <c r="B107" s="5">
        <v>38.590000000000003</v>
      </c>
      <c r="C107" s="5">
        <v>38.619999999999997</v>
      </c>
      <c r="D107" t="s">
        <v>24</v>
      </c>
      <c r="E107" s="3">
        <v>1730.0648000000001</v>
      </c>
      <c r="F107" s="3">
        <f t="shared" ref="E107:F107" si="96">F97</f>
        <v>0.2</v>
      </c>
      <c r="G107" s="3">
        <f t="shared" si="56"/>
        <v>1729.8648000000001</v>
      </c>
      <c r="H107" s="5">
        <f>Table1[[#This Row],[price_screen_bid]]*G107</f>
        <v>66755.482632000014</v>
      </c>
      <c r="I107" s="5">
        <f>Table1[[#This Row],[price_screen_ask]]*G107</f>
        <v>66807.378576000003</v>
      </c>
    </row>
    <row r="108" spans="1:9" x14ac:dyDescent="0.25">
      <c r="A108" t="s">
        <v>11</v>
      </c>
      <c r="B108" s="5">
        <v>58.14</v>
      </c>
      <c r="C108" s="5">
        <v>58.15</v>
      </c>
      <c r="D108" t="s">
        <v>24</v>
      </c>
      <c r="E108" s="3">
        <v>1148.7979</v>
      </c>
      <c r="F108" s="3">
        <f t="shared" ref="E108:F108" si="97">F98</f>
        <v>-0.05</v>
      </c>
      <c r="G108" s="3">
        <f t="shared" si="56"/>
        <v>1148.8479</v>
      </c>
      <c r="H108" s="5">
        <f>Table1[[#This Row],[price_screen_bid]]*G108</f>
        <v>66794.016906000004</v>
      </c>
      <c r="I108" s="5">
        <f>Table1[[#This Row],[price_screen_ask]]*G108</f>
        <v>66805.505384999997</v>
      </c>
    </row>
    <row r="109" spans="1:9" x14ac:dyDescent="0.25">
      <c r="A109" t="s">
        <v>12</v>
      </c>
      <c r="B109" s="5">
        <v>51.83</v>
      </c>
      <c r="C109" s="5">
        <v>51.84</v>
      </c>
      <c r="D109" t="s">
        <v>24</v>
      </c>
      <c r="E109" s="3">
        <v>1288.6904999999999</v>
      </c>
      <c r="F109" s="3">
        <f t="shared" ref="E109:F109" si="98">F99</f>
        <v>0.05</v>
      </c>
      <c r="G109" s="3">
        <f t="shared" si="56"/>
        <v>1288.6405</v>
      </c>
      <c r="H109" s="5">
        <f>Table1[[#This Row],[price_screen_bid]]*G109</f>
        <v>66790.237114999996</v>
      </c>
      <c r="I109" s="5">
        <f>Table1[[#This Row],[price_screen_ask]]*G109</f>
        <v>66803.123520000008</v>
      </c>
    </row>
    <row r="110" spans="1:9" x14ac:dyDescent="0.25">
      <c r="A110" t="s">
        <v>13</v>
      </c>
      <c r="B110" s="5">
        <v>18.89</v>
      </c>
      <c r="C110" s="5">
        <v>18.899999999999999</v>
      </c>
      <c r="D110" t="s">
        <v>24</v>
      </c>
      <c r="E110" s="3">
        <v>3535.8029000000001</v>
      </c>
      <c r="F110" s="3">
        <f t="shared" ref="E110:F110" si="99">F100</f>
        <v>0</v>
      </c>
      <c r="G110" s="3">
        <f t="shared" si="56"/>
        <v>3535.8029000000001</v>
      </c>
      <c r="H110" s="5">
        <f>Table1[[#This Row],[price_screen_bid]]*G110</f>
        <v>66791.316781000001</v>
      </c>
      <c r="I110" s="5">
        <f>Table1[[#This Row],[price_screen_ask]]*G110</f>
        <v>66826.674809999997</v>
      </c>
    </row>
    <row r="111" spans="1:9" x14ac:dyDescent="0.25">
      <c r="A111" t="s">
        <v>14</v>
      </c>
      <c r="B111" s="5">
        <v>37.840000000000003</v>
      </c>
      <c r="C111" s="5">
        <v>37.85</v>
      </c>
      <c r="D111" t="s">
        <v>24</v>
      </c>
      <c r="E111" s="3">
        <v>1764.9746</v>
      </c>
      <c r="F111" s="3">
        <f t="shared" ref="E111:F111" si="100">F101</f>
        <v>0</v>
      </c>
      <c r="G111" s="3">
        <f t="shared" si="56"/>
        <v>1764.9746</v>
      </c>
      <c r="H111" s="5">
        <f>Table1[[#This Row],[price_screen_bid]]*G111</f>
        <v>66786.638864000008</v>
      </c>
      <c r="I111" s="5">
        <f>Table1[[#This Row],[price_screen_ask]]*G111</f>
        <v>66804.288610000003</v>
      </c>
    </row>
    <row r="112" spans="1:9" x14ac:dyDescent="0.25">
      <c r="A112" t="s">
        <v>4</v>
      </c>
      <c r="B112" s="5">
        <v>22.04</v>
      </c>
      <c r="C112" s="5">
        <v>22.05</v>
      </c>
      <c r="D112" t="s">
        <v>25</v>
      </c>
      <c r="E112" s="3">
        <v>3014.8276999999998</v>
      </c>
      <c r="F112" s="3">
        <f t="shared" ref="E112:F112" si="101">F102</f>
        <v>0.1</v>
      </c>
      <c r="G112" s="3">
        <f t="shared" si="56"/>
        <v>3014.7276999999999</v>
      </c>
      <c r="H112" s="5">
        <f>Table1[[#This Row],[price_screen_bid]]*G112</f>
        <v>66444.598507999995</v>
      </c>
      <c r="I112" s="5">
        <f>Table1[[#This Row],[price_screen_ask]]*G112</f>
        <v>66474.745785000006</v>
      </c>
    </row>
    <row r="113" spans="1:9" x14ac:dyDescent="0.25">
      <c r="A113" t="s">
        <v>6</v>
      </c>
      <c r="B113" s="5">
        <v>36.08</v>
      </c>
      <c r="C113" s="5">
        <v>36.090000000000003</v>
      </c>
      <c r="D113" t="s">
        <v>25</v>
      </c>
      <c r="E113" s="3">
        <v>1842.0398</v>
      </c>
      <c r="F113" s="3">
        <f t="shared" ref="E113:F113" si="102">F103</f>
        <v>-0.1</v>
      </c>
      <c r="G113" s="3">
        <f t="shared" si="56"/>
        <v>1842.1397999999999</v>
      </c>
      <c r="H113" s="5">
        <f>Table1[[#This Row],[price_screen_bid]]*G113</f>
        <v>66464.40398399999</v>
      </c>
      <c r="I113" s="5">
        <f>Table1[[#This Row],[price_screen_ask]]*G113</f>
        <v>66482.82538200001</v>
      </c>
    </row>
    <row r="114" spans="1:9" x14ac:dyDescent="0.25">
      <c r="A114" t="s">
        <v>7</v>
      </c>
      <c r="B114" s="5">
        <v>18.739999999999998</v>
      </c>
      <c r="C114" s="5">
        <v>18.75</v>
      </c>
      <c r="D114" t="s">
        <v>25</v>
      </c>
      <c r="E114" s="3">
        <v>3546.4313999999999</v>
      </c>
      <c r="F114" s="3">
        <f t="shared" ref="E114:F114" si="103">F104</f>
        <v>0</v>
      </c>
      <c r="G114" s="3">
        <f t="shared" si="56"/>
        <v>3546.4313999999999</v>
      </c>
      <c r="H114" s="5">
        <f>Table1[[#This Row],[price_screen_bid]]*G114</f>
        <v>66460.124435999998</v>
      </c>
      <c r="I114" s="5">
        <f>Table1[[#This Row],[price_screen_ask]]*G114</f>
        <v>66495.588749999995</v>
      </c>
    </row>
    <row r="115" spans="1:9" x14ac:dyDescent="0.25">
      <c r="A115" t="s">
        <v>8</v>
      </c>
      <c r="B115" s="5">
        <v>29.4</v>
      </c>
      <c r="C115" s="5">
        <v>29.41</v>
      </c>
      <c r="D115" t="s">
        <v>25</v>
      </c>
      <c r="E115" s="3">
        <v>2261.2764999999999</v>
      </c>
      <c r="F115" s="3">
        <f t="shared" ref="E115:F115" si="104">F105</f>
        <v>-0.2</v>
      </c>
      <c r="G115" s="3">
        <f t="shared" si="56"/>
        <v>2261.4764999999998</v>
      </c>
      <c r="H115" s="5">
        <f>Table1[[#This Row],[price_screen_bid]]*G115</f>
        <v>66487.40909999999</v>
      </c>
      <c r="I115" s="5">
        <f>Table1[[#This Row],[price_screen_ask]]*G115</f>
        <v>66510.023864999996</v>
      </c>
    </row>
    <row r="116" spans="1:9" x14ac:dyDescent="0.25">
      <c r="A116" t="s">
        <v>9</v>
      </c>
      <c r="B116" s="5">
        <v>70.19</v>
      </c>
      <c r="C116" s="5">
        <v>70.31</v>
      </c>
      <c r="D116" t="s">
        <v>25</v>
      </c>
      <c r="E116" s="3">
        <v>946.09090000000003</v>
      </c>
      <c r="F116" s="3">
        <f t="shared" ref="E116:F116" si="105">F106</f>
        <v>0</v>
      </c>
      <c r="G116" s="3">
        <f t="shared" si="56"/>
        <v>946.09090000000003</v>
      </c>
      <c r="H116" s="5">
        <f>Table1[[#This Row],[price_screen_bid]]*G116</f>
        <v>66406.120271000007</v>
      </c>
      <c r="I116" s="5">
        <f>Table1[[#This Row],[price_screen_ask]]*G116</f>
        <v>66519.651179000008</v>
      </c>
    </row>
    <row r="117" spans="1:9" x14ac:dyDescent="0.25">
      <c r="A117" t="s">
        <v>10</v>
      </c>
      <c r="B117" s="5">
        <v>38.4</v>
      </c>
      <c r="C117" s="5">
        <v>38.43</v>
      </c>
      <c r="D117" t="s">
        <v>25</v>
      </c>
      <c r="E117" s="3">
        <v>1730.0648000000001</v>
      </c>
      <c r="F117" s="3">
        <f t="shared" ref="E117:F117" si="106">F107</f>
        <v>0.2</v>
      </c>
      <c r="G117" s="3">
        <f t="shared" si="56"/>
        <v>1729.8648000000001</v>
      </c>
      <c r="H117" s="5">
        <f>Table1[[#This Row],[price_screen_bid]]*G117</f>
        <v>66426.808319999996</v>
      </c>
      <c r="I117" s="5">
        <f>Table1[[#This Row],[price_screen_ask]]*G117</f>
        <v>66478.704264</v>
      </c>
    </row>
    <row r="118" spans="1:9" x14ac:dyDescent="0.25">
      <c r="A118" t="s">
        <v>11</v>
      </c>
      <c r="B118" s="5">
        <v>57.86</v>
      </c>
      <c r="C118" s="5">
        <v>57.87</v>
      </c>
      <c r="D118" t="s">
        <v>25</v>
      </c>
      <c r="E118" s="3">
        <v>1148.7979</v>
      </c>
      <c r="F118" s="3">
        <f t="shared" ref="E118:F118" si="107">F108</f>
        <v>-0.05</v>
      </c>
      <c r="G118" s="3">
        <f t="shared" si="56"/>
        <v>1148.8479</v>
      </c>
      <c r="H118" s="5">
        <f>Table1[[#This Row],[price_screen_bid]]*G118</f>
        <v>66472.339494</v>
      </c>
      <c r="I118" s="5">
        <f>Table1[[#This Row],[price_screen_ask]]*G118</f>
        <v>66483.827972999992</v>
      </c>
    </row>
    <row r="119" spans="1:9" x14ac:dyDescent="0.25">
      <c r="A119" t="s">
        <v>12</v>
      </c>
      <c r="B119" s="5">
        <v>51.57</v>
      </c>
      <c r="C119" s="5">
        <v>51.58</v>
      </c>
      <c r="D119" t="s">
        <v>25</v>
      </c>
      <c r="E119" s="3">
        <v>1288.6904999999999</v>
      </c>
      <c r="F119" s="3">
        <f t="shared" ref="E119:F119" si="108">F109</f>
        <v>0.05</v>
      </c>
      <c r="G119" s="3">
        <f t="shared" si="56"/>
        <v>1288.6405</v>
      </c>
      <c r="H119" s="5">
        <f>Table1[[#This Row],[price_screen_bid]]*G119</f>
        <v>66455.190585000004</v>
      </c>
      <c r="I119" s="5">
        <f>Table1[[#This Row],[price_screen_ask]]*G119</f>
        <v>66468.076990000001</v>
      </c>
    </row>
    <row r="120" spans="1:9" x14ac:dyDescent="0.25">
      <c r="A120" t="s">
        <v>13</v>
      </c>
      <c r="B120" s="5">
        <v>18.79</v>
      </c>
      <c r="C120" s="5">
        <v>18.8</v>
      </c>
      <c r="D120" t="s">
        <v>25</v>
      </c>
      <c r="E120" s="3">
        <v>3535.8029000000001</v>
      </c>
      <c r="F120" s="3">
        <f t="shared" ref="E120:F120" si="109">F110</f>
        <v>0</v>
      </c>
      <c r="G120" s="3">
        <f t="shared" si="56"/>
        <v>3535.8029000000001</v>
      </c>
      <c r="H120" s="5">
        <f>Table1[[#This Row],[price_screen_bid]]*G120</f>
        <v>66437.736491000003</v>
      </c>
      <c r="I120" s="5">
        <f>Table1[[#This Row],[price_screen_ask]]*G120</f>
        <v>66473.094519999999</v>
      </c>
    </row>
    <row r="121" spans="1:9" x14ac:dyDescent="0.25">
      <c r="A121" t="s">
        <v>14</v>
      </c>
      <c r="B121" s="5">
        <v>37.65</v>
      </c>
      <c r="C121" s="5">
        <v>37.659999999999997</v>
      </c>
      <c r="D121" t="s">
        <v>25</v>
      </c>
      <c r="E121" s="3">
        <v>1764.9746</v>
      </c>
      <c r="F121" s="3">
        <f t="shared" ref="E121:F121" si="110">F111</f>
        <v>0</v>
      </c>
      <c r="G121" s="3">
        <f t="shared" si="56"/>
        <v>1764.9746</v>
      </c>
      <c r="H121" s="5">
        <f>Table1[[#This Row],[price_screen_bid]]*G121</f>
        <v>66451.293689999991</v>
      </c>
      <c r="I121" s="5">
        <f>Table1[[#This Row],[price_screen_ask]]*G121</f>
        <v>66468.943436000001</v>
      </c>
    </row>
    <row r="122" spans="1:9" x14ac:dyDescent="0.25">
      <c r="A122" t="s">
        <v>4</v>
      </c>
      <c r="B122" s="5">
        <v>22.1</v>
      </c>
      <c r="C122" s="5">
        <v>22.11</v>
      </c>
      <c r="D122" t="s">
        <v>26</v>
      </c>
      <c r="E122" s="3">
        <v>3014.8276999999998</v>
      </c>
      <c r="F122" s="3">
        <f t="shared" ref="E122:F122" si="111">F112</f>
        <v>0.1</v>
      </c>
      <c r="G122" s="3">
        <f t="shared" si="56"/>
        <v>3014.7276999999999</v>
      </c>
      <c r="H122" s="5">
        <f>Table1[[#This Row],[price_screen_bid]]*G122</f>
        <v>66625.482170000003</v>
      </c>
      <c r="I122" s="5">
        <f>Table1[[#This Row],[price_screen_ask]]*G122</f>
        <v>66655.629446999999</v>
      </c>
    </row>
    <row r="123" spans="1:9" x14ac:dyDescent="0.25">
      <c r="A123" t="s">
        <v>6</v>
      </c>
      <c r="B123" s="5">
        <v>36.17</v>
      </c>
      <c r="C123" s="5">
        <v>36.18</v>
      </c>
      <c r="D123" t="s">
        <v>26</v>
      </c>
      <c r="E123" s="3">
        <v>1842.0398</v>
      </c>
      <c r="F123" s="3">
        <f t="shared" ref="E123:F123" si="112">F113</f>
        <v>-0.1</v>
      </c>
      <c r="G123" s="3">
        <f t="shared" si="56"/>
        <v>1842.1397999999999</v>
      </c>
      <c r="H123" s="5">
        <f>Table1[[#This Row],[price_screen_bid]]*G123</f>
        <v>66630.196565999999</v>
      </c>
      <c r="I123" s="5">
        <f>Table1[[#This Row],[price_screen_ask]]*G123</f>
        <v>66648.61796399999</v>
      </c>
    </row>
    <row r="124" spans="1:9" x14ac:dyDescent="0.25">
      <c r="A124" t="s">
        <v>7</v>
      </c>
      <c r="B124" s="5">
        <v>18.79</v>
      </c>
      <c r="C124" s="5">
        <v>18.8</v>
      </c>
      <c r="D124" t="s">
        <v>26</v>
      </c>
      <c r="E124" s="3">
        <v>3546.4313999999999</v>
      </c>
      <c r="F124" s="3">
        <f t="shared" ref="E124:F124" si="113">F114</f>
        <v>0</v>
      </c>
      <c r="G124" s="3">
        <f t="shared" si="56"/>
        <v>3546.4313999999999</v>
      </c>
      <c r="H124" s="5">
        <f>Table1[[#This Row],[price_screen_bid]]*G124</f>
        <v>66637.446005999998</v>
      </c>
      <c r="I124" s="5">
        <f>Table1[[#This Row],[price_screen_ask]]*G124</f>
        <v>66672.910319999995</v>
      </c>
    </row>
    <row r="125" spans="1:9" x14ac:dyDescent="0.25">
      <c r="A125" t="s">
        <v>8</v>
      </c>
      <c r="B125" s="5">
        <v>29.47</v>
      </c>
      <c r="C125" s="5">
        <v>29.48</v>
      </c>
      <c r="D125" t="s">
        <v>26</v>
      </c>
      <c r="E125" s="3">
        <v>2261.2764999999999</v>
      </c>
      <c r="F125" s="3">
        <f t="shared" ref="E125:F125" si="114">F115</f>
        <v>-0.2</v>
      </c>
      <c r="G125" s="3">
        <f t="shared" si="56"/>
        <v>2261.4764999999998</v>
      </c>
      <c r="H125" s="5">
        <f>Table1[[#This Row],[price_screen_bid]]*G125</f>
        <v>66645.712454999986</v>
      </c>
      <c r="I125" s="5">
        <f>Table1[[#This Row],[price_screen_ask]]*G125</f>
        <v>66668.327219999992</v>
      </c>
    </row>
    <row r="126" spans="1:9" x14ac:dyDescent="0.25">
      <c r="A126" t="s">
        <v>9</v>
      </c>
      <c r="B126" s="5">
        <v>70.38</v>
      </c>
      <c r="C126" s="5">
        <v>70.5</v>
      </c>
      <c r="D126" t="s">
        <v>26</v>
      </c>
      <c r="E126" s="3">
        <v>946.09090000000003</v>
      </c>
      <c r="F126" s="3">
        <f t="shared" ref="E126:F126" si="115">F116</f>
        <v>0</v>
      </c>
      <c r="G126" s="3">
        <f t="shared" si="56"/>
        <v>946.09090000000003</v>
      </c>
      <c r="H126" s="5">
        <f>Table1[[#This Row],[price_screen_bid]]*G126</f>
        <v>66585.877542000002</v>
      </c>
      <c r="I126" s="5">
        <f>Table1[[#This Row],[price_screen_ask]]*G126</f>
        <v>66699.408450000003</v>
      </c>
    </row>
    <row r="127" spans="1:9" x14ac:dyDescent="0.25">
      <c r="A127" t="s">
        <v>10</v>
      </c>
      <c r="B127" s="5">
        <v>38.5</v>
      </c>
      <c r="C127" s="5">
        <v>38.53</v>
      </c>
      <c r="D127" t="s">
        <v>26</v>
      </c>
      <c r="E127" s="3">
        <v>1730.0648000000001</v>
      </c>
      <c r="F127" s="3">
        <f t="shared" ref="E127:F127" si="116">F117</f>
        <v>0.2</v>
      </c>
      <c r="G127" s="3">
        <f t="shared" si="56"/>
        <v>1729.8648000000001</v>
      </c>
      <c r="H127" s="5">
        <f>Table1[[#This Row],[price_screen_bid]]*G127</f>
        <v>66599.794800000003</v>
      </c>
      <c r="I127" s="5">
        <f>Table1[[#This Row],[price_screen_ask]]*G127</f>
        <v>66651.690744000007</v>
      </c>
    </row>
    <row r="128" spans="1:9" x14ac:dyDescent="0.25">
      <c r="A128" t="s">
        <v>11</v>
      </c>
      <c r="B128" s="5">
        <v>58</v>
      </c>
      <c r="C128" s="5">
        <v>58.01</v>
      </c>
      <c r="D128" t="s">
        <v>26</v>
      </c>
      <c r="E128" s="3">
        <v>1148.7979</v>
      </c>
      <c r="F128" s="3">
        <f t="shared" ref="E128:F128" si="117">F118</f>
        <v>-0.05</v>
      </c>
      <c r="G128" s="3">
        <f t="shared" si="56"/>
        <v>1148.8479</v>
      </c>
      <c r="H128" s="5">
        <f>Table1[[#This Row],[price_screen_bid]]*G128</f>
        <v>66633.178199999995</v>
      </c>
      <c r="I128" s="5">
        <f>Table1[[#This Row],[price_screen_ask]]*G128</f>
        <v>66644.666679000002</v>
      </c>
    </row>
    <row r="129" spans="1:9" x14ac:dyDescent="0.25">
      <c r="A129" t="s">
        <v>12</v>
      </c>
      <c r="B129" s="5">
        <v>51.7</v>
      </c>
      <c r="C129" s="5">
        <v>51.71</v>
      </c>
      <c r="D129" t="s">
        <v>26</v>
      </c>
      <c r="E129" s="3">
        <v>1288.6904999999999</v>
      </c>
      <c r="F129" s="3">
        <f t="shared" ref="E129:F129" si="118">F119</f>
        <v>0.05</v>
      </c>
      <c r="G129" s="3">
        <f t="shared" si="56"/>
        <v>1288.6405</v>
      </c>
      <c r="H129" s="5">
        <f>Table1[[#This Row],[price_screen_bid]]*G129</f>
        <v>66622.71385</v>
      </c>
      <c r="I129" s="5">
        <f>Table1[[#This Row],[price_screen_ask]]*G129</f>
        <v>66635.600254999998</v>
      </c>
    </row>
    <row r="130" spans="1:9" x14ac:dyDescent="0.25">
      <c r="A130" t="s">
        <v>13</v>
      </c>
      <c r="B130" s="5">
        <v>18.84</v>
      </c>
      <c r="C130" s="5">
        <v>18.850000000000001</v>
      </c>
      <c r="D130" t="s">
        <v>26</v>
      </c>
      <c r="E130" s="3">
        <v>3535.8029000000001</v>
      </c>
      <c r="F130" s="3">
        <f t="shared" ref="E130:F130" si="119">F120</f>
        <v>0</v>
      </c>
      <c r="G130" s="3">
        <f t="shared" si="56"/>
        <v>3535.8029000000001</v>
      </c>
      <c r="H130" s="5">
        <f>Table1[[#This Row],[price_screen_bid]]*G130</f>
        <v>66614.526635999995</v>
      </c>
      <c r="I130" s="5">
        <f>Table1[[#This Row],[price_screen_ask]]*G130</f>
        <v>66649.884665000005</v>
      </c>
    </row>
    <row r="131" spans="1:9" x14ac:dyDescent="0.25">
      <c r="A131" t="s">
        <v>14</v>
      </c>
      <c r="B131" s="5">
        <v>37.75</v>
      </c>
      <c r="C131" s="5">
        <v>37.76</v>
      </c>
      <c r="D131" t="s">
        <v>26</v>
      </c>
      <c r="E131" s="3">
        <v>1764.9746</v>
      </c>
      <c r="F131" s="3">
        <f t="shared" ref="E131:F131" si="120">F121</f>
        <v>0</v>
      </c>
      <c r="G131" s="3">
        <f t="shared" ref="G131:G141" si="121">E131-F131</f>
        <v>1764.9746</v>
      </c>
      <c r="H131" s="5">
        <f>Table1[[#This Row],[price_screen_bid]]*G131</f>
        <v>66627.791150000005</v>
      </c>
      <c r="I131" s="5">
        <f>Table1[[#This Row],[price_screen_ask]]*G131</f>
        <v>66645.440896</v>
      </c>
    </row>
    <row r="132" spans="1:9" x14ac:dyDescent="0.25">
      <c r="A132" t="s">
        <v>4</v>
      </c>
      <c r="B132" s="5">
        <v>22.07</v>
      </c>
      <c r="C132" s="5">
        <v>22.08</v>
      </c>
      <c r="D132" t="s">
        <v>27</v>
      </c>
      <c r="E132" s="3">
        <v>3014.8276999999998</v>
      </c>
      <c r="F132" s="3">
        <f t="shared" ref="E132:F132" si="122">F122</f>
        <v>0.1</v>
      </c>
      <c r="G132" s="3">
        <f t="shared" si="121"/>
        <v>3014.7276999999999</v>
      </c>
      <c r="H132" s="5">
        <f>Table1[[#This Row],[price_screen_bid]]*G132</f>
        <v>66535.040338999999</v>
      </c>
      <c r="I132" s="5">
        <f>Table1[[#This Row],[price_screen_ask]]*G132</f>
        <v>66565.187615999996</v>
      </c>
    </row>
    <row r="133" spans="1:9" x14ac:dyDescent="0.25">
      <c r="A133" t="s">
        <v>6</v>
      </c>
      <c r="B133" s="5">
        <v>36.130000000000003</v>
      </c>
      <c r="C133" s="5">
        <v>36.14</v>
      </c>
      <c r="D133" t="s">
        <v>27</v>
      </c>
      <c r="E133" s="3">
        <v>1842.0398</v>
      </c>
      <c r="F133" s="3">
        <f t="shared" ref="E133:F133" si="123">F123</f>
        <v>-0.1</v>
      </c>
      <c r="G133" s="3">
        <f t="shared" si="121"/>
        <v>1842.1397999999999</v>
      </c>
      <c r="H133" s="5">
        <f>Table1[[#This Row],[price_screen_bid]]*G133</f>
        <v>66556.510974000004</v>
      </c>
      <c r="I133" s="5">
        <f>Table1[[#This Row],[price_screen_ask]]*G133</f>
        <v>66574.932371999996</v>
      </c>
    </row>
    <row r="134" spans="1:9" x14ac:dyDescent="0.25">
      <c r="A134" t="s">
        <v>7</v>
      </c>
      <c r="B134" s="5">
        <v>18.77</v>
      </c>
      <c r="C134" s="5">
        <v>18.78</v>
      </c>
      <c r="D134" t="s">
        <v>27</v>
      </c>
      <c r="E134" s="3">
        <v>3546.4313999999999</v>
      </c>
      <c r="F134" s="3">
        <f t="shared" ref="E134:F134" si="124">F124</f>
        <v>0</v>
      </c>
      <c r="G134" s="3">
        <f t="shared" si="121"/>
        <v>3546.4313999999999</v>
      </c>
      <c r="H134" s="5">
        <f>Table1[[#This Row],[price_screen_bid]]*G134</f>
        <v>66566.517378000004</v>
      </c>
      <c r="I134" s="5">
        <f>Table1[[#This Row],[price_screen_ask]]*G134</f>
        <v>66601.981692000001</v>
      </c>
    </row>
    <row r="135" spans="1:9" x14ac:dyDescent="0.25">
      <c r="A135" t="s">
        <v>8</v>
      </c>
      <c r="B135" s="5">
        <v>29.44</v>
      </c>
      <c r="C135" s="5">
        <v>29.45</v>
      </c>
      <c r="D135" t="s">
        <v>27</v>
      </c>
      <c r="E135" s="3">
        <v>2261.2764999999999</v>
      </c>
      <c r="F135" s="3">
        <f t="shared" ref="E135:F135" si="125">F125</f>
        <v>-0.2</v>
      </c>
      <c r="G135" s="3">
        <f t="shared" si="121"/>
        <v>2261.4764999999998</v>
      </c>
      <c r="H135" s="5">
        <f>Table1[[#This Row],[price_screen_bid]]*G135</f>
        <v>66577.868159999998</v>
      </c>
      <c r="I135" s="5">
        <f>Table1[[#This Row],[price_screen_ask]]*G135</f>
        <v>66600.482924999989</v>
      </c>
    </row>
    <row r="136" spans="1:9" x14ac:dyDescent="0.25">
      <c r="A136" t="s">
        <v>9</v>
      </c>
      <c r="B136" s="5">
        <v>70.260000000000005</v>
      </c>
      <c r="C136" s="5">
        <v>70.42</v>
      </c>
      <c r="D136" t="s">
        <v>27</v>
      </c>
      <c r="E136" s="3">
        <v>946.09090000000003</v>
      </c>
      <c r="F136" s="3">
        <f t="shared" ref="E136:F136" si="126">F126</f>
        <v>0</v>
      </c>
      <c r="G136" s="3">
        <f t="shared" si="121"/>
        <v>946.09090000000003</v>
      </c>
      <c r="H136" s="5">
        <f>Table1[[#This Row],[price_screen_bid]]*G136</f>
        <v>66472.346634000001</v>
      </c>
      <c r="I136" s="5">
        <f>Table1[[#This Row],[price_screen_ask]]*G136</f>
        <v>66623.721178000007</v>
      </c>
    </row>
    <row r="137" spans="1:9" x14ac:dyDescent="0.25">
      <c r="A137" t="s">
        <v>10</v>
      </c>
      <c r="B137" s="5">
        <v>38.46</v>
      </c>
      <c r="C137" s="5">
        <v>38.479999999999997</v>
      </c>
      <c r="D137" t="s">
        <v>27</v>
      </c>
      <c r="E137" s="3">
        <v>1730.0648000000001</v>
      </c>
      <c r="F137" s="3">
        <f t="shared" ref="E137:F137" si="127">F127</f>
        <v>0.2</v>
      </c>
      <c r="G137" s="3">
        <f t="shared" si="121"/>
        <v>1729.8648000000001</v>
      </c>
      <c r="H137" s="5">
        <f>Table1[[#This Row],[price_screen_bid]]*G137</f>
        <v>66530.600208000003</v>
      </c>
      <c r="I137" s="5">
        <f>Table1[[#This Row],[price_screen_ask]]*G137</f>
        <v>66565.197503999996</v>
      </c>
    </row>
    <row r="138" spans="1:9" x14ac:dyDescent="0.25">
      <c r="A138" t="s">
        <v>11</v>
      </c>
      <c r="B138" s="5">
        <v>57.93</v>
      </c>
      <c r="C138" s="5">
        <v>57.94</v>
      </c>
      <c r="D138" t="s">
        <v>27</v>
      </c>
      <c r="E138" s="3">
        <v>1148.7979</v>
      </c>
      <c r="F138" s="3">
        <f t="shared" ref="E138:F138" si="128">F128</f>
        <v>-0.05</v>
      </c>
      <c r="G138" s="3">
        <f t="shared" si="121"/>
        <v>1148.8479</v>
      </c>
      <c r="H138" s="5">
        <f>Table1[[#This Row],[price_screen_bid]]*G138</f>
        <v>66552.758847000005</v>
      </c>
      <c r="I138" s="5">
        <f>Table1[[#This Row],[price_screen_ask]]*G138</f>
        <v>66564.247325999997</v>
      </c>
    </row>
    <row r="139" spans="1:9" x14ac:dyDescent="0.25">
      <c r="A139" t="s">
        <v>12</v>
      </c>
      <c r="B139" s="5">
        <v>51.64</v>
      </c>
      <c r="C139" s="5">
        <v>51.65</v>
      </c>
      <c r="D139" t="s">
        <v>27</v>
      </c>
      <c r="E139" s="3">
        <v>1288.6904999999999</v>
      </c>
      <c r="F139" s="3">
        <f t="shared" ref="E139:F139" si="129">F129</f>
        <v>0.05</v>
      </c>
      <c r="G139" s="3">
        <f t="shared" si="121"/>
        <v>1288.6405</v>
      </c>
      <c r="H139" s="5">
        <f>Table1[[#This Row],[price_screen_bid]]*G139</f>
        <v>66545.395420000001</v>
      </c>
      <c r="I139" s="5">
        <f>Table1[[#This Row],[price_screen_ask]]*G139</f>
        <v>66558.281824999998</v>
      </c>
    </row>
    <row r="140" spans="1:9" x14ac:dyDescent="0.25">
      <c r="A140" t="s">
        <v>13</v>
      </c>
      <c r="B140" s="5">
        <v>18.82</v>
      </c>
      <c r="C140" s="5">
        <v>18.829999999999998</v>
      </c>
      <c r="D140" t="s">
        <v>27</v>
      </c>
      <c r="E140" s="3">
        <v>3535.8029000000001</v>
      </c>
      <c r="F140" s="3">
        <f t="shared" ref="E140:F140" si="130">F130</f>
        <v>0</v>
      </c>
      <c r="G140" s="3">
        <f t="shared" si="121"/>
        <v>3535.8029000000001</v>
      </c>
      <c r="H140" s="5">
        <f>Table1[[#This Row],[price_screen_bid]]*G140</f>
        <v>66543.810578000004</v>
      </c>
      <c r="I140" s="5">
        <f>Table1[[#This Row],[price_screen_ask]]*G140</f>
        <v>66579.168607</v>
      </c>
    </row>
    <row r="141" spans="1:9" x14ac:dyDescent="0.25">
      <c r="A141" t="s">
        <v>14</v>
      </c>
      <c r="B141" s="5">
        <v>37.71</v>
      </c>
      <c r="C141" s="5">
        <v>37.72</v>
      </c>
      <c r="D141" t="s">
        <v>27</v>
      </c>
      <c r="E141" s="3">
        <v>1764.9746</v>
      </c>
      <c r="F141" s="3">
        <f t="shared" ref="E141:F141" si="131">F131</f>
        <v>0</v>
      </c>
      <c r="G141" s="3">
        <f t="shared" si="121"/>
        <v>1764.9746</v>
      </c>
      <c r="H141" s="5">
        <f>Table1[[#This Row],[price_screen_bid]]*G141</f>
        <v>66557.192166000008</v>
      </c>
      <c r="I141" s="5">
        <f>Table1[[#This Row],[price_screen_ask]]*G141</f>
        <v>66574.841912000004</v>
      </c>
    </row>
    <row r="142" spans="1:9" x14ac:dyDescent="0.25">
      <c r="G142" s="6"/>
      <c r="H142" s="7"/>
      <c r="I142" s="7"/>
    </row>
    <row r="143" spans="1:9" x14ac:dyDescent="0.25">
      <c r="G143" s="6"/>
      <c r="H143" s="7"/>
      <c r="I143" s="7"/>
    </row>
    <row r="144" spans="1:9" x14ac:dyDescent="0.25">
      <c r="G144" s="6"/>
      <c r="H144" s="7"/>
      <c r="I144" s="7"/>
    </row>
    <row r="145" spans="7:9" x14ac:dyDescent="0.25">
      <c r="G145" s="6"/>
      <c r="H145" s="7"/>
      <c r="I145" s="7"/>
    </row>
    <row r="146" spans="7:9" x14ac:dyDescent="0.25">
      <c r="G146" s="6"/>
      <c r="H146" s="7"/>
      <c r="I146" s="7"/>
    </row>
    <row r="147" spans="7:9" x14ac:dyDescent="0.25">
      <c r="G147" s="6"/>
      <c r="H147" s="7"/>
      <c r="I147" s="7"/>
    </row>
    <row r="148" spans="7:9" x14ac:dyDescent="0.25">
      <c r="G148" s="6"/>
      <c r="H148" s="7"/>
      <c r="I148" s="7"/>
    </row>
    <row r="149" spans="7:9" x14ac:dyDescent="0.25">
      <c r="G149" s="6"/>
      <c r="H149" s="7"/>
      <c r="I149" s="7"/>
    </row>
    <row r="150" spans="7:9" x14ac:dyDescent="0.25">
      <c r="G150" s="6"/>
      <c r="H150" s="7"/>
      <c r="I150" s="7"/>
    </row>
    <row r="151" spans="7:9" x14ac:dyDescent="0.25">
      <c r="G151" s="6"/>
      <c r="H151" s="7"/>
      <c r="I151" s="7"/>
    </row>
    <row r="152" spans="7:9" x14ac:dyDescent="0.25">
      <c r="G152" s="6"/>
      <c r="H152" s="7"/>
      <c r="I152" s="7"/>
    </row>
    <row r="153" spans="7:9" x14ac:dyDescent="0.25">
      <c r="G153" s="6"/>
      <c r="H153" s="7"/>
      <c r="I153" s="7"/>
    </row>
    <row r="154" spans="7:9" x14ac:dyDescent="0.25">
      <c r="G154" s="6"/>
      <c r="H154" s="7"/>
      <c r="I154" s="7"/>
    </row>
    <row r="155" spans="7:9" x14ac:dyDescent="0.25">
      <c r="G155" s="6"/>
      <c r="H155" s="7"/>
      <c r="I155" s="7"/>
    </row>
    <row r="156" spans="7:9" x14ac:dyDescent="0.25">
      <c r="G156" s="6"/>
      <c r="H156" s="7"/>
      <c r="I156" s="7"/>
    </row>
    <row r="157" spans="7:9" x14ac:dyDescent="0.25">
      <c r="G157" s="6"/>
      <c r="H157" s="7"/>
      <c r="I157" s="7"/>
    </row>
    <row r="158" spans="7:9" x14ac:dyDescent="0.25">
      <c r="G158" s="6"/>
      <c r="H158" s="7"/>
      <c r="I158" s="7"/>
    </row>
    <row r="159" spans="7:9" x14ac:dyDescent="0.25">
      <c r="G159" s="6"/>
      <c r="H159" s="7"/>
      <c r="I159" s="7"/>
    </row>
    <row r="160" spans="7:9" x14ac:dyDescent="0.25">
      <c r="G160" s="6"/>
      <c r="H160" s="7"/>
      <c r="I160" s="7"/>
    </row>
    <row r="161" spans="7:9" x14ac:dyDescent="0.25">
      <c r="G161" s="6"/>
      <c r="H161" s="7"/>
      <c r="I161" s="7"/>
    </row>
    <row r="162" spans="7:9" x14ac:dyDescent="0.25">
      <c r="G162" s="6"/>
      <c r="H162" s="7"/>
      <c r="I162" s="7"/>
    </row>
    <row r="163" spans="7:9" x14ac:dyDescent="0.25">
      <c r="G163" s="6"/>
      <c r="H163" s="7"/>
      <c r="I163" s="7"/>
    </row>
    <row r="164" spans="7:9" x14ac:dyDescent="0.25">
      <c r="G164" s="6"/>
      <c r="H164" s="7"/>
      <c r="I164" s="7"/>
    </row>
    <row r="165" spans="7:9" x14ac:dyDescent="0.25">
      <c r="G165" s="6"/>
      <c r="H165" s="7"/>
      <c r="I165" s="7"/>
    </row>
    <row r="166" spans="7:9" x14ac:dyDescent="0.25">
      <c r="G166" s="6"/>
      <c r="H166" s="7"/>
      <c r="I166" s="7"/>
    </row>
    <row r="167" spans="7:9" x14ac:dyDescent="0.25">
      <c r="G167" s="6"/>
      <c r="H167" s="7"/>
      <c r="I167" s="7"/>
    </row>
    <row r="168" spans="7:9" x14ac:dyDescent="0.25">
      <c r="G168" s="6"/>
      <c r="H168" s="7"/>
      <c r="I168" s="7"/>
    </row>
    <row r="169" spans="7:9" x14ac:dyDescent="0.25">
      <c r="G169" s="6"/>
      <c r="H169" s="7"/>
      <c r="I169" s="7"/>
    </row>
    <row r="170" spans="7:9" x14ac:dyDescent="0.25">
      <c r="G170" s="6"/>
      <c r="H170" s="7"/>
      <c r="I170" s="7"/>
    </row>
    <row r="171" spans="7:9" x14ac:dyDescent="0.25">
      <c r="G171" s="6"/>
      <c r="H171" s="7"/>
      <c r="I171" s="7"/>
    </row>
    <row r="172" spans="7:9" x14ac:dyDescent="0.25">
      <c r="G172" s="6"/>
      <c r="H172" s="7"/>
      <c r="I172" s="7"/>
    </row>
    <row r="173" spans="7:9" x14ac:dyDescent="0.25">
      <c r="G173" s="6"/>
      <c r="H173" s="7"/>
      <c r="I173" s="7"/>
    </row>
    <row r="174" spans="7:9" x14ac:dyDescent="0.25">
      <c r="G174" s="6"/>
      <c r="H174" s="7"/>
      <c r="I174" s="7"/>
    </row>
    <row r="175" spans="7:9" x14ac:dyDescent="0.25">
      <c r="G175" s="6"/>
      <c r="H175" s="7"/>
      <c r="I175" s="7"/>
    </row>
    <row r="176" spans="7:9" x14ac:dyDescent="0.25">
      <c r="G176" s="6"/>
      <c r="H176" s="7"/>
      <c r="I176" s="7"/>
    </row>
    <row r="177" spans="7:9" x14ac:dyDescent="0.25">
      <c r="G177" s="6"/>
      <c r="H177" s="7"/>
      <c r="I177" s="7"/>
    </row>
    <row r="178" spans="7:9" x14ac:dyDescent="0.25">
      <c r="G178" s="6"/>
      <c r="H178" s="7"/>
      <c r="I178" s="7"/>
    </row>
    <row r="179" spans="7:9" x14ac:dyDescent="0.25">
      <c r="G179" s="6"/>
      <c r="H179" s="7"/>
      <c r="I179" s="7"/>
    </row>
    <row r="180" spans="7:9" x14ac:dyDescent="0.25">
      <c r="G180" s="6"/>
      <c r="H180" s="7"/>
      <c r="I180" s="7"/>
    </row>
    <row r="181" spans="7:9" x14ac:dyDescent="0.25">
      <c r="G181" s="6"/>
      <c r="H181" s="7"/>
      <c r="I181" s="7"/>
    </row>
    <row r="182" spans="7:9" x14ac:dyDescent="0.25">
      <c r="G182" s="6"/>
      <c r="H182" s="7"/>
      <c r="I182" s="7"/>
    </row>
    <row r="183" spans="7:9" x14ac:dyDescent="0.25">
      <c r="G183" s="6"/>
      <c r="H183" s="7"/>
      <c r="I183" s="7"/>
    </row>
    <row r="184" spans="7:9" x14ac:dyDescent="0.25">
      <c r="G184" s="6"/>
      <c r="H184" s="7"/>
      <c r="I184" s="7"/>
    </row>
    <row r="185" spans="7:9" x14ac:dyDescent="0.25">
      <c r="G185" s="6"/>
      <c r="H185" s="7"/>
      <c r="I185" s="7"/>
    </row>
    <row r="186" spans="7:9" x14ac:dyDescent="0.25">
      <c r="G186" s="6"/>
      <c r="H186" s="7"/>
      <c r="I186" s="7"/>
    </row>
    <row r="187" spans="7:9" x14ac:dyDescent="0.25">
      <c r="G187" s="6"/>
      <c r="H187" s="7"/>
      <c r="I187" s="7"/>
    </row>
    <row r="188" spans="7:9" x14ac:dyDescent="0.25">
      <c r="G188" s="6"/>
      <c r="H188" s="7"/>
      <c r="I188" s="7"/>
    </row>
    <row r="189" spans="7:9" x14ac:dyDescent="0.25">
      <c r="G189" s="6"/>
      <c r="H189" s="7"/>
      <c r="I189" s="7"/>
    </row>
    <row r="190" spans="7:9" x14ac:dyDescent="0.25">
      <c r="G190" s="6"/>
      <c r="H190" s="7"/>
      <c r="I190" s="7"/>
    </row>
    <row r="191" spans="7:9" x14ac:dyDescent="0.25">
      <c r="G191" s="6"/>
      <c r="H191" s="7"/>
      <c r="I191" s="7"/>
    </row>
    <row r="192" spans="7:9" x14ac:dyDescent="0.25">
      <c r="G192" s="6"/>
      <c r="H192" s="7"/>
      <c r="I192" s="7"/>
    </row>
    <row r="193" spans="7:9" x14ac:dyDescent="0.25">
      <c r="G193" s="6"/>
      <c r="H193" s="7"/>
      <c r="I193" s="7"/>
    </row>
    <row r="194" spans="7:9" x14ac:dyDescent="0.25">
      <c r="G194" s="6"/>
      <c r="H194" s="7"/>
      <c r="I194" s="7"/>
    </row>
    <row r="195" spans="7:9" x14ac:dyDescent="0.25">
      <c r="G195" s="6"/>
      <c r="H195" s="7"/>
      <c r="I195" s="7"/>
    </row>
    <row r="196" spans="7:9" x14ac:dyDescent="0.25">
      <c r="G196" s="6"/>
      <c r="H196" s="7"/>
      <c r="I196" s="7"/>
    </row>
    <row r="197" spans="7:9" x14ac:dyDescent="0.25">
      <c r="G197" s="6"/>
      <c r="H197" s="7"/>
      <c r="I197" s="7"/>
    </row>
    <row r="198" spans="7:9" x14ac:dyDescent="0.25">
      <c r="G198" s="6"/>
      <c r="H198" s="7"/>
      <c r="I198" s="7"/>
    </row>
    <row r="199" spans="7:9" x14ac:dyDescent="0.25">
      <c r="G199" s="6"/>
      <c r="H199" s="7"/>
      <c r="I199" s="7"/>
    </row>
    <row r="200" spans="7:9" x14ac:dyDescent="0.25">
      <c r="G200" s="6"/>
      <c r="H200" s="7"/>
      <c r="I200" s="7"/>
    </row>
    <row r="201" spans="7:9" x14ac:dyDescent="0.25">
      <c r="G201" s="6"/>
      <c r="H201" s="7"/>
      <c r="I201" s="7"/>
    </row>
    <row r="202" spans="7:9" x14ac:dyDescent="0.25">
      <c r="G202" s="6"/>
      <c r="H202" s="7"/>
      <c r="I202" s="7"/>
    </row>
    <row r="203" spans="7:9" x14ac:dyDescent="0.25">
      <c r="G203" s="6"/>
      <c r="H203" s="7"/>
      <c r="I203" s="7"/>
    </row>
    <row r="204" spans="7:9" x14ac:dyDescent="0.25">
      <c r="G204" s="6"/>
      <c r="H204" s="7"/>
      <c r="I204" s="7"/>
    </row>
    <row r="205" spans="7:9" x14ac:dyDescent="0.25">
      <c r="G205" s="6"/>
      <c r="H205" s="7"/>
      <c r="I205" s="7"/>
    </row>
    <row r="206" spans="7:9" x14ac:dyDescent="0.25">
      <c r="G206" s="6"/>
      <c r="H206" s="7"/>
      <c r="I206" s="7"/>
    </row>
    <row r="207" spans="7:9" x14ac:dyDescent="0.25">
      <c r="G207" s="6"/>
      <c r="H207" s="7"/>
      <c r="I207" s="7"/>
    </row>
    <row r="208" spans="7:9" x14ac:dyDescent="0.25">
      <c r="G208" s="6"/>
      <c r="H208" s="7"/>
      <c r="I208" s="7"/>
    </row>
    <row r="209" spans="7:9" x14ac:dyDescent="0.25">
      <c r="G209" s="6"/>
      <c r="H209" s="7"/>
      <c r="I209" s="7"/>
    </row>
    <row r="210" spans="7:9" x14ac:dyDescent="0.25">
      <c r="G210" s="6"/>
      <c r="H210" s="7"/>
      <c r="I210" s="7"/>
    </row>
    <row r="211" spans="7:9" x14ac:dyDescent="0.25">
      <c r="G211" s="6"/>
      <c r="H211" s="7"/>
      <c r="I211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F711-F6B8-428F-86AF-E62651C0BD5B}">
  <dimension ref="A1:O24"/>
  <sheetViews>
    <sheetView tabSelected="1" workbookViewId="0">
      <selection activeCell="H18" sqref="H18"/>
    </sheetView>
  </sheetViews>
  <sheetFormatPr defaultRowHeight="15" x14ac:dyDescent="0.25"/>
  <cols>
    <col min="1" max="1" width="19" bestFit="1" customWidth="1"/>
    <col min="2" max="2" width="14.28515625" bestFit="1" customWidth="1"/>
    <col min="3" max="3" width="14.140625" bestFit="1" customWidth="1"/>
    <col min="4" max="4" width="12.7109375" customWidth="1"/>
    <col min="5" max="5" width="9.28515625" style="10" bestFit="1" customWidth="1"/>
    <col min="6" max="6" width="9.5703125" style="10" bestFit="1" customWidth="1"/>
    <col min="8" max="11" width="10.85546875" customWidth="1"/>
    <col min="12" max="12" width="11.5703125" style="3" bestFit="1" customWidth="1"/>
    <col min="13" max="13" width="11.28515625" style="5" bestFit="1" customWidth="1"/>
    <col min="14" max="14" width="10.85546875" style="5" customWidth="1"/>
  </cols>
  <sheetData>
    <row r="1" spans="1:15" x14ac:dyDescent="0.25">
      <c r="A1" s="17" t="s">
        <v>33</v>
      </c>
      <c r="B1" t="s">
        <v>34</v>
      </c>
      <c r="C1" t="s">
        <v>35</v>
      </c>
      <c r="D1" s="8" t="s">
        <v>36</v>
      </c>
      <c r="E1" s="8" t="s">
        <v>37</v>
      </c>
      <c r="F1" s="8" t="s">
        <v>38</v>
      </c>
    </row>
    <row r="2" spans="1:15" x14ac:dyDescent="0.25">
      <c r="A2" s="9" t="s">
        <v>5</v>
      </c>
      <c r="B2" s="7">
        <v>67188.466814999992</v>
      </c>
      <c r="C2" s="7">
        <v>67176.829265000008</v>
      </c>
      <c r="D2" s="7">
        <f>B2-C2</f>
        <v>11.637549999984913</v>
      </c>
      <c r="E2" s="10" t="str">
        <f>_xlfn.XLOOKUP(B2,Table1[unit bid],Table1[my_fi_name])</f>
        <v>BTC</v>
      </c>
      <c r="F2" s="10" t="str">
        <f>_xlfn.XLOOKUP(C2,Table1[unit ask],Table1[my_fi_name])</f>
        <v>GBTC</v>
      </c>
      <c r="I2" s="11" t="s">
        <v>39</v>
      </c>
      <c r="J2" s="11" t="s">
        <v>40</v>
      </c>
      <c r="K2" s="11" t="s">
        <v>36</v>
      </c>
      <c r="L2" s="18" t="s">
        <v>41</v>
      </c>
      <c r="M2" s="12" t="s">
        <v>42</v>
      </c>
      <c r="N2" s="11" t="s">
        <v>43</v>
      </c>
    </row>
    <row r="3" spans="1:15" x14ac:dyDescent="0.25">
      <c r="A3" s="9" t="s">
        <v>15</v>
      </c>
      <c r="B3" s="7">
        <v>67098.007754999999</v>
      </c>
      <c r="C3" s="7">
        <v>67084.156944000002</v>
      </c>
      <c r="D3" s="7">
        <f t="shared" ref="D3:D15" si="0">B3-C3</f>
        <v>13.850810999996611</v>
      </c>
      <c r="E3" s="10" t="str">
        <f>_xlfn.XLOOKUP(B3,Table1[unit bid],Table1[my_fi_name])</f>
        <v>BTC</v>
      </c>
      <c r="F3" s="10" t="str">
        <f>_xlfn.XLOOKUP(C3,Table1[unit ask],Table1[my_fi_name])</f>
        <v>EZBC</v>
      </c>
      <c r="G3" s="13"/>
      <c r="H3" s="13" t="s">
        <v>4</v>
      </c>
      <c r="I3">
        <f>COUNTIF(E:E,H3)</f>
        <v>0</v>
      </c>
      <c r="J3">
        <f>COUNTIF(F:F,H3)</f>
        <v>0</v>
      </c>
      <c r="K3">
        <f>I3-J3</f>
        <v>0</v>
      </c>
      <c r="L3" s="4">
        <v>0.1</v>
      </c>
      <c r="M3" s="5">
        <f>'ETF_2026-06-15'!C2</f>
        <v>22.29</v>
      </c>
      <c r="N3" s="5">
        <f>L3*M3</f>
        <v>2.2290000000000001</v>
      </c>
      <c r="O3" s="14">
        <f>N3/C3</f>
        <v>3.3226921251476821E-5</v>
      </c>
    </row>
    <row r="4" spans="1:15" x14ac:dyDescent="0.25">
      <c r="A4" s="9" t="s">
        <v>16</v>
      </c>
      <c r="B4" s="7">
        <v>66871.860105</v>
      </c>
      <c r="C4" s="7">
        <v>66854.669139999998</v>
      </c>
      <c r="D4" s="7">
        <f t="shared" si="0"/>
        <v>17.190965000001597</v>
      </c>
      <c r="E4" s="10" t="str">
        <f>_xlfn.XLOOKUP(B4,Table1[unit bid],Table1[my_fi_name])</f>
        <v>BTC</v>
      </c>
      <c r="F4" s="10" t="str">
        <f>_xlfn.XLOOKUP(C4,Table1[unit ask],Table1[my_fi_name])</f>
        <v>GBTC</v>
      </c>
      <c r="G4" s="13"/>
      <c r="H4" s="13" t="s">
        <v>6</v>
      </c>
      <c r="I4">
        <f>COUNTIF(E:E,H4)</f>
        <v>1</v>
      </c>
      <c r="J4">
        <f>COUNTIF(F:F,H4)</f>
        <v>0</v>
      </c>
      <c r="K4">
        <f t="shared" ref="K4:K12" si="1">I4-J4</f>
        <v>1</v>
      </c>
      <c r="L4" s="4">
        <v>-0.1</v>
      </c>
      <c r="M4" s="5">
        <f>'ETF_2026-06-15'!C3</f>
        <v>36.479999999999997</v>
      </c>
      <c r="N4" s="5">
        <f>L4*M4</f>
        <v>-3.6479999999999997</v>
      </c>
      <c r="O4" s="14">
        <f>N4/C4</f>
        <v>-5.4566121512930427E-5</v>
      </c>
    </row>
    <row r="5" spans="1:15" x14ac:dyDescent="0.25">
      <c r="A5" s="9" t="s">
        <v>17</v>
      </c>
      <c r="B5" s="7">
        <v>66826.630574999988</v>
      </c>
      <c r="C5" s="7">
        <v>66816.009925000006</v>
      </c>
      <c r="D5" s="7">
        <f t="shared" si="0"/>
        <v>10.620649999982561</v>
      </c>
      <c r="E5" s="10" t="str">
        <f>_xlfn.XLOOKUP(B5,Table1[unit bid],Table1[my_fi_name])</f>
        <v>BTC</v>
      </c>
      <c r="F5" s="10" t="str">
        <f>_xlfn.XLOOKUP(C5,Table1[unit ask],Table1[my_fi_name])</f>
        <v>GBTC</v>
      </c>
      <c r="G5" s="13"/>
      <c r="H5" s="13" t="s">
        <v>7</v>
      </c>
      <c r="I5">
        <f>COUNTIF(E:E,H5)</f>
        <v>3</v>
      </c>
      <c r="J5">
        <f>COUNTIF(F:F,H5)</f>
        <v>0</v>
      </c>
      <c r="K5">
        <f t="shared" si="1"/>
        <v>3</v>
      </c>
      <c r="L5" s="4">
        <v>0</v>
      </c>
      <c r="M5" s="5">
        <f>'ETF_2026-06-15'!C4</f>
        <v>18.95</v>
      </c>
      <c r="N5" s="5">
        <f t="shared" ref="N5:N12" si="2">L5*M5</f>
        <v>0</v>
      </c>
      <c r="O5" s="14">
        <f>N5/C5</f>
        <v>0</v>
      </c>
    </row>
    <row r="6" spans="1:15" x14ac:dyDescent="0.25">
      <c r="A6" s="9" t="s">
        <v>18</v>
      </c>
      <c r="B6" s="7">
        <v>66743.838948000004</v>
      </c>
      <c r="C6" s="7">
        <v>66725.086031999992</v>
      </c>
      <c r="D6" s="7">
        <f t="shared" si="0"/>
        <v>18.752916000012192</v>
      </c>
      <c r="E6" s="10" t="str">
        <f>_xlfn.XLOOKUP(B6,Table1[unit bid],Table1[my_fi_name])</f>
        <v>BRRR</v>
      </c>
      <c r="F6" s="10" t="str">
        <f>_xlfn.XLOOKUP(C6,Table1[unit ask],Table1[my_fi_name])</f>
        <v>FBTC</v>
      </c>
      <c r="G6" s="13"/>
      <c r="H6" s="13" t="s">
        <v>8</v>
      </c>
      <c r="I6">
        <f>COUNTIF(E:E,H6)</f>
        <v>10</v>
      </c>
      <c r="J6">
        <f>COUNTIF(F:F,H6)</f>
        <v>0</v>
      </c>
      <c r="K6">
        <f t="shared" si="1"/>
        <v>10</v>
      </c>
      <c r="L6" s="4">
        <v>-0.2</v>
      </c>
      <c r="M6" s="5">
        <f>'ETF_2026-06-15'!C5</f>
        <v>29.72</v>
      </c>
      <c r="N6" s="5">
        <f t="shared" si="2"/>
        <v>-5.944</v>
      </c>
      <c r="O6" s="14">
        <f>N6/C6</f>
        <v>-8.9081938345487909E-5</v>
      </c>
    </row>
    <row r="7" spans="1:15" x14ac:dyDescent="0.25">
      <c r="A7" s="9" t="s">
        <v>19</v>
      </c>
      <c r="B7" s="7">
        <v>66885.696203999993</v>
      </c>
      <c r="C7" s="7">
        <v>66867.555544999996</v>
      </c>
      <c r="D7" s="7">
        <f t="shared" si="0"/>
        <v>18.140658999996958</v>
      </c>
      <c r="E7" s="10" t="str">
        <f>_xlfn.XLOOKUP(B7,Table1[unit bid],Table1[my_fi_name])</f>
        <v>BRRR</v>
      </c>
      <c r="F7" s="10" t="str">
        <f>_xlfn.XLOOKUP(C7,Table1[unit ask],Table1[my_fi_name])</f>
        <v>GBTC</v>
      </c>
      <c r="G7" s="13"/>
      <c r="H7" s="13" t="s">
        <v>9</v>
      </c>
      <c r="I7">
        <f>COUNTIF(E:E,H7)</f>
        <v>0</v>
      </c>
      <c r="J7">
        <f>COUNTIF(F:F,H7)</f>
        <v>0</v>
      </c>
      <c r="K7">
        <f t="shared" si="1"/>
        <v>0</v>
      </c>
      <c r="L7" s="4">
        <v>0</v>
      </c>
      <c r="M7" s="5">
        <f>'ETF_2026-06-15'!C6</f>
        <v>71.069999999999993</v>
      </c>
      <c r="N7" s="5">
        <f t="shared" si="2"/>
        <v>0</v>
      </c>
      <c r="O7" s="14">
        <f>N7/C7</f>
        <v>0</v>
      </c>
    </row>
    <row r="8" spans="1:15" x14ac:dyDescent="0.25">
      <c r="A8" s="9" t="s">
        <v>20</v>
      </c>
      <c r="B8" s="7">
        <v>66759.146351999996</v>
      </c>
      <c r="C8" s="7">
        <v>66751.577899999989</v>
      </c>
      <c r="D8" s="7">
        <f t="shared" si="0"/>
        <v>7.5684520000068005</v>
      </c>
      <c r="E8" s="10" t="str">
        <f>_xlfn.XLOOKUP(B8,Table1[unit bid],Table1[my_fi_name])</f>
        <v>BITB</v>
      </c>
      <c r="F8" s="10" t="str">
        <f>_xlfn.XLOOKUP(C8,Table1[unit ask],Table1[my_fi_name])</f>
        <v>GBTC</v>
      </c>
      <c r="G8" s="13"/>
      <c r="H8" s="13" t="s">
        <v>10</v>
      </c>
      <c r="I8">
        <f>COUNTIF(E:E,H8)</f>
        <v>0</v>
      </c>
      <c r="J8">
        <f>COUNTIF(F:F,H8)</f>
        <v>1</v>
      </c>
      <c r="K8">
        <f t="shared" si="1"/>
        <v>-1</v>
      </c>
      <c r="L8" s="4">
        <v>0.2</v>
      </c>
      <c r="M8" s="5">
        <f>'ETF_2026-06-15'!C7</f>
        <v>38.840000000000003</v>
      </c>
      <c r="N8" s="5">
        <f t="shared" si="2"/>
        <v>7.7680000000000007</v>
      </c>
      <c r="O8" s="14">
        <f>N8/C8</f>
        <v>1.163717809283427E-4</v>
      </c>
    </row>
    <row r="9" spans="1:15" x14ac:dyDescent="0.25">
      <c r="A9" s="9" t="s">
        <v>21</v>
      </c>
      <c r="B9" s="7">
        <v>66804.015809999997</v>
      </c>
      <c r="C9" s="7">
        <v>66790.237114999996</v>
      </c>
      <c r="D9" s="7">
        <f t="shared" si="0"/>
        <v>13.77869500000088</v>
      </c>
      <c r="E9" s="10" t="str">
        <f>_xlfn.XLOOKUP(B9,Table1[unit bid],Table1[my_fi_name])</f>
        <v>BTC</v>
      </c>
      <c r="F9" s="10" t="str">
        <f>_xlfn.XLOOKUP(C9,Table1[unit ask],Table1[my_fi_name])</f>
        <v>GBTC</v>
      </c>
      <c r="G9" s="13"/>
      <c r="H9" s="13" t="s">
        <v>11</v>
      </c>
      <c r="I9">
        <f>COUNTIF(E:E,H9)</f>
        <v>0</v>
      </c>
      <c r="J9">
        <f>COUNTIF(F:F,H9)</f>
        <v>1</v>
      </c>
      <c r="K9">
        <f t="shared" si="1"/>
        <v>-1</v>
      </c>
      <c r="L9" s="4">
        <v>-0.05</v>
      </c>
      <c r="M9" s="5">
        <f>'ETF_2026-06-15'!C8</f>
        <v>58.48</v>
      </c>
      <c r="N9" s="5">
        <f t="shared" si="2"/>
        <v>-2.9239999999999999</v>
      </c>
      <c r="O9" s="14">
        <f>N9/C9</f>
        <v>-4.3778853411845688E-5</v>
      </c>
    </row>
    <row r="10" spans="1:15" x14ac:dyDescent="0.25">
      <c r="A10" s="9" t="s">
        <v>22</v>
      </c>
      <c r="B10" s="7">
        <v>66804.015809999997</v>
      </c>
      <c r="C10" s="7">
        <v>66777.350709999999</v>
      </c>
      <c r="D10" s="7">
        <f t="shared" si="0"/>
        <v>26.665099999998347</v>
      </c>
      <c r="E10" s="10" t="str">
        <f>_xlfn.XLOOKUP(B10,Table1[unit bid],Table1[my_fi_name])</f>
        <v>BTC</v>
      </c>
      <c r="F10" s="10" t="str">
        <f>_xlfn.XLOOKUP(C10,Table1[unit ask],Table1[my_fi_name])</f>
        <v>GBTC</v>
      </c>
      <c r="G10" s="13"/>
      <c r="H10" s="13" t="s">
        <v>12</v>
      </c>
      <c r="I10">
        <f>COUNTIF(E:E,H10)</f>
        <v>0</v>
      </c>
      <c r="J10">
        <f>COUNTIF(F:F,H10)</f>
        <v>12</v>
      </c>
      <c r="K10">
        <f t="shared" si="1"/>
        <v>-12</v>
      </c>
      <c r="L10" s="4">
        <v>0.05</v>
      </c>
      <c r="M10" s="5">
        <f>'ETF_2026-06-15'!C9</f>
        <v>52.13</v>
      </c>
      <c r="N10" s="5">
        <f t="shared" si="2"/>
        <v>2.6065000000000005</v>
      </c>
      <c r="O10" s="14">
        <f>N10/C10</f>
        <v>3.9032695551512404E-5</v>
      </c>
    </row>
    <row r="11" spans="1:15" x14ac:dyDescent="0.25">
      <c r="A11" s="9" t="s">
        <v>23</v>
      </c>
      <c r="B11" s="7">
        <v>66885.696203999993</v>
      </c>
      <c r="C11" s="7">
        <v>66867.555544999996</v>
      </c>
      <c r="D11" s="7">
        <f t="shared" si="0"/>
        <v>18.140658999996958</v>
      </c>
      <c r="E11" s="10" t="str">
        <f>_xlfn.XLOOKUP(B11,Table1[unit bid],Table1[my_fi_name])</f>
        <v>BRRR</v>
      </c>
      <c r="F11" s="10" t="str">
        <f>_xlfn.XLOOKUP(C11,Table1[unit ask],Table1[my_fi_name])</f>
        <v>GBTC</v>
      </c>
      <c r="G11" s="13"/>
      <c r="H11" s="13" t="s">
        <v>13</v>
      </c>
      <c r="I11">
        <f>COUNTIF(E:E,H11)</f>
        <v>0</v>
      </c>
      <c r="J11">
        <f>COUNTIF(F:F,H11)</f>
        <v>0</v>
      </c>
      <c r="K11">
        <f t="shared" si="1"/>
        <v>0</v>
      </c>
      <c r="L11" s="4">
        <v>0</v>
      </c>
      <c r="M11" s="5">
        <f>'ETF_2026-06-15'!C10</f>
        <v>19</v>
      </c>
      <c r="N11" s="5">
        <f t="shared" si="2"/>
        <v>0</v>
      </c>
      <c r="O11" s="14">
        <f>N11/C11</f>
        <v>0</v>
      </c>
    </row>
    <row r="12" spans="1:15" x14ac:dyDescent="0.25">
      <c r="A12" s="9" t="s">
        <v>24</v>
      </c>
      <c r="B12" s="7">
        <v>66804.015809999997</v>
      </c>
      <c r="C12" s="7">
        <v>66803.123520000008</v>
      </c>
      <c r="D12" s="7">
        <f t="shared" si="0"/>
        <v>0.89228999998886138</v>
      </c>
      <c r="E12" s="10" t="str">
        <f>_xlfn.XLOOKUP(B12,Table1[unit bid],Table1[my_fi_name])</f>
        <v>BTC</v>
      </c>
      <c r="F12" s="10" t="str">
        <f>_xlfn.XLOOKUP(C12,Table1[unit ask],Table1[my_fi_name])</f>
        <v>GBTC</v>
      </c>
      <c r="G12" s="13"/>
      <c r="H12" s="13" t="s">
        <v>14</v>
      </c>
      <c r="I12" s="15">
        <f>COUNTIF(E:E,H12)</f>
        <v>0</v>
      </c>
      <c r="J12" s="15">
        <f>COUNTIF(F:F,H12)</f>
        <v>0</v>
      </c>
      <c r="K12" s="15">
        <f t="shared" si="1"/>
        <v>0</v>
      </c>
      <c r="L12" s="4">
        <v>0</v>
      </c>
      <c r="M12" s="5">
        <f>'ETF_2026-06-15'!C11</f>
        <v>38.07</v>
      </c>
      <c r="N12" s="5">
        <f t="shared" si="2"/>
        <v>0</v>
      </c>
      <c r="O12" s="14">
        <f>N12/C12</f>
        <v>0</v>
      </c>
    </row>
    <row r="13" spans="1:15" x14ac:dyDescent="0.25">
      <c r="A13" s="9" t="s">
        <v>25</v>
      </c>
      <c r="B13" s="7">
        <v>66487.40909999999</v>
      </c>
      <c r="C13" s="7">
        <v>66468.076990000001</v>
      </c>
      <c r="D13" s="7">
        <f t="shared" si="0"/>
        <v>19.332109999988461</v>
      </c>
      <c r="E13" s="10" t="str">
        <f>_xlfn.XLOOKUP(B13,Table1[unit bid],Table1[my_fi_name])</f>
        <v>BTC</v>
      </c>
      <c r="F13" s="10" t="str">
        <f>_xlfn.XLOOKUP(C13,Table1[unit ask],Table1[my_fi_name])</f>
        <v>GBTC</v>
      </c>
      <c r="G13" s="13"/>
      <c r="H13" s="13"/>
      <c r="I13">
        <f>SUM(I3:I12)</f>
        <v>14</v>
      </c>
      <c r="J13">
        <f t="shared" ref="J13:K13" si="3">SUM(J3:J12)</f>
        <v>14</v>
      </c>
      <c r="K13">
        <f t="shared" si="3"/>
        <v>0</v>
      </c>
    </row>
    <row r="14" spans="1:15" x14ac:dyDescent="0.25">
      <c r="A14" s="9" t="s">
        <v>26</v>
      </c>
      <c r="B14" s="7">
        <v>66645.712454999986</v>
      </c>
      <c r="C14" s="7">
        <v>66635.600254999998</v>
      </c>
      <c r="D14" s="7">
        <f t="shared" si="0"/>
        <v>10.112199999988661</v>
      </c>
      <c r="E14" s="10" t="str">
        <f>_xlfn.XLOOKUP(B14,Table1[unit bid],Table1[my_fi_name])</f>
        <v>BTC</v>
      </c>
      <c r="F14" s="10" t="str">
        <f>_xlfn.XLOOKUP(C14,Table1[unit ask],Table1[my_fi_name])</f>
        <v>GBTC</v>
      </c>
    </row>
    <row r="15" spans="1:15" ht="17.25" x14ac:dyDescent="0.4">
      <c r="A15" s="9" t="s">
        <v>27</v>
      </c>
      <c r="B15" s="7">
        <v>66577.868159999998</v>
      </c>
      <c r="C15" s="7">
        <v>66558.281824999998</v>
      </c>
      <c r="D15" s="16">
        <f t="shared" si="0"/>
        <v>19.586334999999963</v>
      </c>
      <c r="E15" s="10" t="str">
        <f>_xlfn.XLOOKUP(B15,Table1[unit bid],Table1[my_fi_name])</f>
        <v>BTC</v>
      </c>
      <c r="F15" s="10" t="str">
        <f>_xlfn.XLOOKUP(C15,Table1[unit ask],Table1[my_fi_name])</f>
        <v>GBTC</v>
      </c>
    </row>
    <row r="16" spans="1:15" x14ac:dyDescent="0.25">
      <c r="D16" s="7">
        <f>SUM(D2:D15)</f>
        <v>206.26939199994376</v>
      </c>
    </row>
    <row r="17" spans="4:4" x14ac:dyDescent="0.25">
      <c r="D17" s="7"/>
    </row>
    <row r="18" spans="4:4" x14ac:dyDescent="0.25">
      <c r="D18" s="7"/>
    </row>
    <row r="19" spans="4:4" ht="17.25" x14ac:dyDescent="0.4">
      <c r="D19" s="16"/>
    </row>
    <row r="20" spans="4:4" x14ac:dyDescent="0.25">
      <c r="D20" s="7"/>
    </row>
    <row r="21" spans="4:4" x14ac:dyDescent="0.25">
      <c r="D21" s="7"/>
    </row>
    <row r="22" spans="4:4" x14ac:dyDescent="0.25">
      <c r="D22" s="7"/>
    </row>
    <row r="23" spans="4:4" x14ac:dyDescent="0.25">
      <c r="D23" s="7"/>
    </row>
    <row r="24" spans="4:4" ht="17.25" x14ac:dyDescent="0.4">
      <c r="D24" s="16"/>
    </row>
  </sheetData>
  <conditionalFormatting sqref="K3:K12">
    <cfRule type="top10" dxfId="1" priority="5" bottom="1" rank="3"/>
    <cfRule type="top10" dxfId="0" priority="6" rank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ETF_2026-06-15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2026-06-15T20:42:58Z</dcterms:created>
  <dcterms:modified xsi:type="dcterms:W3CDTF">2026-06-15T21:00:54Z</dcterms:modified>
</cp:coreProperties>
</file>