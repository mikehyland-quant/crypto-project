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D893E4D5-B5E5-4399-A2DD-EBD8D73F6B50}" xr6:coauthVersionLast="47" xr6:coauthVersionMax="47" xr10:uidLastSave="{00000000-0000-0000-0000-000000000000}"/>
  <bookViews>
    <workbookView xWindow="2790" yWindow="3150" windowWidth="25740" windowHeight="11640" activeTab="1" xr2:uid="{972E3CC7-F487-40C0-93E8-893581819C88}"/>
  </bookViews>
  <sheets>
    <sheet name="ETF_2026-06-23" sheetId="1" r:id="rId1"/>
    <sheet name="Sheet1" sheetId="2" r:id="rId2"/>
  </sheets>
  <calcPr calcId="0"/>
  <pivotCaches>
    <pivotCache cacheId="128" r:id="rId3"/>
  </pivotCaches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3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3" i="1"/>
  <c r="F4" i="1"/>
  <c r="F5" i="1"/>
  <c r="F6" i="1"/>
  <c r="F7" i="1"/>
  <c r="F8" i="1"/>
  <c r="F9" i="1"/>
  <c r="F10" i="1"/>
  <c r="F11" i="1"/>
  <c r="F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E81" i="1"/>
  <c r="F81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E91" i="1"/>
  <c r="F91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3" i="1"/>
  <c r="E104" i="1"/>
  <c r="E105" i="1"/>
  <c r="F105" i="1"/>
  <c r="E106" i="1"/>
  <c r="F106" i="1"/>
  <c r="E107" i="1"/>
  <c r="F107" i="1"/>
  <c r="E108" i="1"/>
  <c r="F108" i="1"/>
  <c r="E109" i="1"/>
  <c r="F109" i="1"/>
  <c r="E110" i="1"/>
  <c r="F113" i="1"/>
  <c r="E114" i="1"/>
  <c r="E115" i="1"/>
  <c r="F115" i="1"/>
  <c r="E116" i="1"/>
  <c r="F116" i="1"/>
  <c r="E117" i="1"/>
  <c r="E118" i="1"/>
  <c r="F118" i="1"/>
  <c r="E119" i="1"/>
  <c r="F119" i="1"/>
  <c r="E120" i="1"/>
  <c r="F123" i="1"/>
  <c r="E124" i="1"/>
  <c r="E125" i="1"/>
  <c r="F125" i="1"/>
  <c r="E126" i="1"/>
  <c r="F126" i="1"/>
  <c r="E127" i="1"/>
  <c r="E128" i="1"/>
  <c r="F128" i="1"/>
  <c r="E129" i="1"/>
  <c r="F129" i="1"/>
  <c r="E130" i="1"/>
  <c r="F133" i="1"/>
  <c r="E134" i="1"/>
  <c r="E135" i="1"/>
  <c r="F135" i="1"/>
  <c r="E136" i="1"/>
  <c r="F136" i="1"/>
  <c r="E137" i="1"/>
  <c r="E138" i="1"/>
  <c r="F138" i="1"/>
  <c r="E139" i="1"/>
  <c r="F139" i="1"/>
  <c r="E140" i="1"/>
  <c r="F143" i="1"/>
  <c r="E144" i="1"/>
  <c r="E145" i="1"/>
  <c r="F145" i="1"/>
  <c r="E146" i="1"/>
  <c r="F146" i="1"/>
  <c r="E147" i="1"/>
  <c r="E148" i="1"/>
  <c r="F148" i="1"/>
  <c r="E149" i="1"/>
  <c r="F149" i="1"/>
  <c r="E150" i="1"/>
  <c r="F153" i="1"/>
  <c r="E154" i="1"/>
  <c r="E155" i="1"/>
  <c r="F155" i="1"/>
  <c r="E156" i="1"/>
  <c r="F156" i="1"/>
  <c r="E157" i="1"/>
  <c r="E158" i="1"/>
  <c r="F158" i="1"/>
  <c r="E159" i="1"/>
  <c r="F159" i="1"/>
  <c r="E160" i="1"/>
  <c r="F163" i="1"/>
  <c r="E164" i="1"/>
  <c r="E165" i="1"/>
  <c r="F165" i="1"/>
  <c r="E166" i="1"/>
  <c r="F166" i="1"/>
  <c r="E167" i="1"/>
  <c r="E168" i="1"/>
  <c r="F168" i="1"/>
  <c r="E169" i="1"/>
  <c r="F169" i="1"/>
  <c r="E170" i="1"/>
  <c r="F173" i="1"/>
  <c r="E174" i="1"/>
  <c r="E175" i="1"/>
  <c r="F175" i="1"/>
  <c r="E176" i="1"/>
  <c r="F176" i="1"/>
  <c r="E177" i="1"/>
  <c r="E178" i="1"/>
  <c r="F178" i="1"/>
  <c r="E179" i="1"/>
  <c r="F179" i="1"/>
  <c r="E180" i="1"/>
  <c r="F183" i="1"/>
  <c r="E184" i="1"/>
  <c r="E185" i="1"/>
  <c r="F185" i="1"/>
  <c r="E186" i="1"/>
  <c r="F186" i="1"/>
  <c r="E187" i="1"/>
  <c r="E188" i="1"/>
  <c r="F188" i="1"/>
  <c r="E189" i="1"/>
  <c r="F189" i="1"/>
  <c r="E190" i="1"/>
  <c r="F193" i="1"/>
  <c r="E194" i="1"/>
  <c r="E195" i="1"/>
  <c r="F195" i="1"/>
  <c r="E196" i="1"/>
  <c r="F196" i="1"/>
  <c r="E197" i="1"/>
  <c r="E198" i="1"/>
  <c r="F198" i="1"/>
  <c r="E199" i="1"/>
  <c r="F199" i="1"/>
  <c r="E200" i="1"/>
  <c r="F203" i="1"/>
  <c r="E204" i="1"/>
  <c r="E205" i="1"/>
  <c r="F205" i="1"/>
  <c r="E206" i="1"/>
  <c r="F206" i="1"/>
  <c r="E207" i="1"/>
  <c r="E208" i="1"/>
  <c r="F208" i="1"/>
  <c r="E209" i="1"/>
  <c r="F209" i="1"/>
  <c r="E210" i="1"/>
  <c r="F213" i="1"/>
  <c r="E214" i="1"/>
  <c r="E215" i="1"/>
  <c r="F215" i="1"/>
  <c r="E216" i="1"/>
  <c r="F216" i="1"/>
  <c r="E217" i="1"/>
  <c r="E218" i="1"/>
  <c r="F218" i="1"/>
  <c r="E219" i="1"/>
  <c r="F219" i="1"/>
  <c r="E220" i="1"/>
  <c r="F223" i="1"/>
  <c r="E224" i="1"/>
  <c r="E225" i="1"/>
  <c r="F225" i="1"/>
  <c r="E226" i="1"/>
  <c r="F226" i="1"/>
  <c r="E227" i="1"/>
  <c r="E228" i="1"/>
  <c r="F228" i="1"/>
  <c r="E229" i="1"/>
  <c r="F229" i="1"/>
  <c r="E230" i="1"/>
  <c r="F233" i="1"/>
  <c r="E234" i="1"/>
  <c r="E235" i="1"/>
  <c r="F235" i="1"/>
  <c r="E236" i="1"/>
  <c r="F236" i="1"/>
  <c r="E237" i="1"/>
  <c r="E238" i="1"/>
  <c r="F238" i="1"/>
  <c r="E239" i="1"/>
  <c r="F239" i="1"/>
  <c r="E240" i="1"/>
  <c r="F243" i="1"/>
  <c r="E244" i="1"/>
  <c r="E245" i="1"/>
  <c r="F245" i="1"/>
  <c r="E246" i="1"/>
  <c r="F246" i="1"/>
  <c r="E247" i="1"/>
  <c r="E248" i="1"/>
  <c r="F248" i="1"/>
  <c r="E249" i="1"/>
  <c r="F249" i="1"/>
  <c r="E250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40" i="1"/>
  <c r="G41" i="1"/>
  <c r="G43" i="1"/>
  <c r="G44" i="1"/>
  <c r="G45" i="1"/>
  <c r="G46" i="1"/>
  <c r="G47" i="1"/>
  <c r="G48" i="1"/>
  <c r="G49" i="1"/>
  <c r="G50" i="1"/>
  <c r="G51" i="1"/>
  <c r="G53" i="1"/>
  <c r="G54" i="1"/>
  <c r="G55" i="1"/>
  <c r="G56" i="1"/>
  <c r="G57" i="1"/>
  <c r="G58" i="1"/>
  <c r="G59" i="1"/>
  <c r="G60" i="1"/>
  <c r="G61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7" i="1"/>
  <c r="G78" i="1"/>
  <c r="G79" i="1"/>
  <c r="G81" i="1"/>
  <c r="G83" i="1"/>
  <c r="G84" i="1"/>
  <c r="G85" i="1"/>
  <c r="G86" i="1"/>
  <c r="G87" i="1"/>
  <c r="G88" i="1"/>
  <c r="G89" i="1"/>
  <c r="G91" i="1"/>
  <c r="G93" i="1"/>
  <c r="G94" i="1"/>
  <c r="G95" i="1"/>
  <c r="G96" i="1"/>
  <c r="G97" i="1"/>
  <c r="G98" i="1"/>
  <c r="G99" i="1"/>
  <c r="G105" i="1"/>
  <c r="G106" i="1"/>
  <c r="G107" i="1"/>
  <c r="G108" i="1"/>
  <c r="G109" i="1"/>
  <c r="G115" i="1"/>
  <c r="G116" i="1"/>
  <c r="G118" i="1"/>
  <c r="G119" i="1"/>
  <c r="G125" i="1"/>
  <c r="G126" i="1"/>
  <c r="G128" i="1"/>
  <c r="G129" i="1"/>
  <c r="G135" i="1"/>
  <c r="G136" i="1"/>
  <c r="G138" i="1"/>
  <c r="G139" i="1"/>
  <c r="G145" i="1"/>
  <c r="G146" i="1"/>
  <c r="G148" i="1"/>
  <c r="G149" i="1"/>
  <c r="G155" i="1"/>
  <c r="G156" i="1"/>
  <c r="G158" i="1"/>
  <c r="G159" i="1"/>
  <c r="G165" i="1"/>
  <c r="G166" i="1"/>
  <c r="G168" i="1"/>
  <c r="G169" i="1"/>
  <c r="G175" i="1"/>
  <c r="G176" i="1"/>
  <c r="G178" i="1"/>
  <c r="G179" i="1"/>
  <c r="G185" i="1"/>
  <c r="G186" i="1"/>
  <c r="G188" i="1"/>
  <c r="G189" i="1"/>
  <c r="G195" i="1"/>
  <c r="G196" i="1"/>
  <c r="G198" i="1"/>
  <c r="G199" i="1"/>
  <c r="G205" i="1"/>
  <c r="G206" i="1"/>
  <c r="G208" i="1"/>
  <c r="G209" i="1"/>
  <c r="G215" i="1"/>
  <c r="G216" i="1"/>
  <c r="G218" i="1"/>
  <c r="G219" i="1"/>
  <c r="G225" i="1"/>
  <c r="G226" i="1"/>
  <c r="G228" i="1"/>
  <c r="G229" i="1"/>
  <c r="G235" i="1"/>
  <c r="G236" i="1"/>
  <c r="G238" i="1"/>
  <c r="G239" i="1"/>
  <c r="G245" i="1"/>
  <c r="G246" i="1"/>
  <c r="G248" i="1"/>
  <c r="G249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3" i="1"/>
  <c r="H44" i="1"/>
  <c r="H45" i="1"/>
  <c r="H46" i="1"/>
  <c r="H47" i="1"/>
  <c r="H48" i="1"/>
  <c r="H49" i="1"/>
  <c r="H50" i="1"/>
  <c r="H51" i="1"/>
  <c r="H53" i="1"/>
  <c r="H54" i="1"/>
  <c r="H55" i="1"/>
  <c r="H56" i="1"/>
  <c r="H57" i="1"/>
  <c r="H58" i="1"/>
  <c r="H59" i="1"/>
  <c r="H60" i="1"/>
  <c r="H61" i="1"/>
  <c r="H63" i="1"/>
  <c r="H64" i="1"/>
  <c r="H65" i="1"/>
  <c r="H66" i="1"/>
  <c r="H67" i="1"/>
  <c r="H68" i="1"/>
  <c r="H69" i="1"/>
  <c r="H70" i="1"/>
  <c r="H71" i="1"/>
  <c r="H73" i="1"/>
  <c r="H74" i="1"/>
  <c r="H75" i="1"/>
  <c r="H76" i="1"/>
  <c r="H77" i="1"/>
  <c r="H78" i="1"/>
  <c r="H79" i="1"/>
  <c r="H81" i="1"/>
  <c r="H83" i="1"/>
  <c r="H84" i="1"/>
  <c r="H85" i="1"/>
  <c r="H86" i="1"/>
  <c r="H87" i="1"/>
  <c r="H88" i="1"/>
  <c r="H89" i="1"/>
  <c r="H91" i="1"/>
  <c r="H93" i="1"/>
  <c r="H94" i="1"/>
  <c r="H95" i="1"/>
  <c r="H96" i="1"/>
  <c r="H97" i="1"/>
  <c r="H98" i="1"/>
  <c r="H99" i="1"/>
  <c r="H105" i="1"/>
  <c r="H106" i="1"/>
  <c r="H107" i="1"/>
  <c r="H108" i="1"/>
  <c r="H109" i="1"/>
  <c r="H115" i="1"/>
  <c r="H116" i="1"/>
  <c r="H118" i="1"/>
  <c r="H119" i="1"/>
  <c r="H125" i="1"/>
  <c r="H126" i="1"/>
  <c r="H128" i="1"/>
  <c r="H129" i="1"/>
  <c r="H135" i="1"/>
  <c r="H136" i="1"/>
  <c r="H138" i="1"/>
  <c r="H139" i="1"/>
  <c r="H145" i="1"/>
  <c r="H146" i="1"/>
  <c r="H148" i="1"/>
  <c r="H149" i="1"/>
  <c r="H155" i="1"/>
  <c r="H156" i="1"/>
  <c r="H158" i="1"/>
  <c r="H159" i="1"/>
  <c r="H165" i="1"/>
  <c r="H166" i="1"/>
  <c r="H168" i="1"/>
  <c r="H169" i="1"/>
  <c r="H175" i="1"/>
  <c r="H176" i="1"/>
  <c r="H178" i="1"/>
  <c r="H179" i="1"/>
  <c r="H185" i="1"/>
  <c r="H186" i="1"/>
  <c r="H188" i="1"/>
  <c r="H189" i="1"/>
  <c r="H195" i="1"/>
  <c r="H196" i="1"/>
  <c r="H198" i="1"/>
  <c r="H199" i="1"/>
  <c r="H205" i="1"/>
  <c r="H206" i="1"/>
  <c r="H208" i="1"/>
  <c r="H209" i="1"/>
  <c r="H215" i="1"/>
  <c r="H216" i="1"/>
  <c r="H218" i="1"/>
  <c r="H219" i="1"/>
  <c r="H225" i="1"/>
  <c r="H226" i="1"/>
  <c r="H228" i="1"/>
  <c r="H229" i="1"/>
  <c r="H235" i="1"/>
  <c r="H236" i="1"/>
  <c r="H238" i="1"/>
  <c r="H239" i="1"/>
  <c r="H245" i="1"/>
  <c r="H246" i="1"/>
  <c r="H248" i="1"/>
  <c r="H249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3" i="1"/>
  <c r="I74" i="1"/>
  <c r="I75" i="1"/>
  <c r="I76" i="1"/>
  <c r="I77" i="1"/>
  <c r="I78" i="1"/>
  <c r="I79" i="1"/>
  <c r="I81" i="1"/>
  <c r="I83" i="1"/>
  <c r="I84" i="1"/>
  <c r="I85" i="1"/>
  <c r="I86" i="1"/>
  <c r="I87" i="1"/>
  <c r="I88" i="1"/>
  <c r="I89" i="1"/>
  <c r="I91" i="1"/>
  <c r="I93" i="1"/>
  <c r="I94" i="1"/>
  <c r="I95" i="1"/>
  <c r="I96" i="1"/>
  <c r="I97" i="1"/>
  <c r="I98" i="1"/>
  <c r="I99" i="1"/>
  <c r="I105" i="1"/>
  <c r="I106" i="1"/>
  <c r="I107" i="1"/>
  <c r="I108" i="1"/>
  <c r="I109" i="1"/>
  <c r="I115" i="1"/>
  <c r="I116" i="1"/>
  <c r="I118" i="1"/>
  <c r="I119" i="1"/>
  <c r="I125" i="1"/>
  <c r="I126" i="1"/>
  <c r="I128" i="1"/>
  <c r="I129" i="1"/>
  <c r="I135" i="1"/>
  <c r="I136" i="1"/>
  <c r="I138" i="1"/>
  <c r="I139" i="1"/>
  <c r="I145" i="1"/>
  <c r="I146" i="1"/>
  <c r="I148" i="1"/>
  <c r="I149" i="1"/>
  <c r="I155" i="1"/>
  <c r="I156" i="1"/>
  <c r="I158" i="1"/>
  <c r="I159" i="1"/>
  <c r="I165" i="1"/>
  <c r="I166" i="1"/>
  <c r="I168" i="1"/>
  <c r="I169" i="1"/>
  <c r="I175" i="1"/>
  <c r="I176" i="1"/>
  <c r="I178" i="1"/>
  <c r="I179" i="1"/>
  <c r="I185" i="1"/>
  <c r="I186" i="1"/>
  <c r="I188" i="1"/>
  <c r="I189" i="1"/>
  <c r="I195" i="1"/>
  <c r="I196" i="1"/>
  <c r="I198" i="1"/>
  <c r="I199" i="1"/>
  <c r="I205" i="1"/>
  <c r="I206" i="1"/>
  <c r="I208" i="1"/>
  <c r="I209" i="1"/>
  <c r="I215" i="1"/>
  <c r="I216" i="1"/>
  <c r="I218" i="1"/>
  <c r="I219" i="1"/>
  <c r="I225" i="1"/>
  <c r="I226" i="1"/>
  <c r="I228" i="1"/>
  <c r="I229" i="1"/>
  <c r="I235" i="1"/>
  <c r="I236" i="1"/>
  <c r="I238" i="1"/>
  <c r="I239" i="1"/>
  <c r="I245" i="1"/>
  <c r="I246" i="1"/>
  <c r="I248" i="1"/>
  <c r="I249" i="1"/>
  <c r="E12" i="1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22" i="1" l="1"/>
  <c r="E32" i="1" s="1"/>
  <c r="E42" i="1" s="1"/>
  <c r="E52" i="1" s="1"/>
  <c r="E62" i="1" s="1"/>
  <c r="E72" i="1"/>
  <c r="E82" i="1" s="1"/>
  <c r="E92" i="1" s="1"/>
  <c r="E102" i="1" s="1"/>
  <c r="E112" i="1" s="1"/>
  <c r="E122" i="1"/>
  <c r="E132" i="1" s="1"/>
  <c r="E142" i="1"/>
  <c r="E152" i="1" s="1"/>
  <c r="E162" i="1"/>
  <c r="E172" i="1" s="1"/>
  <c r="E182" i="1" s="1"/>
  <c r="E192" i="1" s="1"/>
  <c r="E202" i="1" s="1"/>
  <c r="E212" i="1" s="1"/>
  <c r="E222" i="1" s="1"/>
  <c r="E232" i="1" s="1"/>
  <c r="E242" i="1" s="1"/>
  <c r="F80" i="1"/>
  <c r="F104" i="1"/>
  <c r="F117" i="1"/>
  <c r="F101" i="1"/>
  <c r="F111" i="1" s="1"/>
  <c r="F121" i="1" s="1"/>
  <c r="F131" i="1" s="1"/>
  <c r="F141" i="1" s="1"/>
  <c r="F151" i="1" s="1"/>
  <c r="F161" i="1" s="1"/>
  <c r="F171" i="1" s="1"/>
  <c r="F181" i="1" s="1"/>
  <c r="F191" i="1" s="1"/>
  <c r="F201" i="1" s="1"/>
  <c r="F211" i="1" s="1"/>
  <c r="F221" i="1" s="1"/>
  <c r="F231" i="1" s="1"/>
  <c r="F241" i="1" s="1"/>
  <c r="F251" i="1" s="1"/>
  <c r="E103" i="1"/>
  <c r="E101" i="1"/>
  <c r="G2" i="1"/>
  <c r="G3" i="1"/>
  <c r="G4" i="1"/>
  <c r="G5" i="1"/>
  <c r="G6" i="1"/>
  <c r="G7" i="1"/>
  <c r="G8" i="1"/>
  <c r="G9" i="1"/>
  <c r="G10" i="1"/>
  <c r="G11" i="1"/>
  <c r="F12" i="1"/>
  <c r="F22" i="1" s="1"/>
  <c r="D29" i="2"/>
  <c r="J12" i="2"/>
  <c r="N12" i="2"/>
  <c r="O12" i="2" s="1"/>
  <c r="I12" i="2"/>
  <c r="N9" i="2"/>
  <c r="O9" i="2" s="1"/>
  <c r="J9" i="2"/>
  <c r="I9" i="2"/>
  <c r="K9" i="2" s="1"/>
  <c r="N8" i="2"/>
  <c r="O8" i="2" s="1"/>
  <c r="J8" i="2"/>
  <c r="I8" i="2"/>
  <c r="K8" i="2" s="1"/>
  <c r="N7" i="2"/>
  <c r="O7" i="2" s="1"/>
  <c r="J7" i="2"/>
  <c r="I7" i="2"/>
  <c r="K7" i="2" s="1"/>
  <c r="I6" i="2"/>
  <c r="N4" i="2"/>
  <c r="O4" i="2" s="1"/>
  <c r="J4" i="2"/>
  <c r="N3" i="2"/>
  <c r="O3" i="2" s="1"/>
  <c r="J3" i="2"/>
  <c r="I11" i="2"/>
  <c r="I10" i="2"/>
  <c r="N6" i="2"/>
  <c r="O6" i="2" s="1"/>
  <c r="J6" i="2"/>
  <c r="N5" i="2"/>
  <c r="O5" i="2" s="1"/>
  <c r="J5" i="2"/>
  <c r="I4" i="2"/>
  <c r="K4" i="2" s="1"/>
  <c r="I3" i="2"/>
  <c r="N11" i="2"/>
  <c r="O11" i="2" s="1"/>
  <c r="J11" i="2"/>
  <c r="N10" i="2"/>
  <c r="O10" i="2" s="1"/>
  <c r="J10" i="2"/>
  <c r="I5" i="2"/>
  <c r="K5" i="2" s="1"/>
  <c r="K12" i="2" l="1"/>
  <c r="F90" i="1"/>
  <c r="G80" i="1"/>
  <c r="G104" i="1"/>
  <c r="F114" i="1"/>
  <c r="G117" i="1"/>
  <c r="F127" i="1"/>
  <c r="F32" i="1"/>
  <c r="G22" i="1"/>
  <c r="E113" i="1"/>
  <c r="G103" i="1"/>
  <c r="G101" i="1"/>
  <c r="E111" i="1"/>
  <c r="H2" i="1"/>
  <c r="I2" i="1"/>
  <c r="I3" i="1"/>
  <c r="H3" i="1"/>
  <c r="H4" i="1"/>
  <c r="I4" i="1"/>
  <c r="I5" i="1"/>
  <c r="H5" i="1"/>
  <c r="H6" i="1"/>
  <c r="I6" i="1"/>
  <c r="I7" i="1"/>
  <c r="H7" i="1"/>
  <c r="I8" i="1"/>
  <c r="H8" i="1"/>
  <c r="I9" i="1"/>
  <c r="H9" i="1"/>
  <c r="I10" i="1"/>
  <c r="H10" i="1"/>
  <c r="H11" i="1"/>
  <c r="I11" i="1"/>
  <c r="G12" i="1"/>
  <c r="I13" i="2"/>
  <c r="K3" i="2"/>
  <c r="K11" i="2"/>
  <c r="K6" i="2"/>
  <c r="K10" i="2"/>
  <c r="J13" i="2"/>
  <c r="F100" i="1" l="1"/>
  <c r="G90" i="1"/>
  <c r="H80" i="1"/>
  <c r="I80" i="1"/>
  <c r="I104" i="1"/>
  <c r="H104" i="1"/>
  <c r="G114" i="1"/>
  <c r="F124" i="1"/>
  <c r="H117" i="1"/>
  <c r="I117" i="1"/>
  <c r="G127" i="1"/>
  <c r="F137" i="1"/>
  <c r="F42" i="1"/>
  <c r="G32" i="1"/>
  <c r="I22" i="1"/>
  <c r="H22" i="1"/>
  <c r="E123" i="1"/>
  <c r="G113" i="1"/>
  <c r="I103" i="1"/>
  <c r="H103" i="1"/>
  <c r="I101" i="1"/>
  <c r="H101" i="1"/>
  <c r="G111" i="1"/>
  <c r="E121" i="1"/>
  <c r="H12" i="1"/>
  <c r="I12" i="1"/>
  <c r="K13" i="2"/>
  <c r="G100" i="1" l="1"/>
  <c r="F110" i="1"/>
  <c r="H90" i="1"/>
  <c r="I90" i="1"/>
  <c r="I114" i="1"/>
  <c r="H114" i="1"/>
  <c r="G124" i="1"/>
  <c r="F134" i="1"/>
  <c r="I127" i="1"/>
  <c r="H127" i="1"/>
  <c r="F147" i="1"/>
  <c r="G137" i="1"/>
  <c r="G42" i="1"/>
  <c r="F52" i="1"/>
  <c r="I32" i="1"/>
  <c r="H32" i="1"/>
  <c r="E133" i="1"/>
  <c r="G123" i="1"/>
  <c r="H113" i="1"/>
  <c r="I113" i="1"/>
  <c r="H111" i="1"/>
  <c r="I111" i="1"/>
  <c r="E131" i="1"/>
  <c r="G121" i="1"/>
  <c r="H100" i="1" l="1"/>
  <c r="I100" i="1"/>
  <c r="G110" i="1"/>
  <c r="F120" i="1"/>
  <c r="I124" i="1"/>
  <c r="H124" i="1"/>
  <c r="G134" i="1"/>
  <c r="F144" i="1"/>
  <c r="G147" i="1"/>
  <c r="F157" i="1"/>
  <c r="I137" i="1"/>
  <c r="H137" i="1"/>
  <c r="H42" i="1"/>
  <c r="I42" i="1"/>
  <c r="G52" i="1"/>
  <c r="F62" i="1"/>
  <c r="E143" i="1"/>
  <c r="G133" i="1"/>
  <c r="I123" i="1"/>
  <c r="H123" i="1"/>
  <c r="G131" i="1"/>
  <c r="E141" i="1"/>
  <c r="H121" i="1"/>
  <c r="I121" i="1"/>
  <c r="I110" i="1" l="1"/>
  <c r="H110" i="1"/>
  <c r="G120" i="1"/>
  <c r="F130" i="1"/>
  <c r="H134" i="1"/>
  <c r="I134" i="1"/>
  <c r="F154" i="1"/>
  <c r="G144" i="1"/>
  <c r="I147" i="1"/>
  <c r="H147" i="1"/>
  <c r="F167" i="1"/>
  <c r="G157" i="1"/>
  <c r="H52" i="1"/>
  <c r="I52" i="1"/>
  <c r="G62" i="1"/>
  <c r="F72" i="1"/>
  <c r="G143" i="1"/>
  <c r="E153" i="1"/>
  <c r="I133" i="1"/>
  <c r="H133" i="1"/>
  <c r="I131" i="1"/>
  <c r="H131" i="1"/>
  <c r="G141" i="1"/>
  <c r="E151" i="1"/>
  <c r="I120" i="1" l="1"/>
  <c r="H120" i="1"/>
  <c r="F140" i="1"/>
  <c r="G130" i="1"/>
  <c r="F164" i="1"/>
  <c r="G154" i="1"/>
  <c r="I144" i="1"/>
  <c r="H144" i="1"/>
  <c r="F177" i="1"/>
  <c r="G167" i="1"/>
  <c r="H157" i="1"/>
  <c r="I157" i="1"/>
  <c r="H62" i="1"/>
  <c r="I62" i="1"/>
  <c r="G72" i="1"/>
  <c r="F82" i="1"/>
  <c r="I143" i="1"/>
  <c r="H143" i="1"/>
  <c r="E163" i="1"/>
  <c r="G153" i="1"/>
  <c r="I141" i="1"/>
  <c r="H141" i="1"/>
  <c r="G151" i="1"/>
  <c r="E161" i="1"/>
  <c r="F150" i="1" l="1"/>
  <c r="G140" i="1"/>
  <c r="H130" i="1"/>
  <c r="I130" i="1"/>
  <c r="G164" i="1"/>
  <c r="F174" i="1"/>
  <c r="I154" i="1"/>
  <c r="H154" i="1"/>
  <c r="G177" i="1"/>
  <c r="F187" i="1"/>
  <c r="H167" i="1"/>
  <c r="I167" i="1"/>
  <c r="H72" i="1"/>
  <c r="I72" i="1"/>
  <c r="G82" i="1"/>
  <c r="F92" i="1"/>
  <c r="G163" i="1"/>
  <c r="E173" i="1"/>
  <c r="H153" i="1"/>
  <c r="I153" i="1"/>
  <c r="H151" i="1"/>
  <c r="I151" i="1"/>
  <c r="G161" i="1"/>
  <c r="E171" i="1"/>
  <c r="F160" i="1" l="1"/>
  <c r="G150" i="1"/>
  <c r="I140" i="1"/>
  <c r="H140" i="1"/>
  <c r="I164" i="1"/>
  <c r="H164" i="1"/>
  <c r="G174" i="1"/>
  <c r="F184" i="1"/>
  <c r="H177" i="1"/>
  <c r="I177" i="1"/>
  <c r="G187" i="1"/>
  <c r="F197" i="1"/>
  <c r="H82" i="1"/>
  <c r="I82" i="1"/>
  <c r="F102" i="1"/>
  <c r="G92" i="1"/>
  <c r="H163" i="1"/>
  <c r="I163" i="1"/>
  <c r="E183" i="1"/>
  <c r="G173" i="1"/>
  <c r="H161" i="1"/>
  <c r="I161" i="1"/>
  <c r="G171" i="1"/>
  <c r="E181" i="1"/>
  <c r="F170" i="1" l="1"/>
  <c r="G160" i="1"/>
  <c r="I150" i="1"/>
  <c r="H150" i="1"/>
  <c r="I174" i="1"/>
  <c r="H174" i="1"/>
  <c r="G184" i="1"/>
  <c r="F194" i="1"/>
  <c r="H187" i="1"/>
  <c r="I187" i="1"/>
  <c r="G197" i="1"/>
  <c r="F207" i="1"/>
  <c r="G102" i="1"/>
  <c r="F112" i="1"/>
  <c r="I92" i="1"/>
  <c r="H92" i="1"/>
  <c r="G183" i="1"/>
  <c r="E193" i="1"/>
  <c r="I173" i="1"/>
  <c r="H173" i="1"/>
  <c r="H171" i="1"/>
  <c r="I171" i="1"/>
  <c r="G181" i="1"/>
  <c r="E191" i="1"/>
  <c r="F180" i="1" l="1"/>
  <c r="G170" i="1"/>
  <c r="I160" i="1"/>
  <c r="H160" i="1"/>
  <c r="H184" i="1"/>
  <c r="I184" i="1"/>
  <c r="G194" i="1"/>
  <c r="F204" i="1"/>
  <c r="I197" i="1"/>
  <c r="H197" i="1"/>
  <c r="F217" i="1"/>
  <c r="G207" i="1"/>
  <c r="H102" i="1"/>
  <c r="I102" i="1"/>
  <c r="G112" i="1"/>
  <c r="F122" i="1"/>
  <c r="H183" i="1"/>
  <c r="I183" i="1"/>
  <c r="G193" i="1"/>
  <c r="E203" i="1"/>
  <c r="I181" i="1"/>
  <c r="H181" i="1"/>
  <c r="E201" i="1"/>
  <c r="G191" i="1"/>
  <c r="G180" i="1" l="1"/>
  <c r="F190" i="1"/>
  <c r="H170" i="1"/>
  <c r="I170" i="1"/>
  <c r="H194" i="1"/>
  <c r="I194" i="1"/>
  <c r="F214" i="1"/>
  <c r="G204" i="1"/>
  <c r="G217" i="1"/>
  <c r="F227" i="1"/>
  <c r="I207" i="1"/>
  <c r="H207" i="1"/>
  <c r="H112" i="1"/>
  <c r="I112" i="1"/>
  <c r="F132" i="1"/>
  <c r="G122" i="1"/>
  <c r="I193" i="1"/>
  <c r="H193" i="1"/>
  <c r="E213" i="1"/>
  <c r="G203" i="1"/>
  <c r="G201" i="1"/>
  <c r="E211" i="1"/>
  <c r="H191" i="1"/>
  <c r="I191" i="1"/>
  <c r="I180" i="1" l="1"/>
  <c r="H180" i="1"/>
  <c r="G190" i="1"/>
  <c r="F200" i="1"/>
  <c r="F224" i="1"/>
  <c r="G214" i="1"/>
  <c r="H204" i="1"/>
  <c r="I204" i="1"/>
  <c r="I217" i="1"/>
  <c r="H217" i="1"/>
  <c r="G227" i="1"/>
  <c r="F237" i="1"/>
  <c r="F142" i="1"/>
  <c r="G132" i="1"/>
  <c r="I122" i="1"/>
  <c r="H122" i="1"/>
  <c r="G213" i="1"/>
  <c r="E223" i="1"/>
  <c r="H203" i="1"/>
  <c r="I203" i="1"/>
  <c r="I201" i="1"/>
  <c r="H201" i="1"/>
  <c r="G211" i="1"/>
  <c r="E221" i="1"/>
  <c r="I190" i="1" l="1"/>
  <c r="H190" i="1"/>
  <c r="F210" i="1"/>
  <c r="G200" i="1"/>
  <c r="F234" i="1"/>
  <c r="G224" i="1"/>
  <c r="I214" i="1"/>
  <c r="H214" i="1"/>
  <c r="I227" i="1"/>
  <c r="H227" i="1"/>
  <c r="F247" i="1"/>
  <c r="G237" i="1"/>
  <c r="F152" i="1"/>
  <c r="G142" i="1"/>
  <c r="H132" i="1"/>
  <c r="I132" i="1"/>
  <c r="H213" i="1"/>
  <c r="I213" i="1"/>
  <c r="G223" i="1"/>
  <c r="E233" i="1"/>
  <c r="H211" i="1"/>
  <c r="I211" i="1"/>
  <c r="G221" i="1"/>
  <c r="E231" i="1"/>
  <c r="G210" i="1" l="1"/>
  <c r="F220" i="1"/>
  <c r="I200" i="1"/>
  <c r="H200" i="1"/>
  <c r="G234" i="1"/>
  <c r="F244" i="1"/>
  <c r="I224" i="1"/>
  <c r="H224" i="1"/>
  <c r="G247" i="1"/>
  <c r="H237" i="1"/>
  <c r="I237" i="1"/>
  <c r="F162" i="1"/>
  <c r="G152" i="1"/>
  <c r="H142" i="1"/>
  <c r="I142" i="1"/>
  <c r="H223" i="1"/>
  <c r="I223" i="1"/>
  <c r="G233" i="1"/>
  <c r="E243" i="1"/>
  <c r="H221" i="1"/>
  <c r="I221" i="1"/>
  <c r="G231" i="1"/>
  <c r="E241" i="1"/>
  <c r="H210" i="1" l="1"/>
  <c r="I210" i="1"/>
  <c r="F230" i="1"/>
  <c r="G220" i="1"/>
  <c r="H234" i="1"/>
  <c r="I234" i="1"/>
  <c r="G244" i="1"/>
  <c r="H247" i="1"/>
  <c r="I247" i="1"/>
  <c r="G162" i="1"/>
  <c r="F172" i="1"/>
  <c r="H152" i="1"/>
  <c r="I152" i="1"/>
  <c r="I233" i="1"/>
  <c r="H233" i="1"/>
  <c r="G243" i="1"/>
  <c r="I231" i="1"/>
  <c r="H231" i="1"/>
  <c r="E251" i="1"/>
  <c r="G241" i="1"/>
  <c r="F240" i="1" l="1"/>
  <c r="G230" i="1"/>
  <c r="I220" i="1"/>
  <c r="H220" i="1"/>
  <c r="H244" i="1"/>
  <c r="I244" i="1"/>
  <c r="I162" i="1"/>
  <c r="H162" i="1"/>
  <c r="F182" i="1"/>
  <c r="G172" i="1"/>
  <c r="H243" i="1"/>
  <c r="I243" i="1"/>
  <c r="G251" i="1"/>
  <c r="H241" i="1"/>
  <c r="I241" i="1"/>
  <c r="G240" i="1" l="1"/>
  <c r="F250" i="1"/>
  <c r="H230" i="1"/>
  <c r="I230" i="1"/>
  <c r="F192" i="1"/>
  <c r="G182" i="1"/>
  <c r="H172" i="1"/>
  <c r="I172" i="1"/>
  <c r="H251" i="1"/>
  <c r="I251" i="1"/>
  <c r="H240" i="1" l="1"/>
  <c r="I240" i="1"/>
  <c r="G250" i="1"/>
  <c r="F202" i="1"/>
  <c r="G192" i="1"/>
  <c r="H182" i="1"/>
  <c r="I182" i="1"/>
  <c r="H250" i="1" l="1"/>
  <c r="I250" i="1"/>
  <c r="F212" i="1"/>
  <c r="G202" i="1"/>
  <c r="H192" i="1"/>
  <c r="I192" i="1"/>
  <c r="G212" i="1" l="1"/>
  <c r="F222" i="1"/>
  <c r="H202" i="1"/>
  <c r="I202" i="1"/>
  <c r="H212" i="1" l="1"/>
  <c r="I212" i="1"/>
  <c r="F232" i="1"/>
  <c r="G222" i="1"/>
  <c r="G232" i="1" l="1"/>
  <c r="F242" i="1"/>
  <c r="H222" i="1"/>
  <c r="I222" i="1"/>
  <c r="H232" i="1" l="1"/>
  <c r="I232" i="1"/>
  <c r="G242" i="1"/>
  <c r="I242" i="1" l="1"/>
  <c r="H242" i="1"/>
</calcChain>
</file>

<file path=xl/sharedStrings.xml><?xml version="1.0" encoding="utf-8"?>
<sst xmlns="http://schemas.openxmlformats.org/spreadsheetml/2006/main" count="556" uniqueCount="55">
  <si>
    <t>my_fi_name</t>
  </si>
  <si>
    <t>price_screen_bid</t>
  </si>
  <si>
    <t>price_screen_ask</t>
  </si>
  <si>
    <t>time</t>
  </si>
  <si>
    <t>ARKB</t>
  </si>
  <si>
    <t>2026-06-23_09-50-20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</si>
  <si>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</si>
  <si>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</si>
  <si>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</si>
  <si>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</si>
  <si>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</si>
  <si>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</si>
  <si>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</si>
  <si>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</si>
  <si>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</si>
  <si>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2026-06-23_10-05-20</t>
  </si>
  <si>
    <t>2026-06-23_10-22-51</t>
  </si>
  <si>
    <t>2026-06-23_10-37-51</t>
  </si>
  <si>
    <t>2026-06-23_10-52-51</t>
  </si>
  <si>
    <t>2026-06-23_11-07-51</t>
  </si>
  <si>
    <t>2026-06-23_11-22-51</t>
  </si>
  <si>
    <t>2026-06-23_11-37-51</t>
  </si>
  <si>
    <t>2026-06-23_11-52-51</t>
  </si>
  <si>
    <t>2026-06-23_12-07-51</t>
  </si>
  <si>
    <t>2026-06-23_12-22-51</t>
  </si>
  <si>
    <t>2026-06-23_12-37-51</t>
  </si>
  <si>
    <t>2026-06-23_12-52-51</t>
  </si>
  <si>
    <t>2026-06-23_13-07-51</t>
  </si>
  <si>
    <t>2026-06-23_13-22-51</t>
  </si>
  <si>
    <t>2026-06-23_13-37-51</t>
  </si>
  <si>
    <t>2026-06-23_13-52-51</t>
  </si>
  <si>
    <t>2026-06-23_14-07-51</t>
  </si>
  <si>
    <t>2026-06-23_14-22-51</t>
  </si>
  <si>
    <t>2026-06-23_14-37-51</t>
  </si>
  <si>
    <t>2026-06-23_14-52-51</t>
  </si>
  <si>
    <t>2026-06-23_15-07-51</t>
  </si>
  <si>
    <t>2026-06-23_15-22-51</t>
  </si>
  <si>
    <t>2026-06-23_15-37-51</t>
  </si>
  <si>
    <t>2026-06-23_15-52-51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</si>
  <si>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</si>
  <si>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</si>
  <si>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</si>
  <si>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</si>
  <si>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</si>
  <si>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</si>
  <si>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</si>
  <si>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</si>
  <si>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</si>
  <si>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</si>
  <si>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</si>
  <si>
    <t>scalar</t>
  </si>
  <si>
    <t>adj</t>
  </si>
  <si>
    <t>adj scalar</t>
  </si>
  <si>
    <t>unit bid</t>
  </si>
  <si>
    <t>unit 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</si>
</sst>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%"/>
    <numFmt numFmtId="166" formatCode="_(* #,##0.0000_);_(* \(#,##0.0000\);_(* &quot;-&quot;??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44" fontId="0" fillId="0" borderId="0" xfId="2" applyFont="1"/>
    <xf numFmtId="0" fontId="18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4" fontId="0" fillId="33" borderId="0" xfId="1" applyNumberFormat="1" applyFont="1" applyFill="1"/>
    <xf numFmtId="165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6" fontId="0" fillId="0" borderId="0" xfId="0" applyNumberForma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96.945712615743" createdVersion="8" refreshedVersion="8" minRefreshableVersion="3" recordCount="250" xr:uid="{52409B9B-6CE5-4636-9BC4-EDC2897F032E}">
  <cacheSource type="worksheet">
    <worksheetSource name="Table1"/>
  </cacheSource>
  <cacheFields count="9">
    <cacheField name="my_fi_name" numFmtId="0">
      <sharedItems/>
    </cacheField>
    <cacheField name="price_screen_bid" numFmtId="44">
      <sharedItems containsSemiMixedTypes="0" containsString="0" containsNumber="1" minValue="17.53" maxValue="66.150000000000006"/>
    </cacheField>
    <cacheField name="price_screen_ask" numFmtId="44">
      <sharedItems containsSemiMixedTypes="0" containsString="0" containsNumber="1" minValue="17.54" maxValue="66.260000000000005"/>
    </cacheField>
    <cacheField name="time" numFmtId="0">
      <sharedItems count="25">
        <s v="2026-06-23_09-50-20"/>
        <s v="2026-06-23_10-05-20"/>
        <s v="2026-06-23_10-22-51"/>
        <s v="2026-06-23_10-37-51"/>
        <s v="2026-06-23_10-52-51"/>
        <s v="2026-06-23_11-07-51"/>
        <s v="2026-06-23_11-22-51"/>
        <s v="2026-06-23_11-37-51"/>
        <s v="2026-06-23_11-52-51"/>
        <s v="2026-06-23_12-07-51"/>
        <s v="2026-06-23_12-22-51"/>
        <s v="2026-06-23_12-37-51"/>
        <s v="2026-06-23_12-52-51"/>
        <s v="2026-06-23_13-07-51"/>
        <s v="2026-06-23_13-22-51"/>
        <s v="2026-06-23_13-37-51"/>
        <s v="2026-06-23_13-52-51"/>
        <s v="2026-06-23_14-07-51"/>
        <s v="2026-06-23_14-22-51"/>
        <s v="2026-06-23_14-37-51"/>
        <s v="2026-06-23_14-52-51"/>
        <s v="2026-06-23_15-07-51"/>
        <s v="2026-06-23_15-22-51"/>
        <s v="2026-06-23_15-37-51"/>
        <s v="2026-06-23_15-52-51"/>
      </sharedItems>
    </cacheField>
    <cacheField name="scalar" numFmtId="164">
      <sharedItems containsSemiMixedTypes="0" containsString="0" containsNumber="1" minValue="946.14290000000005" maxValue="3546.6107999999999"/>
    </cacheField>
    <cacheField name="adj" numFmtId="164">
      <sharedItems containsSemiMixedTypes="0" containsString="0" containsNumber="1" minValue="-0.1" maxValue="0.05"/>
    </cacheField>
    <cacheField name="adj scalar" numFmtId="0">
      <sharedItems containsSemiMixedTypes="0" containsString="0" containsNumber="1" minValue="946.14290000000005" maxValue="3546.6107999999999"/>
    </cacheField>
    <cacheField name="unit bid" numFmtId="44">
      <sharedItems containsSemiMixedTypes="0" containsString="0" containsNumber="1" minValue="62142.66567200001" maxValue="62666.286344999993"/>
    </cacheField>
    <cacheField name="unit ask" numFmtId="44">
      <sharedItems containsSemiMixedTypes="0" containsString="0" containsNumber="1" minValue="62183.465421999994" maxValue="62691.428554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RKB"/>
    <n v="20.68"/>
    <n v="20.69"/>
    <x v="0"/>
    <n v="3014.9661000000001"/>
    <n v="0"/>
    <n v="3014.9661000000001"/>
    <n v="62349.498948"/>
    <n v="62379.648609000003"/>
  </r>
  <r>
    <s v="BITB"/>
    <n v="33.85"/>
    <n v="33.86"/>
    <x v="0"/>
    <n v="1842.1306"/>
    <n v="0"/>
    <n v="1842.1306"/>
    <n v="62356.12081"/>
    <n v="62374.542115999997"/>
  </r>
  <r>
    <s v="BRRR"/>
    <n v="17.579999999999998"/>
    <n v="17.59"/>
    <x v="0"/>
    <n v="3546.6107999999999"/>
    <n v="0"/>
    <n v="3546.6107999999999"/>
    <n v="62349.417863999995"/>
    <n v="62384.883971999996"/>
  </r>
  <r>
    <s v="BTC"/>
    <n v="27.58"/>
    <n v="27.58"/>
    <x v="0"/>
    <n v="2261.3508999999999"/>
    <n v="-0.1"/>
    <n v="2261.2509"/>
    <n v="62365.299821999994"/>
    <n v="62365.299821999994"/>
  </r>
  <r>
    <s v="BTCW"/>
    <n v="65.83"/>
    <n v="65.95"/>
    <x v="0"/>
    <n v="946.14290000000005"/>
    <n v="0"/>
    <n v="946.14290000000005"/>
    <n v="62284.587106999999"/>
    <n v="62398.12425500001"/>
  </r>
  <r>
    <s v="EZBC"/>
    <n v="36.03"/>
    <n v="36.04"/>
    <x v="0"/>
    <n v="1730.2367999999999"/>
    <n v="0"/>
    <n v="1730.2367999999999"/>
    <n v="62340.431903999997"/>
    <n v="62357.734271999994"/>
  </r>
  <r>
    <s v="FBTC"/>
    <n v="54.27"/>
    <n v="54.28"/>
    <x v="0"/>
    <n v="1148.8611000000001"/>
    <n v="0"/>
    <n v="1148.8611000000001"/>
    <n v="62348.691897000004"/>
    <n v="62360.180508000005"/>
  </r>
  <r>
    <s v="GBTC"/>
    <n v="48.37"/>
    <n v="48.38"/>
    <x v="0"/>
    <n v="1289.1144999999999"/>
    <n v="0.05"/>
    <n v="1289.1644999999999"/>
    <n v="62356.886864999993"/>
    <n v="62369.778509999996"/>
  </r>
  <r>
    <s v="HODL"/>
    <n v="17.63"/>
    <n v="17.64"/>
    <x v="0"/>
    <n v="3535.8029000000001"/>
    <n v="0"/>
    <n v="3535.8029000000001"/>
    <n v="62336.205127000001"/>
    <n v="62371.563156000004"/>
  </r>
  <r>
    <s v="IBIT"/>
    <n v="35.31"/>
    <n v="35.32"/>
    <x v="0"/>
    <n v="1765.0714"/>
    <n v="0"/>
    <n v="1765.0714"/>
    <n v="62324.671134000004"/>
    <n v="62342.321848"/>
  </r>
  <r>
    <s v="ARKB"/>
    <n v="20.7"/>
    <n v="20.71"/>
    <x v="1"/>
    <n v="3014.9661000000001"/>
    <n v="0"/>
    <n v="3014.9661000000001"/>
    <n v="62409.798269999999"/>
    <n v="62439.947931000002"/>
  </r>
  <r>
    <s v="BITB"/>
    <n v="33.89"/>
    <n v="33.9"/>
    <x v="1"/>
    <n v="1842.1306"/>
    <n v="0"/>
    <n v="1842.1306"/>
    <n v="62429.806034000001"/>
    <n v="62448.227339999998"/>
  </r>
  <r>
    <s v="BRRR"/>
    <n v="17.600000000000001"/>
    <n v="17.61"/>
    <x v="1"/>
    <n v="3546.6107999999999"/>
    <n v="0"/>
    <n v="3546.6107999999999"/>
    <n v="62420.350080000004"/>
    <n v="62455.816187999997"/>
  </r>
  <r>
    <s v="BTC"/>
    <n v="27.61"/>
    <n v="27.62"/>
    <x v="1"/>
    <n v="2261.3508999999999"/>
    <n v="-0.1"/>
    <n v="2261.2509"/>
    <n v="62433.137348999997"/>
    <n v="62455.749858000003"/>
  </r>
  <r>
    <s v="BTCW"/>
    <n v="65.95"/>
    <n v="66.06"/>
    <x v="1"/>
    <n v="946.14290000000005"/>
    <n v="0"/>
    <n v="946.14290000000005"/>
    <n v="62398.12425500001"/>
    <n v="62502.199974000003"/>
  </r>
  <r>
    <s v="EZBC"/>
    <n v="36.06"/>
    <n v="36.090000000000003"/>
    <x v="1"/>
    <n v="1730.2367999999999"/>
    <n v="0"/>
    <n v="1730.2367999999999"/>
    <n v="62392.339008000003"/>
    <n v="62444.246112000001"/>
  </r>
  <r>
    <s v="FBTC"/>
    <n v="54.33"/>
    <n v="54.34"/>
    <x v="1"/>
    <n v="1148.8611000000001"/>
    <n v="0"/>
    <n v="1148.8611000000001"/>
    <n v="62417.623563000001"/>
    <n v="62429.112174000009"/>
  </r>
  <r>
    <s v="GBTC"/>
    <n v="48.43"/>
    <n v="48.44"/>
    <x v="1"/>
    <n v="1289.1144999999999"/>
    <n v="0.05"/>
    <n v="1289.1644999999999"/>
    <n v="62434.236734999991"/>
    <n v="62447.128379999987"/>
  </r>
  <r>
    <s v="HODL"/>
    <n v="17.649999999999999"/>
    <n v="17.66"/>
    <x v="1"/>
    <n v="3535.8029000000001"/>
    <n v="0"/>
    <n v="3535.8029000000001"/>
    <n v="62406.921184999999"/>
    <n v="62442.279214000002"/>
  </r>
  <r>
    <s v="IBIT"/>
    <n v="35.36"/>
    <n v="35.369999999999997"/>
    <x v="1"/>
    <n v="1765.0714"/>
    <n v="0"/>
    <n v="1765.0714"/>
    <n v="62412.924703999997"/>
    <n v="62430.575418"/>
  </r>
  <r>
    <s v="ARKB"/>
    <n v="20.73"/>
    <n v="20.74"/>
    <x v="2"/>
    <n v="3014.9661000000001"/>
    <n v="0"/>
    <n v="3014.9661000000001"/>
    <n v="62500.247253000001"/>
    <n v="62530.396913999997"/>
  </r>
  <r>
    <s v="BITB"/>
    <n v="33.94"/>
    <n v="33.950000000000003"/>
    <x v="2"/>
    <n v="1842.1306"/>
    <n v="0"/>
    <n v="1842.1306"/>
    <n v="62521.912563999991"/>
    <n v="62540.333870000002"/>
  </r>
  <r>
    <s v="BRRR"/>
    <n v="17.63"/>
    <n v="17.64"/>
    <x v="2"/>
    <n v="3546.6107999999999"/>
    <n v="0"/>
    <n v="3546.6107999999999"/>
    <n v="62526.748403999998"/>
    <n v="62562.214511999999"/>
  </r>
  <r>
    <s v="BTC"/>
    <n v="27.65"/>
    <n v="27.66"/>
    <x v="2"/>
    <n v="2261.3508999999999"/>
    <n v="-0.1"/>
    <n v="2261.2509"/>
    <n v="62523.587384999999"/>
    <n v="62546.199893999998"/>
  </r>
  <r>
    <s v="BTCW"/>
    <n v="66.03"/>
    <n v="66.150000000000006"/>
    <x v="2"/>
    <n v="946.14290000000005"/>
    <n v="0"/>
    <n v="946.14290000000005"/>
    <n v="62473.815687000002"/>
    <n v="62587.352835000012"/>
  </r>
  <r>
    <s v="EZBC"/>
    <n v="36.119999999999997"/>
    <n v="36.14"/>
    <x v="2"/>
    <n v="1730.2367999999999"/>
    <n v="0"/>
    <n v="1730.2367999999999"/>
    <n v="62496.153215999992"/>
    <n v="62530.757952"/>
  </r>
  <r>
    <s v="FBTC"/>
    <n v="54.42"/>
    <n v="54.43"/>
    <x v="2"/>
    <n v="1148.8611000000001"/>
    <n v="0"/>
    <n v="1148.8611000000001"/>
    <n v="62521.021062000007"/>
    <n v="62532.509673"/>
  </r>
  <r>
    <s v="GBTC"/>
    <n v="48.5"/>
    <n v="48.51"/>
    <x v="2"/>
    <n v="1289.1144999999999"/>
    <n v="0.05"/>
    <n v="1289.1644999999999"/>
    <n v="62524.478249999993"/>
    <n v="62537.369894999989"/>
  </r>
  <r>
    <s v="HODL"/>
    <n v="17.68"/>
    <n v="17.690000000000001"/>
    <x v="2"/>
    <n v="3535.8029000000001"/>
    <n v="0"/>
    <n v="3535.8029000000001"/>
    <n v="62512.995272"/>
    <n v="62548.35330100001"/>
  </r>
  <r>
    <s v="IBIT"/>
    <n v="35.409999999999997"/>
    <n v="35.42"/>
    <x v="2"/>
    <n v="1765.0714"/>
    <n v="0"/>
    <n v="1765.0714"/>
    <n v="62501.178273999998"/>
    <n v="62518.828988000001"/>
  </r>
  <r>
    <s v="ARKB"/>
    <n v="20.78"/>
    <n v="20.78"/>
    <x v="3"/>
    <n v="3014.9661000000001"/>
    <n v="0"/>
    <n v="3014.9661000000001"/>
    <n v="62650.995558000002"/>
    <n v="62650.995558000002"/>
  </r>
  <r>
    <s v="BITB"/>
    <n v="34.01"/>
    <n v="34.020000000000003"/>
    <x v="3"/>
    <n v="1842.1306"/>
    <n v="0"/>
    <n v="1842.1306"/>
    <n v="62650.861705999996"/>
    <n v="62669.283012000007"/>
  </r>
  <r>
    <s v="BRRR"/>
    <n v="17.66"/>
    <n v="17.670000000000002"/>
    <x v="3"/>
    <n v="3546.6107999999999"/>
    <n v="0"/>
    <n v="3546.6107999999999"/>
    <n v="62633.146728"/>
    <n v="62668.612836000008"/>
  </r>
  <r>
    <s v="BTC"/>
    <n v="27.7"/>
    <n v="27.71"/>
    <x v="3"/>
    <n v="2261.3508999999999"/>
    <n v="-0.1"/>
    <n v="2261.2509"/>
    <n v="62636.64993"/>
    <n v="62659.262439000006"/>
  </r>
  <r>
    <s v="BTCW"/>
    <n v="66.150000000000006"/>
    <n v="66.260000000000005"/>
    <x v="3"/>
    <n v="946.14290000000005"/>
    <n v="0"/>
    <n v="946.14290000000005"/>
    <n v="62587.352835000012"/>
    <n v="62691.428554000006"/>
  </r>
  <r>
    <s v="EZBC"/>
    <n v="36.19"/>
    <n v="36.21"/>
    <x v="3"/>
    <n v="1730.2367999999999"/>
    <n v="0"/>
    <n v="1730.2367999999999"/>
    <n v="62617.269791999992"/>
    <n v="62651.874528"/>
  </r>
  <r>
    <s v="FBTC"/>
    <n v="54.52"/>
    <n v="54.53"/>
    <x v="3"/>
    <n v="1148.8611000000001"/>
    <n v="0"/>
    <n v="1148.8611000000001"/>
    <n v="62635.907172000007"/>
    <n v="62647.395783000007"/>
  </r>
  <r>
    <s v="GBTC"/>
    <n v="48.61"/>
    <n v="48.62"/>
    <x v="3"/>
    <n v="1289.1144999999999"/>
    <n v="0.05"/>
    <n v="1289.1644999999999"/>
    <n v="62666.286344999993"/>
    <n v="62679.177989999989"/>
  </r>
  <r>
    <s v="HODL"/>
    <n v="17.71"/>
    <n v="17.72"/>
    <x v="3"/>
    <n v="3535.8029000000001"/>
    <n v="0"/>
    <n v="3535.8029000000001"/>
    <n v="62619.069359000008"/>
    <n v="62654.427387999996"/>
  </r>
  <r>
    <s v="IBIT"/>
    <n v="35.479999999999997"/>
    <n v="35.49"/>
    <x v="3"/>
    <n v="1765.0714"/>
    <n v="0"/>
    <n v="1765.0714"/>
    <n v="62624.733271999998"/>
    <n v="62642.383986000008"/>
  </r>
  <r>
    <s v="ARKB"/>
    <n v="20.72"/>
    <n v="20.73"/>
    <x v="4"/>
    <n v="3014.9661000000001"/>
    <n v="0"/>
    <n v="3014.9661000000001"/>
    <n v="62470.097591999998"/>
    <n v="62500.247253000001"/>
  </r>
  <r>
    <s v="BITB"/>
    <n v="33.909999999999997"/>
    <n v="33.92"/>
    <x v="4"/>
    <n v="1842.1306"/>
    <n v="0"/>
    <n v="1842.1306"/>
    <n v="62466.648645999994"/>
    <n v="62485.069952000005"/>
  </r>
  <r>
    <s v="BRRR"/>
    <n v="17.61"/>
    <n v="17.62"/>
    <x v="4"/>
    <n v="3546.6107999999999"/>
    <n v="0"/>
    <n v="3546.6107999999999"/>
    <n v="62455.816187999997"/>
    <n v="62491.282296000005"/>
  </r>
  <r>
    <s v="BTC"/>
    <n v="27.62"/>
    <n v="27.63"/>
    <x v="4"/>
    <n v="2261.3508999999999"/>
    <n v="-0.1"/>
    <n v="2261.2509"/>
    <n v="62455.749858000003"/>
    <n v="62478.362366999994"/>
  </r>
  <r>
    <s v="BTCW"/>
    <n v="65.97"/>
    <n v="66.08"/>
    <x v="4"/>
    <n v="946.14290000000005"/>
    <n v="0"/>
    <n v="946.14290000000005"/>
    <n v="62417.047113000001"/>
    <n v="62521.122832000001"/>
  </r>
  <r>
    <s v="EZBC"/>
    <n v="36.08"/>
    <n v="36.11"/>
    <x v="4"/>
    <n v="1730.2367999999999"/>
    <n v="0"/>
    <n v="1730.2367999999999"/>
    <n v="62426.943743999997"/>
    <n v="62478.850847999995"/>
  </r>
  <r>
    <s v="FBTC"/>
    <n v="54.36"/>
    <n v="54.37"/>
    <x v="4"/>
    <n v="1148.8611000000001"/>
    <n v="0"/>
    <n v="1148.8611000000001"/>
    <n v="62452.089396000003"/>
    <n v="62463.578007000004"/>
  </r>
  <r>
    <s v="GBTC"/>
    <n v="48.46"/>
    <n v="48.47"/>
    <x v="4"/>
    <n v="1289.1144999999999"/>
    <n v="0.05"/>
    <n v="1289.1644999999999"/>
    <n v="62472.911669999994"/>
    <n v="62485.80331499999"/>
  </r>
  <r>
    <s v="HODL"/>
    <n v="17.66"/>
    <n v="17.670000000000002"/>
    <x v="4"/>
    <n v="3535.8029000000001"/>
    <n v="0"/>
    <n v="3535.8029000000001"/>
    <n v="62442.279214000002"/>
    <n v="62477.637243000012"/>
  </r>
  <r>
    <s v="IBIT"/>
    <n v="35.380000000000003"/>
    <n v="35.39"/>
    <x v="4"/>
    <n v="1765.0714"/>
    <n v="0"/>
    <n v="1765.0714"/>
    <n v="62448.226132000003"/>
    <n v="62465.876845999999"/>
  </r>
  <r>
    <s v="ARKB"/>
    <n v="20.67"/>
    <n v="20.68"/>
    <x v="5"/>
    <n v="3014.9661000000001"/>
    <n v="0"/>
    <n v="3014.9661000000001"/>
    <n v="62319.349287000005"/>
    <n v="62349.498948"/>
  </r>
  <r>
    <s v="BITB"/>
    <n v="33.840000000000003"/>
    <n v="33.840000000000003"/>
    <x v="5"/>
    <n v="1842.1306"/>
    <n v="0"/>
    <n v="1842.1306"/>
    <n v="62337.699504000004"/>
    <n v="62337.699504000004"/>
  </r>
  <r>
    <s v="BRRR"/>
    <n v="17.57"/>
    <n v="17.579999999999998"/>
    <x v="5"/>
    <n v="3546.6107999999999"/>
    <n v="0"/>
    <n v="3546.6107999999999"/>
    <n v="62313.951756000002"/>
    <n v="62349.417863999995"/>
  </r>
  <r>
    <s v="BTC"/>
    <n v="27.56"/>
    <n v="27.57"/>
    <x v="5"/>
    <n v="2261.3508999999999"/>
    <n v="-0.1"/>
    <n v="2261.2509"/>
    <n v="62320.074803999996"/>
    <n v="62342.687313000002"/>
  </r>
  <r>
    <s v="BTCW"/>
    <n v="65.77"/>
    <n v="65.88"/>
    <x v="5"/>
    <n v="946.14290000000005"/>
    <n v="0"/>
    <n v="946.14290000000005"/>
    <n v="62227.818532999998"/>
    <n v="62331.894251999998"/>
  </r>
  <r>
    <s v="EZBC"/>
    <n v="36"/>
    <n v="36.03"/>
    <x v="5"/>
    <n v="1730.2367999999999"/>
    <n v="0"/>
    <n v="1730.2367999999999"/>
    <n v="62288.524799999999"/>
    <n v="62340.431903999997"/>
  </r>
  <r>
    <s v="FBTC"/>
    <n v="54.24"/>
    <n v="54.25"/>
    <x v="5"/>
    <n v="1148.8611000000001"/>
    <n v="0"/>
    <n v="1148.8611000000001"/>
    <n v="62314.22606400001"/>
    <n v="62325.714675000003"/>
  </r>
  <r>
    <s v="GBTC"/>
    <n v="48.35"/>
    <n v="48.36"/>
    <x v="5"/>
    <n v="1289.1144999999999"/>
    <n v="0.05"/>
    <n v="1289.1644999999999"/>
    <n v="62331.103574999994"/>
    <n v="62343.99521999999"/>
  </r>
  <r>
    <s v="HODL"/>
    <n v="17.62"/>
    <n v="17.63"/>
    <x v="5"/>
    <n v="3535.8029000000001"/>
    <n v="0"/>
    <n v="3535.8029000000001"/>
    <n v="62300.847098000006"/>
    <n v="62336.205127000001"/>
  </r>
  <r>
    <s v="IBIT"/>
    <n v="35.299999999999997"/>
    <n v="35.31"/>
    <x v="5"/>
    <n v="1765.0714"/>
    <n v="0"/>
    <n v="1765.0714"/>
    <n v="62307.020419999993"/>
    <n v="62324.671134000004"/>
  </r>
  <r>
    <s v="ARKB"/>
    <n v="20.62"/>
    <n v="20.63"/>
    <x v="6"/>
    <n v="3014.9661000000001"/>
    <n v="0"/>
    <n v="3014.9661000000001"/>
    <n v="62168.600982000004"/>
    <n v="62198.750642999999"/>
  </r>
  <r>
    <s v="BITB"/>
    <n v="33.76"/>
    <n v="33.770000000000003"/>
    <x v="6"/>
    <n v="1842.1306"/>
    <n v="0"/>
    <n v="1842.1306"/>
    <n v="62190.329055999995"/>
    <n v="62208.750362000006"/>
  </r>
  <r>
    <s v="BRRR"/>
    <n v="17.53"/>
    <n v="17.54"/>
    <x v="6"/>
    <n v="3546.6107999999999"/>
    <n v="0"/>
    <n v="3546.6107999999999"/>
    <n v="62172.087324"/>
    <n v="62207.553431999993"/>
  </r>
  <r>
    <s v="BTC"/>
    <n v="27.5"/>
    <n v="27.51"/>
    <x v="6"/>
    <n v="2261.3508999999999"/>
    <n v="-0.1"/>
    <n v="2261.2509"/>
    <n v="62184.399749999997"/>
    <n v="62207.012259000003"/>
  </r>
  <r>
    <s v="BTCW"/>
    <n v="65.69"/>
    <n v="65.78"/>
    <x v="6"/>
    <n v="946.14290000000005"/>
    <n v="0"/>
    <n v="946.14290000000005"/>
    <n v="62152.127100999998"/>
    <n v="62237.279962000008"/>
  </r>
  <r>
    <s v="EZBC"/>
    <n v="35.92"/>
    <n v="35.950000000000003"/>
    <x v="6"/>
    <n v="1730.2367999999999"/>
    <n v="0"/>
    <n v="1730.2367999999999"/>
    <n v="62150.105856000002"/>
    <n v="62202.01296"/>
  </r>
  <r>
    <s v="FBTC"/>
    <n v="54.12"/>
    <n v="54.13"/>
    <x v="6"/>
    <n v="1148.8611000000001"/>
    <n v="0"/>
    <n v="1148.8611000000001"/>
    <n v="62176.362732000001"/>
    <n v="62187.851343000009"/>
  </r>
  <r>
    <s v="GBTC"/>
    <n v="48.24"/>
    <n v="48.25"/>
    <x v="6"/>
    <n v="1289.1144999999999"/>
    <n v="0.05"/>
    <n v="1289.1644999999999"/>
    <n v="62189.295479999993"/>
    <n v="62202.187124999997"/>
  </r>
  <r>
    <s v="HODL"/>
    <n v="17.579999999999998"/>
    <n v="17.59"/>
    <x v="6"/>
    <n v="3535.8029000000001"/>
    <n v="0"/>
    <n v="3535.8029000000001"/>
    <n v="62159.414981999995"/>
    <n v="62194.773011000005"/>
  </r>
  <r>
    <s v="IBIT"/>
    <n v="35.22"/>
    <n v="35.229999999999997"/>
    <x v="6"/>
    <n v="1765.0714"/>
    <n v="0"/>
    <n v="1765.0714"/>
    <n v="62165.814707999998"/>
    <n v="62183.465421999994"/>
  </r>
  <r>
    <s v="ARKB"/>
    <n v="20.66"/>
    <n v="20.67"/>
    <x v="7"/>
    <n v="3014.9661000000001"/>
    <n v="0"/>
    <n v="3014.9661000000001"/>
    <n v="62289.199626000001"/>
    <n v="62319.349287000005"/>
  </r>
  <r>
    <s v="BITB"/>
    <n v="33.82"/>
    <n v="33.83"/>
    <x v="7"/>
    <n v="1842.1306"/>
    <n v="0"/>
    <n v="1842.1306"/>
    <n v="62300.856891999996"/>
    <n v="62319.278197999993"/>
  </r>
  <r>
    <s v="BRRR"/>
    <n v="17.559999999999999"/>
    <n v="17.57"/>
    <x v="7"/>
    <n v="3546.6107999999999"/>
    <n v="0"/>
    <n v="3546.6107999999999"/>
    <n v="62278.485647999994"/>
    <n v="62313.951756000002"/>
  </r>
  <r>
    <s v="BTC"/>
    <n v="27.55"/>
    <n v="27.56"/>
    <x v="7"/>
    <n v="2261.3508999999999"/>
    <n v="-0.1"/>
    <n v="2261.2509"/>
    <n v="62297.462295000005"/>
    <n v="62320.074803999996"/>
  </r>
  <r>
    <s v="BTCW"/>
    <n v="65.81"/>
    <n v="65.91"/>
    <x v="7"/>
    <n v="946.14290000000005"/>
    <n v="0"/>
    <n v="946.14290000000005"/>
    <n v="62265.664249000009"/>
    <n v="62360.278538999999"/>
  </r>
  <r>
    <s v="EZBC"/>
    <n v="35.99"/>
    <n v="36.020000000000003"/>
    <x v="7"/>
    <n v="1730.2367999999999"/>
    <n v="0"/>
    <n v="1730.2367999999999"/>
    <n v="62271.222432000002"/>
    <n v="62323.129536"/>
  </r>
  <r>
    <s v="FBTC"/>
    <n v="54.22"/>
    <n v="54.23"/>
    <x v="7"/>
    <n v="1148.8611000000001"/>
    <n v="0"/>
    <n v="1148.8611000000001"/>
    <n v="62291.248842000001"/>
    <n v="62302.737453000002"/>
  </r>
  <r>
    <s v="GBTC"/>
    <n v="48.33"/>
    <n v="48.34"/>
    <x v="7"/>
    <n v="1289.1144999999999"/>
    <n v="0.05"/>
    <n v="1289.1644999999999"/>
    <n v="62305.320284999994"/>
    <n v="62318.211929999998"/>
  </r>
  <r>
    <s v="HODL"/>
    <n v="17.62"/>
    <n v="17.63"/>
    <x v="7"/>
    <n v="3535.8029000000001"/>
    <n v="0"/>
    <n v="3535.8029000000001"/>
    <n v="62300.847098000006"/>
    <n v="62336.205127000001"/>
  </r>
  <r>
    <s v="IBIT"/>
    <n v="35.28"/>
    <n v="35.29"/>
    <x v="7"/>
    <n v="1765.0714"/>
    <n v="0"/>
    <n v="1765.0714"/>
    <n v="62271.718992000002"/>
    <n v="62289.369705999998"/>
  </r>
  <r>
    <s v="ARKB"/>
    <n v="20.64"/>
    <n v="20.65"/>
    <x v="8"/>
    <n v="3014.9661000000001"/>
    <n v="0"/>
    <n v="3014.9661000000001"/>
    <n v="62228.900304000003"/>
    <n v="62259.049964999998"/>
  </r>
  <r>
    <s v="BITB"/>
    <n v="33.79"/>
    <n v="33.799999999999997"/>
    <x v="8"/>
    <n v="1842.1306"/>
    <n v="0"/>
    <n v="1842.1306"/>
    <n v="62245.592973999999"/>
    <n v="62264.014279999996"/>
  </r>
  <r>
    <s v="BRRR"/>
    <n v="17.55"/>
    <n v="17.55"/>
    <x v="8"/>
    <n v="3546.6107999999999"/>
    <n v="0"/>
    <n v="3546.6107999999999"/>
    <n v="62243.019540000001"/>
    <n v="62243.019540000001"/>
  </r>
  <r>
    <s v="BTC"/>
    <n v="27.52"/>
    <n v="27.53"/>
    <x v="8"/>
    <n v="2261.3508999999999"/>
    <n v="-0.1"/>
    <n v="2261.2509"/>
    <n v="62229.624768000001"/>
    <n v="62252.237277"/>
  </r>
  <r>
    <s v="BTCW"/>
    <n v="65.680000000000007"/>
    <n v="65.81"/>
    <x v="8"/>
    <n v="946.14290000000005"/>
    <n v="0"/>
    <n v="946.14290000000005"/>
    <n v="62142.66567200001"/>
    <n v="62265.664249000009"/>
  </r>
  <r>
    <s v="EZBC"/>
    <n v="35.950000000000003"/>
    <n v="35.979999999999997"/>
    <x v="8"/>
    <n v="1730.2367999999999"/>
    <n v="0"/>
    <n v="1730.2367999999999"/>
    <n v="62202.01296"/>
    <n v="62253.920063999991"/>
  </r>
  <r>
    <s v="FBTC"/>
    <n v="54.16"/>
    <n v="54.17"/>
    <x v="8"/>
    <n v="1148.8611000000001"/>
    <n v="0"/>
    <n v="1148.8611000000001"/>
    <n v="62222.317175999997"/>
    <n v="62233.805787000005"/>
  </r>
  <r>
    <s v="GBTC"/>
    <n v="48.28"/>
    <n v="48.29"/>
    <x v="8"/>
    <n v="1289.1144999999999"/>
    <n v="0.05"/>
    <n v="1289.1644999999999"/>
    <n v="62240.862059999992"/>
    <n v="62253.753704999996"/>
  </r>
  <r>
    <s v="HODL"/>
    <n v="17.600000000000001"/>
    <n v="17.61"/>
    <x v="8"/>
    <n v="3535.8029000000001"/>
    <n v="0"/>
    <n v="3535.8029000000001"/>
    <n v="62230.131040000007"/>
    <n v="62265.489069000003"/>
  </r>
  <r>
    <s v="IBIT"/>
    <n v="35.25"/>
    <n v="35.26"/>
    <x v="8"/>
    <n v="1765.0714"/>
    <n v="0"/>
    <n v="1765.0714"/>
    <n v="62218.76685"/>
    <n v="62236.417563999996"/>
  </r>
  <r>
    <s v="ARKB"/>
    <n v="20.77"/>
    <n v="20.78"/>
    <x v="9"/>
    <n v="3014.9661000000001"/>
    <n v="0"/>
    <n v="3014.9661000000001"/>
    <n v="62620.845896999999"/>
    <n v="62650.995558000002"/>
  </r>
  <r>
    <s v="BITB"/>
    <n v="34"/>
    <n v="34.01"/>
    <x v="9"/>
    <n v="1842.1306"/>
    <n v="0"/>
    <n v="1842.1306"/>
    <n v="62632.440399999999"/>
    <n v="62650.861705999996"/>
  </r>
  <r>
    <s v="BRRR"/>
    <n v="17.66"/>
    <n v="17.66"/>
    <x v="9"/>
    <n v="3546.6107999999999"/>
    <n v="0"/>
    <n v="3546.6107999999999"/>
    <n v="62633.146728"/>
    <n v="62633.146728"/>
  </r>
  <r>
    <s v="BTC"/>
    <n v="27.69"/>
    <n v="27.7"/>
    <x v="9"/>
    <n v="2261.3508999999999"/>
    <n v="-0.1"/>
    <n v="2261.2509"/>
    <n v="62614.037421000001"/>
    <n v="62636.64993"/>
  </r>
  <r>
    <s v="BTCW"/>
    <n v="66.14"/>
    <n v="66.239999999999995"/>
    <x v="9"/>
    <n v="946.14290000000005"/>
    <n v="0"/>
    <n v="946.14290000000005"/>
    <n v="62577.891406000002"/>
    <n v="62672.505696"/>
  </r>
  <r>
    <s v="EZBC"/>
    <n v="36.159999999999997"/>
    <n v="36.200000000000003"/>
    <x v="9"/>
    <n v="1730.2367999999999"/>
    <n v="0"/>
    <n v="1730.2367999999999"/>
    <n v="62565.362687999994"/>
    <n v="62634.572160000003"/>
  </r>
  <r>
    <s v="FBTC"/>
    <n v="54.49"/>
    <n v="54.5"/>
    <x v="9"/>
    <n v="1148.8611000000001"/>
    <n v="0"/>
    <n v="1148.8611000000001"/>
    <n v="62601.441339000005"/>
    <n v="62612.929950000005"/>
  </r>
  <r>
    <s v="GBTC"/>
    <n v="48.58"/>
    <n v="48.59"/>
    <x v="9"/>
    <n v="1289.1144999999999"/>
    <n v="0.05"/>
    <n v="1289.1644999999999"/>
    <n v="62627.61140999999"/>
    <n v="62640.503055000001"/>
  </r>
  <r>
    <s v="HODL"/>
    <n v="17.71"/>
    <n v="17.72"/>
    <x v="9"/>
    <n v="3535.8029000000001"/>
    <n v="0"/>
    <n v="3535.8029000000001"/>
    <n v="62619.069359000008"/>
    <n v="62654.427387999996"/>
  </r>
  <r>
    <s v="IBIT"/>
    <n v="35.46"/>
    <n v="35.47"/>
    <x v="9"/>
    <n v="1765.0714"/>
    <n v="0"/>
    <n v="1765.0714"/>
    <n v="62589.431844000006"/>
    <n v="62607.082558000002"/>
  </r>
  <r>
    <s v="ARKB"/>
    <n v="20.73"/>
    <n v="20.74"/>
    <x v="10"/>
    <n v="3014.9661000000001"/>
    <n v="0"/>
    <n v="3014.9661000000001"/>
    <n v="62500.247253000001"/>
    <n v="62530.396913999997"/>
  </r>
  <r>
    <s v="BITB"/>
    <n v="33.93"/>
    <n v="33.94"/>
    <x v="10"/>
    <n v="1842.1306"/>
    <n v="0"/>
    <n v="1842.1306"/>
    <n v="62503.491257999995"/>
    <n v="62521.912563999991"/>
  </r>
  <r>
    <s v="BRRR"/>
    <n v="17.62"/>
    <n v="17.63"/>
    <x v="10"/>
    <n v="3546.6107999999999"/>
    <n v="0"/>
    <n v="3546.6107999999999"/>
    <n v="62491.282296000005"/>
    <n v="62526.748403999998"/>
  </r>
  <r>
    <s v="BTC"/>
    <n v="27.64"/>
    <n v="27.65"/>
    <x v="10"/>
    <n v="2261.3508999999999"/>
    <n v="-0.1"/>
    <n v="2261.2509"/>
    <n v="62500.974876"/>
    <n v="62523.587384999999"/>
  </r>
  <r>
    <s v="BTCW"/>
    <n v="66.010000000000005"/>
    <n v="66.14"/>
    <x v="10"/>
    <n v="946.14290000000005"/>
    <n v="0"/>
    <n v="946.14290000000005"/>
    <n v="62454.892829000011"/>
    <n v="62577.891406000002"/>
  </r>
  <r>
    <s v="EZBC"/>
    <n v="36.1"/>
    <n v="36.130000000000003"/>
    <x v="10"/>
    <n v="1730.2367999999999"/>
    <n v="0"/>
    <n v="1730.2367999999999"/>
    <n v="62461.548479999998"/>
    <n v="62513.455584000003"/>
  </r>
  <r>
    <s v="FBTC"/>
    <n v="54.39"/>
    <n v="54.4"/>
    <x v="10"/>
    <n v="1148.8611000000001"/>
    <n v="0"/>
    <n v="1148.8611000000001"/>
    <n v="62486.555229000005"/>
    <n v="62498.043840000006"/>
  </r>
  <r>
    <s v="GBTC"/>
    <n v="48.49"/>
    <n v="48.5"/>
    <x v="10"/>
    <n v="1289.1144999999999"/>
    <n v="0.05"/>
    <n v="1289.1644999999999"/>
    <n v="62511.586604999997"/>
    <n v="62524.478249999993"/>
  </r>
  <r>
    <s v="HODL"/>
    <n v="17.670000000000002"/>
    <n v="17.68"/>
    <x v="10"/>
    <n v="3535.8029000000001"/>
    <n v="0"/>
    <n v="3535.8029000000001"/>
    <n v="62477.637243000012"/>
    <n v="62512.995272"/>
  </r>
  <r>
    <s v="IBIT"/>
    <n v="35.39"/>
    <n v="35.4"/>
    <x v="10"/>
    <n v="1765.0714"/>
    <n v="0"/>
    <n v="1765.0714"/>
    <n v="62465.876845999999"/>
    <n v="62483.527560000002"/>
  </r>
  <r>
    <s v="ARKB"/>
    <n v="20.73"/>
    <n v="20.74"/>
    <x v="11"/>
    <n v="3014.9661000000001"/>
    <n v="0"/>
    <n v="3014.9661000000001"/>
    <n v="62500.247253000001"/>
    <n v="62530.396913999997"/>
  </r>
  <r>
    <s v="BITB"/>
    <n v="33.94"/>
    <n v="33.950000000000003"/>
    <x v="11"/>
    <n v="1842.1306"/>
    <n v="0"/>
    <n v="1842.1306"/>
    <n v="62521.912563999991"/>
    <n v="62540.333870000002"/>
  </r>
  <r>
    <s v="BRRR"/>
    <n v="17.62"/>
    <n v="17.63"/>
    <x v="11"/>
    <n v="3546.6107999999999"/>
    <n v="0"/>
    <n v="3546.6107999999999"/>
    <n v="62491.282296000005"/>
    <n v="62526.748403999998"/>
  </r>
  <r>
    <s v="BTC"/>
    <n v="27.65"/>
    <n v="27.66"/>
    <x v="11"/>
    <n v="2261.3508999999999"/>
    <n v="-0.1"/>
    <n v="2261.2509"/>
    <n v="62523.587384999999"/>
    <n v="62546.199893999998"/>
  </r>
  <r>
    <s v="BTCW"/>
    <n v="66.040000000000006"/>
    <n v="66.16"/>
    <x v="11"/>
    <n v="946.14290000000005"/>
    <n v="0"/>
    <n v="946.14290000000005"/>
    <n v="62483.277116000012"/>
    <n v="62596.814264000001"/>
  </r>
  <r>
    <s v="EZBC"/>
    <n v="36.11"/>
    <n v="36.14"/>
    <x v="11"/>
    <n v="1730.2367999999999"/>
    <n v="0"/>
    <n v="1730.2367999999999"/>
    <n v="62478.850847999995"/>
    <n v="62530.757952"/>
  </r>
  <r>
    <s v="FBTC"/>
    <n v="54.41"/>
    <n v="54.42"/>
    <x v="11"/>
    <n v="1148.8611000000001"/>
    <n v="0"/>
    <n v="1148.8611000000001"/>
    <n v="62509.532450999999"/>
    <n v="62521.021062000007"/>
  </r>
  <r>
    <s v="GBTC"/>
    <n v="48.5"/>
    <n v="48.51"/>
    <x v="11"/>
    <n v="1289.1144999999999"/>
    <n v="0.05"/>
    <n v="1289.1644999999999"/>
    <n v="62524.478249999993"/>
    <n v="62537.369894999989"/>
  </r>
  <r>
    <s v="HODL"/>
    <n v="17.68"/>
    <n v="17.690000000000001"/>
    <x v="11"/>
    <n v="3535.8029000000001"/>
    <n v="0"/>
    <n v="3535.8029000000001"/>
    <n v="62512.995272"/>
    <n v="62548.35330100001"/>
  </r>
  <r>
    <s v="IBIT"/>
    <n v="35.4"/>
    <n v="35.409999999999997"/>
    <x v="11"/>
    <n v="1765.0714"/>
    <n v="0"/>
    <n v="1765.0714"/>
    <n v="62483.527560000002"/>
    <n v="62501.178273999998"/>
  </r>
  <r>
    <s v="ARKB"/>
    <n v="20.71"/>
    <n v="20.72"/>
    <x v="12"/>
    <n v="3014.9661000000001"/>
    <n v="0"/>
    <n v="3014.9661000000001"/>
    <n v="62439.947931000002"/>
    <n v="62470.097591999998"/>
  </r>
  <r>
    <s v="BITB"/>
    <n v="33.9"/>
    <n v="33.909999999999997"/>
    <x v="12"/>
    <n v="1842.1306"/>
    <n v="0"/>
    <n v="1842.1306"/>
    <n v="62448.227339999998"/>
    <n v="62466.648645999994"/>
  </r>
  <r>
    <s v="BRRR"/>
    <n v="17.600000000000001"/>
    <n v="17.61"/>
    <x v="12"/>
    <n v="3546.6107999999999"/>
    <n v="0"/>
    <n v="3546.6107999999999"/>
    <n v="62420.350080000004"/>
    <n v="62455.816187999997"/>
  </r>
  <r>
    <s v="BTC"/>
    <n v="27.61"/>
    <n v="27.62"/>
    <x v="12"/>
    <n v="2261.3508999999999"/>
    <n v="-0.1"/>
    <n v="2261.2509"/>
    <n v="62433.137348999997"/>
    <n v="62455.749858000003"/>
  </r>
  <r>
    <s v="BTCW"/>
    <n v="65.95"/>
    <n v="66.05"/>
    <x v="12"/>
    <n v="946.14290000000005"/>
    <n v="0"/>
    <n v="946.14290000000005"/>
    <n v="62398.12425500001"/>
    <n v="62492.738545"/>
  </r>
  <r>
    <s v="EZBC"/>
    <n v="36.07"/>
    <n v="36.090000000000003"/>
    <x v="12"/>
    <n v="1730.2367999999999"/>
    <n v="0"/>
    <n v="1730.2367999999999"/>
    <n v="62409.641376"/>
    <n v="62444.246112000001"/>
  </r>
  <r>
    <s v="FBTC"/>
    <n v="54.34"/>
    <n v="54.35"/>
    <x v="12"/>
    <n v="1148.8611000000001"/>
    <n v="0"/>
    <n v="1148.8611000000001"/>
    <n v="62429.112174000009"/>
    <n v="62440.600785000002"/>
  </r>
  <r>
    <s v="GBTC"/>
    <n v="48.44"/>
    <n v="48.45"/>
    <x v="12"/>
    <n v="1289.1144999999999"/>
    <n v="0.05"/>
    <n v="1289.1644999999999"/>
    <n v="62447.128379999987"/>
    <n v="62460.020024999998"/>
  </r>
  <r>
    <s v="HODL"/>
    <n v="17.649999999999999"/>
    <n v="17.66"/>
    <x v="12"/>
    <n v="3535.8029000000001"/>
    <n v="0"/>
    <n v="3535.8029000000001"/>
    <n v="62406.921184999999"/>
    <n v="62442.279214000002"/>
  </r>
  <r>
    <s v="IBIT"/>
    <n v="35.36"/>
    <n v="35.369999999999997"/>
    <x v="12"/>
    <n v="1765.0714"/>
    <n v="0"/>
    <n v="1765.0714"/>
    <n v="62412.924703999997"/>
    <n v="62430.575418"/>
  </r>
  <r>
    <s v="ARKB"/>
    <n v="20.68"/>
    <n v="20.69"/>
    <x v="13"/>
    <n v="3014.9661000000001"/>
    <n v="0"/>
    <n v="3014.9661000000001"/>
    <n v="62349.498948"/>
    <n v="62379.648609000003"/>
  </r>
  <r>
    <s v="BITB"/>
    <n v="33.85"/>
    <n v="33.86"/>
    <x v="13"/>
    <n v="1842.1306"/>
    <n v="0"/>
    <n v="1842.1306"/>
    <n v="62356.12081"/>
    <n v="62374.542115999997"/>
  </r>
  <r>
    <s v="BRRR"/>
    <n v="17.579999999999998"/>
    <n v="17.59"/>
    <x v="13"/>
    <n v="3546.6107999999999"/>
    <n v="0"/>
    <n v="3546.6107999999999"/>
    <n v="62349.417863999995"/>
    <n v="62384.883971999996"/>
  </r>
  <r>
    <s v="BTC"/>
    <n v="27.58"/>
    <n v="27.59"/>
    <x v="13"/>
    <n v="2261.3508999999999"/>
    <n v="-0.1"/>
    <n v="2261.2509"/>
    <n v="62365.299821999994"/>
    <n v="62387.912331"/>
  </r>
  <r>
    <s v="BTCW"/>
    <n v="65.86"/>
    <n v="65.98"/>
    <x v="13"/>
    <n v="946.14290000000005"/>
    <n v="0"/>
    <n v="946.14290000000005"/>
    <n v="62312.971394"/>
    <n v="62426.50854200001"/>
  </r>
  <r>
    <s v="EZBC"/>
    <n v="36.020000000000003"/>
    <n v="36.049999999999997"/>
    <x v="13"/>
    <n v="1730.2367999999999"/>
    <n v="0"/>
    <n v="1730.2367999999999"/>
    <n v="62323.129536"/>
    <n v="62375.036639999991"/>
  </r>
  <r>
    <s v="FBTC"/>
    <n v="54.27"/>
    <n v="54.28"/>
    <x v="13"/>
    <n v="1148.8611000000001"/>
    <n v="0"/>
    <n v="1148.8611000000001"/>
    <n v="62348.691897000004"/>
    <n v="62360.180508000005"/>
  </r>
  <r>
    <s v="GBTC"/>
    <n v="48.38"/>
    <n v="48.39"/>
    <x v="13"/>
    <n v="1289.1144999999999"/>
    <n v="0.05"/>
    <n v="1289.1644999999999"/>
    <n v="62369.778509999996"/>
    <n v="62382.670154999993"/>
  </r>
  <r>
    <s v="HODL"/>
    <n v="17.63"/>
    <n v="17.64"/>
    <x v="13"/>
    <n v="3535.8029000000001"/>
    <n v="0"/>
    <n v="3535.8029000000001"/>
    <n v="62336.205127000001"/>
    <n v="62371.563156000004"/>
  </r>
  <r>
    <s v="IBIT"/>
    <n v="35.32"/>
    <n v="35.33"/>
    <x v="13"/>
    <n v="1765.0714"/>
    <n v="0"/>
    <n v="1765.0714"/>
    <n v="62342.321848"/>
    <n v="62359.972561999995"/>
  </r>
  <r>
    <s v="ARKB"/>
    <n v="20.73"/>
    <n v="20.74"/>
    <x v="14"/>
    <n v="3014.9661000000001"/>
    <n v="0"/>
    <n v="3014.9661000000001"/>
    <n v="62500.247253000001"/>
    <n v="62530.396913999997"/>
  </r>
  <r>
    <s v="BITB"/>
    <n v="33.93"/>
    <n v="33.94"/>
    <x v="14"/>
    <n v="1842.1306"/>
    <n v="0"/>
    <n v="1842.1306"/>
    <n v="62503.491257999995"/>
    <n v="62521.912563999991"/>
  </r>
  <r>
    <s v="BRRR"/>
    <n v="17.62"/>
    <n v="17.63"/>
    <x v="14"/>
    <n v="3546.6107999999999"/>
    <n v="0"/>
    <n v="3546.6107999999999"/>
    <n v="62491.282296000005"/>
    <n v="62526.748403999998"/>
  </r>
  <r>
    <s v="BTC"/>
    <n v="27.64"/>
    <n v="27.65"/>
    <x v="14"/>
    <n v="2261.3508999999999"/>
    <n v="-0.1"/>
    <n v="2261.2509"/>
    <n v="62500.974876"/>
    <n v="62523.587384999999"/>
  </r>
  <r>
    <s v="BTCW"/>
    <n v="66.010000000000005"/>
    <n v="66.13"/>
    <x v="14"/>
    <n v="946.14290000000005"/>
    <n v="0"/>
    <n v="946.14290000000005"/>
    <n v="62454.892829000011"/>
    <n v="62568.429977"/>
  </r>
  <r>
    <s v="EZBC"/>
    <n v="36.11"/>
    <n v="36.130000000000003"/>
    <x v="14"/>
    <n v="1730.2367999999999"/>
    <n v="0"/>
    <n v="1730.2367999999999"/>
    <n v="62478.850847999995"/>
    <n v="62513.455584000003"/>
  </r>
  <r>
    <s v="FBTC"/>
    <n v="54.4"/>
    <n v="54.41"/>
    <x v="14"/>
    <n v="1148.8611000000001"/>
    <n v="0"/>
    <n v="1148.8611000000001"/>
    <n v="62498.043840000006"/>
    <n v="62509.532450999999"/>
  </r>
  <r>
    <s v="GBTC"/>
    <n v="48.49"/>
    <n v="48.5"/>
    <x v="14"/>
    <n v="1289.1144999999999"/>
    <n v="0.05"/>
    <n v="1289.1644999999999"/>
    <n v="62511.586604999997"/>
    <n v="62524.478249999993"/>
  </r>
  <r>
    <s v="HODL"/>
    <n v="17.670000000000002"/>
    <n v="17.68"/>
    <x v="14"/>
    <n v="3535.8029000000001"/>
    <n v="0"/>
    <n v="3535.8029000000001"/>
    <n v="62477.637243000012"/>
    <n v="62512.995272"/>
  </r>
  <r>
    <s v="IBIT"/>
    <n v="35.4"/>
    <n v="35.409999999999997"/>
    <x v="14"/>
    <n v="1765.0714"/>
    <n v="0"/>
    <n v="1765.0714"/>
    <n v="62483.527560000002"/>
    <n v="62501.178273999998"/>
  </r>
  <r>
    <s v="ARKB"/>
    <n v="20.75"/>
    <n v="20.76"/>
    <x v="15"/>
    <n v="3014.9661000000001"/>
    <n v="0"/>
    <n v="3014.9661000000001"/>
    <n v="62560.546575"/>
    <n v="62590.696236000003"/>
  </r>
  <r>
    <s v="BITB"/>
    <n v="33.97"/>
    <n v="33.979999999999997"/>
    <x v="15"/>
    <n v="1842.1306"/>
    <n v="0"/>
    <n v="1842.1306"/>
    <n v="62577.176481999995"/>
    <n v="62595.597787999992"/>
  </r>
  <r>
    <s v="BRRR"/>
    <n v="17.64"/>
    <n v="17.649999999999999"/>
    <x v="15"/>
    <n v="3546.6107999999999"/>
    <n v="0"/>
    <n v="3546.6107999999999"/>
    <n v="62562.214511999999"/>
    <n v="62597.680619999992"/>
  </r>
  <r>
    <s v="BTC"/>
    <n v="27.67"/>
    <n v="27.68"/>
    <x v="15"/>
    <n v="2261.3508999999999"/>
    <n v="-0.1"/>
    <n v="2261.2509"/>
    <n v="62568.812403000004"/>
    <n v="62591.424912000002"/>
  </r>
  <r>
    <s v="BTCW"/>
    <n v="66.069999999999993"/>
    <n v="66.2"/>
    <x v="15"/>
    <n v="946.14290000000005"/>
    <n v="0"/>
    <n v="946.14290000000005"/>
    <n v="62511.661402999998"/>
    <n v="62634.659980000004"/>
  </r>
  <r>
    <s v="EZBC"/>
    <n v="36.15"/>
    <n v="36.159999999999997"/>
    <x v="15"/>
    <n v="1730.2367999999999"/>
    <n v="0"/>
    <n v="1730.2367999999999"/>
    <n v="62548.060319999997"/>
    <n v="62565.362687999994"/>
  </r>
  <r>
    <s v="FBTC"/>
    <n v="54.46"/>
    <n v="54.47"/>
    <x v="15"/>
    <n v="1148.8611000000001"/>
    <n v="0"/>
    <n v="1148.8611000000001"/>
    <n v="62566.975506000002"/>
    <n v="62578.464117000003"/>
  </r>
  <r>
    <s v="GBTC"/>
    <n v="48.55"/>
    <n v="48.56"/>
    <x v="15"/>
    <n v="1289.1144999999999"/>
    <n v="0.05"/>
    <n v="1289.1644999999999"/>
    <n v="62588.936474999988"/>
    <n v="62601.828119999998"/>
  </r>
  <r>
    <s v="HODL"/>
    <n v="17.690000000000001"/>
    <n v="17.7"/>
    <x v="15"/>
    <n v="3535.8029000000001"/>
    <n v="0"/>
    <n v="3535.8029000000001"/>
    <n v="62548.35330100001"/>
    <n v="62583.711329999998"/>
  </r>
  <r>
    <s v="IBIT"/>
    <n v="35.43"/>
    <n v="35.44"/>
    <x v="15"/>
    <n v="1765.0714"/>
    <n v="0"/>
    <n v="1765.0714"/>
    <n v="62536.479702000004"/>
    <n v="62554.130416"/>
  </r>
  <r>
    <s v="ARKB"/>
    <n v="20.69"/>
    <n v="20.7"/>
    <x v="16"/>
    <n v="3014.9661000000001"/>
    <n v="0"/>
    <n v="3014.9661000000001"/>
    <n v="62379.648609000003"/>
    <n v="62409.798269999999"/>
  </r>
  <r>
    <s v="BITB"/>
    <n v="33.869999999999997"/>
    <n v="33.880000000000003"/>
    <x v="16"/>
    <n v="1842.1306"/>
    <n v="0"/>
    <n v="1842.1306"/>
    <n v="62392.963421999993"/>
    <n v="62411.384728000005"/>
  </r>
  <r>
    <s v="BRRR"/>
    <n v="17.59"/>
    <n v="17.600000000000001"/>
    <x v="16"/>
    <n v="3546.6107999999999"/>
    <n v="0"/>
    <n v="3546.6107999999999"/>
    <n v="62384.883971999996"/>
    <n v="62420.350080000004"/>
  </r>
  <r>
    <s v="BTC"/>
    <n v="27.59"/>
    <n v="27.6"/>
    <x v="16"/>
    <n v="2261.3508999999999"/>
    <n v="-0.1"/>
    <n v="2261.2509"/>
    <n v="62387.912331"/>
    <n v="62410.524840000005"/>
  </r>
  <r>
    <s v="BTCW"/>
    <n v="65.900000000000006"/>
    <n v="66.02"/>
    <x v="16"/>
    <n v="946.14290000000005"/>
    <n v="0"/>
    <n v="946.14290000000005"/>
    <n v="62350.817110000011"/>
    <n v="62464.354257999999"/>
  </r>
  <r>
    <s v="EZBC"/>
    <n v="36.04"/>
    <n v="36.07"/>
    <x v="16"/>
    <n v="1730.2367999999999"/>
    <n v="0"/>
    <n v="1730.2367999999999"/>
    <n v="62357.734271999994"/>
    <n v="62409.641376"/>
  </r>
  <r>
    <s v="FBTC"/>
    <n v="54.3"/>
    <n v="54.31"/>
    <x v="16"/>
    <n v="1148.8611000000001"/>
    <n v="0"/>
    <n v="1148.8611000000001"/>
    <n v="62383.157729999999"/>
    <n v="62394.646341000007"/>
  </r>
  <r>
    <s v="GBTC"/>
    <n v="48.41"/>
    <n v="48.42"/>
    <x v="16"/>
    <n v="1289.1144999999999"/>
    <n v="0.05"/>
    <n v="1289.1644999999999"/>
    <n v="62408.453444999992"/>
    <n v="62421.345089999995"/>
  </r>
  <r>
    <s v="HODL"/>
    <n v="17.64"/>
    <n v="17.649999999999999"/>
    <x v="16"/>
    <n v="3535.8029000000001"/>
    <n v="0"/>
    <n v="3535.8029000000001"/>
    <n v="62371.563156000004"/>
    <n v="62406.921184999999"/>
  </r>
  <r>
    <s v="IBIT"/>
    <n v="35.340000000000003"/>
    <n v="35.35"/>
    <x v="16"/>
    <n v="1765.0714"/>
    <n v="0"/>
    <n v="1765.0714"/>
    <n v="62377.623276000006"/>
    <n v="62395.273990000002"/>
  </r>
  <r>
    <s v="ARKB"/>
    <n v="20.63"/>
    <n v="20.64"/>
    <x v="17"/>
    <n v="3014.9661000000001"/>
    <n v="0"/>
    <n v="3014.9661000000001"/>
    <n v="62198.750642999999"/>
    <n v="62228.900304000003"/>
  </r>
  <r>
    <s v="BITB"/>
    <n v="33.76"/>
    <n v="33.770000000000003"/>
    <x v="17"/>
    <n v="1842.1306"/>
    <n v="0"/>
    <n v="1842.1306"/>
    <n v="62190.329055999995"/>
    <n v="62208.750362000006"/>
  </r>
  <r>
    <s v="BRRR"/>
    <n v="17.53"/>
    <n v="17.54"/>
    <x v="17"/>
    <n v="3546.6107999999999"/>
    <n v="0"/>
    <n v="3546.6107999999999"/>
    <n v="62172.087324"/>
    <n v="62207.553431999993"/>
  </r>
  <r>
    <s v="BTC"/>
    <n v="27.51"/>
    <n v="27.52"/>
    <x v="17"/>
    <n v="2261.3508999999999"/>
    <n v="-0.1"/>
    <n v="2261.2509"/>
    <n v="62207.012259000003"/>
    <n v="62229.624768000001"/>
  </r>
  <r>
    <s v="BTCW"/>
    <n v="65.69"/>
    <n v="65.819999999999993"/>
    <x v="17"/>
    <n v="946.14290000000005"/>
    <n v="0"/>
    <n v="946.14290000000005"/>
    <n v="62152.127100999998"/>
    <n v="62275.125677999997"/>
  </r>
  <r>
    <s v="EZBC"/>
    <n v="35.93"/>
    <n v="35.96"/>
    <x v="17"/>
    <n v="1730.2367999999999"/>
    <n v="0"/>
    <n v="1730.2367999999999"/>
    <n v="62167.408223999999"/>
    <n v="62219.315327999997"/>
  </r>
  <r>
    <s v="FBTC"/>
    <n v="54.13"/>
    <n v="54.14"/>
    <x v="17"/>
    <n v="1148.8611000000001"/>
    <n v="0"/>
    <n v="1148.8611000000001"/>
    <n v="62187.851343000009"/>
    <n v="62199.339954000003"/>
  </r>
  <r>
    <s v="GBTC"/>
    <n v="48.26"/>
    <n v="48.27"/>
    <x v="17"/>
    <n v="1289.1144999999999"/>
    <n v="0.05"/>
    <n v="1289.1644999999999"/>
    <n v="62215.078769999993"/>
    <n v="62227.970414999996"/>
  </r>
  <r>
    <s v="HODL"/>
    <n v="17.579999999999998"/>
    <n v="17.59"/>
    <x v="17"/>
    <n v="3535.8029000000001"/>
    <n v="0"/>
    <n v="3535.8029000000001"/>
    <n v="62159.414981999995"/>
    <n v="62194.773011000005"/>
  </r>
  <r>
    <s v="IBIT"/>
    <n v="35.22"/>
    <n v="35.229999999999997"/>
    <x v="17"/>
    <n v="1765.0714"/>
    <n v="0"/>
    <n v="1765.0714"/>
    <n v="62165.814707999998"/>
    <n v="62183.465421999994"/>
  </r>
  <r>
    <s v="ARKB"/>
    <n v="20.66"/>
    <n v="20.67"/>
    <x v="18"/>
    <n v="3014.9661000000001"/>
    <n v="0"/>
    <n v="3014.9661000000001"/>
    <n v="62289.199626000001"/>
    <n v="62319.349287000005"/>
  </r>
  <r>
    <s v="BITB"/>
    <n v="33.81"/>
    <n v="33.82"/>
    <x v="18"/>
    <n v="1842.1306"/>
    <n v="0"/>
    <n v="1842.1306"/>
    <n v="62282.435586"/>
    <n v="62300.856891999996"/>
  </r>
  <r>
    <s v="BRRR"/>
    <n v="17.559999999999999"/>
    <n v="17.57"/>
    <x v="18"/>
    <n v="3546.6107999999999"/>
    <n v="0"/>
    <n v="3546.6107999999999"/>
    <n v="62278.485647999994"/>
    <n v="62313.951756000002"/>
  </r>
  <r>
    <s v="BTC"/>
    <n v="27.54"/>
    <n v="27.55"/>
    <x v="18"/>
    <n v="2261.3508999999999"/>
    <n v="-0.1"/>
    <n v="2261.2509"/>
    <n v="62274.849785999999"/>
    <n v="62297.462295000005"/>
  </r>
  <r>
    <s v="BTCW"/>
    <n v="65.77"/>
    <n v="65.88"/>
    <x v="18"/>
    <n v="946.14290000000005"/>
    <n v="0"/>
    <n v="946.14290000000005"/>
    <n v="62227.818532999998"/>
    <n v="62331.894251999998"/>
  </r>
  <r>
    <s v="EZBC"/>
    <n v="35.979999999999997"/>
    <n v="36"/>
    <x v="18"/>
    <n v="1730.2367999999999"/>
    <n v="0"/>
    <n v="1730.2367999999999"/>
    <n v="62253.920063999991"/>
    <n v="62288.524799999999"/>
  </r>
  <r>
    <s v="FBTC"/>
    <n v="54.21"/>
    <n v="54.22"/>
    <x v="18"/>
    <n v="1148.8611000000001"/>
    <n v="0"/>
    <n v="1148.8611000000001"/>
    <n v="62279.760231000007"/>
    <n v="62291.248842000001"/>
  </r>
  <r>
    <s v="GBTC"/>
    <n v="48.33"/>
    <n v="48.34"/>
    <x v="18"/>
    <n v="1289.1144999999999"/>
    <n v="0.05"/>
    <n v="1289.1644999999999"/>
    <n v="62305.320284999994"/>
    <n v="62318.211929999998"/>
  </r>
  <r>
    <s v="HODL"/>
    <n v="17.61"/>
    <n v="17.62"/>
    <x v="18"/>
    <n v="3535.8029000000001"/>
    <n v="0"/>
    <n v="3535.8029000000001"/>
    <n v="62265.489069000003"/>
    <n v="62300.847098000006"/>
  </r>
  <r>
    <s v="IBIT"/>
    <n v="35.270000000000003"/>
    <n v="35.28"/>
    <x v="18"/>
    <n v="1765.0714"/>
    <n v="0"/>
    <n v="1765.0714"/>
    <n v="62254.068278000006"/>
    <n v="62271.718992000002"/>
  </r>
  <r>
    <s v="ARKB"/>
    <n v="20.64"/>
    <n v="20.65"/>
    <x v="19"/>
    <n v="3014.9661000000001"/>
    <n v="0"/>
    <n v="3014.9661000000001"/>
    <n v="62228.900304000003"/>
    <n v="62259.049964999998"/>
  </r>
  <r>
    <s v="BITB"/>
    <n v="33.78"/>
    <n v="33.79"/>
    <x v="19"/>
    <n v="1842.1306"/>
    <n v="0"/>
    <n v="1842.1306"/>
    <n v="62227.171668000003"/>
    <n v="62245.592973999999"/>
  </r>
  <r>
    <s v="BRRR"/>
    <n v="17.54"/>
    <n v="17.55"/>
    <x v="19"/>
    <n v="3546.6107999999999"/>
    <n v="0"/>
    <n v="3546.6107999999999"/>
    <n v="62207.553431999993"/>
    <n v="62243.019540000001"/>
  </r>
  <r>
    <s v="BTC"/>
    <n v="27.51"/>
    <n v="27.52"/>
    <x v="19"/>
    <n v="2261.3508999999999"/>
    <n v="-0.1"/>
    <n v="2261.2509"/>
    <n v="62207.012259000003"/>
    <n v="62229.624768000001"/>
  </r>
  <r>
    <s v="BTCW"/>
    <n v="65.7"/>
    <n v="65.83"/>
    <x v="19"/>
    <n v="946.14290000000005"/>
    <n v="0"/>
    <n v="946.14290000000005"/>
    <n v="62161.588530000008"/>
    <n v="62284.587106999999"/>
  </r>
  <r>
    <s v="EZBC"/>
    <n v="35.94"/>
    <n v="35.96"/>
    <x v="19"/>
    <n v="1730.2367999999999"/>
    <n v="0"/>
    <n v="1730.2367999999999"/>
    <n v="62184.710591999996"/>
    <n v="62219.315327999997"/>
  </r>
  <r>
    <s v="FBTC"/>
    <n v="54.15"/>
    <n v="54.16"/>
    <x v="19"/>
    <n v="1148.8611000000001"/>
    <n v="0"/>
    <n v="1148.8611000000001"/>
    <n v="62210.828565000003"/>
    <n v="62222.317175999997"/>
  </r>
  <r>
    <s v="GBTC"/>
    <n v="48.28"/>
    <n v="48.29"/>
    <x v="19"/>
    <n v="1289.1144999999999"/>
    <n v="0.05"/>
    <n v="1289.1644999999999"/>
    <n v="62240.862059999992"/>
    <n v="62253.753704999996"/>
  </r>
  <r>
    <s v="HODL"/>
    <n v="17.59"/>
    <n v="17.600000000000001"/>
    <x v="19"/>
    <n v="3535.8029000000001"/>
    <n v="0"/>
    <n v="3535.8029000000001"/>
    <n v="62194.773011000005"/>
    <n v="62230.131040000007"/>
  </r>
  <r>
    <s v="IBIT"/>
    <n v="35.24"/>
    <n v="35.25"/>
    <x v="19"/>
    <n v="1765.0714"/>
    <n v="0"/>
    <n v="1765.0714"/>
    <n v="62201.116136000004"/>
    <n v="62218.76685"/>
  </r>
  <r>
    <s v="ARKB"/>
    <n v="20.64"/>
    <n v="20.65"/>
    <x v="20"/>
    <n v="3014.9661000000001"/>
    <n v="0"/>
    <n v="3014.9661000000001"/>
    <n v="62228.900304000003"/>
    <n v="62259.049964999998"/>
  </r>
  <r>
    <s v="BITB"/>
    <n v="33.78"/>
    <n v="33.79"/>
    <x v="20"/>
    <n v="1842.1306"/>
    <n v="0"/>
    <n v="1842.1306"/>
    <n v="62227.171668000003"/>
    <n v="62245.592973999999"/>
  </r>
  <r>
    <s v="BRRR"/>
    <n v="17.54"/>
    <n v="17.55"/>
    <x v="20"/>
    <n v="3546.6107999999999"/>
    <n v="0"/>
    <n v="3546.6107999999999"/>
    <n v="62207.553431999993"/>
    <n v="62243.019540000001"/>
  </r>
  <r>
    <s v="BTC"/>
    <n v="27.51"/>
    <n v="27.52"/>
    <x v="20"/>
    <n v="2261.3508999999999"/>
    <n v="-0.1"/>
    <n v="2261.2509"/>
    <n v="62207.012259000003"/>
    <n v="62229.624768000001"/>
  </r>
  <r>
    <s v="BTCW"/>
    <n v="65.7"/>
    <n v="65.83"/>
    <x v="20"/>
    <n v="946.14290000000005"/>
    <n v="0"/>
    <n v="946.14290000000005"/>
    <n v="62161.588530000008"/>
    <n v="62284.587106999999"/>
  </r>
  <r>
    <s v="EZBC"/>
    <n v="35.94"/>
    <n v="35.96"/>
    <x v="20"/>
    <n v="1730.2367999999999"/>
    <n v="0"/>
    <n v="1730.2367999999999"/>
    <n v="62184.710591999996"/>
    <n v="62219.315327999997"/>
  </r>
  <r>
    <s v="FBTC"/>
    <n v="54.15"/>
    <n v="54.16"/>
    <x v="20"/>
    <n v="1148.8611000000001"/>
    <n v="0"/>
    <n v="1148.8611000000001"/>
    <n v="62210.828565000003"/>
    <n v="62222.317175999997"/>
  </r>
  <r>
    <s v="GBTC"/>
    <n v="48.28"/>
    <n v="48.29"/>
    <x v="20"/>
    <n v="1289.1144999999999"/>
    <n v="0.05"/>
    <n v="1289.1644999999999"/>
    <n v="62240.862059999992"/>
    <n v="62253.753704999996"/>
  </r>
  <r>
    <s v="HODL"/>
    <n v="17.59"/>
    <n v="17.600000000000001"/>
    <x v="20"/>
    <n v="3535.8029000000001"/>
    <n v="0"/>
    <n v="3535.8029000000001"/>
    <n v="62194.773011000005"/>
    <n v="62230.131040000007"/>
  </r>
  <r>
    <s v="IBIT"/>
    <n v="35.24"/>
    <n v="35.25"/>
    <x v="20"/>
    <n v="1765.0714"/>
    <n v="0"/>
    <n v="1765.0714"/>
    <n v="62201.116136000004"/>
    <n v="62218.76685"/>
  </r>
  <r>
    <s v="ARKB"/>
    <n v="20.64"/>
    <n v="20.65"/>
    <x v="21"/>
    <n v="3014.9661000000001"/>
    <n v="0"/>
    <n v="3014.9661000000001"/>
    <n v="62228.900304000003"/>
    <n v="62259.049964999998"/>
  </r>
  <r>
    <s v="BITB"/>
    <n v="33.78"/>
    <n v="33.79"/>
    <x v="21"/>
    <n v="1842.1306"/>
    <n v="0"/>
    <n v="1842.1306"/>
    <n v="62227.171668000003"/>
    <n v="62245.592973999999"/>
  </r>
  <r>
    <s v="BRRR"/>
    <n v="17.54"/>
    <n v="17.55"/>
    <x v="21"/>
    <n v="3546.6107999999999"/>
    <n v="0"/>
    <n v="3546.6107999999999"/>
    <n v="62207.553431999993"/>
    <n v="62243.019540000001"/>
  </r>
  <r>
    <s v="BTC"/>
    <n v="27.51"/>
    <n v="27.52"/>
    <x v="21"/>
    <n v="2261.3508999999999"/>
    <n v="-0.1"/>
    <n v="2261.2509"/>
    <n v="62207.012259000003"/>
    <n v="62229.624768000001"/>
  </r>
  <r>
    <s v="BTCW"/>
    <n v="65.7"/>
    <n v="65.83"/>
    <x v="21"/>
    <n v="946.14290000000005"/>
    <n v="0"/>
    <n v="946.14290000000005"/>
    <n v="62161.588530000008"/>
    <n v="62284.587106999999"/>
  </r>
  <r>
    <s v="EZBC"/>
    <n v="35.94"/>
    <n v="35.96"/>
    <x v="21"/>
    <n v="1730.2367999999999"/>
    <n v="0"/>
    <n v="1730.2367999999999"/>
    <n v="62184.710591999996"/>
    <n v="62219.315327999997"/>
  </r>
  <r>
    <s v="FBTC"/>
    <n v="54.15"/>
    <n v="54.16"/>
    <x v="21"/>
    <n v="1148.8611000000001"/>
    <n v="0"/>
    <n v="1148.8611000000001"/>
    <n v="62210.828565000003"/>
    <n v="62222.317175999997"/>
  </r>
  <r>
    <s v="GBTC"/>
    <n v="48.28"/>
    <n v="48.29"/>
    <x v="21"/>
    <n v="1289.1144999999999"/>
    <n v="0.05"/>
    <n v="1289.1644999999999"/>
    <n v="62240.862059999992"/>
    <n v="62253.753704999996"/>
  </r>
  <r>
    <s v="HODL"/>
    <n v="17.59"/>
    <n v="17.600000000000001"/>
    <x v="21"/>
    <n v="3535.8029000000001"/>
    <n v="0"/>
    <n v="3535.8029000000001"/>
    <n v="62194.773011000005"/>
    <n v="62230.131040000007"/>
  </r>
  <r>
    <s v="IBIT"/>
    <n v="35.24"/>
    <n v="35.25"/>
    <x v="21"/>
    <n v="1765.0714"/>
    <n v="0"/>
    <n v="1765.0714"/>
    <n v="62201.116136000004"/>
    <n v="62218.76685"/>
  </r>
  <r>
    <s v="ARKB"/>
    <n v="20.64"/>
    <n v="20.65"/>
    <x v="22"/>
    <n v="3014.9661000000001"/>
    <n v="0"/>
    <n v="3014.9661000000001"/>
    <n v="62228.900304000003"/>
    <n v="62259.049964999998"/>
  </r>
  <r>
    <s v="BITB"/>
    <n v="33.78"/>
    <n v="33.79"/>
    <x v="22"/>
    <n v="1842.1306"/>
    <n v="0"/>
    <n v="1842.1306"/>
    <n v="62227.171668000003"/>
    <n v="62245.592973999999"/>
  </r>
  <r>
    <s v="BRRR"/>
    <n v="17.54"/>
    <n v="17.55"/>
    <x v="22"/>
    <n v="3546.6107999999999"/>
    <n v="0"/>
    <n v="3546.6107999999999"/>
    <n v="62207.553431999993"/>
    <n v="62243.019540000001"/>
  </r>
  <r>
    <s v="BTC"/>
    <n v="27.51"/>
    <n v="27.52"/>
    <x v="22"/>
    <n v="2261.3508999999999"/>
    <n v="-0.1"/>
    <n v="2261.2509"/>
    <n v="62207.012259000003"/>
    <n v="62229.624768000001"/>
  </r>
  <r>
    <s v="BTCW"/>
    <n v="65.7"/>
    <n v="65.83"/>
    <x v="22"/>
    <n v="946.14290000000005"/>
    <n v="0"/>
    <n v="946.14290000000005"/>
    <n v="62161.588530000008"/>
    <n v="62284.587106999999"/>
  </r>
  <r>
    <s v="EZBC"/>
    <n v="35.94"/>
    <n v="35.96"/>
    <x v="22"/>
    <n v="1730.2367999999999"/>
    <n v="0"/>
    <n v="1730.2367999999999"/>
    <n v="62184.710591999996"/>
    <n v="62219.315327999997"/>
  </r>
  <r>
    <s v="FBTC"/>
    <n v="54.15"/>
    <n v="54.16"/>
    <x v="22"/>
    <n v="1148.8611000000001"/>
    <n v="0"/>
    <n v="1148.8611000000001"/>
    <n v="62210.828565000003"/>
    <n v="62222.317175999997"/>
  </r>
  <r>
    <s v="GBTC"/>
    <n v="48.28"/>
    <n v="48.29"/>
    <x v="22"/>
    <n v="1289.1144999999999"/>
    <n v="0.05"/>
    <n v="1289.1644999999999"/>
    <n v="62240.862059999992"/>
    <n v="62253.753704999996"/>
  </r>
  <r>
    <s v="HODL"/>
    <n v="17.59"/>
    <n v="17.600000000000001"/>
    <x v="22"/>
    <n v="3535.8029000000001"/>
    <n v="0"/>
    <n v="3535.8029000000001"/>
    <n v="62194.773011000005"/>
    <n v="62230.131040000007"/>
  </r>
  <r>
    <s v="IBIT"/>
    <n v="35.24"/>
    <n v="35.25"/>
    <x v="22"/>
    <n v="1765.0714"/>
    <n v="0"/>
    <n v="1765.0714"/>
    <n v="62201.116136000004"/>
    <n v="62218.76685"/>
  </r>
  <r>
    <s v="ARKB"/>
    <n v="20.64"/>
    <n v="20.65"/>
    <x v="23"/>
    <n v="3014.9661000000001"/>
    <n v="0"/>
    <n v="3014.9661000000001"/>
    <n v="62228.900304000003"/>
    <n v="62259.049964999998"/>
  </r>
  <r>
    <s v="BITB"/>
    <n v="33.78"/>
    <n v="33.79"/>
    <x v="23"/>
    <n v="1842.1306"/>
    <n v="0"/>
    <n v="1842.1306"/>
    <n v="62227.171668000003"/>
    <n v="62245.592973999999"/>
  </r>
  <r>
    <s v="BRRR"/>
    <n v="17.54"/>
    <n v="17.55"/>
    <x v="23"/>
    <n v="3546.6107999999999"/>
    <n v="0"/>
    <n v="3546.6107999999999"/>
    <n v="62207.553431999993"/>
    <n v="62243.019540000001"/>
  </r>
  <r>
    <s v="BTC"/>
    <n v="27.51"/>
    <n v="27.52"/>
    <x v="23"/>
    <n v="2261.3508999999999"/>
    <n v="-0.1"/>
    <n v="2261.2509"/>
    <n v="62207.012259000003"/>
    <n v="62229.624768000001"/>
  </r>
  <r>
    <s v="BTCW"/>
    <n v="65.7"/>
    <n v="65.83"/>
    <x v="23"/>
    <n v="946.14290000000005"/>
    <n v="0"/>
    <n v="946.14290000000005"/>
    <n v="62161.588530000008"/>
    <n v="62284.587106999999"/>
  </r>
  <r>
    <s v="EZBC"/>
    <n v="35.94"/>
    <n v="35.96"/>
    <x v="23"/>
    <n v="1730.2367999999999"/>
    <n v="0"/>
    <n v="1730.2367999999999"/>
    <n v="62184.710591999996"/>
    <n v="62219.315327999997"/>
  </r>
  <r>
    <s v="FBTC"/>
    <n v="54.15"/>
    <n v="54.16"/>
    <x v="23"/>
    <n v="1148.8611000000001"/>
    <n v="0"/>
    <n v="1148.8611000000001"/>
    <n v="62210.828565000003"/>
    <n v="62222.317175999997"/>
  </r>
  <r>
    <s v="GBTC"/>
    <n v="48.28"/>
    <n v="48.29"/>
    <x v="23"/>
    <n v="1289.1144999999999"/>
    <n v="0.05"/>
    <n v="1289.1644999999999"/>
    <n v="62240.862059999992"/>
    <n v="62253.753704999996"/>
  </r>
  <r>
    <s v="HODL"/>
    <n v="17.59"/>
    <n v="17.600000000000001"/>
    <x v="23"/>
    <n v="3535.8029000000001"/>
    <n v="0"/>
    <n v="3535.8029000000001"/>
    <n v="62194.773011000005"/>
    <n v="62230.131040000007"/>
  </r>
  <r>
    <s v="IBIT"/>
    <n v="35.24"/>
    <n v="35.25"/>
    <x v="23"/>
    <n v="1765.0714"/>
    <n v="0"/>
    <n v="1765.0714"/>
    <n v="62201.116136000004"/>
    <n v="62218.76685"/>
  </r>
  <r>
    <s v="ARKB"/>
    <n v="20.64"/>
    <n v="20.65"/>
    <x v="24"/>
    <n v="3014.9661000000001"/>
    <n v="0"/>
    <n v="3014.9661000000001"/>
    <n v="62228.900304000003"/>
    <n v="62259.049964999998"/>
  </r>
  <r>
    <s v="BITB"/>
    <n v="33.78"/>
    <n v="33.79"/>
    <x v="24"/>
    <n v="1842.1306"/>
    <n v="0"/>
    <n v="1842.1306"/>
    <n v="62227.171668000003"/>
    <n v="62245.592973999999"/>
  </r>
  <r>
    <s v="BRRR"/>
    <n v="17.54"/>
    <n v="17.55"/>
    <x v="24"/>
    <n v="3546.6107999999999"/>
    <n v="0"/>
    <n v="3546.6107999999999"/>
    <n v="62207.553431999993"/>
    <n v="62243.019540000001"/>
  </r>
  <r>
    <s v="BTC"/>
    <n v="27.51"/>
    <n v="27.52"/>
    <x v="24"/>
    <n v="2261.3508999999999"/>
    <n v="-0.1"/>
    <n v="2261.2509"/>
    <n v="62207.012259000003"/>
    <n v="62229.624768000001"/>
  </r>
  <r>
    <s v="BTCW"/>
    <n v="65.7"/>
    <n v="65.83"/>
    <x v="24"/>
    <n v="946.14290000000005"/>
    <n v="0"/>
    <n v="946.14290000000005"/>
    <n v="62161.588530000008"/>
    <n v="62284.587106999999"/>
  </r>
  <r>
    <s v="EZBC"/>
    <n v="35.94"/>
    <n v="35.96"/>
    <x v="24"/>
    <n v="1730.2367999999999"/>
    <n v="0"/>
    <n v="1730.2367999999999"/>
    <n v="62184.710591999996"/>
    <n v="62219.315327999997"/>
  </r>
  <r>
    <s v="FBTC"/>
    <n v="54.15"/>
    <n v="54.16"/>
    <x v="24"/>
    <n v="1148.8611000000001"/>
    <n v="0"/>
    <n v="1148.8611000000001"/>
    <n v="62210.828565000003"/>
    <n v="62222.317175999997"/>
  </r>
  <r>
    <s v="GBTC"/>
    <n v="48.28"/>
    <n v="48.29"/>
    <x v="24"/>
    <n v="1289.1144999999999"/>
    <n v="0.05"/>
    <n v="1289.1644999999999"/>
    <n v="62240.862059999992"/>
    <n v="62253.753704999996"/>
  </r>
  <r>
    <s v="HODL"/>
    <n v="17.59"/>
    <n v="17.600000000000001"/>
    <x v="24"/>
    <n v="3535.8029000000001"/>
    <n v="0"/>
    <n v="3535.8029000000001"/>
    <n v="62194.773011000005"/>
    <n v="62230.131040000007"/>
  </r>
  <r>
    <s v="IBIT"/>
    <n v="35.24"/>
    <n v="35.25"/>
    <x v="24"/>
    <n v="1765.0714"/>
    <n v="0"/>
    <n v="1765.0714"/>
    <n v="62201.116136000004"/>
    <n v="62218.766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2021B-8905-43B4-9F4F-3E28B3CD849B}" name="PivotTable4" cacheId="1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6" firstHeaderRow="0" firstDataRow="1" firstDataCol="1"/>
  <pivotFields count="9">
    <pivotField showAll="0"/>
    <pivotField numFmtId="44" showAll="0"/>
    <pivotField numFmtId="4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66DBD-CBE4-4C82-A3D6-219E4B255814}" name="Table1" displayName="Table1" ref="A1:I251" totalsRowShown="0">
  <autoFilter ref="A1:I251" xr:uid="{0FE66DBD-CBE4-4C82-A3D6-219E4B255814}"/>
  <tableColumns count="9">
    <tableColumn id="1" xr3:uid="{C57E771E-7DCE-4475-A7C3-D3AE02829B44}" name="my_fi_name"/>
    <tableColumn id="2" xr3:uid="{3E9200C3-5171-4925-9BDE-F5B8F286935B}" name="price_screen_bid" dataCellStyle="Currency"/>
    <tableColumn id="3" xr3:uid="{9E1F7170-5730-4324-924C-0A5A72AA5ACA}" name="price_screen_ask" dataCellStyle="Currency"/>
    <tableColumn id="4" xr3:uid="{353F9AA7-2549-4EBD-B759-79B59FC391BF}" name="time"/>
    <tableColumn id="5" xr3:uid="{0FACA72E-B5CD-4059-8AC1-ED50C3833547}" name="scalar"/>
    <tableColumn id="6" xr3:uid="{A50EB092-01E4-442C-A68C-B5E384B0B12C}" name="adj"/>
    <tableColumn id="7" xr3:uid="{BB4048A5-9053-452E-8809-9A46C1FD0DD4}" name="adj scalar" dataDxfId="4">
      <calculatedColumnFormula>E2+F2</calculatedColumnFormula>
    </tableColumn>
    <tableColumn id="8" xr3:uid="{552C8788-77D3-4BAC-A60B-16F0D0F735EC}" name="unit bid" dataDxfId="3">
      <calculatedColumnFormula>B2*G2</calculatedColumnFormula>
    </tableColumn>
    <tableColumn id="9" xr3:uid="{34881599-E21D-41DA-B13B-8D07436E288D}" name="unit ask" dataDxfId="2">
      <calculatedColumnFormula>C2*G2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63B1-8B51-442D-9DDC-4D71A79FC895}">
  <dimension ref="A1:I251"/>
  <sheetViews>
    <sheetView topLeftCell="A229" workbookViewId="0">
      <selection activeCell="F9" sqref="F9"/>
    </sheetView>
  </sheetViews>
  <sheetFormatPr defaultRowHeight="15" x14ac:dyDescent="0.25"/>
  <cols>
    <col min="1" max="1" width="13.85546875" customWidth="1"/>
    <col min="2" max="2" width="18.42578125" style="1" customWidth="1"/>
    <col min="3" max="3" width="18.5703125" style="1" customWidth="1"/>
    <col min="4" max="4" width="19" bestFit="1" customWidth="1"/>
    <col min="5" max="5" width="12.28515625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s="16" t="s">
        <v>50</v>
      </c>
      <c r="F1" s="16" t="s">
        <v>51</v>
      </c>
      <c r="G1" s="16" t="s">
        <v>52</v>
      </c>
      <c r="H1" s="17" t="s">
        <v>53</v>
      </c>
      <c r="I1" s="17" t="s">
        <v>54</v>
      </c>
    </row>
    <row r="2" spans="1:9" x14ac:dyDescent="0.25">
      <c r="A2" t="s">
        <v>4</v>
      </c>
      <c r="B2" s="1">
        <v>20.68</v>
      </c>
      <c r="C2" s="1">
        <v>20.69</v>
      </c>
      <c r="D2" t="s">
        <v>5</v>
      </c>
      <c r="E2" s="11">
        <v>3014.9661000000001</v>
      </c>
      <c r="F2" s="11">
        <f>Sheet1!L3</f>
        <v>0</v>
      </c>
      <c r="G2" s="3">
        <f t="shared" ref="G2:G65" si="0">E2+F2</f>
        <v>3014.9661000000001</v>
      </c>
      <c r="H2" s="1">
        <f t="shared" ref="H2:H65" si="1">B2*G2</f>
        <v>62349.498948</v>
      </c>
      <c r="I2" s="1">
        <f t="shared" ref="I2:I65" si="2">C2*G2</f>
        <v>62379.648609000003</v>
      </c>
    </row>
    <row r="3" spans="1:9" x14ac:dyDescent="0.25">
      <c r="A3" t="s">
        <v>6</v>
      </c>
      <c r="B3" s="1">
        <v>33.85</v>
      </c>
      <c r="C3" s="1">
        <v>33.86</v>
      </c>
      <c r="D3" t="s">
        <v>5</v>
      </c>
      <c r="E3" s="11">
        <v>1842.1306</v>
      </c>
      <c r="F3" s="11">
        <f>Sheet1!L4</f>
        <v>0</v>
      </c>
      <c r="G3" s="3">
        <f t="shared" si="0"/>
        <v>1842.1306</v>
      </c>
      <c r="H3" s="1">
        <f t="shared" si="1"/>
        <v>62356.12081</v>
      </c>
      <c r="I3" s="1">
        <f t="shared" si="2"/>
        <v>62374.542115999997</v>
      </c>
    </row>
    <row r="4" spans="1:9" x14ac:dyDescent="0.25">
      <c r="A4" t="s">
        <v>7</v>
      </c>
      <c r="B4" s="1">
        <v>17.579999999999998</v>
      </c>
      <c r="C4" s="1">
        <v>17.59</v>
      </c>
      <c r="D4" t="s">
        <v>5</v>
      </c>
      <c r="E4" s="11">
        <v>3546.6107999999999</v>
      </c>
      <c r="F4" s="11">
        <f>Sheet1!L5</f>
        <v>0</v>
      </c>
      <c r="G4" s="3">
        <f t="shared" si="0"/>
        <v>3546.6107999999999</v>
      </c>
      <c r="H4" s="1">
        <f t="shared" si="1"/>
        <v>62349.417863999995</v>
      </c>
      <c r="I4" s="1">
        <f t="shared" si="2"/>
        <v>62384.883971999996</v>
      </c>
    </row>
    <row r="5" spans="1:9" x14ac:dyDescent="0.25">
      <c r="A5" t="s">
        <v>8</v>
      </c>
      <c r="B5" s="1">
        <v>27.58</v>
      </c>
      <c r="C5" s="1">
        <v>27.58</v>
      </c>
      <c r="D5" t="s">
        <v>5</v>
      </c>
      <c r="E5" s="11">
        <v>2261.3508999999999</v>
      </c>
      <c r="F5" s="11">
        <f>Sheet1!L6</f>
        <v>-0.1</v>
      </c>
      <c r="G5" s="3">
        <f t="shared" si="0"/>
        <v>2261.2509</v>
      </c>
      <c r="H5" s="1">
        <f t="shared" si="1"/>
        <v>62365.299821999994</v>
      </c>
      <c r="I5" s="1">
        <f t="shared" si="2"/>
        <v>62365.299821999994</v>
      </c>
    </row>
    <row r="6" spans="1:9" x14ac:dyDescent="0.25">
      <c r="A6" t="s">
        <v>9</v>
      </c>
      <c r="B6" s="1">
        <v>65.83</v>
      </c>
      <c r="C6" s="1">
        <v>65.95</v>
      </c>
      <c r="D6" t="s">
        <v>5</v>
      </c>
      <c r="E6" s="11">
        <v>946.14290000000005</v>
      </c>
      <c r="F6" s="11">
        <f>Sheet1!L7</f>
        <v>0</v>
      </c>
      <c r="G6" s="3">
        <f t="shared" si="0"/>
        <v>946.14290000000005</v>
      </c>
      <c r="H6" s="1">
        <f t="shared" si="1"/>
        <v>62284.587106999999</v>
      </c>
      <c r="I6" s="1">
        <f t="shared" si="2"/>
        <v>62398.12425500001</v>
      </c>
    </row>
    <row r="7" spans="1:9" x14ac:dyDescent="0.25">
      <c r="A7" t="s">
        <v>10</v>
      </c>
      <c r="B7" s="1">
        <v>36.03</v>
      </c>
      <c r="C7" s="1">
        <v>36.04</v>
      </c>
      <c r="D7" t="s">
        <v>5</v>
      </c>
      <c r="E7" s="11">
        <v>1730.2367999999999</v>
      </c>
      <c r="F7" s="11">
        <f>Sheet1!L8</f>
        <v>0</v>
      </c>
      <c r="G7" s="3">
        <f t="shared" si="0"/>
        <v>1730.2367999999999</v>
      </c>
      <c r="H7" s="1">
        <f t="shared" si="1"/>
        <v>62340.431903999997</v>
      </c>
      <c r="I7" s="1">
        <f t="shared" si="2"/>
        <v>62357.734271999994</v>
      </c>
    </row>
    <row r="8" spans="1:9" x14ac:dyDescent="0.25">
      <c r="A8" t="s">
        <v>11</v>
      </c>
      <c r="B8" s="1">
        <v>54.27</v>
      </c>
      <c r="C8" s="1">
        <v>54.28</v>
      </c>
      <c r="D8" t="s">
        <v>5</v>
      </c>
      <c r="E8" s="11">
        <v>1148.8611000000001</v>
      </c>
      <c r="F8" s="11">
        <f>Sheet1!L9</f>
        <v>0</v>
      </c>
      <c r="G8" s="3">
        <f t="shared" si="0"/>
        <v>1148.8611000000001</v>
      </c>
      <c r="H8" s="1">
        <f t="shared" si="1"/>
        <v>62348.691897000004</v>
      </c>
      <c r="I8" s="1">
        <f t="shared" si="2"/>
        <v>62360.180508000005</v>
      </c>
    </row>
    <row r="9" spans="1:9" x14ac:dyDescent="0.25">
      <c r="A9" t="s">
        <v>12</v>
      </c>
      <c r="B9" s="1">
        <v>48.37</v>
      </c>
      <c r="C9" s="1">
        <v>48.38</v>
      </c>
      <c r="D9" t="s">
        <v>5</v>
      </c>
      <c r="E9" s="11">
        <v>1289.1144999999999</v>
      </c>
      <c r="F9" s="11">
        <f>Sheet1!L10</f>
        <v>0.05</v>
      </c>
      <c r="G9" s="3">
        <f t="shared" si="0"/>
        <v>1289.1644999999999</v>
      </c>
      <c r="H9" s="1">
        <f t="shared" si="1"/>
        <v>62356.886864999993</v>
      </c>
      <c r="I9" s="1">
        <f t="shared" si="2"/>
        <v>62369.778509999996</v>
      </c>
    </row>
    <row r="10" spans="1:9" x14ac:dyDescent="0.25">
      <c r="A10" t="s">
        <v>13</v>
      </c>
      <c r="B10" s="1">
        <v>17.63</v>
      </c>
      <c r="C10" s="1">
        <v>17.64</v>
      </c>
      <c r="D10" t="s">
        <v>5</v>
      </c>
      <c r="E10" s="11">
        <v>3535.8029000000001</v>
      </c>
      <c r="F10" s="11">
        <f>Sheet1!L11</f>
        <v>0</v>
      </c>
      <c r="G10" s="3">
        <f t="shared" si="0"/>
        <v>3535.8029000000001</v>
      </c>
      <c r="H10" s="1">
        <f t="shared" si="1"/>
        <v>62336.205127000001</v>
      </c>
      <c r="I10" s="1">
        <f t="shared" si="2"/>
        <v>62371.563156000004</v>
      </c>
    </row>
    <row r="11" spans="1:9" x14ac:dyDescent="0.25">
      <c r="A11" t="s">
        <v>14</v>
      </c>
      <c r="B11" s="1">
        <v>35.31</v>
      </c>
      <c r="C11" s="1">
        <v>35.32</v>
      </c>
      <c r="D11" t="s">
        <v>5</v>
      </c>
      <c r="E11" s="11">
        <v>1765.0714</v>
      </c>
      <c r="F11" s="11">
        <f>Sheet1!L12</f>
        <v>0</v>
      </c>
      <c r="G11" s="3">
        <f t="shared" si="0"/>
        <v>1765.0714</v>
      </c>
      <c r="H11" s="1">
        <f t="shared" si="1"/>
        <v>62324.671134000004</v>
      </c>
      <c r="I11" s="1">
        <f t="shared" si="2"/>
        <v>62342.321848</v>
      </c>
    </row>
    <row r="12" spans="1:9" x14ac:dyDescent="0.25">
      <c r="A12" t="s">
        <v>4</v>
      </c>
      <c r="B12" s="1">
        <v>20.7</v>
      </c>
      <c r="C12" s="1">
        <v>20.71</v>
      </c>
      <c r="D12" t="s">
        <v>15</v>
      </c>
      <c r="E12" s="3">
        <f>E2</f>
        <v>3014.9661000000001</v>
      </c>
      <c r="F12" s="3">
        <f>F2</f>
        <v>0</v>
      </c>
      <c r="G12" s="3">
        <f t="shared" si="0"/>
        <v>3014.9661000000001</v>
      </c>
      <c r="H12" s="1">
        <f t="shared" si="1"/>
        <v>62409.798269999999</v>
      </c>
      <c r="I12" s="1">
        <f t="shared" si="2"/>
        <v>62439.947931000002</v>
      </c>
    </row>
    <row r="13" spans="1:9" x14ac:dyDescent="0.25">
      <c r="A13" t="s">
        <v>6</v>
      </c>
      <c r="B13" s="1">
        <v>33.89</v>
      </c>
      <c r="C13" s="1">
        <v>33.9</v>
      </c>
      <c r="D13" t="s">
        <v>15</v>
      </c>
      <c r="E13" s="3">
        <f t="shared" ref="E13:F13" si="3">E3</f>
        <v>1842.1306</v>
      </c>
      <c r="F13" s="3">
        <f t="shared" si="3"/>
        <v>0</v>
      </c>
      <c r="G13" s="18">
        <f t="shared" si="0"/>
        <v>1842.1306</v>
      </c>
      <c r="H13" s="5">
        <f t="shared" si="1"/>
        <v>62429.806034000001</v>
      </c>
      <c r="I13" s="5">
        <f t="shared" si="2"/>
        <v>62448.227339999998</v>
      </c>
    </row>
    <row r="14" spans="1:9" x14ac:dyDescent="0.25">
      <c r="A14" t="s">
        <v>7</v>
      </c>
      <c r="B14" s="1">
        <v>17.600000000000001</v>
      </c>
      <c r="C14" s="1">
        <v>17.61</v>
      </c>
      <c r="D14" t="s">
        <v>15</v>
      </c>
      <c r="E14" s="3">
        <f t="shared" ref="E14:F14" si="4">E4</f>
        <v>3546.6107999999999</v>
      </c>
      <c r="F14" s="3">
        <f t="shared" si="4"/>
        <v>0</v>
      </c>
      <c r="G14" s="18">
        <f t="shared" si="0"/>
        <v>3546.6107999999999</v>
      </c>
      <c r="H14" s="5">
        <f t="shared" si="1"/>
        <v>62420.350080000004</v>
      </c>
      <c r="I14" s="5">
        <f t="shared" si="2"/>
        <v>62455.816187999997</v>
      </c>
    </row>
    <row r="15" spans="1:9" x14ac:dyDescent="0.25">
      <c r="A15" t="s">
        <v>8</v>
      </c>
      <c r="B15" s="1">
        <v>27.61</v>
      </c>
      <c r="C15" s="1">
        <v>27.62</v>
      </c>
      <c r="D15" t="s">
        <v>15</v>
      </c>
      <c r="E15" s="3">
        <f t="shared" ref="E15:F15" si="5">E5</f>
        <v>2261.3508999999999</v>
      </c>
      <c r="F15" s="3">
        <f t="shared" si="5"/>
        <v>-0.1</v>
      </c>
      <c r="G15" s="18">
        <f t="shared" si="0"/>
        <v>2261.2509</v>
      </c>
      <c r="H15" s="5">
        <f t="shared" si="1"/>
        <v>62433.137348999997</v>
      </c>
      <c r="I15" s="5">
        <f t="shared" si="2"/>
        <v>62455.749858000003</v>
      </c>
    </row>
    <row r="16" spans="1:9" x14ac:dyDescent="0.25">
      <c r="A16" t="s">
        <v>9</v>
      </c>
      <c r="B16" s="1">
        <v>65.95</v>
      </c>
      <c r="C16" s="1">
        <v>66.06</v>
      </c>
      <c r="D16" t="s">
        <v>15</v>
      </c>
      <c r="E16" s="3">
        <f t="shared" ref="E16:F16" si="6">E6</f>
        <v>946.14290000000005</v>
      </c>
      <c r="F16" s="3">
        <f t="shared" si="6"/>
        <v>0</v>
      </c>
      <c r="G16" s="18">
        <f t="shared" si="0"/>
        <v>946.14290000000005</v>
      </c>
      <c r="H16" s="5">
        <f t="shared" si="1"/>
        <v>62398.12425500001</v>
      </c>
      <c r="I16" s="5">
        <f t="shared" si="2"/>
        <v>62502.199974000003</v>
      </c>
    </row>
    <row r="17" spans="1:9" x14ac:dyDescent="0.25">
      <c r="A17" t="s">
        <v>10</v>
      </c>
      <c r="B17" s="1">
        <v>36.06</v>
      </c>
      <c r="C17" s="1">
        <v>36.090000000000003</v>
      </c>
      <c r="D17" t="s">
        <v>15</v>
      </c>
      <c r="E17" s="3">
        <f t="shared" ref="E17:F17" si="7">E7</f>
        <v>1730.2367999999999</v>
      </c>
      <c r="F17" s="3">
        <f t="shared" si="7"/>
        <v>0</v>
      </c>
      <c r="G17" s="18">
        <f t="shared" si="0"/>
        <v>1730.2367999999999</v>
      </c>
      <c r="H17" s="5">
        <f t="shared" si="1"/>
        <v>62392.339008000003</v>
      </c>
      <c r="I17" s="5">
        <f t="shared" si="2"/>
        <v>62444.246112000001</v>
      </c>
    </row>
    <row r="18" spans="1:9" x14ac:dyDescent="0.25">
      <c r="A18" t="s">
        <v>11</v>
      </c>
      <c r="B18" s="1">
        <v>54.33</v>
      </c>
      <c r="C18" s="1">
        <v>54.34</v>
      </c>
      <c r="D18" t="s">
        <v>15</v>
      </c>
      <c r="E18" s="3">
        <f t="shared" ref="E18:F18" si="8">E8</f>
        <v>1148.8611000000001</v>
      </c>
      <c r="F18" s="3">
        <f t="shared" si="8"/>
        <v>0</v>
      </c>
      <c r="G18" s="18">
        <f t="shared" si="0"/>
        <v>1148.8611000000001</v>
      </c>
      <c r="H18" s="5">
        <f t="shared" si="1"/>
        <v>62417.623563000001</v>
      </c>
      <c r="I18" s="5">
        <f t="shared" si="2"/>
        <v>62429.112174000009</v>
      </c>
    </row>
    <row r="19" spans="1:9" x14ac:dyDescent="0.25">
      <c r="A19" t="s">
        <v>12</v>
      </c>
      <c r="B19" s="1">
        <v>48.43</v>
      </c>
      <c r="C19" s="1">
        <v>48.44</v>
      </c>
      <c r="D19" t="s">
        <v>15</v>
      </c>
      <c r="E19" s="3">
        <f t="shared" ref="E19:F19" si="9">E9</f>
        <v>1289.1144999999999</v>
      </c>
      <c r="F19" s="3">
        <f t="shared" si="9"/>
        <v>0.05</v>
      </c>
      <c r="G19" s="18">
        <f t="shared" si="0"/>
        <v>1289.1644999999999</v>
      </c>
      <c r="H19" s="5">
        <f t="shared" si="1"/>
        <v>62434.236734999991</v>
      </c>
      <c r="I19" s="5">
        <f t="shared" si="2"/>
        <v>62447.128379999987</v>
      </c>
    </row>
    <row r="20" spans="1:9" x14ac:dyDescent="0.25">
      <c r="A20" t="s">
        <v>13</v>
      </c>
      <c r="B20" s="1">
        <v>17.649999999999999</v>
      </c>
      <c r="C20" s="1">
        <v>17.66</v>
      </c>
      <c r="D20" t="s">
        <v>15</v>
      </c>
      <c r="E20" s="3">
        <f t="shared" ref="E20:F20" si="10">E10</f>
        <v>3535.8029000000001</v>
      </c>
      <c r="F20" s="3">
        <f t="shared" si="10"/>
        <v>0</v>
      </c>
      <c r="G20" s="18">
        <f t="shared" si="0"/>
        <v>3535.8029000000001</v>
      </c>
      <c r="H20" s="5">
        <f t="shared" si="1"/>
        <v>62406.921184999999</v>
      </c>
      <c r="I20" s="5">
        <f t="shared" si="2"/>
        <v>62442.279214000002</v>
      </c>
    </row>
    <row r="21" spans="1:9" x14ac:dyDescent="0.25">
      <c r="A21" t="s">
        <v>14</v>
      </c>
      <c r="B21" s="1">
        <v>35.36</v>
      </c>
      <c r="C21" s="1">
        <v>35.369999999999997</v>
      </c>
      <c r="D21" t="s">
        <v>15</v>
      </c>
      <c r="E21" s="3">
        <f t="shared" ref="E21:F21" si="11">E11</f>
        <v>1765.0714</v>
      </c>
      <c r="F21" s="3">
        <f t="shared" si="11"/>
        <v>0</v>
      </c>
      <c r="G21" s="18">
        <f t="shared" si="0"/>
        <v>1765.0714</v>
      </c>
      <c r="H21" s="5">
        <f t="shared" si="1"/>
        <v>62412.924703999997</v>
      </c>
      <c r="I21" s="5">
        <f t="shared" si="2"/>
        <v>62430.575418</v>
      </c>
    </row>
    <row r="22" spans="1:9" x14ac:dyDescent="0.25">
      <c r="A22" t="s">
        <v>4</v>
      </c>
      <c r="B22" s="1">
        <v>20.73</v>
      </c>
      <c r="C22" s="1">
        <v>20.74</v>
      </c>
      <c r="D22" t="s">
        <v>16</v>
      </c>
      <c r="E22" s="3">
        <f t="shared" ref="E22:F22" si="12">E12</f>
        <v>3014.9661000000001</v>
      </c>
      <c r="F22" s="3">
        <f t="shared" si="12"/>
        <v>0</v>
      </c>
      <c r="G22" s="18">
        <f t="shared" si="0"/>
        <v>3014.9661000000001</v>
      </c>
      <c r="H22" s="5">
        <f t="shared" si="1"/>
        <v>62500.247253000001</v>
      </c>
      <c r="I22" s="5">
        <f t="shared" si="2"/>
        <v>62530.396913999997</v>
      </c>
    </row>
    <row r="23" spans="1:9" x14ac:dyDescent="0.25">
      <c r="A23" t="s">
        <v>6</v>
      </c>
      <c r="B23" s="1">
        <v>33.94</v>
      </c>
      <c r="C23" s="1">
        <v>33.950000000000003</v>
      </c>
      <c r="D23" t="s">
        <v>16</v>
      </c>
      <c r="E23" s="3">
        <f t="shared" ref="E23:F23" si="13">E13</f>
        <v>1842.1306</v>
      </c>
      <c r="F23" s="3">
        <f t="shared" si="13"/>
        <v>0</v>
      </c>
      <c r="G23" s="18">
        <f t="shared" si="0"/>
        <v>1842.1306</v>
      </c>
      <c r="H23" s="5">
        <f t="shared" si="1"/>
        <v>62521.912563999991</v>
      </c>
      <c r="I23" s="5">
        <f t="shared" si="2"/>
        <v>62540.333870000002</v>
      </c>
    </row>
    <row r="24" spans="1:9" x14ac:dyDescent="0.25">
      <c r="A24" t="s">
        <v>7</v>
      </c>
      <c r="B24" s="1">
        <v>17.63</v>
      </c>
      <c r="C24" s="1">
        <v>17.64</v>
      </c>
      <c r="D24" t="s">
        <v>16</v>
      </c>
      <c r="E24" s="3">
        <f t="shared" ref="E24:F24" si="14">E14</f>
        <v>3546.6107999999999</v>
      </c>
      <c r="F24" s="3">
        <f t="shared" si="14"/>
        <v>0</v>
      </c>
      <c r="G24" s="18">
        <f t="shared" si="0"/>
        <v>3546.6107999999999</v>
      </c>
      <c r="H24" s="5">
        <f t="shared" si="1"/>
        <v>62526.748403999998</v>
      </c>
      <c r="I24" s="5">
        <f t="shared" si="2"/>
        <v>62562.214511999999</v>
      </c>
    </row>
    <row r="25" spans="1:9" x14ac:dyDescent="0.25">
      <c r="A25" t="s">
        <v>8</v>
      </c>
      <c r="B25" s="1">
        <v>27.65</v>
      </c>
      <c r="C25" s="1">
        <v>27.66</v>
      </c>
      <c r="D25" t="s">
        <v>16</v>
      </c>
      <c r="E25" s="3">
        <f t="shared" ref="E25:F25" si="15">E15</f>
        <v>2261.3508999999999</v>
      </c>
      <c r="F25" s="3">
        <f t="shared" si="15"/>
        <v>-0.1</v>
      </c>
      <c r="G25" s="18">
        <f t="shared" si="0"/>
        <v>2261.2509</v>
      </c>
      <c r="H25" s="5">
        <f t="shared" si="1"/>
        <v>62523.587384999999</v>
      </c>
      <c r="I25" s="5">
        <f t="shared" si="2"/>
        <v>62546.199893999998</v>
      </c>
    </row>
    <row r="26" spans="1:9" x14ac:dyDescent="0.25">
      <c r="A26" t="s">
        <v>9</v>
      </c>
      <c r="B26" s="1">
        <v>66.03</v>
      </c>
      <c r="C26" s="1">
        <v>66.150000000000006</v>
      </c>
      <c r="D26" t="s">
        <v>16</v>
      </c>
      <c r="E26" s="3">
        <f t="shared" ref="E26:F26" si="16">E16</f>
        <v>946.14290000000005</v>
      </c>
      <c r="F26" s="3">
        <f t="shared" si="16"/>
        <v>0</v>
      </c>
      <c r="G26" s="18">
        <f t="shared" si="0"/>
        <v>946.14290000000005</v>
      </c>
      <c r="H26" s="5">
        <f t="shared" si="1"/>
        <v>62473.815687000002</v>
      </c>
      <c r="I26" s="5">
        <f t="shared" si="2"/>
        <v>62587.352835000012</v>
      </c>
    </row>
    <row r="27" spans="1:9" x14ac:dyDescent="0.25">
      <c r="A27" t="s">
        <v>10</v>
      </c>
      <c r="B27" s="1">
        <v>36.119999999999997</v>
      </c>
      <c r="C27" s="1">
        <v>36.14</v>
      </c>
      <c r="D27" t="s">
        <v>16</v>
      </c>
      <c r="E27" s="3">
        <f t="shared" ref="E27:F27" si="17">E17</f>
        <v>1730.2367999999999</v>
      </c>
      <c r="F27" s="3">
        <f t="shared" si="17"/>
        <v>0</v>
      </c>
      <c r="G27" s="18">
        <f t="shared" si="0"/>
        <v>1730.2367999999999</v>
      </c>
      <c r="H27" s="5">
        <f t="shared" si="1"/>
        <v>62496.153215999992</v>
      </c>
      <c r="I27" s="5">
        <f t="shared" si="2"/>
        <v>62530.757952</v>
      </c>
    </row>
    <row r="28" spans="1:9" x14ac:dyDescent="0.25">
      <c r="A28" t="s">
        <v>11</v>
      </c>
      <c r="B28" s="1">
        <v>54.42</v>
      </c>
      <c r="C28" s="1">
        <v>54.43</v>
      </c>
      <c r="D28" t="s">
        <v>16</v>
      </c>
      <c r="E28" s="3">
        <f t="shared" ref="E28:F28" si="18">E18</f>
        <v>1148.8611000000001</v>
      </c>
      <c r="F28" s="3">
        <f t="shared" si="18"/>
        <v>0</v>
      </c>
      <c r="G28" s="18">
        <f t="shared" si="0"/>
        <v>1148.8611000000001</v>
      </c>
      <c r="H28" s="5">
        <f t="shared" si="1"/>
        <v>62521.021062000007</v>
      </c>
      <c r="I28" s="5">
        <f t="shared" si="2"/>
        <v>62532.509673</v>
      </c>
    </row>
    <row r="29" spans="1:9" x14ac:dyDescent="0.25">
      <c r="A29" t="s">
        <v>12</v>
      </c>
      <c r="B29" s="1">
        <v>48.5</v>
      </c>
      <c r="C29" s="1">
        <v>48.51</v>
      </c>
      <c r="D29" t="s">
        <v>16</v>
      </c>
      <c r="E29" s="3">
        <f t="shared" ref="E29:F29" si="19">E19</f>
        <v>1289.1144999999999</v>
      </c>
      <c r="F29" s="3">
        <f t="shared" si="19"/>
        <v>0.05</v>
      </c>
      <c r="G29" s="18">
        <f t="shared" si="0"/>
        <v>1289.1644999999999</v>
      </c>
      <c r="H29" s="5">
        <f t="shared" si="1"/>
        <v>62524.478249999993</v>
      </c>
      <c r="I29" s="5">
        <f t="shared" si="2"/>
        <v>62537.369894999989</v>
      </c>
    </row>
    <row r="30" spans="1:9" x14ac:dyDescent="0.25">
      <c r="A30" t="s">
        <v>13</v>
      </c>
      <c r="B30" s="1">
        <v>17.68</v>
      </c>
      <c r="C30" s="1">
        <v>17.690000000000001</v>
      </c>
      <c r="D30" t="s">
        <v>16</v>
      </c>
      <c r="E30" s="3">
        <f t="shared" ref="E30:F30" si="20">E20</f>
        <v>3535.8029000000001</v>
      </c>
      <c r="F30" s="3">
        <f t="shared" si="20"/>
        <v>0</v>
      </c>
      <c r="G30" s="18">
        <f t="shared" si="0"/>
        <v>3535.8029000000001</v>
      </c>
      <c r="H30" s="5">
        <f t="shared" si="1"/>
        <v>62512.995272</v>
      </c>
      <c r="I30" s="5">
        <f t="shared" si="2"/>
        <v>62548.35330100001</v>
      </c>
    </row>
    <row r="31" spans="1:9" x14ac:dyDescent="0.25">
      <c r="A31" t="s">
        <v>14</v>
      </c>
      <c r="B31" s="1">
        <v>35.409999999999997</v>
      </c>
      <c r="C31" s="1">
        <v>35.42</v>
      </c>
      <c r="D31" t="s">
        <v>16</v>
      </c>
      <c r="E31" s="3">
        <f t="shared" ref="E31:F31" si="21">E21</f>
        <v>1765.0714</v>
      </c>
      <c r="F31" s="3">
        <f t="shared" si="21"/>
        <v>0</v>
      </c>
      <c r="G31" s="18">
        <f t="shared" si="0"/>
        <v>1765.0714</v>
      </c>
      <c r="H31" s="5">
        <f t="shared" si="1"/>
        <v>62501.178273999998</v>
      </c>
      <c r="I31" s="5">
        <f t="shared" si="2"/>
        <v>62518.828988000001</v>
      </c>
    </row>
    <row r="32" spans="1:9" x14ac:dyDescent="0.25">
      <c r="A32" t="s">
        <v>4</v>
      </c>
      <c r="B32" s="1">
        <v>20.78</v>
      </c>
      <c r="C32" s="1">
        <v>20.78</v>
      </c>
      <c r="D32" t="s">
        <v>17</v>
      </c>
      <c r="E32" s="3">
        <f t="shared" ref="E32:F32" si="22">E22</f>
        <v>3014.9661000000001</v>
      </c>
      <c r="F32" s="3">
        <f t="shared" si="22"/>
        <v>0</v>
      </c>
      <c r="G32" s="18">
        <f t="shared" si="0"/>
        <v>3014.9661000000001</v>
      </c>
      <c r="H32" s="5">
        <f t="shared" si="1"/>
        <v>62650.995558000002</v>
      </c>
      <c r="I32" s="5">
        <f t="shared" si="2"/>
        <v>62650.995558000002</v>
      </c>
    </row>
    <row r="33" spans="1:9" x14ac:dyDescent="0.25">
      <c r="A33" t="s">
        <v>6</v>
      </c>
      <c r="B33" s="1">
        <v>34.01</v>
      </c>
      <c r="C33" s="1">
        <v>34.020000000000003</v>
      </c>
      <c r="D33" t="s">
        <v>17</v>
      </c>
      <c r="E33" s="3">
        <f t="shared" ref="E33:F33" si="23">E23</f>
        <v>1842.1306</v>
      </c>
      <c r="F33" s="3">
        <f t="shared" si="23"/>
        <v>0</v>
      </c>
      <c r="G33" s="18">
        <f t="shared" si="0"/>
        <v>1842.1306</v>
      </c>
      <c r="H33" s="5">
        <f t="shared" si="1"/>
        <v>62650.861705999996</v>
      </c>
      <c r="I33" s="5">
        <f t="shared" si="2"/>
        <v>62669.283012000007</v>
      </c>
    </row>
    <row r="34" spans="1:9" x14ac:dyDescent="0.25">
      <c r="A34" t="s">
        <v>7</v>
      </c>
      <c r="B34" s="1">
        <v>17.66</v>
      </c>
      <c r="C34" s="1">
        <v>17.670000000000002</v>
      </c>
      <c r="D34" t="s">
        <v>17</v>
      </c>
      <c r="E34" s="3">
        <f t="shared" ref="E34:F34" si="24">E24</f>
        <v>3546.6107999999999</v>
      </c>
      <c r="F34" s="3">
        <f t="shared" si="24"/>
        <v>0</v>
      </c>
      <c r="G34" s="18">
        <f t="shared" si="0"/>
        <v>3546.6107999999999</v>
      </c>
      <c r="H34" s="5">
        <f t="shared" si="1"/>
        <v>62633.146728</v>
      </c>
      <c r="I34" s="5">
        <f t="shared" si="2"/>
        <v>62668.612836000008</v>
      </c>
    </row>
    <row r="35" spans="1:9" x14ac:dyDescent="0.25">
      <c r="A35" t="s">
        <v>8</v>
      </c>
      <c r="B35" s="1">
        <v>27.7</v>
      </c>
      <c r="C35" s="1">
        <v>27.71</v>
      </c>
      <c r="D35" t="s">
        <v>17</v>
      </c>
      <c r="E35" s="3">
        <f t="shared" ref="E35:F35" si="25">E25</f>
        <v>2261.3508999999999</v>
      </c>
      <c r="F35" s="3">
        <f t="shared" si="25"/>
        <v>-0.1</v>
      </c>
      <c r="G35" s="18">
        <f t="shared" si="0"/>
        <v>2261.2509</v>
      </c>
      <c r="H35" s="5">
        <f t="shared" si="1"/>
        <v>62636.64993</v>
      </c>
      <c r="I35" s="5">
        <f t="shared" si="2"/>
        <v>62659.262439000006</v>
      </c>
    </row>
    <row r="36" spans="1:9" x14ac:dyDescent="0.25">
      <c r="A36" t="s">
        <v>9</v>
      </c>
      <c r="B36" s="1">
        <v>66.150000000000006</v>
      </c>
      <c r="C36" s="1">
        <v>66.260000000000005</v>
      </c>
      <c r="D36" t="s">
        <v>17</v>
      </c>
      <c r="E36" s="3">
        <f t="shared" ref="E36:F36" si="26">E26</f>
        <v>946.14290000000005</v>
      </c>
      <c r="F36" s="3">
        <f t="shared" si="26"/>
        <v>0</v>
      </c>
      <c r="G36" s="18">
        <f t="shared" si="0"/>
        <v>946.14290000000005</v>
      </c>
      <c r="H36" s="5">
        <f t="shared" si="1"/>
        <v>62587.352835000012</v>
      </c>
      <c r="I36" s="5">
        <f t="shared" si="2"/>
        <v>62691.428554000006</v>
      </c>
    </row>
    <row r="37" spans="1:9" x14ac:dyDescent="0.25">
      <c r="A37" t="s">
        <v>10</v>
      </c>
      <c r="B37" s="1">
        <v>36.19</v>
      </c>
      <c r="C37" s="1">
        <v>36.21</v>
      </c>
      <c r="D37" t="s">
        <v>17</v>
      </c>
      <c r="E37" s="3">
        <f t="shared" ref="E37:F37" si="27">E27</f>
        <v>1730.2367999999999</v>
      </c>
      <c r="F37" s="3">
        <f t="shared" si="27"/>
        <v>0</v>
      </c>
      <c r="G37" s="18">
        <f t="shared" si="0"/>
        <v>1730.2367999999999</v>
      </c>
      <c r="H37" s="5">
        <f t="shared" si="1"/>
        <v>62617.269791999992</v>
      </c>
      <c r="I37" s="5">
        <f t="shared" si="2"/>
        <v>62651.874528</v>
      </c>
    </row>
    <row r="38" spans="1:9" x14ac:dyDescent="0.25">
      <c r="A38" t="s">
        <v>11</v>
      </c>
      <c r="B38" s="1">
        <v>54.52</v>
      </c>
      <c r="C38" s="1">
        <v>54.53</v>
      </c>
      <c r="D38" t="s">
        <v>17</v>
      </c>
      <c r="E38" s="3">
        <f t="shared" ref="E38:F38" si="28">E28</f>
        <v>1148.8611000000001</v>
      </c>
      <c r="F38" s="3">
        <f t="shared" si="28"/>
        <v>0</v>
      </c>
      <c r="G38" s="18">
        <f t="shared" si="0"/>
        <v>1148.8611000000001</v>
      </c>
      <c r="H38" s="5">
        <f t="shared" si="1"/>
        <v>62635.907172000007</v>
      </c>
      <c r="I38" s="5">
        <f t="shared" si="2"/>
        <v>62647.395783000007</v>
      </c>
    </row>
    <row r="39" spans="1:9" x14ac:dyDescent="0.25">
      <c r="A39" t="s">
        <v>12</v>
      </c>
      <c r="B39" s="1">
        <v>48.61</v>
      </c>
      <c r="C39" s="1">
        <v>48.62</v>
      </c>
      <c r="D39" t="s">
        <v>17</v>
      </c>
      <c r="E39" s="3">
        <f t="shared" ref="E39:F39" si="29">E29</f>
        <v>1289.1144999999999</v>
      </c>
      <c r="F39" s="3">
        <f t="shared" si="29"/>
        <v>0.05</v>
      </c>
      <c r="G39" s="18">
        <f t="shared" si="0"/>
        <v>1289.1644999999999</v>
      </c>
      <c r="H39" s="5">
        <f t="shared" si="1"/>
        <v>62666.286344999993</v>
      </c>
      <c r="I39" s="5">
        <f t="shared" si="2"/>
        <v>62679.177989999989</v>
      </c>
    </row>
    <row r="40" spans="1:9" x14ac:dyDescent="0.25">
      <c r="A40" t="s">
        <v>13</v>
      </c>
      <c r="B40" s="1">
        <v>17.71</v>
      </c>
      <c r="C40" s="1">
        <v>17.72</v>
      </c>
      <c r="D40" t="s">
        <v>17</v>
      </c>
      <c r="E40" s="3">
        <f t="shared" ref="E40:F40" si="30">E30</f>
        <v>3535.8029000000001</v>
      </c>
      <c r="F40" s="3">
        <f t="shared" si="30"/>
        <v>0</v>
      </c>
      <c r="G40" s="18">
        <f t="shared" si="0"/>
        <v>3535.8029000000001</v>
      </c>
      <c r="H40" s="5">
        <f t="shared" si="1"/>
        <v>62619.069359000008</v>
      </c>
      <c r="I40" s="5">
        <f t="shared" si="2"/>
        <v>62654.427387999996</v>
      </c>
    </row>
    <row r="41" spans="1:9" x14ac:dyDescent="0.25">
      <c r="A41" t="s">
        <v>14</v>
      </c>
      <c r="B41" s="1">
        <v>35.479999999999997</v>
      </c>
      <c r="C41" s="1">
        <v>35.49</v>
      </c>
      <c r="D41" t="s">
        <v>17</v>
      </c>
      <c r="E41" s="3">
        <f t="shared" ref="E41:F41" si="31">E31</f>
        <v>1765.0714</v>
      </c>
      <c r="F41" s="3">
        <f t="shared" si="31"/>
        <v>0</v>
      </c>
      <c r="G41" s="18">
        <f t="shared" si="0"/>
        <v>1765.0714</v>
      </c>
      <c r="H41" s="5">
        <f t="shared" si="1"/>
        <v>62624.733271999998</v>
      </c>
      <c r="I41" s="5">
        <f t="shared" si="2"/>
        <v>62642.383986000008</v>
      </c>
    </row>
    <row r="42" spans="1:9" x14ac:dyDescent="0.25">
      <c r="A42" t="s">
        <v>4</v>
      </c>
      <c r="B42" s="1">
        <v>20.72</v>
      </c>
      <c r="C42" s="1">
        <v>20.73</v>
      </c>
      <c r="D42" t="s">
        <v>18</v>
      </c>
      <c r="E42" s="3">
        <f t="shared" ref="E42:F42" si="32">E32</f>
        <v>3014.9661000000001</v>
      </c>
      <c r="F42" s="3">
        <f t="shared" si="32"/>
        <v>0</v>
      </c>
      <c r="G42" s="18">
        <f t="shared" si="0"/>
        <v>3014.9661000000001</v>
      </c>
      <c r="H42" s="5">
        <f t="shared" si="1"/>
        <v>62470.097591999998</v>
      </c>
      <c r="I42" s="5">
        <f t="shared" si="2"/>
        <v>62500.247253000001</v>
      </c>
    </row>
    <row r="43" spans="1:9" x14ac:dyDescent="0.25">
      <c r="A43" t="s">
        <v>6</v>
      </c>
      <c r="B43" s="1">
        <v>33.909999999999997</v>
      </c>
      <c r="C43" s="1">
        <v>33.92</v>
      </c>
      <c r="D43" t="s">
        <v>18</v>
      </c>
      <c r="E43" s="3">
        <f t="shared" ref="E43:F43" si="33">E33</f>
        <v>1842.1306</v>
      </c>
      <c r="F43" s="3">
        <f t="shared" si="33"/>
        <v>0</v>
      </c>
      <c r="G43" s="18">
        <f t="shared" si="0"/>
        <v>1842.1306</v>
      </c>
      <c r="H43" s="5">
        <f t="shared" si="1"/>
        <v>62466.648645999994</v>
      </c>
      <c r="I43" s="5">
        <f t="shared" si="2"/>
        <v>62485.069952000005</v>
      </c>
    </row>
    <row r="44" spans="1:9" x14ac:dyDescent="0.25">
      <c r="A44" t="s">
        <v>7</v>
      </c>
      <c r="B44" s="1">
        <v>17.61</v>
      </c>
      <c r="C44" s="1">
        <v>17.62</v>
      </c>
      <c r="D44" t="s">
        <v>18</v>
      </c>
      <c r="E44" s="3">
        <f t="shared" ref="E44:F44" si="34">E34</f>
        <v>3546.6107999999999</v>
      </c>
      <c r="F44" s="3">
        <f t="shared" si="34"/>
        <v>0</v>
      </c>
      <c r="G44" s="18">
        <f t="shared" si="0"/>
        <v>3546.6107999999999</v>
      </c>
      <c r="H44" s="5">
        <f t="shared" si="1"/>
        <v>62455.816187999997</v>
      </c>
      <c r="I44" s="5">
        <f t="shared" si="2"/>
        <v>62491.282296000005</v>
      </c>
    </row>
    <row r="45" spans="1:9" x14ac:dyDescent="0.25">
      <c r="A45" t="s">
        <v>8</v>
      </c>
      <c r="B45" s="1">
        <v>27.62</v>
      </c>
      <c r="C45" s="1">
        <v>27.63</v>
      </c>
      <c r="D45" t="s">
        <v>18</v>
      </c>
      <c r="E45" s="3">
        <f t="shared" ref="E45:F45" si="35">E35</f>
        <v>2261.3508999999999</v>
      </c>
      <c r="F45" s="3">
        <f t="shared" si="35"/>
        <v>-0.1</v>
      </c>
      <c r="G45" s="18">
        <f t="shared" si="0"/>
        <v>2261.2509</v>
      </c>
      <c r="H45" s="5">
        <f t="shared" si="1"/>
        <v>62455.749858000003</v>
      </c>
      <c r="I45" s="5">
        <f t="shared" si="2"/>
        <v>62478.362366999994</v>
      </c>
    </row>
    <row r="46" spans="1:9" x14ac:dyDescent="0.25">
      <c r="A46" t="s">
        <v>9</v>
      </c>
      <c r="B46" s="1">
        <v>65.97</v>
      </c>
      <c r="C46" s="1">
        <v>66.08</v>
      </c>
      <c r="D46" t="s">
        <v>18</v>
      </c>
      <c r="E46" s="3">
        <f t="shared" ref="E46:F46" si="36">E36</f>
        <v>946.14290000000005</v>
      </c>
      <c r="F46" s="3">
        <f t="shared" si="36"/>
        <v>0</v>
      </c>
      <c r="G46" s="18">
        <f t="shared" si="0"/>
        <v>946.14290000000005</v>
      </c>
      <c r="H46" s="5">
        <f t="shared" si="1"/>
        <v>62417.047113000001</v>
      </c>
      <c r="I46" s="5">
        <f t="shared" si="2"/>
        <v>62521.122832000001</v>
      </c>
    </row>
    <row r="47" spans="1:9" x14ac:dyDescent="0.25">
      <c r="A47" t="s">
        <v>10</v>
      </c>
      <c r="B47" s="1">
        <v>36.08</v>
      </c>
      <c r="C47" s="1">
        <v>36.11</v>
      </c>
      <c r="D47" t="s">
        <v>18</v>
      </c>
      <c r="E47" s="3">
        <f t="shared" ref="E47:F47" si="37">E37</f>
        <v>1730.2367999999999</v>
      </c>
      <c r="F47" s="3">
        <f t="shared" si="37"/>
        <v>0</v>
      </c>
      <c r="G47" s="18">
        <f t="shared" si="0"/>
        <v>1730.2367999999999</v>
      </c>
      <c r="H47" s="5">
        <f t="shared" si="1"/>
        <v>62426.943743999997</v>
      </c>
      <c r="I47" s="5">
        <f t="shared" si="2"/>
        <v>62478.850847999995</v>
      </c>
    </row>
    <row r="48" spans="1:9" x14ac:dyDescent="0.25">
      <c r="A48" t="s">
        <v>11</v>
      </c>
      <c r="B48" s="1">
        <v>54.36</v>
      </c>
      <c r="C48" s="1">
        <v>54.37</v>
      </c>
      <c r="D48" t="s">
        <v>18</v>
      </c>
      <c r="E48" s="3">
        <f t="shared" ref="E48:F48" si="38">E38</f>
        <v>1148.8611000000001</v>
      </c>
      <c r="F48" s="3">
        <f t="shared" si="38"/>
        <v>0</v>
      </c>
      <c r="G48" s="18">
        <f t="shared" si="0"/>
        <v>1148.8611000000001</v>
      </c>
      <c r="H48" s="5">
        <f t="shared" si="1"/>
        <v>62452.089396000003</v>
      </c>
      <c r="I48" s="5">
        <f t="shared" si="2"/>
        <v>62463.578007000004</v>
      </c>
    </row>
    <row r="49" spans="1:9" x14ac:dyDescent="0.25">
      <c r="A49" t="s">
        <v>12</v>
      </c>
      <c r="B49" s="1">
        <v>48.46</v>
      </c>
      <c r="C49" s="1">
        <v>48.47</v>
      </c>
      <c r="D49" t="s">
        <v>18</v>
      </c>
      <c r="E49" s="3">
        <f t="shared" ref="E49:F49" si="39">E39</f>
        <v>1289.1144999999999</v>
      </c>
      <c r="F49" s="3">
        <f t="shared" si="39"/>
        <v>0.05</v>
      </c>
      <c r="G49" s="18">
        <f t="shared" si="0"/>
        <v>1289.1644999999999</v>
      </c>
      <c r="H49" s="5">
        <f t="shared" si="1"/>
        <v>62472.911669999994</v>
      </c>
      <c r="I49" s="5">
        <f t="shared" si="2"/>
        <v>62485.80331499999</v>
      </c>
    </row>
    <row r="50" spans="1:9" x14ac:dyDescent="0.25">
      <c r="A50" t="s">
        <v>13</v>
      </c>
      <c r="B50" s="1">
        <v>17.66</v>
      </c>
      <c r="C50" s="1">
        <v>17.670000000000002</v>
      </c>
      <c r="D50" t="s">
        <v>18</v>
      </c>
      <c r="E50" s="3">
        <f t="shared" ref="E50:F50" si="40">E40</f>
        <v>3535.8029000000001</v>
      </c>
      <c r="F50" s="3">
        <f t="shared" si="40"/>
        <v>0</v>
      </c>
      <c r="G50" s="18">
        <f t="shared" si="0"/>
        <v>3535.8029000000001</v>
      </c>
      <c r="H50" s="5">
        <f t="shared" si="1"/>
        <v>62442.279214000002</v>
      </c>
      <c r="I50" s="5">
        <f t="shared" si="2"/>
        <v>62477.637243000012</v>
      </c>
    </row>
    <row r="51" spans="1:9" x14ac:dyDescent="0.25">
      <c r="A51" t="s">
        <v>14</v>
      </c>
      <c r="B51" s="1">
        <v>35.380000000000003</v>
      </c>
      <c r="C51" s="1">
        <v>35.39</v>
      </c>
      <c r="D51" t="s">
        <v>18</v>
      </c>
      <c r="E51" s="3">
        <f t="shared" ref="E51:F51" si="41">E41</f>
        <v>1765.0714</v>
      </c>
      <c r="F51" s="3">
        <f t="shared" si="41"/>
        <v>0</v>
      </c>
      <c r="G51" s="18">
        <f t="shared" si="0"/>
        <v>1765.0714</v>
      </c>
      <c r="H51" s="5">
        <f t="shared" si="1"/>
        <v>62448.226132000003</v>
      </c>
      <c r="I51" s="5">
        <f t="shared" si="2"/>
        <v>62465.876845999999</v>
      </c>
    </row>
    <row r="52" spans="1:9" x14ac:dyDescent="0.25">
      <c r="A52" t="s">
        <v>4</v>
      </c>
      <c r="B52" s="1">
        <v>20.67</v>
      </c>
      <c r="C52" s="1">
        <v>20.68</v>
      </c>
      <c r="D52" t="s">
        <v>19</v>
      </c>
      <c r="E52" s="3">
        <f t="shared" ref="E52:F52" si="42">E42</f>
        <v>3014.9661000000001</v>
      </c>
      <c r="F52" s="3">
        <f t="shared" si="42"/>
        <v>0</v>
      </c>
      <c r="G52" s="18">
        <f t="shared" si="0"/>
        <v>3014.9661000000001</v>
      </c>
      <c r="H52" s="5">
        <f t="shared" si="1"/>
        <v>62319.349287000005</v>
      </c>
      <c r="I52" s="5">
        <f t="shared" si="2"/>
        <v>62349.498948</v>
      </c>
    </row>
    <row r="53" spans="1:9" x14ac:dyDescent="0.25">
      <c r="A53" t="s">
        <v>6</v>
      </c>
      <c r="B53" s="1">
        <v>33.840000000000003</v>
      </c>
      <c r="C53" s="1">
        <v>33.840000000000003</v>
      </c>
      <c r="D53" t="s">
        <v>19</v>
      </c>
      <c r="E53" s="3">
        <f t="shared" ref="E53:F53" si="43">E43</f>
        <v>1842.1306</v>
      </c>
      <c r="F53" s="3">
        <f t="shared" si="43"/>
        <v>0</v>
      </c>
      <c r="G53" s="18">
        <f t="shared" si="0"/>
        <v>1842.1306</v>
      </c>
      <c r="H53" s="5">
        <f t="shared" si="1"/>
        <v>62337.699504000004</v>
      </c>
      <c r="I53" s="5">
        <f t="shared" si="2"/>
        <v>62337.699504000004</v>
      </c>
    </row>
    <row r="54" spans="1:9" x14ac:dyDescent="0.25">
      <c r="A54" t="s">
        <v>7</v>
      </c>
      <c r="B54" s="1">
        <v>17.57</v>
      </c>
      <c r="C54" s="1">
        <v>17.579999999999998</v>
      </c>
      <c r="D54" t="s">
        <v>19</v>
      </c>
      <c r="E54" s="3">
        <f t="shared" ref="E54:F54" si="44">E44</f>
        <v>3546.6107999999999</v>
      </c>
      <c r="F54" s="3">
        <f t="shared" si="44"/>
        <v>0</v>
      </c>
      <c r="G54" s="18">
        <f t="shared" si="0"/>
        <v>3546.6107999999999</v>
      </c>
      <c r="H54" s="5">
        <f t="shared" si="1"/>
        <v>62313.951756000002</v>
      </c>
      <c r="I54" s="5">
        <f t="shared" si="2"/>
        <v>62349.417863999995</v>
      </c>
    </row>
    <row r="55" spans="1:9" x14ac:dyDescent="0.25">
      <c r="A55" t="s">
        <v>8</v>
      </c>
      <c r="B55" s="1">
        <v>27.56</v>
      </c>
      <c r="C55" s="1">
        <v>27.57</v>
      </c>
      <c r="D55" t="s">
        <v>19</v>
      </c>
      <c r="E55" s="3">
        <f t="shared" ref="E55:F55" si="45">E45</f>
        <v>2261.3508999999999</v>
      </c>
      <c r="F55" s="3">
        <f t="shared" si="45"/>
        <v>-0.1</v>
      </c>
      <c r="G55" s="18">
        <f t="shared" si="0"/>
        <v>2261.2509</v>
      </c>
      <c r="H55" s="5">
        <f t="shared" si="1"/>
        <v>62320.074803999996</v>
      </c>
      <c r="I55" s="5">
        <f t="shared" si="2"/>
        <v>62342.687313000002</v>
      </c>
    </row>
    <row r="56" spans="1:9" x14ac:dyDescent="0.25">
      <c r="A56" t="s">
        <v>9</v>
      </c>
      <c r="B56" s="1">
        <v>65.77</v>
      </c>
      <c r="C56" s="1">
        <v>65.88</v>
      </c>
      <c r="D56" t="s">
        <v>19</v>
      </c>
      <c r="E56" s="3">
        <f t="shared" ref="E56:F56" si="46">E46</f>
        <v>946.14290000000005</v>
      </c>
      <c r="F56" s="3">
        <f t="shared" si="46"/>
        <v>0</v>
      </c>
      <c r="G56" s="18">
        <f t="shared" si="0"/>
        <v>946.14290000000005</v>
      </c>
      <c r="H56" s="5">
        <f t="shared" si="1"/>
        <v>62227.818532999998</v>
      </c>
      <c r="I56" s="5">
        <f t="shared" si="2"/>
        <v>62331.894251999998</v>
      </c>
    </row>
    <row r="57" spans="1:9" x14ac:dyDescent="0.25">
      <c r="A57" t="s">
        <v>10</v>
      </c>
      <c r="B57" s="1">
        <v>36</v>
      </c>
      <c r="C57" s="1">
        <v>36.03</v>
      </c>
      <c r="D57" t="s">
        <v>19</v>
      </c>
      <c r="E57" s="3">
        <f t="shared" ref="E57:F57" si="47">E47</f>
        <v>1730.2367999999999</v>
      </c>
      <c r="F57" s="3">
        <f t="shared" si="47"/>
        <v>0</v>
      </c>
      <c r="G57" s="18">
        <f t="shared" si="0"/>
        <v>1730.2367999999999</v>
      </c>
      <c r="H57" s="5">
        <f t="shared" si="1"/>
        <v>62288.524799999999</v>
      </c>
      <c r="I57" s="5">
        <f t="shared" si="2"/>
        <v>62340.431903999997</v>
      </c>
    </row>
    <row r="58" spans="1:9" x14ac:dyDescent="0.25">
      <c r="A58" t="s">
        <v>11</v>
      </c>
      <c r="B58" s="1">
        <v>54.24</v>
      </c>
      <c r="C58" s="1">
        <v>54.25</v>
      </c>
      <c r="D58" t="s">
        <v>19</v>
      </c>
      <c r="E58" s="3">
        <f t="shared" ref="E58:F58" si="48">E48</f>
        <v>1148.8611000000001</v>
      </c>
      <c r="F58" s="3">
        <f t="shared" si="48"/>
        <v>0</v>
      </c>
      <c r="G58" s="18">
        <f t="shared" si="0"/>
        <v>1148.8611000000001</v>
      </c>
      <c r="H58" s="5">
        <f t="shared" si="1"/>
        <v>62314.22606400001</v>
      </c>
      <c r="I58" s="5">
        <f t="shared" si="2"/>
        <v>62325.714675000003</v>
      </c>
    </row>
    <row r="59" spans="1:9" x14ac:dyDescent="0.25">
      <c r="A59" t="s">
        <v>12</v>
      </c>
      <c r="B59" s="1">
        <v>48.35</v>
      </c>
      <c r="C59" s="1">
        <v>48.36</v>
      </c>
      <c r="D59" t="s">
        <v>19</v>
      </c>
      <c r="E59" s="3">
        <f t="shared" ref="E59:F59" si="49">E49</f>
        <v>1289.1144999999999</v>
      </c>
      <c r="F59" s="3">
        <f t="shared" si="49"/>
        <v>0.05</v>
      </c>
      <c r="G59" s="18">
        <f t="shared" si="0"/>
        <v>1289.1644999999999</v>
      </c>
      <c r="H59" s="5">
        <f t="shared" si="1"/>
        <v>62331.103574999994</v>
      </c>
      <c r="I59" s="5">
        <f t="shared" si="2"/>
        <v>62343.99521999999</v>
      </c>
    </row>
    <row r="60" spans="1:9" x14ac:dyDescent="0.25">
      <c r="A60" t="s">
        <v>13</v>
      </c>
      <c r="B60" s="1">
        <v>17.62</v>
      </c>
      <c r="C60" s="1">
        <v>17.63</v>
      </c>
      <c r="D60" t="s">
        <v>19</v>
      </c>
      <c r="E60" s="3">
        <f t="shared" ref="E60:F60" si="50">E50</f>
        <v>3535.8029000000001</v>
      </c>
      <c r="F60" s="3">
        <f t="shared" si="50"/>
        <v>0</v>
      </c>
      <c r="G60" s="18">
        <f t="shared" si="0"/>
        <v>3535.8029000000001</v>
      </c>
      <c r="H60" s="5">
        <f t="shared" si="1"/>
        <v>62300.847098000006</v>
      </c>
      <c r="I60" s="5">
        <f t="shared" si="2"/>
        <v>62336.205127000001</v>
      </c>
    </row>
    <row r="61" spans="1:9" x14ac:dyDescent="0.25">
      <c r="A61" t="s">
        <v>14</v>
      </c>
      <c r="B61" s="1">
        <v>35.299999999999997</v>
      </c>
      <c r="C61" s="1">
        <v>35.31</v>
      </c>
      <c r="D61" t="s">
        <v>19</v>
      </c>
      <c r="E61" s="3">
        <f t="shared" ref="E61:F61" si="51">E51</f>
        <v>1765.0714</v>
      </c>
      <c r="F61" s="3">
        <f t="shared" si="51"/>
        <v>0</v>
      </c>
      <c r="G61" s="18">
        <f t="shared" si="0"/>
        <v>1765.0714</v>
      </c>
      <c r="H61" s="5">
        <f t="shared" si="1"/>
        <v>62307.020419999993</v>
      </c>
      <c r="I61" s="5">
        <f t="shared" si="2"/>
        <v>62324.671134000004</v>
      </c>
    </row>
    <row r="62" spans="1:9" x14ac:dyDescent="0.25">
      <c r="A62" t="s">
        <v>4</v>
      </c>
      <c r="B62" s="1">
        <v>20.62</v>
      </c>
      <c r="C62" s="1">
        <v>20.63</v>
      </c>
      <c r="D62" t="s">
        <v>20</v>
      </c>
      <c r="E62" s="3">
        <f t="shared" ref="E62:F62" si="52">E52</f>
        <v>3014.9661000000001</v>
      </c>
      <c r="F62" s="3">
        <f t="shared" si="52"/>
        <v>0</v>
      </c>
      <c r="G62" s="18">
        <f t="shared" si="0"/>
        <v>3014.9661000000001</v>
      </c>
      <c r="H62" s="5">
        <f t="shared" si="1"/>
        <v>62168.600982000004</v>
      </c>
      <c r="I62" s="5">
        <f t="shared" si="2"/>
        <v>62198.750642999999</v>
      </c>
    </row>
    <row r="63" spans="1:9" x14ac:dyDescent="0.25">
      <c r="A63" t="s">
        <v>6</v>
      </c>
      <c r="B63" s="1">
        <v>33.76</v>
      </c>
      <c r="C63" s="1">
        <v>33.770000000000003</v>
      </c>
      <c r="D63" t="s">
        <v>20</v>
      </c>
      <c r="E63" s="3">
        <f t="shared" ref="E63:F63" si="53">E53</f>
        <v>1842.1306</v>
      </c>
      <c r="F63" s="3">
        <f t="shared" si="53"/>
        <v>0</v>
      </c>
      <c r="G63" s="18">
        <f t="shared" si="0"/>
        <v>1842.1306</v>
      </c>
      <c r="H63" s="5">
        <f t="shared" si="1"/>
        <v>62190.329055999995</v>
      </c>
      <c r="I63" s="5">
        <f t="shared" si="2"/>
        <v>62208.750362000006</v>
      </c>
    </row>
    <row r="64" spans="1:9" x14ac:dyDescent="0.25">
      <c r="A64" t="s">
        <v>7</v>
      </c>
      <c r="B64" s="1">
        <v>17.53</v>
      </c>
      <c r="C64" s="1">
        <v>17.54</v>
      </c>
      <c r="D64" t="s">
        <v>20</v>
      </c>
      <c r="E64" s="3">
        <f t="shared" ref="E64:F64" si="54">E54</f>
        <v>3546.6107999999999</v>
      </c>
      <c r="F64" s="3">
        <f t="shared" si="54"/>
        <v>0</v>
      </c>
      <c r="G64" s="18">
        <f t="shared" si="0"/>
        <v>3546.6107999999999</v>
      </c>
      <c r="H64" s="5">
        <f t="shared" si="1"/>
        <v>62172.087324</v>
      </c>
      <c r="I64" s="5">
        <f t="shared" si="2"/>
        <v>62207.553431999993</v>
      </c>
    </row>
    <row r="65" spans="1:9" x14ac:dyDescent="0.25">
      <c r="A65" t="s">
        <v>8</v>
      </c>
      <c r="B65" s="1">
        <v>27.5</v>
      </c>
      <c r="C65" s="1">
        <v>27.51</v>
      </c>
      <c r="D65" t="s">
        <v>20</v>
      </c>
      <c r="E65" s="3">
        <f t="shared" ref="E65:F65" si="55">E55</f>
        <v>2261.3508999999999</v>
      </c>
      <c r="F65" s="3">
        <f t="shared" si="55"/>
        <v>-0.1</v>
      </c>
      <c r="G65" s="18">
        <f t="shared" si="0"/>
        <v>2261.2509</v>
      </c>
      <c r="H65" s="5">
        <f t="shared" si="1"/>
        <v>62184.399749999997</v>
      </c>
      <c r="I65" s="5">
        <f t="shared" si="2"/>
        <v>62207.012259000003</v>
      </c>
    </row>
    <row r="66" spans="1:9" x14ac:dyDescent="0.25">
      <c r="A66" t="s">
        <v>9</v>
      </c>
      <c r="B66" s="1">
        <v>65.69</v>
      </c>
      <c r="C66" s="1">
        <v>65.78</v>
      </c>
      <c r="D66" t="s">
        <v>20</v>
      </c>
      <c r="E66" s="3">
        <f t="shared" ref="E66:F66" si="56">E56</f>
        <v>946.14290000000005</v>
      </c>
      <c r="F66" s="3">
        <f t="shared" si="56"/>
        <v>0</v>
      </c>
      <c r="G66" s="18">
        <f t="shared" ref="G66:G129" si="57">E66+F66</f>
        <v>946.14290000000005</v>
      </c>
      <c r="H66" s="5">
        <f t="shared" ref="H66:H129" si="58">B66*G66</f>
        <v>62152.127100999998</v>
      </c>
      <c r="I66" s="5">
        <f t="shared" ref="I66:I129" si="59">C66*G66</f>
        <v>62237.279962000008</v>
      </c>
    </row>
    <row r="67" spans="1:9" x14ac:dyDescent="0.25">
      <c r="A67" t="s">
        <v>10</v>
      </c>
      <c r="B67" s="1">
        <v>35.92</v>
      </c>
      <c r="C67" s="1">
        <v>35.950000000000003</v>
      </c>
      <c r="D67" t="s">
        <v>20</v>
      </c>
      <c r="E67" s="3">
        <f t="shared" ref="E67:F67" si="60">E57</f>
        <v>1730.2367999999999</v>
      </c>
      <c r="F67" s="3">
        <f t="shared" si="60"/>
        <v>0</v>
      </c>
      <c r="G67" s="18">
        <f t="shared" si="57"/>
        <v>1730.2367999999999</v>
      </c>
      <c r="H67" s="5">
        <f t="shared" si="58"/>
        <v>62150.105856000002</v>
      </c>
      <c r="I67" s="5">
        <f t="shared" si="59"/>
        <v>62202.01296</v>
      </c>
    </row>
    <row r="68" spans="1:9" x14ac:dyDescent="0.25">
      <c r="A68" t="s">
        <v>11</v>
      </c>
      <c r="B68" s="1">
        <v>54.12</v>
      </c>
      <c r="C68" s="1">
        <v>54.13</v>
      </c>
      <c r="D68" t="s">
        <v>20</v>
      </c>
      <c r="E68" s="3">
        <f t="shared" ref="E68:F68" si="61">E58</f>
        <v>1148.8611000000001</v>
      </c>
      <c r="F68" s="3">
        <f t="shared" si="61"/>
        <v>0</v>
      </c>
      <c r="G68" s="18">
        <f t="shared" si="57"/>
        <v>1148.8611000000001</v>
      </c>
      <c r="H68" s="5">
        <f t="shared" si="58"/>
        <v>62176.362732000001</v>
      </c>
      <c r="I68" s="5">
        <f t="shared" si="59"/>
        <v>62187.851343000009</v>
      </c>
    </row>
    <row r="69" spans="1:9" x14ac:dyDescent="0.25">
      <c r="A69" t="s">
        <v>12</v>
      </c>
      <c r="B69" s="1">
        <v>48.24</v>
      </c>
      <c r="C69" s="1">
        <v>48.25</v>
      </c>
      <c r="D69" t="s">
        <v>20</v>
      </c>
      <c r="E69" s="3">
        <f t="shared" ref="E69:F69" si="62">E59</f>
        <v>1289.1144999999999</v>
      </c>
      <c r="F69" s="3">
        <f t="shared" si="62"/>
        <v>0.05</v>
      </c>
      <c r="G69" s="18">
        <f t="shared" si="57"/>
        <v>1289.1644999999999</v>
      </c>
      <c r="H69" s="5">
        <f t="shared" si="58"/>
        <v>62189.295479999993</v>
      </c>
      <c r="I69" s="5">
        <f t="shared" si="59"/>
        <v>62202.187124999997</v>
      </c>
    </row>
    <row r="70" spans="1:9" x14ac:dyDescent="0.25">
      <c r="A70" t="s">
        <v>13</v>
      </c>
      <c r="B70" s="1">
        <v>17.579999999999998</v>
      </c>
      <c r="C70" s="1">
        <v>17.59</v>
      </c>
      <c r="D70" t="s">
        <v>20</v>
      </c>
      <c r="E70" s="3">
        <f t="shared" ref="E70:F70" si="63">E60</f>
        <v>3535.8029000000001</v>
      </c>
      <c r="F70" s="3">
        <f t="shared" si="63"/>
        <v>0</v>
      </c>
      <c r="G70" s="18">
        <f t="shared" si="57"/>
        <v>3535.8029000000001</v>
      </c>
      <c r="H70" s="5">
        <f t="shared" si="58"/>
        <v>62159.414981999995</v>
      </c>
      <c r="I70" s="5">
        <f t="shared" si="59"/>
        <v>62194.773011000005</v>
      </c>
    </row>
    <row r="71" spans="1:9" x14ac:dyDescent="0.25">
      <c r="A71" t="s">
        <v>14</v>
      </c>
      <c r="B71" s="1">
        <v>35.22</v>
      </c>
      <c r="C71" s="1">
        <v>35.229999999999997</v>
      </c>
      <c r="D71" t="s">
        <v>20</v>
      </c>
      <c r="E71" s="3">
        <f t="shared" ref="E71:F71" si="64">E61</f>
        <v>1765.0714</v>
      </c>
      <c r="F71" s="3">
        <f t="shared" si="64"/>
        <v>0</v>
      </c>
      <c r="G71" s="18">
        <f t="shared" si="57"/>
        <v>1765.0714</v>
      </c>
      <c r="H71" s="5">
        <f t="shared" si="58"/>
        <v>62165.814707999998</v>
      </c>
      <c r="I71" s="5">
        <f t="shared" si="59"/>
        <v>62183.465421999994</v>
      </c>
    </row>
    <row r="72" spans="1:9" x14ac:dyDescent="0.25">
      <c r="A72" t="s">
        <v>4</v>
      </c>
      <c r="B72" s="1">
        <v>20.66</v>
      </c>
      <c r="C72" s="1">
        <v>20.67</v>
      </c>
      <c r="D72" t="s">
        <v>21</v>
      </c>
      <c r="E72" s="3">
        <f t="shared" ref="E72:F72" si="65">E62</f>
        <v>3014.9661000000001</v>
      </c>
      <c r="F72" s="3">
        <f t="shared" si="65"/>
        <v>0</v>
      </c>
      <c r="G72" s="18">
        <f t="shared" si="57"/>
        <v>3014.9661000000001</v>
      </c>
      <c r="H72" s="5">
        <f t="shared" si="58"/>
        <v>62289.199626000001</v>
      </c>
      <c r="I72" s="5">
        <f t="shared" si="59"/>
        <v>62319.349287000005</v>
      </c>
    </row>
    <row r="73" spans="1:9" x14ac:dyDescent="0.25">
      <c r="A73" t="s">
        <v>6</v>
      </c>
      <c r="B73" s="1">
        <v>33.82</v>
      </c>
      <c r="C73" s="1">
        <v>33.83</v>
      </c>
      <c r="D73" t="s">
        <v>21</v>
      </c>
      <c r="E73" s="3">
        <f t="shared" ref="E73:F73" si="66">E63</f>
        <v>1842.1306</v>
      </c>
      <c r="F73" s="3">
        <f t="shared" si="66"/>
        <v>0</v>
      </c>
      <c r="G73" s="18">
        <f t="shared" si="57"/>
        <v>1842.1306</v>
      </c>
      <c r="H73" s="5">
        <f t="shared" si="58"/>
        <v>62300.856891999996</v>
      </c>
      <c r="I73" s="5">
        <f t="shared" si="59"/>
        <v>62319.278197999993</v>
      </c>
    </row>
    <row r="74" spans="1:9" x14ac:dyDescent="0.25">
      <c r="A74" t="s">
        <v>7</v>
      </c>
      <c r="B74" s="1">
        <v>17.559999999999999</v>
      </c>
      <c r="C74" s="1">
        <v>17.57</v>
      </c>
      <c r="D74" t="s">
        <v>21</v>
      </c>
      <c r="E74" s="3">
        <f t="shared" ref="E74:F74" si="67">E64</f>
        <v>3546.6107999999999</v>
      </c>
      <c r="F74" s="3">
        <f t="shared" si="67"/>
        <v>0</v>
      </c>
      <c r="G74" s="18">
        <f t="shared" si="57"/>
        <v>3546.6107999999999</v>
      </c>
      <c r="H74" s="5">
        <f t="shared" si="58"/>
        <v>62278.485647999994</v>
      </c>
      <c r="I74" s="5">
        <f t="shared" si="59"/>
        <v>62313.951756000002</v>
      </c>
    </row>
    <row r="75" spans="1:9" x14ac:dyDescent="0.25">
      <c r="A75" t="s">
        <v>8</v>
      </c>
      <c r="B75" s="1">
        <v>27.55</v>
      </c>
      <c r="C75" s="1">
        <v>27.56</v>
      </c>
      <c r="D75" t="s">
        <v>21</v>
      </c>
      <c r="E75" s="3">
        <f t="shared" ref="E75:F75" si="68">E65</f>
        <v>2261.3508999999999</v>
      </c>
      <c r="F75" s="3">
        <f t="shared" si="68"/>
        <v>-0.1</v>
      </c>
      <c r="G75" s="18">
        <f t="shared" si="57"/>
        <v>2261.2509</v>
      </c>
      <c r="H75" s="5">
        <f t="shared" si="58"/>
        <v>62297.462295000005</v>
      </c>
      <c r="I75" s="5">
        <f t="shared" si="59"/>
        <v>62320.074803999996</v>
      </c>
    </row>
    <row r="76" spans="1:9" x14ac:dyDescent="0.25">
      <c r="A76" t="s">
        <v>9</v>
      </c>
      <c r="B76" s="1">
        <v>65.81</v>
      </c>
      <c r="C76" s="1">
        <v>65.91</v>
      </c>
      <c r="D76" t="s">
        <v>21</v>
      </c>
      <c r="E76" s="3">
        <f t="shared" ref="E76:F76" si="69">E66</f>
        <v>946.14290000000005</v>
      </c>
      <c r="F76" s="3">
        <f t="shared" si="69"/>
        <v>0</v>
      </c>
      <c r="G76" s="18">
        <f t="shared" si="57"/>
        <v>946.14290000000005</v>
      </c>
      <c r="H76" s="5">
        <f t="shared" si="58"/>
        <v>62265.664249000009</v>
      </c>
      <c r="I76" s="5">
        <f t="shared" si="59"/>
        <v>62360.278538999999</v>
      </c>
    </row>
    <row r="77" spans="1:9" x14ac:dyDescent="0.25">
      <c r="A77" t="s">
        <v>10</v>
      </c>
      <c r="B77" s="1">
        <v>35.99</v>
      </c>
      <c r="C77" s="1">
        <v>36.020000000000003</v>
      </c>
      <c r="D77" t="s">
        <v>21</v>
      </c>
      <c r="E77" s="3">
        <f t="shared" ref="E77:F77" si="70">E67</f>
        <v>1730.2367999999999</v>
      </c>
      <c r="F77" s="3">
        <f t="shared" si="70"/>
        <v>0</v>
      </c>
      <c r="G77" s="18">
        <f t="shared" si="57"/>
        <v>1730.2367999999999</v>
      </c>
      <c r="H77" s="5">
        <f t="shared" si="58"/>
        <v>62271.222432000002</v>
      </c>
      <c r="I77" s="5">
        <f t="shared" si="59"/>
        <v>62323.129536</v>
      </c>
    </row>
    <row r="78" spans="1:9" x14ac:dyDescent="0.25">
      <c r="A78" t="s">
        <v>11</v>
      </c>
      <c r="B78" s="1">
        <v>54.22</v>
      </c>
      <c r="C78" s="1">
        <v>54.23</v>
      </c>
      <c r="D78" t="s">
        <v>21</v>
      </c>
      <c r="E78" s="3">
        <f t="shared" ref="E78:F78" si="71">E68</f>
        <v>1148.8611000000001</v>
      </c>
      <c r="F78" s="3">
        <f t="shared" si="71"/>
        <v>0</v>
      </c>
      <c r="G78" s="18">
        <f t="shared" si="57"/>
        <v>1148.8611000000001</v>
      </c>
      <c r="H78" s="5">
        <f t="shared" si="58"/>
        <v>62291.248842000001</v>
      </c>
      <c r="I78" s="5">
        <f t="shared" si="59"/>
        <v>62302.737453000002</v>
      </c>
    </row>
    <row r="79" spans="1:9" x14ac:dyDescent="0.25">
      <c r="A79" t="s">
        <v>12</v>
      </c>
      <c r="B79" s="1">
        <v>48.33</v>
      </c>
      <c r="C79" s="1">
        <v>48.34</v>
      </c>
      <c r="D79" t="s">
        <v>21</v>
      </c>
      <c r="E79" s="3">
        <f t="shared" ref="E79:F79" si="72">E69</f>
        <v>1289.1144999999999</v>
      </c>
      <c r="F79" s="3">
        <f t="shared" si="72"/>
        <v>0.05</v>
      </c>
      <c r="G79" s="18">
        <f t="shared" si="57"/>
        <v>1289.1644999999999</v>
      </c>
      <c r="H79" s="5">
        <f t="shared" si="58"/>
        <v>62305.320284999994</v>
      </c>
      <c r="I79" s="5">
        <f t="shared" si="59"/>
        <v>62318.211929999998</v>
      </c>
    </row>
    <row r="80" spans="1:9" x14ac:dyDescent="0.25">
      <c r="A80" t="s">
        <v>13</v>
      </c>
      <c r="B80" s="1">
        <v>17.62</v>
      </c>
      <c r="C80" s="1">
        <v>17.63</v>
      </c>
      <c r="D80" t="s">
        <v>21</v>
      </c>
      <c r="E80" s="3">
        <f t="shared" ref="E80:F80" si="73">E70</f>
        <v>3535.8029000000001</v>
      </c>
      <c r="F80" s="3">
        <f t="shared" si="73"/>
        <v>0</v>
      </c>
      <c r="G80" s="18">
        <f t="shared" si="57"/>
        <v>3535.8029000000001</v>
      </c>
      <c r="H80" s="5">
        <f t="shared" si="58"/>
        <v>62300.847098000006</v>
      </c>
      <c r="I80" s="5">
        <f t="shared" si="59"/>
        <v>62336.205127000001</v>
      </c>
    </row>
    <row r="81" spans="1:9" x14ac:dyDescent="0.25">
      <c r="A81" t="s">
        <v>14</v>
      </c>
      <c r="B81" s="1">
        <v>35.28</v>
      </c>
      <c r="C81" s="1">
        <v>35.29</v>
      </c>
      <c r="D81" t="s">
        <v>21</v>
      </c>
      <c r="E81" s="3">
        <f t="shared" ref="E81:F81" si="74">E71</f>
        <v>1765.0714</v>
      </c>
      <c r="F81" s="3">
        <f t="shared" si="74"/>
        <v>0</v>
      </c>
      <c r="G81" s="18">
        <f t="shared" si="57"/>
        <v>1765.0714</v>
      </c>
      <c r="H81" s="5">
        <f t="shared" si="58"/>
        <v>62271.718992000002</v>
      </c>
      <c r="I81" s="5">
        <f t="shared" si="59"/>
        <v>62289.369705999998</v>
      </c>
    </row>
    <row r="82" spans="1:9" x14ac:dyDescent="0.25">
      <c r="A82" t="s">
        <v>4</v>
      </c>
      <c r="B82" s="1">
        <v>20.64</v>
      </c>
      <c r="C82" s="1">
        <v>20.65</v>
      </c>
      <c r="D82" t="s">
        <v>22</v>
      </c>
      <c r="E82" s="3">
        <f t="shared" ref="E82:F82" si="75">E72</f>
        <v>3014.9661000000001</v>
      </c>
      <c r="F82" s="3">
        <f t="shared" si="75"/>
        <v>0</v>
      </c>
      <c r="G82" s="18">
        <f t="shared" si="57"/>
        <v>3014.9661000000001</v>
      </c>
      <c r="H82" s="5">
        <f t="shared" si="58"/>
        <v>62228.900304000003</v>
      </c>
      <c r="I82" s="5">
        <f t="shared" si="59"/>
        <v>62259.049964999998</v>
      </c>
    </row>
    <row r="83" spans="1:9" x14ac:dyDescent="0.25">
      <c r="A83" t="s">
        <v>6</v>
      </c>
      <c r="B83" s="1">
        <v>33.79</v>
      </c>
      <c r="C83" s="1">
        <v>33.799999999999997</v>
      </c>
      <c r="D83" t="s">
        <v>22</v>
      </c>
      <c r="E83" s="3">
        <f t="shared" ref="E83:F83" si="76">E73</f>
        <v>1842.1306</v>
      </c>
      <c r="F83" s="3">
        <f t="shared" si="76"/>
        <v>0</v>
      </c>
      <c r="G83" s="18">
        <f t="shared" si="57"/>
        <v>1842.1306</v>
      </c>
      <c r="H83" s="5">
        <f t="shared" si="58"/>
        <v>62245.592973999999</v>
      </c>
      <c r="I83" s="5">
        <f t="shared" si="59"/>
        <v>62264.014279999996</v>
      </c>
    </row>
    <row r="84" spans="1:9" x14ac:dyDescent="0.25">
      <c r="A84" t="s">
        <v>7</v>
      </c>
      <c r="B84" s="1">
        <v>17.55</v>
      </c>
      <c r="C84" s="1">
        <v>17.55</v>
      </c>
      <c r="D84" t="s">
        <v>22</v>
      </c>
      <c r="E84" s="3">
        <f t="shared" ref="E84:F84" si="77">E74</f>
        <v>3546.6107999999999</v>
      </c>
      <c r="F84" s="3">
        <f t="shared" si="77"/>
        <v>0</v>
      </c>
      <c r="G84" s="18">
        <f t="shared" si="57"/>
        <v>3546.6107999999999</v>
      </c>
      <c r="H84" s="5">
        <f t="shared" si="58"/>
        <v>62243.019540000001</v>
      </c>
      <c r="I84" s="5">
        <f t="shared" si="59"/>
        <v>62243.019540000001</v>
      </c>
    </row>
    <row r="85" spans="1:9" x14ac:dyDescent="0.25">
      <c r="A85" t="s">
        <v>8</v>
      </c>
      <c r="B85" s="1">
        <v>27.52</v>
      </c>
      <c r="C85" s="1">
        <v>27.53</v>
      </c>
      <c r="D85" t="s">
        <v>22</v>
      </c>
      <c r="E85" s="3">
        <f t="shared" ref="E85:F85" si="78">E75</f>
        <v>2261.3508999999999</v>
      </c>
      <c r="F85" s="3">
        <f t="shared" si="78"/>
        <v>-0.1</v>
      </c>
      <c r="G85" s="18">
        <f t="shared" si="57"/>
        <v>2261.2509</v>
      </c>
      <c r="H85" s="5">
        <f t="shared" si="58"/>
        <v>62229.624768000001</v>
      </c>
      <c r="I85" s="5">
        <f t="shared" si="59"/>
        <v>62252.237277</v>
      </c>
    </row>
    <row r="86" spans="1:9" x14ac:dyDescent="0.25">
      <c r="A86" t="s">
        <v>9</v>
      </c>
      <c r="B86" s="1">
        <v>65.680000000000007</v>
      </c>
      <c r="C86" s="1">
        <v>65.81</v>
      </c>
      <c r="D86" t="s">
        <v>22</v>
      </c>
      <c r="E86" s="3">
        <f t="shared" ref="E86:F86" si="79">E76</f>
        <v>946.14290000000005</v>
      </c>
      <c r="F86" s="3">
        <f t="shared" si="79"/>
        <v>0</v>
      </c>
      <c r="G86" s="18">
        <f t="shared" si="57"/>
        <v>946.14290000000005</v>
      </c>
      <c r="H86" s="5">
        <f t="shared" si="58"/>
        <v>62142.66567200001</v>
      </c>
      <c r="I86" s="5">
        <f t="shared" si="59"/>
        <v>62265.664249000009</v>
      </c>
    </row>
    <row r="87" spans="1:9" x14ac:dyDescent="0.25">
      <c r="A87" t="s">
        <v>10</v>
      </c>
      <c r="B87" s="1">
        <v>35.950000000000003</v>
      </c>
      <c r="C87" s="1">
        <v>35.979999999999997</v>
      </c>
      <c r="D87" t="s">
        <v>22</v>
      </c>
      <c r="E87" s="3">
        <f t="shared" ref="E87:F87" si="80">E77</f>
        <v>1730.2367999999999</v>
      </c>
      <c r="F87" s="3">
        <f t="shared" si="80"/>
        <v>0</v>
      </c>
      <c r="G87" s="18">
        <f t="shared" si="57"/>
        <v>1730.2367999999999</v>
      </c>
      <c r="H87" s="5">
        <f t="shared" si="58"/>
        <v>62202.01296</v>
      </c>
      <c r="I87" s="5">
        <f t="shared" si="59"/>
        <v>62253.920063999991</v>
      </c>
    </row>
    <row r="88" spans="1:9" x14ac:dyDescent="0.25">
      <c r="A88" t="s">
        <v>11</v>
      </c>
      <c r="B88" s="1">
        <v>54.16</v>
      </c>
      <c r="C88" s="1">
        <v>54.17</v>
      </c>
      <c r="D88" t="s">
        <v>22</v>
      </c>
      <c r="E88" s="3">
        <f t="shared" ref="E88:F88" si="81">E78</f>
        <v>1148.8611000000001</v>
      </c>
      <c r="F88" s="3">
        <f t="shared" si="81"/>
        <v>0</v>
      </c>
      <c r="G88" s="18">
        <f t="shared" si="57"/>
        <v>1148.8611000000001</v>
      </c>
      <c r="H88" s="5">
        <f t="shared" si="58"/>
        <v>62222.317175999997</v>
      </c>
      <c r="I88" s="5">
        <f t="shared" si="59"/>
        <v>62233.805787000005</v>
      </c>
    </row>
    <row r="89" spans="1:9" x14ac:dyDescent="0.25">
      <c r="A89" t="s">
        <v>12</v>
      </c>
      <c r="B89" s="1">
        <v>48.28</v>
      </c>
      <c r="C89" s="1">
        <v>48.29</v>
      </c>
      <c r="D89" t="s">
        <v>22</v>
      </c>
      <c r="E89" s="3">
        <f t="shared" ref="E89:F89" si="82">E79</f>
        <v>1289.1144999999999</v>
      </c>
      <c r="F89" s="3">
        <f t="shared" si="82"/>
        <v>0.05</v>
      </c>
      <c r="G89" s="18">
        <f t="shared" si="57"/>
        <v>1289.1644999999999</v>
      </c>
      <c r="H89" s="5">
        <f t="shared" si="58"/>
        <v>62240.862059999992</v>
      </c>
      <c r="I89" s="5">
        <f t="shared" si="59"/>
        <v>62253.753704999996</v>
      </c>
    </row>
    <row r="90" spans="1:9" x14ac:dyDescent="0.25">
      <c r="A90" t="s">
        <v>13</v>
      </c>
      <c r="B90" s="1">
        <v>17.600000000000001</v>
      </c>
      <c r="C90" s="1">
        <v>17.61</v>
      </c>
      <c r="D90" t="s">
        <v>22</v>
      </c>
      <c r="E90" s="3">
        <f t="shared" ref="E90:F90" si="83">E80</f>
        <v>3535.8029000000001</v>
      </c>
      <c r="F90" s="3">
        <f t="shared" si="83"/>
        <v>0</v>
      </c>
      <c r="G90" s="18">
        <f t="shared" si="57"/>
        <v>3535.8029000000001</v>
      </c>
      <c r="H90" s="5">
        <f t="shared" si="58"/>
        <v>62230.131040000007</v>
      </c>
      <c r="I90" s="5">
        <f t="shared" si="59"/>
        <v>62265.489069000003</v>
      </c>
    </row>
    <row r="91" spans="1:9" x14ac:dyDescent="0.25">
      <c r="A91" t="s">
        <v>14</v>
      </c>
      <c r="B91" s="1">
        <v>35.25</v>
      </c>
      <c r="C91" s="1">
        <v>35.26</v>
      </c>
      <c r="D91" t="s">
        <v>22</v>
      </c>
      <c r="E91" s="3">
        <f t="shared" ref="E91:F91" si="84">E81</f>
        <v>1765.0714</v>
      </c>
      <c r="F91" s="3">
        <f t="shared" si="84"/>
        <v>0</v>
      </c>
      <c r="G91" s="18">
        <f t="shared" si="57"/>
        <v>1765.0714</v>
      </c>
      <c r="H91" s="5">
        <f t="shared" si="58"/>
        <v>62218.76685</v>
      </c>
      <c r="I91" s="5">
        <f t="shared" si="59"/>
        <v>62236.417563999996</v>
      </c>
    </row>
    <row r="92" spans="1:9" x14ac:dyDescent="0.25">
      <c r="A92" t="s">
        <v>4</v>
      </c>
      <c r="B92" s="1">
        <v>20.77</v>
      </c>
      <c r="C92" s="1">
        <v>20.78</v>
      </c>
      <c r="D92" t="s">
        <v>23</v>
      </c>
      <c r="E92" s="3">
        <f t="shared" ref="E92:F92" si="85">E82</f>
        <v>3014.9661000000001</v>
      </c>
      <c r="F92" s="3">
        <f t="shared" si="85"/>
        <v>0</v>
      </c>
      <c r="G92" s="18">
        <f t="shared" si="57"/>
        <v>3014.9661000000001</v>
      </c>
      <c r="H92" s="5">
        <f t="shared" si="58"/>
        <v>62620.845896999999</v>
      </c>
      <c r="I92" s="5">
        <f t="shared" si="59"/>
        <v>62650.995558000002</v>
      </c>
    </row>
    <row r="93" spans="1:9" x14ac:dyDescent="0.25">
      <c r="A93" t="s">
        <v>6</v>
      </c>
      <c r="B93" s="1">
        <v>34</v>
      </c>
      <c r="C93" s="1">
        <v>34.01</v>
      </c>
      <c r="D93" t="s">
        <v>23</v>
      </c>
      <c r="E93" s="3">
        <f t="shared" ref="E93:F93" si="86">E83</f>
        <v>1842.1306</v>
      </c>
      <c r="F93" s="3">
        <f t="shared" si="86"/>
        <v>0</v>
      </c>
      <c r="G93" s="18">
        <f t="shared" si="57"/>
        <v>1842.1306</v>
      </c>
      <c r="H93" s="5">
        <f t="shared" si="58"/>
        <v>62632.440399999999</v>
      </c>
      <c r="I93" s="5">
        <f t="shared" si="59"/>
        <v>62650.861705999996</v>
      </c>
    </row>
    <row r="94" spans="1:9" x14ac:dyDescent="0.25">
      <c r="A94" t="s">
        <v>7</v>
      </c>
      <c r="B94" s="1">
        <v>17.66</v>
      </c>
      <c r="C94" s="1">
        <v>17.66</v>
      </c>
      <c r="D94" t="s">
        <v>23</v>
      </c>
      <c r="E94" s="3">
        <f t="shared" ref="E94:F94" si="87">E84</f>
        <v>3546.6107999999999</v>
      </c>
      <c r="F94" s="3">
        <f t="shared" si="87"/>
        <v>0</v>
      </c>
      <c r="G94" s="18">
        <f t="shared" si="57"/>
        <v>3546.6107999999999</v>
      </c>
      <c r="H94" s="5">
        <f t="shared" si="58"/>
        <v>62633.146728</v>
      </c>
      <c r="I94" s="5">
        <f t="shared" si="59"/>
        <v>62633.146728</v>
      </c>
    </row>
    <row r="95" spans="1:9" x14ac:dyDescent="0.25">
      <c r="A95" t="s">
        <v>8</v>
      </c>
      <c r="B95" s="1">
        <v>27.69</v>
      </c>
      <c r="C95" s="1">
        <v>27.7</v>
      </c>
      <c r="D95" t="s">
        <v>23</v>
      </c>
      <c r="E95" s="3">
        <f t="shared" ref="E95:F95" si="88">E85</f>
        <v>2261.3508999999999</v>
      </c>
      <c r="F95" s="3">
        <f t="shared" si="88"/>
        <v>-0.1</v>
      </c>
      <c r="G95" s="18">
        <f t="shared" si="57"/>
        <v>2261.2509</v>
      </c>
      <c r="H95" s="5">
        <f t="shared" si="58"/>
        <v>62614.037421000001</v>
      </c>
      <c r="I95" s="5">
        <f t="shared" si="59"/>
        <v>62636.64993</v>
      </c>
    </row>
    <row r="96" spans="1:9" x14ac:dyDescent="0.25">
      <c r="A96" t="s">
        <v>9</v>
      </c>
      <c r="B96" s="1">
        <v>66.14</v>
      </c>
      <c r="C96" s="1">
        <v>66.239999999999995</v>
      </c>
      <c r="D96" t="s">
        <v>23</v>
      </c>
      <c r="E96" s="3">
        <f t="shared" ref="E96:F96" si="89">E86</f>
        <v>946.14290000000005</v>
      </c>
      <c r="F96" s="3">
        <f t="shared" si="89"/>
        <v>0</v>
      </c>
      <c r="G96" s="18">
        <f t="shared" si="57"/>
        <v>946.14290000000005</v>
      </c>
      <c r="H96" s="5">
        <f t="shared" si="58"/>
        <v>62577.891406000002</v>
      </c>
      <c r="I96" s="5">
        <f t="shared" si="59"/>
        <v>62672.505696</v>
      </c>
    </row>
    <row r="97" spans="1:9" x14ac:dyDescent="0.25">
      <c r="A97" t="s">
        <v>10</v>
      </c>
      <c r="B97" s="1">
        <v>36.159999999999997</v>
      </c>
      <c r="C97" s="1">
        <v>36.200000000000003</v>
      </c>
      <c r="D97" t="s">
        <v>23</v>
      </c>
      <c r="E97" s="3">
        <f t="shared" ref="E97:F97" si="90">E87</f>
        <v>1730.2367999999999</v>
      </c>
      <c r="F97" s="3">
        <f t="shared" si="90"/>
        <v>0</v>
      </c>
      <c r="G97" s="18">
        <f t="shared" si="57"/>
        <v>1730.2367999999999</v>
      </c>
      <c r="H97" s="5">
        <f t="shared" si="58"/>
        <v>62565.362687999994</v>
      </c>
      <c r="I97" s="5">
        <f t="shared" si="59"/>
        <v>62634.572160000003</v>
      </c>
    </row>
    <row r="98" spans="1:9" x14ac:dyDescent="0.25">
      <c r="A98" t="s">
        <v>11</v>
      </c>
      <c r="B98" s="1">
        <v>54.49</v>
      </c>
      <c r="C98" s="1">
        <v>54.5</v>
      </c>
      <c r="D98" t="s">
        <v>23</v>
      </c>
      <c r="E98" s="3">
        <f t="shared" ref="E98:F98" si="91">E88</f>
        <v>1148.8611000000001</v>
      </c>
      <c r="F98" s="3">
        <f t="shared" si="91"/>
        <v>0</v>
      </c>
      <c r="G98" s="18">
        <f t="shared" si="57"/>
        <v>1148.8611000000001</v>
      </c>
      <c r="H98" s="5">
        <f t="shared" si="58"/>
        <v>62601.441339000005</v>
      </c>
      <c r="I98" s="5">
        <f t="shared" si="59"/>
        <v>62612.929950000005</v>
      </c>
    </row>
    <row r="99" spans="1:9" x14ac:dyDescent="0.25">
      <c r="A99" t="s">
        <v>12</v>
      </c>
      <c r="B99" s="1">
        <v>48.58</v>
      </c>
      <c r="C99" s="1">
        <v>48.59</v>
      </c>
      <c r="D99" t="s">
        <v>23</v>
      </c>
      <c r="E99" s="3">
        <f t="shared" ref="E99:F99" si="92">E89</f>
        <v>1289.1144999999999</v>
      </c>
      <c r="F99" s="3">
        <f t="shared" si="92"/>
        <v>0.05</v>
      </c>
      <c r="G99" s="18">
        <f t="shared" si="57"/>
        <v>1289.1644999999999</v>
      </c>
      <c r="H99" s="5">
        <f t="shared" si="58"/>
        <v>62627.61140999999</v>
      </c>
      <c r="I99" s="5">
        <f t="shared" si="59"/>
        <v>62640.503055000001</v>
      </c>
    </row>
    <row r="100" spans="1:9" x14ac:dyDescent="0.25">
      <c r="A100" t="s">
        <v>13</v>
      </c>
      <c r="B100" s="1">
        <v>17.71</v>
      </c>
      <c r="C100" s="1">
        <v>17.72</v>
      </c>
      <c r="D100" t="s">
        <v>23</v>
      </c>
      <c r="E100" s="3">
        <f t="shared" ref="E100:F100" si="93">E90</f>
        <v>3535.8029000000001</v>
      </c>
      <c r="F100" s="3">
        <f t="shared" si="93"/>
        <v>0</v>
      </c>
      <c r="G100" s="18">
        <f t="shared" si="57"/>
        <v>3535.8029000000001</v>
      </c>
      <c r="H100" s="5">
        <f t="shared" si="58"/>
        <v>62619.069359000008</v>
      </c>
      <c r="I100" s="5">
        <f t="shared" si="59"/>
        <v>62654.427387999996</v>
      </c>
    </row>
    <row r="101" spans="1:9" x14ac:dyDescent="0.25">
      <c r="A101" t="s">
        <v>14</v>
      </c>
      <c r="B101" s="1">
        <v>35.46</v>
      </c>
      <c r="C101" s="1">
        <v>35.47</v>
      </c>
      <c r="D101" t="s">
        <v>23</v>
      </c>
      <c r="E101" s="3">
        <f t="shared" ref="E101:F101" si="94">E91</f>
        <v>1765.0714</v>
      </c>
      <c r="F101" s="3">
        <f t="shared" si="94"/>
        <v>0</v>
      </c>
      <c r="G101" s="18">
        <f t="shared" si="57"/>
        <v>1765.0714</v>
      </c>
      <c r="H101" s="5">
        <f t="shared" si="58"/>
        <v>62589.431844000006</v>
      </c>
      <c r="I101" s="5">
        <f t="shared" si="59"/>
        <v>62607.082558000002</v>
      </c>
    </row>
    <row r="102" spans="1:9" x14ac:dyDescent="0.25">
      <c r="A102" t="s">
        <v>4</v>
      </c>
      <c r="B102" s="1">
        <v>20.73</v>
      </c>
      <c r="C102" s="1">
        <v>20.74</v>
      </c>
      <c r="D102" t="s">
        <v>24</v>
      </c>
      <c r="E102" s="3">
        <f t="shared" ref="E102:F102" si="95">E92</f>
        <v>3014.9661000000001</v>
      </c>
      <c r="F102" s="3">
        <f t="shared" si="95"/>
        <v>0</v>
      </c>
      <c r="G102" s="18">
        <f t="shared" si="57"/>
        <v>3014.9661000000001</v>
      </c>
      <c r="H102" s="5">
        <f t="shared" si="58"/>
        <v>62500.247253000001</v>
      </c>
      <c r="I102" s="5">
        <f t="shared" si="59"/>
        <v>62530.396913999997</v>
      </c>
    </row>
    <row r="103" spans="1:9" x14ac:dyDescent="0.25">
      <c r="A103" t="s">
        <v>6</v>
      </c>
      <c r="B103" s="1">
        <v>33.93</v>
      </c>
      <c r="C103" s="1">
        <v>33.94</v>
      </c>
      <c r="D103" t="s">
        <v>24</v>
      </c>
      <c r="E103" s="3">
        <f t="shared" ref="E103:F103" si="96">E93</f>
        <v>1842.1306</v>
      </c>
      <c r="F103" s="3">
        <f t="shared" si="96"/>
        <v>0</v>
      </c>
      <c r="G103" s="18">
        <f t="shared" si="57"/>
        <v>1842.1306</v>
      </c>
      <c r="H103" s="5">
        <f t="shared" si="58"/>
        <v>62503.491257999995</v>
      </c>
      <c r="I103" s="5">
        <f t="shared" si="59"/>
        <v>62521.912563999991</v>
      </c>
    </row>
    <row r="104" spans="1:9" x14ac:dyDescent="0.25">
      <c r="A104" t="s">
        <v>7</v>
      </c>
      <c r="B104" s="1">
        <v>17.62</v>
      </c>
      <c r="C104" s="1">
        <v>17.63</v>
      </c>
      <c r="D104" t="s">
        <v>24</v>
      </c>
      <c r="E104" s="3">
        <f t="shared" ref="E104:F104" si="97">E94</f>
        <v>3546.6107999999999</v>
      </c>
      <c r="F104" s="3">
        <f t="shared" si="97"/>
        <v>0</v>
      </c>
      <c r="G104" s="18">
        <f t="shared" si="57"/>
        <v>3546.6107999999999</v>
      </c>
      <c r="H104" s="5">
        <f t="shared" si="58"/>
        <v>62491.282296000005</v>
      </c>
      <c r="I104" s="5">
        <f t="shared" si="59"/>
        <v>62526.748403999998</v>
      </c>
    </row>
    <row r="105" spans="1:9" x14ac:dyDescent="0.25">
      <c r="A105" t="s">
        <v>8</v>
      </c>
      <c r="B105" s="1">
        <v>27.64</v>
      </c>
      <c r="C105" s="1">
        <v>27.65</v>
      </c>
      <c r="D105" t="s">
        <v>24</v>
      </c>
      <c r="E105" s="3">
        <f t="shared" ref="E105:F105" si="98">E95</f>
        <v>2261.3508999999999</v>
      </c>
      <c r="F105" s="3">
        <f t="shared" si="98"/>
        <v>-0.1</v>
      </c>
      <c r="G105" s="18">
        <f t="shared" si="57"/>
        <v>2261.2509</v>
      </c>
      <c r="H105" s="5">
        <f t="shared" si="58"/>
        <v>62500.974876</v>
      </c>
      <c r="I105" s="5">
        <f t="shared" si="59"/>
        <v>62523.587384999999</v>
      </c>
    </row>
    <row r="106" spans="1:9" x14ac:dyDescent="0.25">
      <c r="A106" t="s">
        <v>9</v>
      </c>
      <c r="B106" s="1">
        <v>66.010000000000005</v>
      </c>
      <c r="C106" s="1">
        <v>66.14</v>
      </c>
      <c r="D106" t="s">
        <v>24</v>
      </c>
      <c r="E106" s="3">
        <f t="shared" ref="E106:F106" si="99">E96</f>
        <v>946.14290000000005</v>
      </c>
      <c r="F106" s="3">
        <f t="shared" si="99"/>
        <v>0</v>
      </c>
      <c r="G106" s="18">
        <f t="shared" si="57"/>
        <v>946.14290000000005</v>
      </c>
      <c r="H106" s="5">
        <f t="shared" si="58"/>
        <v>62454.892829000011</v>
      </c>
      <c r="I106" s="5">
        <f t="shared" si="59"/>
        <v>62577.891406000002</v>
      </c>
    </row>
    <row r="107" spans="1:9" x14ac:dyDescent="0.25">
      <c r="A107" t="s">
        <v>10</v>
      </c>
      <c r="B107" s="1">
        <v>36.1</v>
      </c>
      <c r="C107" s="1">
        <v>36.130000000000003</v>
      </c>
      <c r="D107" t="s">
        <v>24</v>
      </c>
      <c r="E107" s="3">
        <f t="shared" ref="E107:F107" si="100">E97</f>
        <v>1730.2367999999999</v>
      </c>
      <c r="F107" s="3">
        <f t="shared" si="100"/>
        <v>0</v>
      </c>
      <c r="G107" s="18">
        <f t="shared" si="57"/>
        <v>1730.2367999999999</v>
      </c>
      <c r="H107" s="5">
        <f t="shared" si="58"/>
        <v>62461.548479999998</v>
      </c>
      <c r="I107" s="5">
        <f t="shared" si="59"/>
        <v>62513.455584000003</v>
      </c>
    </row>
    <row r="108" spans="1:9" x14ac:dyDescent="0.25">
      <c r="A108" t="s">
        <v>11</v>
      </c>
      <c r="B108" s="1">
        <v>54.39</v>
      </c>
      <c r="C108" s="1">
        <v>54.4</v>
      </c>
      <c r="D108" t="s">
        <v>24</v>
      </c>
      <c r="E108" s="3">
        <f t="shared" ref="E108:F108" si="101">E98</f>
        <v>1148.8611000000001</v>
      </c>
      <c r="F108" s="3">
        <f t="shared" si="101"/>
        <v>0</v>
      </c>
      <c r="G108" s="18">
        <f t="shared" si="57"/>
        <v>1148.8611000000001</v>
      </c>
      <c r="H108" s="5">
        <f t="shared" si="58"/>
        <v>62486.555229000005</v>
      </c>
      <c r="I108" s="5">
        <f t="shared" si="59"/>
        <v>62498.043840000006</v>
      </c>
    </row>
    <row r="109" spans="1:9" x14ac:dyDescent="0.25">
      <c r="A109" t="s">
        <v>12</v>
      </c>
      <c r="B109" s="1">
        <v>48.49</v>
      </c>
      <c r="C109" s="1">
        <v>48.5</v>
      </c>
      <c r="D109" t="s">
        <v>24</v>
      </c>
      <c r="E109" s="3">
        <f t="shared" ref="E109:F109" si="102">E99</f>
        <v>1289.1144999999999</v>
      </c>
      <c r="F109" s="3">
        <f t="shared" si="102"/>
        <v>0.05</v>
      </c>
      <c r="G109" s="18">
        <f t="shared" si="57"/>
        <v>1289.1644999999999</v>
      </c>
      <c r="H109" s="5">
        <f t="shared" si="58"/>
        <v>62511.586604999997</v>
      </c>
      <c r="I109" s="5">
        <f t="shared" si="59"/>
        <v>62524.478249999993</v>
      </c>
    </row>
    <row r="110" spans="1:9" x14ac:dyDescent="0.25">
      <c r="A110" t="s">
        <v>13</v>
      </c>
      <c r="B110" s="1">
        <v>17.670000000000002</v>
      </c>
      <c r="C110" s="1">
        <v>17.68</v>
      </c>
      <c r="D110" t="s">
        <v>24</v>
      </c>
      <c r="E110" s="3">
        <f t="shared" ref="E110:F110" si="103">E100</f>
        <v>3535.8029000000001</v>
      </c>
      <c r="F110" s="3">
        <f t="shared" si="103"/>
        <v>0</v>
      </c>
      <c r="G110" s="18">
        <f t="shared" si="57"/>
        <v>3535.8029000000001</v>
      </c>
      <c r="H110" s="5">
        <f t="shared" si="58"/>
        <v>62477.637243000012</v>
      </c>
      <c r="I110" s="5">
        <f t="shared" si="59"/>
        <v>62512.995272</v>
      </c>
    </row>
    <row r="111" spans="1:9" x14ac:dyDescent="0.25">
      <c r="A111" t="s">
        <v>14</v>
      </c>
      <c r="B111" s="1">
        <v>35.39</v>
      </c>
      <c r="C111" s="1">
        <v>35.4</v>
      </c>
      <c r="D111" t="s">
        <v>24</v>
      </c>
      <c r="E111" s="3">
        <f t="shared" ref="E111:F111" si="104">E101</f>
        <v>1765.0714</v>
      </c>
      <c r="F111" s="3">
        <f t="shared" si="104"/>
        <v>0</v>
      </c>
      <c r="G111" s="18">
        <f t="shared" si="57"/>
        <v>1765.0714</v>
      </c>
      <c r="H111" s="5">
        <f t="shared" si="58"/>
        <v>62465.876845999999</v>
      </c>
      <c r="I111" s="5">
        <f t="shared" si="59"/>
        <v>62483.527560000002</v>
      </c>
    </row>
    <row r="112" spans="1:9" x14ac:dyDescent="0.25">
      <c r="A112" t="s">
        <v>4</v>
      </c>
      <c r="B112" s="1">
        <v>20.73</v>
      </c>
      <c r="C112" s="1">
        <v>20.74</v>
      </c>
      <c r="D112" t="s">
        <v>25</v>
      </c>
      <c r="E112" s="3">
        <f t="shared" ref="E112:F112" si="105">E102</f>
        <v>3014.9661000000001</v>
      </c>
      <c r="F112" s="3">
        <f t="shared" si="105"/>
        <v>0</v>
      </c>
      <c r="G112" s="18">
        <f t="shared" si="57"/>
        <v>3014.9661000000001</v>
      </c>
      <c r="H112" s="5">
        <f t="shared" si="58"/>
        <v>62500.247253000001</v>
      </c>
      <c r="I112" s="5">
        <f t="shared" si="59"/>
        <v>62530.396913999997</v>
      </c>
    </row>
    <row r="113" spans="1:9" x14ac:dyDescent="0.25">
      <c r="A113" t="s">
        <v>6</v>
      </c>
      <c r="B113" s="1">
        <v>33.94</v>
      </c>
      <c r="C113" s="1">
        <v>33.950000000000003</v>
      </c>
      <c r="D113" t="s">
        <v>25</v>
      </c>
      <c r="E113" s="3">
        <f t="shared" ref="E113:F113" si="106">E103</f>
        <v>1842.1306</v>
      </c>
      <c r="F113" s="3">
        <f t="shared" si="106"/>
        <v>0</v>
      </c>
      <c r="G113" s="18">
        <f t="shared" si="57"/>
        <v>1842.1306</v>
      </c>
      <c r="H113" s="5">
        <f t="shared" si="58"/>
        <v>62521.912563999991</v>
      </c>
      <c r="I113" s="5">
        <f t="shared" si="59"/>
        <v>62540.333870000002</v>
      </c>
    </row>
    <row r="114" spans="1:9" x14ac:dyDescent="0.25">
      <c r="A114" t="s">
        <v>7</v>
      </c>
      <c r="B114" s="1">
        <v>17.62</v>
      </c>
      <c r="C114" s="1">
        <v>17.63</v>
      </c>
      <c r="D114" t="s">
        <v>25</v>
      </c>
      <c r="E114" s="3">
        <f t="shared" ref="E114:F114" si="107">E104</f>
        <v>3546.6107999999999</v>
      </c>
      <c r="F114" s="3">
        <f t="shared" si="107"/>
        <v>0</v>
      </c>
      <c r="G114" s="18">
        <f t="shared" si="57"/>
        <v>3546.6107999999999</v>
      </c>
      <c r="H114" s="5">
        <f t="shared" si="58"/>
        <v>62491.282296000005</v>
      </c>
      <c r="I114" s="5">
        <f t="shared" si="59"/>
        <v>62526.748403999998</v>
      </c>
    </row>
    <row r="115" spans="1:9" x14ac:dyDescent="0.25">
      <c r="A115" t="s">
        <v>8</v>
      </c>
      <c r="B115" s="1">
        <v>27.65</v>
      </c>
      <c r="C115" s="1">
        <v>27.66</v>
      </c>
      <c r="D115" t="s">
        <v>25</v>
      </c>
      <c r="E115" s="3">
        <f t="shared" ref="E115:F115" si="108">E105</f>
        <v>2261.3508999999999</v>
      </c>
      <c r="F115" s="3">
        <f t="shared" si="108"/>
        <v>-0.1</v>
      </c>
      <c r="G115" s="18">
        <f t="shared" si="57"/>
        <v>2261.2509</v>
      </c>
      <c r="H115" s="5">
        <f t="shared" si="58"/>
        <v>62523.587384999999</v>
      </c>
      <c r="I115" s="5">
        <f t="shared" si="59"/>
        <v>62546.199893999998</v>
      </c>
    </row>
    <row r="116" spans="1:9" x14ac:dyDescent="0.25">
      <c r="A116" t="s">
        <v>9</v>
      </c>
      <c r="B116" s="1">
        <v>66.040000000000006</v>
      </c>
      <c r="C116" s="1">
        <v>66.16</v>
      </c>
      <c r="D116" t="s">
        <v>25</v>
      </c>
      <c r="E116" s="3">
        <f t="shared" ref="E116:F116" si="109">E106</f>
        <v>946.14290000000005</v>
      </c>
      <c r="F116" s="3">
        <f t="shared" si="109"/>
        <v>0</v>
      </c>
      <c r="G116" s="18">
        <f t="shared" si="57"/>
        <v>946.14290000000005</v>
      </c>
      <c r="H116" s="5">
        <f t="shared" si="58"/>
        <v>62483.277116000012</v>
      </c>
      <c r="I116" s="5">
        <f t="shared" si="59"/>
        <v>62596.814264000001</v>
      </c>
    </row>
    <row r="117" spans="1:9" x14ac:dyDescent="0.25">
      <c r="A117" t="s">
        <v>10</v>
      </c>
      <c r="B117" s="1">
        <v>36.11</v>
      </c>
      <c r="C117" s="1">
        <v>36.14</v>
      </c>
      <c r="D117" t="s">
        <v>25</v>
      </c>
      <c r="E117" s="3">
        <f t="shared" ref="E117:F117" si="110">E107</f>
        <v>1730.2367999999999</v>
      </c>
      <c r="F117" s="3">
        <f t="shared" si="110"/>
        <v>0</v>
      </c>
      <c r="G117" s="18">
        <f t="shared" si="57"/>
        <v>1730.2367999999999</v>
      </c>
      <c r="H117" s="5">
        <f t="shared" si="58"/>
        <v>62478.850847999995</v>
      </c>
      <c r="I117" s="5">
        <f t="shared" si="59"/>
        <v>62530.757952</v>
      </c>
    </row>
    <row r="118" spans="1:9" x14ac:dyDescent="0.25">
      <c r="A118" t="s">
        <v>11</v>
      </c>
      <c r="B118" s="1">
        <v>54.41</v>
      </c>
      <c r="C118" s="1">
        <v>54.42</v>
      </c>
      <c r="D118" t="s">
        <v>25</v>
      </c>
      <c r="E118" s="3">
        <f t="shared" ref="E118:F118" si="111">E108</f>
        <v>1148.8611000000001</v>
      </c>
      <c r="F118" s="3">
        <f t="shared" si="111"/>
        <v>0</v>
      </c>
      <c r="G118" s="18">
        <f t="shared" si="57"/>
        <v>1148.8611000000001</v>
      </c>
      <c r="H118" s="5">
        <f t="shared" si="58"/>
        <v>62509.532450999999</v>
      </c>
      <c r="I118" s="5">
        <f t="shared" si="59"/>
        <v>62521.021062000007</v>
      </c>
    </row>
    <row r="119" spans="1:9" x14ac:dyDescent="0.25">
      <c r="A119" t="s">
        <v>12</v>
      </c>
      <c r="B119" s="1">
        <v>48.5</v>
      </c>
      <c r="C119" s="1">
        <v>48.51</v>
      </c>
      <c r="D119" t="s">
        <v>25</v>
      </c>
      <c r="E119" s="3">
        <f t="shared" ref="E119:F119" si="112">E109</f>
        <v>1289.1144999999999</v>
      </c>
      <c r="F119" s="3">
        <f t="shared" si="112"/>
        <v>0.05</v>
      </c>
      <c r="G119" s="18">
        <f t="shared" si="57"/>
        <v>1289.1644999999999</v>
      </c>
      <c r="H119" s="5">
        <f t="shared" si="58"/>
        <v>62524.478249999993</v>
      </c>
      <c r="I119" s="5">
        <f t="shared" si="59"/>
        <v>62537.369894999989</v>
      </c>
    </row>
    <row r="120" spans="1:9" x14ac:dyDescent="0.25">
      <c r="A120" t="s">
        <v>13</v>
      </c>
      <c r="B120" s="1">
        <v>17.68</v>
      </c>
      <c r="C120" s="1">
        <v>17.690000000000001</v>
      </c>
      <c r="D120" t="s">
        <v>25</v>
      </c>
      <c r="E120" s="3">
        <f t="shared" ref="E120:F120" si="113">E110</f>
        <v>3535.8029000000001</v>
      </c>
      <c r="F120" s="3">
        <f t="shared" si="113"/>
        <v>0</v>
      </c>
      <c r="G120" s="18">
        <f t="shared" si="57"/>
        <v>3535.8029000000001</v>
      </c>
      <c r="H120" s="5">
        <f t="shared" si="58"/>
        <v>62512.995272</v>
      </c>
      <c r="I120" s="5">
        <f t="shared" si="59"/>
        <v>62548.35330100001</v>
      </c>
    </row>
    <row r="121" spans="1:9" x14ac:dyDescent="0.25">
      <c r="A121" t="s">
        <v>14</v>
      </c>
      <c r="B121" s="1">
        <v>35.4</v>
      </c>
      <c r="C121" s="1">
        <v>35.409999999999997</v>
      </c>
      <c r="D121" t="s">
        <v>25</v>
      </c>
      <c r="E121" s="3">
        <f t="shared" ref="E121:F121" si="114">E111</f>
        <v>1765.0714</v>
      </c>
      <c r="F121" s="3">
        <f t="shared" si="114"/>
        <v>0</v>
      </c>
      <c r="G121" s="18">
        <f t="shared" si="57"/>
        <v>1765.0714</v>
      </c>
      <c r="H121" s="5">
        <f t="shared" si="58"/>
        <v>62483.527560000002</v>
      </c>
      <c r="I121" s="5">
        <f t="shared" si="59"/>
        <v>62501.178273999998</v>
      </c>
    </row>
    <row r="122" spans="1:9" x14ac:dyDescent="0.25">
      <c r="A122" t="s">
        <v>4</v>
      </c>
      <c r="B122" s="1">
        <v>20.71</v>
      </c>
      <c r="C122" s="1">
        <v>20.72</v>
      </c>
      <c r="D122" t="s">
        <v>26</v>
      </c>
      <c r="E122" s="3">
        <f t="shared" ref="E122:F122" si="115">E112</f>
        <v>3014.9661000000001</v>
      </c>
      <c r="F122" s="3">
        <f t="shared" si="115"/>
        <v>0</v>
      </c>
      <c r="G122" s="18">
        <f t="shared" si="57"/>
        <v>3014.9661000000001</v>
      </c>
      <c r="H122" s="5">
        <f t="shared" si="58"/>
        <v>62439.947931000002</v>
      </c>
      <c r="I122" s="5">
        <f t="shared" si="59"/>
        <v>62470.097591999998</v>
      </c>
    </row>
    <row r="123" spans="1:9" x14ac:dyDescent="0.25">
      <c r="A123" t="s">
        <v>6</v>
      </c>
      <c r="B123" s="1">
        <v>33.9</v>
      </c>
      <c r="C123" s="1">
        <v>33.909999999999997</v>
      </c>
      <c r="D123" t="s">
        <v>26</v>
      </c>
      <c r="E123" s="3">
        <f t="shared" ref="E123:F123" si="116">E113</f>
        <v>1842.1306</v>
      </c>
      <c r="F123" s="3">
        <f t="shared" si="116"/>
        <v>0</v>
      </c>
      <c r="G123" s="18">
        <f t="shared" si="57"/>
        <v>1842.1306</v>
      </c>
      <c r="H123" s="5">
        <f t="shared" si="58"/>
        <v>62448.227339999998</v>
      </c>
      <c r="I123" s="5">
        <f t="shared" si="59"/>
        <v>62466.648645999994</v>
      </c>
    </row>
    <row r="124" spans="1:9" x14ac:dyDescent="0.25">
      <c r="A124" t="s">
        <v>7</v>
      </c>
      <c r="B124" s="1">
        <v>17.600000000000001</v>
      </c>
      <c r="C124" s="1">
        <v>17.61</v>
      </c>
      <c r="D124" t="s">
        <v>26</v>
      </c>
      <c r="E124" s="3">
        <f t="shared" ref="E124:F124" si="117">E114</f>
        <v>3546.6107999999999</v>
      </c>
      <c r="F124" s="3">
        <f t="shared" si="117"/>
        <v>0</v>
      </c>
      <c r="G124" s="18">
        <f t="shared" si="57"/>
        <v>3546.6107999999999</v>
      </c>
      <c r="H124" s="5">
        <f t="shared" si="58"/>
        <v>62420.350080000004</v>
      </c>
      <c r="I124" s="5">
        <f t="shared" si="59"/>
        <v>62455.816187999997</v>
      </c>
    </row>
    <row r="125" spans="1:9" x14ac:dyDescent="0.25">
      <c r="A125" t="s">
        <v>8</v>
      </c>
      <c r="B125" s="1">
        <v>27.61</v>
      </c>
      <c r="C125" s="1">
        <v>27.62</v>
      </c>
      <c r="D125" t="s">
        <v>26</v>
      </c>
      <c r="E125" s="3">
        <f t="shared" ref="E125:F125" si="118">E115</f>
        <v>2261.3508999999999</v>
      </c>
      <c r="F125" s="3">
        <f t="shared" si="118"/>
        <v>-0.1</v>
      </c>
      <c r="G125" s="18">
        <f t="shared" si="57"/>
        <v>2261.2509</v>
      </c>
      <c r="H125" s="5">
        <f t="shared" si="58"/>
        <v>62433.137348999997</v>
      </c>
      <c r="I125" s="5">
        <f t="shared" si="59"/>
        <v>62455.749858000003</v>
      </c>
    </row>
    <row r="126" spans="1:9" x14ac:dyDescent="0.25">
      <c r="A126" t="s">
        <v>9</v>
      </c>
      <c r="B126" s="1">
        <v>65.95</v>
      </c>
      <c r="C126" s="1">
        <v>66.05</v>
      </c>
      <c r="D126" t="s">
        <v>26</v>
      </c>
      <c r="E126" s="3">
        <f t="shared" ref="E126:F126" si="119">E116</f>
        <v>946.14290000000005</v>
      </c>
      <c r="F126" s="3">
        <f t="shared" si="119"/>
        <v>0</v>
      </c>
      <c r="G126" s="18">
        <f t="shared" si="57"/>
        <v>946.14290000000005</v>
      </c>
      <c r="H126" s="5">
        <f t="shared" si="58"/>
        <v>62398.12425500001</v>
      </c>
      <c r="I126" s="5">
        <f t="shared" si="59"/>
        <v>62492.738545</v>
      </c>
    </row>
    <row r="127" spans="1:9" x14ac:dyDescent="0.25">
      <c r="A127" t="s">
        <v>10</v>
      </c>
      <c r="B127" s="1">
        <v>36.07</v>
      </c>
      <c r="C127" s="1">
        <v>36.090000000000003</v>
      </c>
      <c r="D127" t="s">
        <v>26</v>
      </c>
      <c r="E127" s="3">
        <f t="shared" ref="E127:F127" si="120">E117</f>
        <v>1730.2367999999999</v>
      </c>
      <c r="F127" s="3">
        <f t="shared" si="120"/>
        <v>0</v>
      </c>
      <c r="G127" s="18">
        <f t="shared" si="57"/>
        <v>1730.2367999999999</v>
      </c>
      <c r="H127" s="5">
        <f t="shared" si="58"/>
        <v>62409.641376</v>
      </c>
      <c r="I127" s="5">
        <f t="shared" si="59"/>
        <v>62444.246112000001</v>
      </c>
    </row>
    <row r="128" spans="1:9" x14ac:dyDescent="0.25">
      <c r="A128" t="s">
        <v>11</v>
      </c>
      <c r="B128" s="1">
        <v>54.34</v>
      </c>
      <c r="C128" s="1">
        <v>54.35</v>
      </c>
      <c r="D128" t="s">
        <v>26</v>
      </c>
      <c r="E128" s="3">
        <f t="shared" ref="E128:F128" si="121">E118</f>
        <v>1148.8611000000001</v>
      </c>
      <c r="F128" s="3">
        <f t="shared" si="121"/>
        <v>0</v>
      </c>
      <c r="G128" s="18">
        <f t="shared" si="57"/>
        <v>1148.8611000000001</v>
      </c>
      <c r="H128" s="5">
        <f t="shared" si="58"/>
        <v>62429.112174000009</v>
      </c>
      <c r="I128" s="5">
        <f t="shared" si="59"/>
        <v>62440.600785000002</v>
      </c>
    </row>
    <row r="129" spans="1:9" x14ac:dyDescent="0.25">
      <c r="A129" t="s">
        <v>12</v>
      </c>
      <c r="B129" s="1">
        <v>48.44</v>
      </c>
      <c r="C129" s="1">
        <v>48.45</v>
      </c>
      <c r="D129" t="s">
        <v>26</v>
      </c>
      <c r="E129" s="3">
        <f t="shared" ref="E129:F129" si="122">E119</f>
        <v>1289.1144999999999</v>
      </c>
      <c r="F129" s="3">
        <f t="shared" si="122"/>
        <v>0.05</v>
      </c>
      <c r="G129" s="18">
        <f t="shared" si="57"/>
        <v>1289.1644999999999</v>
      </c>
      <c r="H129" s="5">
        <f t="shared" si="58"/>
        <v>62447.128379999987</v>
      </c>
      <c r="I129" s="5">
        <f t="shared" si="59"/>
        <v>62460.020024999998</v>
      </c>
    </row>
    <row r="130" spans="1:9" x14ac:dyDescent="0.25">
      <c r="A130" t="s">
        <v>13</v>
      </c>
      <c r="B130" s="1">
        <v>17.649999999999999</v>
      </c>
      <c r="C130" s="1">
        <v>17.66</v>
      </c>
      <c r="D130" t="s">
        <v>26</v>
      </c>
      <c r="E130" s="3">
        <f t="shared" ref="E130:F130" si="123">E120</f>
        <v>3535.8029000000001</v>
      </c>
      <c r="F130" s="3">
        <f t="shared" si="123"/>
        <v>0</v>
      </c>
      <c r="G130" s="18">
        <f t="shared" ref="G130:G193" si="124">E130+F130</f>
        <v>3535.8029000000001</v>
      </c>
      <c r="H130" s="5">
        <f t="shared" ref="H130:H193" si="125">B130*G130</f>
        <v>62406.921184999999</v>
      </c>
      <c r="I130" s="5">
        <f t="shared" ref="I130:I193" si="126">C130*G130</f>
        <v>62442.279214000002</v>
      </c>
    </row>
    <row r="131" spans="1:9" x14ac:dyDescent="0.25">
      <c r="A131" t="s">
        <v>14</v>
      </c>
      <c r="B131" s="1">
        <v>35.36</v>
      </c>
      <c r="C131" s="1">
        <v>35.369999999999997</v>
      </c>
      <c r="D131" t="s">
        <v>26</v>
      </c>
      <c r="E131" s="3">
        <f t="shared" ref="E131:F131" si="127">E121</f>
        <v>1765.0714</v>
      </c>
      <c r="F131" s="3">
        <f t="shared" si="127"/>
        <v>0</v>
      </c>
      <c r="G131" s="18">
        <f t="shared" si="124"/>
        <v>1765.0714</v>
      </c>
      <c r="H131" s="5">
        <f t="shared" si="125"/>
        <v>62412.924703999997</v>
      </c>
      <c r="I131" s="5">
        <f t="shared" si="126"/>
        <v>62430.575418</v>
      </c>
    </row>
    <row r="132" spans="1:9" x14ac:dyDescent="0.25">
      <c r="A132" t="s">
        <v>4</v>
      </c>
      <c r="B132" s="1">
        <v>20.68</v>
      </c>
      <c r="C132" s="1">
        <v>20.69</v>
      </c>
      <c r="D132" t="s">
        <v>27</v>
      </c>
      <c r="E132" s="3">
        <f t="shared" ref="E132:F132" si="128">E122</f>
        <v>3014.9661000000001</v>
      </c>
      <c r="F132" s="3">
        <f t="shared" si="128"/>
        <v>0</v>
      </c>
      <c r="G132" s="18">
        <f t="shared" si="124"/>
        <v>3014.9661000000001</v>
      </c>
      <c r="H132" s="5">
        <f t="shared" si="125"/>
        <v>62349.498948</v>
      </c>
      <c r="I132" s="5">
        <f t="shared" si="126"/>
        <v>62379.648609000003</v>
      </c>
    </row>
    <row r="133" spans="1:9" x14ac:dyDescent="0.25">
      <c r="A133" t="s">
        <v>6</v>
      </c>
      <c r="B133" s="1">
        <v>33.85</v>
      </c>
      <c r="C133" s="1">
        <v>33.86</v>
      </c>
      <c r="D133" t="s">
        <v>27</v>
      </c>
      <c r="E133" s="3">
        <f t="shared" ref="E133:F133" si="129">E123</f>
        <v>1842.1306</v>
      </c>
      <c r="F133" s="3">
        <f t="shared" si="129"/>
        <v>0</v>
      </c>
      <c r="G133" s="18">
        <f t="shared" si="124"/>
        <v>1842.1306</v>
      </c>
      <c r="H133" s="5">
        <f t="shared" si="125"/>
        <v>62356.12081</v>
      </c>
      <c r="I133" s="5">
        <f t="shared" si="126"/>
        <v>62374.542115999997</v>
      </c>
    </row>
    <row r="134" spans="1:9" x14ac:dyDescent="0.25">
      <c r="A134" t="s">
        <v>7</v>
      </c>
      <c r="B134" s="1">
        <v>17.579999999999998</v>
      </c>
      <c r="C134" s="1">
        <v>17.59</v>
      </c>
      <c r="D134" t="s">
        <v>27</v>
      </c>
      <c r="E134" s="3">
        <f t="shared" ref="E134:F134" si="130">E124</f>
        <v>3546.6107999999999</v>
      </c>
      <c r="F134" s="3">
        <f t="shared" si="130"/>
        <v>0</v>
      </c>
      <c r="G134" s="18">
        <f t="shared" si="124"/>
        <v>3546.6107999999999</v>
      </c>
      <c r="H134" s="5">
        <f t="shared" si="125"/>
        <v>62349.417863999995</v>
      </c>
      <c r="I134" s="5">
        <f t="shared" si="126"/>
        <v>62384.883971999996</v>
      </c>
    </row>
    <row r="135" spans="1:9" x14ac:dyDescent="0.25">
      <c r="A135" t="s">
        <v>8</v>
      </c>
      <c r="B135" s="1">
        <v>27.58</v>
      </c>
      <c r="C135" s="1">
        <v>27.59</v>
      </c>
      <c r="D135" t="s">
        <v>27</v>
      </c>
      <c r="E135" s="3">
        <f t="shared" ref="E135:F135" si="131">E125</f>
        <v>2261.3508999999999</v>
      </c>
      <c r="F135" s="3">
        <f t="shared" si="131"/>
        <v>-0.1</v>
      </c>
      <c r="G135" s="18">
        <f t="shared" si="124"/>
        <v>2261.2509</v>
      </c>
      <c r="H135" s="5">
        <f t="shared" si="125"/>
        <v>62365.299821999994</v>
      </c>
      <c r="I135" s="5">
        <f t="shared" si="126"/>
        <v>62387.912331</v>
      </c>
    </row>
    <row r="136" spans="1:9" x14ac:dyDescent="0.25">
      <c r="A136" t="s">
        <v>9</v>
      </c>
      <c r="B136" s="1">
        <v>65.86</v>
      </c>
      <c r="C136" s="1">
        <v>65.98</v>
      </c>
      <c r="D136" t="s">
        <v>27</v>
      </c>
      <c r="E136" s="3">
        <f t="shared" ref="E136:F136" si="132">E126</f>
        <v>946.14290000000005</v>
      </c>
      <c r="F136" s="3">
        <f t="shared" si="132"/>
        <v>0</v>
      </c>
      <c r="G136" s="18">
        <f t="shared" si="124"/>
        <v>946.14290000000005</v>
      </c>
      <c r="H136" s="5">
        <f t="shared" si="125"/>
        <v>62312.971394</v>
      </c>
      <c r="I136" s="5">
        <f t="shared" si="126"/>
        <v>62426.50854200001</v>
      </c>
    </row>
    <row r="137" spans="1:9" x14ac:dyDescent="0.25">
      <c r="A137" t="s">
        <v>10</v>
      </c>
      <c r="B137" s="1">
        <v>36.020000000000003</v>
      </c>
      <c r="C137" s="1">
        <v>36.049999999999997</v>
      </c>
      <c r="D137" t="s">
        <v>27</v>
      </c>
      <c r="E137" s="3">
        <f t="shared" ref="E137:F137" si="133">E127</f>
        <v>1730.2367999999999</v>
      </c>
      <c r="F137" s="3">
        <f t="shared" si="133"/>
        <v>0</v>
      </c>
      <c r="G137" s="18">
        <f t="shared" si="124"/>
        <v>1730.2367999999999</v>
      </c>
      <c r="H137" s="5">
        <f t="shared" si="125"/>
        <v>62323.129536</v>
      </c>
      <c r="I137" s="5">
        <f t="shared" si="126"/>
        <v>62375.036639999991</v>
      </c>
    </row>
    <row r="138" spans="1:9" x14ac:dyDescent="0.25">
      <c r="A138" t="s">
        <v>11</v>
      </c>
      <c r="B138" s="1">
        <v>54.27</v>
      </c>
      <c r="C138" s="1">
        <v>54.28</v>
      </c>
      <c r="D138" t="s">
        <v>27</v>
      </c>
      <c r="E138" s="3">
        <f t="shared" ref="E138:F138" si="134">E128</f>
        <v>1148.8611000000001</v>
      </c>
      <c r="F138" s="3">
        <f t="shared" si="134"/>
        <v>0</v>
      </c>
      <c r="G138" s="18">
        <f t="shared" si="124"/>
        <v>1148.8611000000001</v>
      </c>
      <c r="H138" s="5">
        <f t="shared" si="125"/>
        <v>62348.691897000004</v>
      </c>
      <c r="I138" s="5">
        <f t="shared" si="126"/>
        <v>62360.180508000005</v>
      </c>
    </row>
    <row r="139" spans="1:9" x14ac:dyDescent="0.25">
      <c r="A139" t="s">
        <v>12</v>
      </c>
      <c r="B139" s="1">
        <v>48.38</v>
      </c>
      <c r="C139" s="1">
        <v>48.39</v>
      </c>
      <c r="D139" t="s">
        <v>27</v>
      </c>
      <c r="E139" s="3">
        <f t="shared" ref="E139:F139" si="135">E129</f>
        <v>1289.1144999999999</v>
      </c>
      <c r="F139" s="3">
        <f t="shared" si="135"/>
        <v>0.05</v>
      </c>
      <c r="G139" s="18">
        <f t="shared" si="124"/>
        <v>1289.1644999999999</v>
      </c>
      <c r="H139" s="5">
        <f t="shared" si="125"/>
        <v>62369.778509999996</v>
      </c>
      <c r="I139" s="5">
        <f t="shared" si="126"/>
        <v>62382.670154999993</v>
      </c>
    </row>
    <row r="140" spans="1:9" x14ac:dyDescent="0.25">
      <c r="A140" t="s">
        <v>13</v>
      </c>
      <c r="B140" s="1">
        <v>17.63</v>
      </c>
      <c r="C140" s="1">
        <v>17.64</v>
      </c>
      <c r="D140" t="s">
        <v>27</v>
      </c>
      <c r="E140" s="3">
        <f t="shared" ref="E140:F140" si="136">E130</f>
        <v>3535.8029000000001</v>
      </c>
      <c r="F140" s="3">
        <f t="shared" si="136"/>
        <v>0</v>
      </c>
      <c r="G140" s="18">
        <f t="shared" si="124"/>
        <v>3535.8029000000001</v>
      </c>
      <c r="H140" s="5">
        <f t="shared" si="125"/>
        <v>62336.205127000001</v>
      </c>
      <c r="I140" s="5">
        <f t="shared" si="126"/>
        <v>62371.563156000004</v>
      </c>
    </row>
    <row r="141" spans="1:9" x14ac:dyDescent="0.25">
      <c r="A141" t="s">
        <v>14</v>
      </c>
      <c r="B141" s="1">
        <v>35.32</v>
      </c>
      <c r="C141" s="1">
        <v>35.33</v>
      </c>
      <c r="D141" t="s">
        <v>27</v>
      </c>
      <c r="E141" s="3">
        <f t="shared" ref="E141:F141" si="137">E131</f>
        <v>1765.0714</v>
      </c>
      <c r="F141" s="3">
        <f t="shared" si="137"/>
        <v>0</v>
      </c>
      <c r="G141" s="18">
        <f t="shared" si="124"/>
        <v>1765.0714</v>
      </c>
      <c r="H141" s="5">
        <f t="shared" si="125"/>
        <v>62342.321848</v>
      </c>
      <c r="I141" s="5">
        <f t="shared" si="126"/>
        <v>62359.972561999995</v>
      </c>
    </row>
    <row r="142" spans="1:9" x14ac:dyDescent="0.25">
      <c r="A142" t="s">
        <v>4</v>
      </c>
      <c r="B142" s="1">
        <v>20.73</v>
      </c>
      <c r="C142" s="1">
        <v>20.74</v>
      </c>
      <c r="D142" t="s">
        <v>28</v>
      </c>
      <c r="E142" s="3">
        <f t="shared" ref="E142:F142" si="138">E132</f>
        <v>3014.9661000000001</v>
      </c>
      <c r="F142" s="3">
        <f t="shared" si="138"/>
        <v>0</v>
      </c>
      <c r="G142" s="18">
        <f t="shared" si="124"/>
        <v>3014.9661000000001</v>
      </c>
      <c r="H142" s="5">
        <f t="shared" si="125"/>
        <v>62500.247253000001</v>
      </c>
      <c r="I142" s="5">
        <f t="shared" si="126"/>
        <v>62530.396913999997</v>
      </c>
    </row>
    <row r="143" spans="1:9" x14ac:dyDescent="0.25">
      <c r="A143" t="s">
        <v>6</v>
      </c>
      <c r="B143" s="1">
        <v>33.93</v>
      </c>
      <c r="C143" s="1">
        <v>33.94</v>
      </c>
      <c r="D143" t="s">
        <v>28</v>
      </c>
      <c r="E143" s="3">
        <f t="shared" ref="E143:F143" si="139">E133</f>
        <v>1842.1306</v>
      </c>
      <c r="F143" s="3">
        <f t="shared" si="139"/>
        <v>0</v>
      </c>
      <c r="G143" s="18">
        <f t="shared" si="124"/>
        <v>1842.1306</v>
      </c>
      <c r="H143" s="5">
        <f t="shared" si="125"/>
        <v>62503.491257999995</v>
      </c>
      <c r="I143" s="5">
        <f t="shared" si="126"/>
        <v>62521.912563999991</v>
      </c>
    </row>
    <row r="144" spans="1:9" x14ac:dyDescent="0.25">
      <c r="A144" t="s">
        <v>7</v>
      </c>
      <c r="B144" s="1">
        <v>17.62</v>
      </c>
      <c r="C144" s="1">
        <v>17.63</v>
      </c>
      <c r="D144" t="s">
        <v>28</v>
      </c>
      <c r="E144" s="3">
        <f t="shared" ref="E144:F144" si="140">E134</f>
        <v>3546.6107999999999</v>
      </c>
      <c r="F144" s="3">
        <f t="shared" si="140"/>
        <v>0</v>
      </c>
      <c r="G144" s="18">
        <f t="shared" si="124"/>
        <v>3546.6107999999999</v>
      </c>
      <c r="H144" s="5">
        <f t="shared" si="125"/>
        <v>62491.282296000005</v>
      </c>
      <c r="I144" s="5">
        <f t="shared" si="126"/>
        <v>62526.748403999998</v>
      </c>
    </row>
    <row r="145" spans="1:9" x14ac:dyDescent="0.25">
      <c r="A145" t="s">
        <v>8</v>
      </c>
      <c r="B145" s="1">
        <v>27.64</v>
      </c>
      <c r="C145" s="1">
        <v>27.65</v>
      </c>
      <c r="D145" t="s">
        <v>28</v>
      </c>
      <c r="E145" s="3">
        <f t="shared" ref="E145:F145" si="141">E135</f>
        <v>2261.3508999999999</v>
      </c>
      <c r="F145" s="3">
        <f t="shared" si="141"/>
        <v>-0.1</v>
      </c>
      <c r="G145" s="18">
        <f t="shared" si="124"/>
        <v>2261.2509</v>
      </c>
      <c r="H145" s="5">
        <f t="shared" si="125"/>
        <v>62500.974876</v>
      </c>
      <c r="I145" s="5">
        <f t="shared" si="126"/>
        <v>62523.587384999999</v>
      </c>
    </row>
    <row r="146" spans="1:9" x14ac:dyDescent="0.25">
      <c r="A146" t="s">
        <v>9</v>
      </c>
      <c r="B146" s="1">
        <v>66.010000000000005</v>
      </c>
      <c r="C146" s="1">
        <v>66.13</v>
      </c>
      <c r="D146" t="s">
        <v>28</v>
      </c>
      <c r="E146" s="3">
        <f t="shared" ref="E146:F146" si="142">E136</f>
        <v>946.14290000000005</v>
      </c>
      <c r="F146" s="3">
        <f t="shared" si="142"/>
        <v>0</v>
      </c>
      <c r="G146" s="18">
        <f t="shared" si="124"/>
        <v>946.14290000000005</v>
      </c>
      <c r="H146" s="5">
        <f t="shared" si="125"/>
        <v>62454.892829000011</v>
      </c>
      <c r="I146" s="5">
        <f t="shared" si="126"/>
        <v>62568.429977</v>
      </c>
    </row>
    <row r="147" spans="1:9" x14ac:dyDescent="0.25">
      <c r="A147" t="s">
        <v>10</v>
      </c>
      <c r="B147" s="1">
        <v>36.11</v>
      </c>
      <c r="C147" s="1">
        <v>36.130000000000003</v>
      </c>
      <c r="D147" t="s">
        <v>28</v>
      </c>
      <c r="E147" s="3">
        <f t="shared" ref="E147:F147" si="143">E137</f>
        <v>1730.2367999999999</v>
      </c>
      <c r="F147" s="3">
        <f t="shared" si="143"/>
        <v>0</v>
      </c>
      <c r="G147" s="18">
        <f t="shared" si="124"/>
        <v>1730.2367999999999</v>
      </c>
      <c r="H147" s="5">
        <f t="shared" si="125"/>
        <v>62478.850847999995</v>
      </c>
      <c r="I147" s="5">
        <f t="shared" si="126"/>
        <v>62513.455584000003</v>
      </c>
    </row>
    <row r="148" spans="1:9" x14ac:dyDescent="0.25">
      <c r="A148" t="s">
        <v>11</v>
      </c>
      <c r="B148" s="1">
        <v>54.4</v>
      </c>
      <c r="C148" s="1">
        <v>54.41</v>
      </c>
      <c r="D148" t="s">
        <v>28</v>
      </c>
      <c r="E148" s="3">
        <f t="shared" ref="E148:F148" si="144">E138</f>
        <v>1148.8611000000001</v>
      </c>
      <c r="F148" s="3">
        <f t="shared" si="144"/>
        <v>0</v>
      </c>
      <c r="G148" s="18">
        <f t="shared" si="124"/>
        <v>1148.8611000000001</v>
      </c>
      <c r="H148" s="5">
        <f t="shared" si="125"/>
        <v>62498.043840000006</v>
      </c>
      <c r="I148" s="5">
        <f t="shared" si="126"/>
        <v>62509.532450999999</v>
      </c>
    </row>
    <row r="149" spans="1:9" x14ac:dyDescent="0.25">
      <c r="A149" t="s">
        <v>12</v>
      </c>
      <c r="B149" s="1">
        <v>48.49</v>
      </c>
      <c r="C149" s="1">
        <v>48.5</v>
      </c>
      <c r="D149" t="s">
        <v>28</v>
      </c>
      <c r="E149" s="3">
        <f t="shared" ref="E149:F149" si="145">E139</f>
        <v>1289.1144999999999</v>
      </c>
      <c r="F149" s="3">
        <f t="shared" si="145"/>
        <v>0.05</v>
      </c>
      <c r="G149" s="18">
        <f t="shared" si="124"/>
        <v>1289.1644999999999</v>
      </c>
      <c r="H149" s="5">
        <f t="shared" si="125"/>
        <v>62511.586604999997</v>
      </c>
      <c r="I149" s="5">
        <f t="shared" si="126"/>
        <v>62524.478249999993</v>
      </c>
    </row>
    <row r="150" spans="1:9" x14ac:dyDescent="0.25">
      <c r="A150" t="s">
        <v>13</v>
      </c>
      <c r="B150" s="1">
        <v>17.670000000000002</v>
      </c>
      <c r="C150" s="1">
        <v>17.68</v>
      </c>
      <c r="D150" t="s">
        <v>28</v>
      </c>
      <c r="E150" s="3">
        <f t="shared" ref="E150:F150" si="146">E140</f>
        <v>3535.8029000000001</v>
      </c>
      <c r="F150" s="3">
        <f t="shared" si="146"/>
        <v>0</v>
      </c>
      <c r="G150" s="18">
        <f t="shared" si="124"/>
        <v>3535.8029000000001</v>
      </c>
      <c r="H150" s="5">
        <f t="shared" si="125"/>
        <v>62477.637243000012</v>
      </c>
      <c r="I150" s="5">
        <f t="shared" si="126"/>
        <v>62512.995272</v>
      </c>
    </row>
    <row r="151" spans="1:9" x14ac:dyDescent="0.25">
      <c r="A151" t="s">
        <v>14</v>
      </c>
      <c r="B151" s="1">
        <v>35.4</v>
      </c>
      <c r="C151" s="1">
        <v>35.409999999999997</v>
      </c>
      <c r="D151" t="s">
        <v>28</v>
      </c>
      <c r="E151" s="3">
        <f t="shared" ref="E151:F151" si="147">E141</f>
        <v>1765.0714</v>
      </c>
      <c r="F151" s="3">
        <f t="shared" si="147"/>
        <v>0</v>
      </c>
      <c r="G151" s="18">
        <f t="shared" si="124"/>
        <v>1765.0714</v>
      </c>
      <c r="H151" s="5">
        <f t="shared" si="125"/>
        <v>62483.527560000002</v>
      </c>
      <c r="I151" s="5">
        <f t="shared" si="126"/>
        <v>62501.178273999998</v>
      </c>
    </row>
    <row r="152" spans="1:9" x14ac:dyDescent="0.25">
      <c r="A152" t="s">
        <v>4</v>
      </c>
      <c r="B152" s="1">
        <v>20.75</v>
      </c>
      <c r="C152" s="1">
        <v>20.76</v>
      </c>
      <c r="D152" t="s">
        <v>29</v>
      </c>
      <c r="E152" s="3">
        <f t="shared" ref="E152:F152" si="148">E142</f>
        <v>3014.9661000000001</v>
      </c>
      <c r="F152" s="3">
        <f t="shared" si="148"/>
        <v>0</v>
      </c>
      <c r="G152" s="18">
        <f t="shared" si="124"/>
        <v>3014.9661000000001</v>
      </c>
      <c r="H152" s="5">
        <f t="shared" si="125"/>
        <v>62560.546575</v>
      </c>
      <c r="I152" s="5">
        <f t="shared" si="126"/>
        <v>62590.696236000003</v>
      </c>
    </row>
    <row r="153" spans="1:9" x14ac:dyDescent="0.25">
      <c r="A153" t="s">
        <v>6</v>
      </c>
      <c r="B153" s="1">
        <v>33.97</v>
      </c>
      <c r="C153" s="1">
        <v>33.979999999999997</v>
      </c>
      <c r="D153" t="s">
        <v>29</v>
      </c>
      <c r="E153" s="3">
        <f t="shared" ref="E153:F153" si="149">E143</f>
        <v>1842.1306</v>
      </c>
      <c r="F153" s="3">
        <f t="shared" si="149"/>
        <v>0</v>
      </c>
      <c r="G153" s="18">
        <f t="shared" si="124"/>
        <v>1842.1306</v>
      </c>
      <c r="H153" s="5">
        <f t="shared" si="125"/>
        <v>62577.176481999995</v>
      </c>
      <c r="I153" s="5">
        <f t="shared" si="126"/>
        <v>62595.597787999992</v>
      </c>
    </row>
    <row r="154" spans="1:9" x14ac:dyDescent="0.25">
      <c r="A154" t="s">
        <v>7</v>
      </c>
      <c r="B154" s="1">
        <v>17.64</v>
      </c>
      <c r="C154" s="1">
        <v>17.649999999999999</v>
      </c>
      <c r="D154" t="s">
        <v>29</v>
      </c>
      <c r="E154" s="3">
        <f t="shared" ref="E154:F154" si="150">E144</f>
        <v>3546.6107999999999</v>
      </c>
      <c r="F154" s="3">
        <f t="shared" si="150"/>
        <v>0</v>
      </c>
      <c r="G154" s="18">
        <f t="shared" si="124"/>
        <v>3546.6107999999999</v>
      </c>
      <c r="H154" s="5">
        <f t="shared" si="125"/>
        <v>62562.214511999999</v>
      </c>
      <c r="I154" s="5">
        <f t="shared" si="126"/>
        <v>62597.680619999992</v>
      </c>
    </row>
    <row r="155" spans="1:9" x14ac:dyDescent="0.25">
      <c r="A155" t="s">
        <v>8</v>
      </c>
      <c r="B155" s="1">
        <v>27.67</v>
      </c>
      <c r="C155" s="1">
        <v>27.68</v>
      </c>
      <c r="D155" t="s">
        <v>29</v>
      </c>
      <c r="E155" s="3">
        <f t="shared" ref="E155:F155" si="151">E145</f>
        <v>2261.3508999999999</v>
      </c>
      <c r="F155" s="3">
        <f t="shared" si="151"/>
        <v>-0.1</v>
      </c>
      <c r="G155" s="18">
        <f t="shared" si="124"/>
        <v>2261.2509</v>
      </c>
      <c r="H155" s="5">
        <f t="shared" si="125"/>
        <v>62568.812403000004</v>
      </c>
      <c r="I155" s="5">
        <f t="shared" si="126"/>
        <v>62591.424912000002</v>
      </c>
    </row>
    <row r="156" spans="1:9" x14ac:dyDescent="0.25">
      <c r="A156" t="s">
        <v>9</v>
      </c>
      <c r="B156" s="1">
        <v>66.069999999999993</v>
      </c>
      <c r="C156" s="1">
        <v>66.2</v>
      </c>
      <c r="D156" t="s">
        <v>29</v>
      </c>
      <c r="E156" s="3">
        <f t="shared" ref="E156:F156" si="152">E146</f>
        <v>946.14290000000005</v>
      </c>
      <c r="F156" s="3">
        <f t="shared" si="152"/>
        <v>0</v>
      </c>
      <c r="G156" s="18">
        <f t="shared" si="124"/>
        <v>946.14290000000005</v>
      </c>
      <c r="H156" s="5">
        <f t="shared" si="125"/>
        <v>62511.661402999998</v>
      </c>
      <c r="I156" s="5">
        <f t="shared" si="126"/>
        <v>62634.659980000004</v>
      </c>
    </row>
    <row r="157" spans="1:9" x14ac:dyDescent="0.25">
      <c r="A157" t="s">
        <v>10</v>
      </c>
      <c r="B157" s="1">
        <v>36.15</v>
      </c>
      <c r="C157" s="1">
        <v>36.159999999999997</v>
      </c>
      <c r="D157" t="s">
        <v>29</v>
      </c>
      <c r="E157" s="3">
        <f t="shared" ref="E157:F157" si="153">E147</f>
        <v>1730.2367999999999</v>
      </c>
      <c r="F157" s="3">
        <f t="shared" si="153"/>
        <v>0</v>
      </c>
      <c r="G157" s="18">
        <f t="shared" si="124"/>
        <v>1730.2367999999999</v>
      </c>
      <c r="H157" s="5">
        <f t="shared" si="125"/>
        <v>62548.060319999997</v>
      </c>
      <c r="I157" s="5">
        <f t="shared" si="126"/>
        <v>62565.362687999994</v>
      </c>
    </row>
    <row r="158" spans="1:9" x14ac:dyDescent="0.25">
      <c r="A158" t="s">
        <v>11</v>
      </c>
      <c r="B158" s="1">
        <v>54.46</v>
      </c>
      <c r="C158" s="1">
        <v>54.47</v>
      </c>
      <c r="D158" t="s">
        <v>29</v>
      </c>
      <c r="E158" s="3">
        <f t="shared" ref="E158:F158" si="154">E148</f>
        <v>1148.8611000000001</v>
      </c>
      <c r="F158" s="3">
        <f t="shared" si="154"/>
        <v>0</v>
      </c>
      <c r="G158" s="18">
        <f t="shared" si="124"/>
        <v>1148.8611000000001</v>
      </c>
      <c r="H158" s="5">
        <f t="shared" si="125"/>
        <v>62566.975506000002</v>
      </c>
      <c r="I158" s="5">
        <f t="shared" si="126"/>
        <v>62578.464117000003</v>
      </c>
    </row>
    <row r="159" spans="1:9" x14ac:dyDescent="0.25">
      <c r="A159" t="s">
        <v>12</v>
      </c>
      <c r="B159" s="1">
        <v>48.55</v>
      </c>
      <c r="C159" s="1">
        <v>48.56</v>
      </c>
      <c r="D159" t="s">
        <v>29</v>
      </c>
      <c r="E159" s="3">
        <f t="shared" ref="E159:F159" si="155">E149</f>
        <v>1289.1144999999999</v>
      </c>
      <c r="F159" s="3">
        <f t="shared" si="155"/>
        <v>0.05</v>
      </c>
      <c r="G159" s="18">
        <f t="shared" si="124"/>
        <v>1289.1644999999999</v>
      </c>
      <c r="H159" s="5">
        <f t="shared" si="125"/>
        <v>62588.936474999988</v>
      </c>
      <c r="I159" s="5">
        <f t="shared" si="126"/>
        <v>62601.828119999998</v>
      </c>
    </row>
    <row r="160" spans="1:9" x14ac:dyDescent="0.25">
      <c r="A160" t="s">
        <v>13</v>
      </c>
      <c r="B160" s="1">
        <v>17.690000000000001</v>
      </c>
      <c r="C160" s="1">
        <v>17.7</v>
      </c>
      <c r="D160" t="s">
        <v>29</v>
      </c>
      <c r="E160" s="3">
        <f t="shared" ref="E160:F160" si="156">E150</f>
        <v>3535.8029000000001</v>
      </c>
      <c r="F160" s="3">
        <f t="shared" si="156"/>
        <v>0</v>
      </c>
      <c r="G160" s="18">
        <f t="shared" si="124"/>
        <v>3535.8029000000001</v>
      </c>
      <c r="H160" s="5">
        <f t="shared" si="125"/>
        <v>62548.35330100001</v>
      </c>
      <c r="I160" s="5">
        <f t="shared" si="126"/>
        <v>62583.711329999998</v>
      </c>
    </row>
    <row r="161" spans="1:9" x14ac:dyDescent="0.25">
      <c r="A161" t="s">
        <v>14</v>
      </c>
      <c r="B161" s="1">
        <v>35.43</v>
      </c>
      <c r="C161" s="1">
        <v>35.44</v>
      </c>
      <c r="D161" t="s">
        <v>29</v>
      </c>
      <c r="E161" s="3">
        <f t="shared" ref="E161:F161" si="157">E151</f>
        <v>1765.0714</v>
      </c>
      <c r="F161" s="3">
        <f t="shared" si="157"/>
        <v>0</v>
      </c>
      <c r="G161" s="18">
        <f t="shared" si="124"/>
        <v>1765.0714</v>
      </c>
      <c r="H161" s="5">
        <f t="shared" si="125"/>
        <v>62536.479702000004</v>
      </c>
      <c r="I161" s="5">
        <f t="shared" si="126"/>
        <v>62554.130416</v>
      </c>
    </row>
    <row r="162" spans="1:9" x14ac:dyDescent="0.25">
      <c r="A162" t="s">
        <v>4</v>
      </c>
      <c r="B162" s="1">
        <v>20.69</v>
      </c>
      <c r="C162" s="1">
        <v>20.7</v>
      </c>
      <c r="D162" t="s">
        <v>30</v>
      </c>
      <c r="E162" s="3">
        <f t="shared" ref="E162:F162" si="158">E152</f>
        <v>3014.9661000000001</v>
      </c>
      <c r="F162" s="3">
        <f t="shared" si="158"/>
        <v>0</v>
      </c>
      <c r="G162" s="18">
        <f t="shared" si="124"/>
        <v>3014.9661000000001</v>
      </c>
      <c r="H162" s="5">
        <f t="shared" si="125"/>
        <v>62379.648609000003</v>
      </c>
      <c r="I162" s="5">
        <f t="shared" si="126"/>
        <v>62409.798269999999</v>
      </c>
    </row>
    <row r="163" spans="1:9" x14ac:dyDescent="0.25">
      <c r="A163" t="s">
        <v>6</v>
      </c>
      <c r="B163" s="1">
        <v>33.869999999999997</v>
      </c>
      <c r="C163" s="1">
        <v>33.880000000000003</v>
      </c>
      <c r="D163" t="s">
        <v>30</v>
      </c>
      <c r="E163" s="3">
        <f t="shared" ref="E163:F163" si="159">E153</f>
        <v>1842.1306</v>
      </c>
      <c r="F163" s="3">
        <f t="shared" si="159"/>
        <v>0</v>
      </c>
      <c r="G163" s="18">
        <f t="shared" si="124"/>
        <v>1842.1306</v>
      </c>
      <c r="H163" s="5">
        <f t="shared" si="125"/>
        <v>62392.963421999993</v>
      </c>
      <c r="I163" s="5">
        <f t="shared" si="126"/>
        <v>62411.384728000005</v>
      </c>
    </row>
    <row r="164" spans="1:9" x14ac:dyDescent="0.25">
      <c r="A164" t="s">
        <v>7</v>
      </c>
      <c r="B164" s="1">
        <v>17.59</v>
      </c>
      <c r="C164" s="1">
        <v>17.600000000000001</v>
      </c>
      <c r="D164" t="s">
        <v>30</v>
      </c>
      <c r="E164" s="3">
        <f t="shared" ref="E164:F164" si="160">E154</f>
        <v>3546.6107999999999</v>
      </c>
      <c r="F164" s="3">
        <f t="shared" si="160"/>
        <v>0</v>
      </c>
      <c r="G164" s="18">
        <f t="shared" si="124"/>
        <v>3546.6107999999999</v>
      </c>
      <c r="H164" s="5">
        <f t="shared" si="125"/>
        <v>62384.883971999996</v>
      </c>
      <c r="I164" s="5">
        <f t="shared" si="126"/>
        <v>62420.350080000004</v>
      </c>
    </row>
    <row r="165" spans="1:9" x14ac:dyDescent="0.25">
      <c r="A165" t="s">
        <v>8</v>
      </c>
      <c r="B165" s="1">
        <v>27.59</v>
      </c>
      <c r="C165" s="1">
        <v>27.6</v>
      </c>
      <c r="D165" t="s">
        <v>30</v>
      </c>
      <c r="E165" s="3">
        <f t="shared" ref="E165:F165" si="161">E155</f>
        <v>2261.3508999999999</v>
      </c>
      <c r="F165" s="3">
        <f t="shared" si="161"/>
        <v>-0.1</v>
      </c>
      <c r="G165" s="18">
        <f t="shared" si="124"/>
        <v>2261.2509</v>
      </c>
      <c r="H165" s="5">
        <f t="shared" si="125"/>
        <v>62387.912331</v>
      </c>
      <c r="I165" s="5">
        <f t="shared" si="126"/>
        <v>62410.524840000005</v>
      </c>
    </row>
    <row r="166" spans="1:9" x14ac:dyDescent="0.25">
      <c r="A166" t="s">
        <v>9</v>
      </c>
      <c r="B166" s="1">
        <v>65.900000000000006</v>
      </c>
      <c r="C166" s="1">
        <v>66.02</v>
      </c>
      <c r="D166" t="s">
        <v>30</v>
      </c>
      <c r="E166" s="3">
        <f t="shared" ref="E166:F166" si="162">E156</f>
        <v>946.14290000000005</v>
      </c>
      <c r="F166" s="3">
        <f t="shared" si="162"/>
        <v>0</v>
      </c>
      <c r="G166" s="18">
        <f t="shared" si="124"/>
        <v>946.14290000000005</v>
      </c>
      <c r="H166" s="5">
        <f t="shared" si="125"/>
        <v>62350.817110000011</v>
      </c>
      <c r="I166" s="5">
        <f t="shared" si="126"/>
        <v>62464.354257999999</v>
      </c>
    </row>
    <row r="167" spans="1:9" x14ac:dyDescent="0.25">
      <c r="A167" t="s">
        <v>10</v>
      </c>
      <c r="B167" s="1">
        <v>36.04</v>
      </c>
      <c r="C167" s="1">
        <v>36.07</v>
      </c>
      <c r="D167" t="s">
        <v>30</v>
      </c>
      <c r="E167" s="3">
        <f t="shared" ref="E167:F167" si="163">E157</f>
        <v>1730.2367999999999</v>
      </c>
      <c r="F167" s="3">
        <f t="shared" si="163"/>
        <v>0</v>
      </c>
      <c r="G167" s="18">
        <f t="shared" si="124"/>
        <v>1730.2367999999999</v>
      </c>
      <c r="H167" s="5">
        <f t="shared" si="125"/>
        <v>62357.734271999994</v>
      </c>
      <c r="I167" s="5">
        <f t="shared" si="126"/>
        <v>62409.641376</v>
      </c>
    </row>
    <row r="168" spans="1:9" x14ac:dyDescent="0.25">
      <c r="A168" t="s">
        <v>11</v>
      </c>
      <c r="B168" s="1">
        <v>54.3</v>
      </c>
      <c r="C168" s="1">
        <v>54.31</v>
      </c>
      <c r="D168" t="s">
        <v>30</v>
      </c>
      <c r="E168" s="3">
        <f t="shared" ref="E168:F168" si="164">E158</f>
        <v>1148.8611000000001</v>
      </c>
      <c r="F168" s="3">
        <f t="shared" si="164"/>
        <v>0</v>
      </c>
      <c r="G168" s="18">
        <f t="shared" si="124"/>
        <v>1148.8611000000001</v>
      </c>
      <c r="H168" s="5">
        <f t="shared" si="125"/>
        <v>62383.157729999999</v>
      </c>
      <c r="I168" s="5">
        <f t="shared" si="126"/>
        <v>62394.646341000007</v>
      </c>
    </row>
    <row r="169" spans="1:9" x14ac:dyDescent="0.25">
      <c r="A169" t="s">
        <v>12</v>
      </c>
      <c r="B169" s="1">
        <v>48.41</v>
      </c>
      <c r="C169" s="1">
        <v>48.42</v>
      </c>
      <c r="D169" t="s">
        <v>30</v>
      </c>
      <c r="E169" s="3">
        <f t="shared" ref="E169:F169" si="165">E159</f>
        <v>1289.1144999999999</v>
      </c>
      <c r="F169" s="3">
        <f t="shared" si="165"/>
        <v>0.05</v>
      </c>
      <c r="G169" s="18">
        <f t="shared" si="124"/>
        <v>1289.1644999999999</v>
      </c>
      <c r="H169" s="5">
        <f t="shared" si="125"/>
        <v>62408.453444999992</v>
      </c>
      <c r="I169" s="5">
        <f t="shared" si="126"/>
        <v>62421.345089999995</v>
      </c>
    </row>
    <row r="170" spans="1:9" x14ac:dyDescent="0.25">
      <c r="A170" t="s">
        <v>13</v>
      </c>
      <c r="B170" s="1">
        <v>17.64</v>
      </c>
      <c r="C170" s="1">
        <v>17.649999999999999</v>
      </c>
      <c r="D170" t="s">
        <v>30</v>
      </c>
      <c r="E170" s="3">
        <f t="shared" ref="E170:F170" si="166">E160</f>
        <v>3535.8029000000001</v>
      </c>
      <c r="F170" s="3">
        <f t="shared" si="166"/>
        <v>0</v>
      </c>
      <c r="G170" s="18">
        <f t="shared" si="124"/>
        <v>3535.8029000000001</v>
      </c>
      <c r="H170" s="5">
        <f t="shared" si="125"/>
        <v>62371.563156000004</v>
      </c>
      <c r="I170" s="5">
        <f t="shared" si="126"/>
        <v>62406.921184999999</v>
      </c>
    </row>
    <row r="171" spans="1:9" x14ac:dyDescent="0.25">
      <c r="A171" t="s">
        <v>14</v>
      </c>
      <c r="B171" s="1">
        <v>35.340000000000003</v>
      </c>
      <c r="C171" s="1">
        <v>35.35</v>
      </c>
      <c r="D171" t="s">
        <v>30</v>
      </c>
      <c r="E171" s="3">
        <f t="shared" ref="E171:F171" si="167">E161</f>
        <v>1765.0714</v>
      </c>
      <c r="F171" s="3">
        <f t="shared" si="167"/>
        <v>0</v>
      </c>
      <c r="G171" s="18">
        <f t="shared" si="124"/>
        <v>1765.0714</v>
      </c>
      <c r="H171" s="5">
        <f t="shared" si="125"/>
        <v>62377.623276000006</v>
      </c>
      <c r="I171" s="5">
        <f t="shared" si="126"/>
        <v>62395.273990000002</v>
      </c>
    </row>
    <row r="172" spans="1:9" x14ac:dyDescent="0.25">
      <c r="A172" t="s">
        <v>4</v>
      </c>
      <c r="B172" s="1">
        <v>20.63</v>
      </c>
      <c r="C172" s="1">
        <v>20.64</v>
      </c>
      <c r="D172" t="s">
        <v>31</v>
      </c>
      <c r="E172" s="3">
        <f t="shared" ref="E172:F172" si="168">E162</f>
        <v>3014.9661000000001</v>
      </c>
      <c r="F172" s="3">
        <f t="shared" si="168"/>
        <v>0</v>
      </c>
      <c r="G172" s="18">
        <f t="shared" si="124"/>
        <v>3014.9661000000001</v>
      </c>
      <c r="H172" s="5">
        <f t="shared" si="125"/>
        <v>62198.750642999999</v>
      </c>
      <c r="I172" s="5">
        <f t="shared" si="126"/>
        <v>62228.900304000003</v>
      </c>
    </row>
    <row r="173" spans="1:9" x14ac:dyDescent="0.25">
      <c r="A173" t="s">
        <v>6</v>
      </c>
      <c r="B173" s="1">
        <v>33.76</v>
      </c>
      <c r="C173" s="1">
        <v>33.770000000000003</v>
      </c>
      <c r="D173" t="s">
        <v>31</v>
      </c>
      <c r="E173" s="3">
        <f t="shared" ref="E173:F173" si="169">E163</f>
        <v>1842.1306</v>
      </c>
      <c r="F173" s="3">
        <f t="shared" si="169"/>
        <v>0</v>
      </c>
      <c r="G173" s="18">
        <f t="shared" si="124"/>
        <v>1842.1306</v>
      </c>
      <c r="H173" s="5">
        <f t="shared" si="125"/>
        <v>62190.329055999995</v>
      </c>
      <c r="I173" s="5">
        <f t="shared" si="126"/>
        <v>62208.750362000006</v>
      </c>
    </row>
    <row r="174" spans="1:9" x14ac:dyDescent="0.25">
      <c r="A174" t="s">
        <v>7</v>
      </c>
      <c r="B174" s="1">
        <v>17.53</v>
      </c>
      <c r="C174" s="1">
        <v>17.54</v>
      </c>
      <c r="D174" t="s">
        <v>31</v>
      </c>
      <c r="E174" s="3">
        <f t="shared" ref="E174:F174" si="170">E164</f>
        <v>3546.6107999999999</v>
      </c>
      <c r="F174" s="3">
        <f t="shared" si="170"/>
        <v>0</v>
      </c>
      <c r="G174" s="18">
        <f t="shared" si="124"/>
        <v>3546.6107999999999</v>
      </c>
      <c r="H174" s="5">
        <f t="shared" si="125"/>
        <v>62172.087324</v>
      </c>
      <c r="I174" s="5">
        <f t="shared" si="126"/>
        <v>62207.553431999993</v>
      </c>
    </row>
    <row r="175" spans="1:9" x14ac:dyDescent="0.25">
      <c r="A175" t="s">
        <v>8</v>
      </c>
      <c r="B175" s="1">
        <v>27.51</v>
      </c>
      <c r="C175" s="1">
        <v>27.52</v>
      </c>
      <c r="D175" t="s">
        <v>31</v>
      </c>
      <c r="E175" s="3">
        <f t="shared" ref="E175:F175" si="171">E165</f>
        <v>2261.3508999999999</v>
      </c>
      <c r="F175" s="3">
        <f t="shared" si="171"/>
        <v>-0.1</v>
      </c>
      <c r="G175" s="18">
        <f t="shared" si="124"/>
        <v>2261.2509</v>
      </c>
      <c r="H175" s="5">
        <f t="shared" si="125"/>
        <v>62207.012259000003</v>
      </c>
      <c r="I175" s="5">
        <f t="shared" si="126"/>
        <v>62229.624768000001</v>
      </c>
    </row>
    <row r="176" spans="1:9" x14ac:dyDescent="0.25">
      <c r="A176" t="s">
        <v>9</v>
      </c>
      <c r="B176" s="1">
        <v>65.69</v>
      </c>
      <c r="C176" s="1">
        <v>65.819999999999993</v>
      </c>
      <c r="D176" t="s">
        <v>31</v>
      </c>
      <c r="E176" s="3">
        <f t="shared" ref="E176:F176" si="172">E166</f>
        <v>946.14290000000005</v>
      </c>
      <c r="F176" s="3">
        <f t="shared" si="172"/>
        <v>0</v>
      </c>
      <c r="G176" s="18">
        <f t="shared" si="124"/>
        <v>946.14290000000005</v>
      </c>
      <c r="H176" s="5">
        <f t="shared" si="125"/>
        <v>62152.127100999998</v>
      </c>
      <c r="I176" s="5">
        <f t="shared" si="126"/>
        <v>62275.125677999997</v>
      </c>
    </row>
    <row r="177" spans="1:9" x14ac:dyDescent="0.25">
      <c r="A177" t="s">
        <v>10</v>
      </c>
      <c r="B177" s="1">
        <v>35.93</v>
      </c>
      <c r="C177" s="1">
        <v>35.96</v>
      </c>
      <c r="D177" t="s">
        <v>31</v>
      </c>
      <c r="E177" s="3">
        <f t="shared" ref="E177:F177" si="173">E167</f>
        <v>1730.2367999999999</v>
      </c>
      <c r="F177" s="3">
        <f t="shared" si="173"/>
        <v>0</v>
      </c>
      <c r="G177" s="18">
        <f t="shared" si="124"/>
        <v>1730.2367999999999</v>
      </c>
      <c r="H177" s="5">
        <f t="shared" si="125"/>
        <v>62167.408223999999</v>
      </c>
      <c r="I177" s="5">
        <f t="shared" si="126"/>
        <v>62219.315327999997</v>
      </c>
    </row>
    <row r="178" spans="1:9" x14ac:dyDescent="0.25">
      <c r="A178" t="s">
        <v>11</v>
      </c>
      <c r="B178" s="1">
        <v>54.13</v>
      </c>
      <c r="C178" s="1">
        <v>54.14</v>
      </c>
      <c r="D178" t="s">
        <v>31</v>
      </c>
      <c r="E178" s="3">
        <f t="shared" ref="E178:F178" si="174">E168</f>
        <v>1148.8611000000001</v>
      </c>
      <c r="F178" s="3">
        <f t="shared" si="174"/>
        <v>0</v>
      </c>
      <c r="G178" s="18">
        <f t="shared" si="124"/>
        <v>1148.8611000000001</v>
      </c>
      <c r="H178" s="5">
        <f t="shared" si="125"/>
        <v>62187.851343000009</v>
      </c>
      <c r="I178" s="5">
        <f t="shared" si="126"/>
        <v>62199.339954000003</v>
      </c>
    </row>
    <row r="179" spans="1:9" x14ac:dyDescent="0.25">
      <c r="A179" t="s">
        <v>12</v>
      </c>
      <c r="B179" s="1">
        <v>48.26</v>
      </c>
      <c r="C179" s="1">
        <v>48.27</v>
      </c>
      <c r="D179" t="s">
        <v>31</v>
      </c>
      <c r="E179" s="3">
        <f t="shared" ref="E179:F179" si="175">E169</f>
        <v>1289.1144999999999</v>
      </c>
      <c r="F179" s="3">
        <f t="shared" si="175"/>
        <v>0.05</v>
      </c>
      <c r="G179" s="18">
        <f t="shared" si="124"/>
        <v>1289.1644999999999</v>
      </c>
      <c r="H179" s="5">
        <f t="shared" si="125"/>
        <v>62215.078769999993</v>
      </c>
      <c r="I179" s="5">
        <f t="shared" si="126"/>
        <v>62227.970414999996</v>
      </c>
    </row>
    <row r="180" spans="1:9" x14ac:dyDescent="0.25">
      <c r="A180" t="s">
        <v>13</v>
      </c>
      <c r="B180" s="1">
        <v>17.579999999999998</v>
      </c>
      <c r="C180" s="1">
        <v>17.59</v>
      </c>
      <c r="D180" t="s">
        <v>31</v>
      </c>
      <c r="E180" s="3">
        <f t="shared" ref="E180:F180" si="176">E170</f>
        <v>3535.8029000000001</v>
      </c>
      <c r="F180" s="3">
        <f t="shared" si="176"/>
        <v>0</v>
      </c>
      <c r="G180" s="18">
        <f t="shared" si="124"/>
        <v>3535.8029000000001</v>
      </c>
      <c r="H180" s="5">
        <f t="shared" si="125"/>
        <v>62159.414981999995</v>
      </c>
      <c r="I180" s="5">
        <f t="shared" si="126"/>
        <v>62194.773011000005</v>
      </c>
    </row>
    <row r="181" spans="1:9" x14ac:dyDescent="0.25">
      <c r="A181" t="s">
        <v>14</v>
      </c>
      <c r="B181" s="1">
        <v>35.22</v>
      </c>
      <c r="C181" s="1">
        <v>35.229999999999997</v>
      </c>
      <c r="D181" t="s">
        <v>31</v>
      </c>
      <c r="E181" s="3">
        <f t="shared" ref="E181:F181" si="177">E171</f>
        <v>1765.0714</v>
      </c>
      <c r="F181" s="3">
        <f t="shared" si="177"/>
        <v>0</v>
      </c>
      <c r="G181" s="18">
        <f t="shared" si="124"/>
        <v>1765.0714</v>
      </c>
      <c r="H181" s="5">
        <f t="shared" si="125"/>
        <v>62165.814707999998</v>
      </c>
      <c r="I181" s="5">
        <f t="shared" si="126"/>
        <v>62183.465421999994</v>
      </c>
    </row>
    <row r="182" spans="1:9" x14ac:dyDescent="0.25">
      <c r="A182" t="s">
        <v>4</v>
      </c>
      <c r="B182" s="1">
        <v>20.66</v>
      </c>
      <c r="C182" s="1">
        <v>20.67</v>
      </c>
      <c r="D182" t="s">
        <v>32</v>
      </c>
      <c r="E182" s="3">
        <f t="shared" ref="E182:F182" si="178">E172</f>
        <v>3014.9661000000001</v>
      </c>
      <c r="F182" s="3">
        <f t="shared" si="178"/>
        <v>0</v>
      </c>
      <c r="G182" s="18">
        <f t="shared" si="124"/>
        <v>3014.9661000000001</v>
      </c>
      <c r="H182" s="5">
        <f t="shared" si="125"/>
        <v>62289.199626000001</v>
      </c>
      <c r="I182" s="5">
        <f t="shared" si="126"/>
        <v>62319.349287000005</v>
      </c>
    </row>
    <row r="183" spans="1:9" x14ac:dyDescent="0.25">
      <c r="A183" t="s">
        <v>6</v>
      </c>
      <c r="B183" s="1">
        <v>33.81</v>
      </c>
      <c r="C183" s="1">
        <v>33.82</v>
      </c>
      <c r="D183" t="s">
        <v>32</v>
      </c>
      <c r="E183" s="3">
        <f t="shared" ref="E183:F183" si="179">E173</f>
        <v>1842.1306</v>
      </c>
      <c r="F183" s="3">
        <f t="shared" si="179"/>
        <v>0</v>
      </c>
      <c r="G183" s="18">
        <f t="shared" si="124"/>
        <v>1842.1306</v>
      </c>
      <c r="H183" s="5">
        <f t="shared" si="125"/>
        <v>62282.435586</v>
      </c>
      <c r="I183" s="5">
        <f t="shared" si="126"/>
        <v>62300.856891999996</v>
      </c>
    </row>
    <row r="184" spans="1:9" x14ac:dyDescent="0.25">
      <c r="A184" t="s">
        <v>7</v>
      </c>
      <c r="B184" s="1">
        <v>17.559999999999999</v>
      </c>
      <c r="C184" s="1">
        <v>17.57</v>
      </c>
      <c r="D184" t="s">
        <v>32</v>
      </c>
      <c r="E184" s="3">
        <f t="shared" ref="E184:F184" si="180">E174</f>
        <v>3546.6107999999999</v>
      </c>
      <c r="F184" s="3">
        <f t="shared" si="180"/>
        <v>0</v>
      </c>
      <c r="G184" s="18">
        <f t="shared" si="124"/>
        <v>3546.6107999999999</v>
      </c>
      <c r="H184" s="5">
        <f t="shared" si="125"/>
        <v>62278.485647999994</v>
      </c>
      <c r="I184" s="5">
        <f t="shared" si="126"/>
        <v>62313.951756000002</v>
      </c>
    </row>
    <row r="185" spans="1:9" x14ac:dyDescent="0.25">
      <c r="A185" t="s">
        <v>8</v>
      </c>
      <c r="B185" s="1">
        <v>27.54</v>
      </c>
      <c r="C185" s="1">
        <v>27.55</v>
      </c>
      <c r="D185" t="s">
        <v>32</v>
      </c>
      <c r="E185" s="3">
        <f t="shared" ref="E185:F185" si="181">E175</f>
        <v>2261.3508999999999</v>
      </c>
      <c r="F185" s="3">
        <f t="shared" si="181"/>
        <v>-0.1</v>
      </c>
      <c r="G185" s="18">
        <f t="shared" si="124"/>
        <v>2261.2509</v>
      </c>
      <c r="H185" s="5">
        <f t="shared" si="125"/>
        <v>62274.849785999999</v>
      </c>
      <c r="I185" s="5">
        <f t="shared" si="126"/>
        <v>62297.462295000005</v>
      </c>
    </row>
    <row r="186" spans="1:9" x14ac:dyDescent="0.25">
      <c r="A186" t="s">
        <v>9</v>
      </c>
      <c r="B186" s="1">
        <v>65.77</v>
      </c>
      <c r="C186" s="1">
        <v>65.88</v>
      </c>
      <c r="D186" t="s">
        <v>32</v>
      </c>
      <c r="E186" s="3">
        <f t="shared" ref="E186:F186" si="182">E176</f>
        <v>946.14290000000005</v>
      </c>
      <c r="F186" s="3">
        <f t="shared" si="182"/>
        <v>0</v>
      </c>
      <c r="G186" s="18">
        <f t="shared" si="124"/>
        <v>946.14290000000005</v>
      </c>
      <c r="H186" s="5">
        <f t="shared" si="125"/>
        <v>62227.818532999998</v>
      </c>
      <c r="I186" s="5">
        <f t="shared" si="126"/>
        <v>62331.894251999998</v>
      </c>
    </row>
    <row r="187" spans="1:9" x14ac:dyDescent="0.25">
      <c r="A187" t="s">
        <v>10</v>
      </c>
      <c r="B187" s="1">
        <v>35.979999999999997</v>
      </c>
      <c r="C187" s="1">
        <v>36</v>
      </c>
      <c r="D187" t="s">
        <v>32</v>
      </c>
      <c r="E187" s="3">
        <f t="shared" ref="E187:F187" si="183">E177</f>
        <v>1730.2367999999999</v>
      </c>
      <c r="F187" s="3">
        <f t="shared" si="183"/>
        <v>0</v>
      </c>
      <c r="G187" s="18">
        <f t="shared" si="124"/>
        <v>1730.2367999999999</v>
      </c>
      <c r="H187" s="5">
        <f t="shared" si="125"/>
        <v>62253.920063999991</v>
      </c>
      <c r="I187" s="5">
        <f t="shared" si="126"/>
        <v>62288.524799999999</v>
      </c>
    </row>
    <row r="188" spans="1:9" x14ac:dyDescent="0.25">
      <c r="A188" t="s">
        <v>11</v>
      </c>
      <c r="B188" s="1">
        <v>54.21</v>
      </c>
      <c r="C188" s="1">
        <v>54.22</v>
      </c>
      <c r="D188" t="s">
        <v>32</v>
      </c>
      <c r="E188" s="3">
        <f t="shared" ref="E188:F188" si="184">E178</f>
        <v>1148.8611000000001</v>
      </c>
      <c r="F188" s="3">
        <f t="shared" si="184"/>
        <v>0</v>
      </c>
      <c r="G188" s="18">
        <f t="shared" si="124"/>
        <v>1148.8611000000001</v>
      </c>
      <c r="H188" s="5">
        <f t="shared" si="125"/>
        <v>62279.760231000007</v>
      </c>
      <c r="I188" s="5">
        <f t="shared" si="126"/>
        <v>62291.248842000001</v>
      </c>
    </row>
    <row r="189" spans="1:9" x14ac:dyDescent="0.25">
      <c r="A189" t="s">
        <v>12</v>
      </c>
      <c r="B189" s="1">
        <v>48.33</v>
      </c>
      <c r="C189" s="1">
        <v>48.34</v>
      </c>
      <c r="D189" t="s">
        <v>32</v>
      </c>
      <c r="E189" s="3">
        <f t="shared" ref="E189:F189" si="185">E179</f>
        <v>1289.1144999999999</v>
      </c>
      <c r="F189" s="3">
        <f t="shared" si="185"/>
        <v>0.05</v>
      </c>
      <c r="G189" s="18">
        <f t="shared" si="124"/>
        <v>1289.1644999999999</v>
      </c>
      <c r="H189" s="5">
        <f t="shared" si="125"/>
        <v>62305.320284999994</v>
      </c>
      <c r="I189" s="5">
        <f t="shared" si="126"/>
        <v>62318.211929999998</v>
      </c>
    </row>
    <row r="190" spans="1:9" x14ac:dyDescent="0.25">
      <c r="A190" t="s">
        <v>13</v>
      </c>
      <c r="B190" s="1">
        <v>17.61</v>
      </c>
      <c r="C190" s="1">
        <v>17.62</v>
      </c>
      <c r="D190" t="s">
        <v>32</v>
      </c>
      <c r="E190" s="3">
        <f t="shared" ref="E190:F190" si="186">E180</f>
        <v>3535.8029000000001</v>
      </c>
      <c r="F190" s="3">
        <f t="shared" si="186"/>
        <v>0</v>
      </c>
      <c r="G190" s="18">
        <f t="shared" si="124"/>
        <v>3535.8029000000001</v>
      </c>
      <c r="H190" s="5">
        <f t="shared" si="125"/>
        <v>62265.489069000003</v>
      </c>
      <c r="I190" s="5">
        <f t="shared" si="126"/>
        <v>62300.847098000006</v>
      </c>
    </row>
    <row r="191" spans="1:9" x14ac:dyDescent="0.25">
      <c r="A191" t="s">
        <v>14</v>
      </c>
      <c r="B191" s="1">
        <v>35.270000000000003</v>
      </c>
      <c r="C191" s="1">
        <v>35.28</v>
      </c>
      <c r="D191" t="s">
        <v>32</v>
      </c>
      <c r="E191" s="3">
        <f t="shared" ref="E191:F191" si="187">E181</f>
        <v>1765.0714</v>
      </c>
      <c r="F191" s="3">
        <f t="shared" si="187"/>
        <v>0</v>
      </c>
      <c r="G191" s="18">
        <f t="shared" si="124"/>
        <v>1765.0714</v>
      </c>
      <c r="H191" s="5">
        <f t="shared" si="125"/>
        <v>62254.068278000006</v>
      </c>
      <c r="I191" s="5">
        <f t="shared" si="126"/>
        <v>62271.718992000002</v>
      </c>
    </row>
    <row r="192" spans="1:9" x14ac:dyDescent="0.25">
      <c r="A192" t="s">
        <v>4</v>
      </c>
      <c r="B192" s="1">
        <v>20.64</v>
      </c>
      <c r="C192" s="1">
        <v>20.65</v>
      </c>
      <c r="D192" t="s">
        <v>33</v>
      </c>
      <c r="E192" s="3">
        <f t="shared" ref="E192:F192" si="188">E182</f>
        <v>3014.9661000000001</v>
      </c>
      <c r="F192" s="3">
        <f t="shared" si="188"/>
        <v>0</v>
      </c>
      <c r="G192" s="18">
        <f t="shared" si="124"/>
        <v>3014.9661000000001</v>
      </c>
      <c r="H192" s="5">
        <f t="shared" si="125"/>
        <v>62228.900304000003</v>
      </c>
      <c r="I192" s="5">
        <f t="shared" si="126"/>
        <v>62259.049964999998</v>
      </c>
    </row>
    <row r="193" spans="1:9" x14ac:dyDescent="0.25">
      <c r="A193" t="s">
        <v>6</v>
      </c>
      <c r="B193" s="1">
        <v>33.78</v>
      </c>
      <c r="C193" s="1">
        <v>33.79</v>
      </c>
      <c r="D193" t="s">
        <v>33</v>
      </c>
      <c r="E193" s="3">
        <f t="shared" ref="E193:F193" si="189">E183</f>
        <v>1842.1306</v>
      </c>
      <c r="F193" s="3">
        <f t="shared" si="189"/>
        <v>0</v>
      </c>
      <c r="G193" s="18">
        <f t="shared" si="124"/>
        <v>1842.1306</v>
      </c>
      <c r="H193" s="5">
        <f t="shared" si="125"/>
        <v>62227.171668000003</v>
      </c>
      <c r="I193" s="5">
        <f t="shared" si="126"/>
        <v>62245.592973999999</v>
      </c>
    </row>
    <row r="194" spans="1:9" x14ac:dyDescent="0.25">
      <c r="A194" t="s">
        <v>7</v>
      </c>
      <c r="B194" s="1">
        <v>17.54</v>
      </c>
      <c r="C194" s="1">
        <v>17.55</v>
      </c>
      <c r="D194" t="s">
        <v>33</v>
      </c>
      <c r="E194" s="3">
        <f t="shared" ref="E194:F194" si="190">E184</f>
        <v>3546.6107999999999</v>
      </c>
      <c r="F194" s="3">
        <f t="shared" si="190"/>
        <v>0</v>
      </c>
      <c r="G194" s="18">
        <f t="shared" ref="G194:G251" si="191">E194+F194</f>
        <v>3546.6107999999999</v>
      </c>
      <c r="H194" s="5">
        <f t="shared" ref="H194:H251" si="192">B194*G194</f>
        <v>62207.553431999993</v>
      </c>
      <c r="I194" s="5">
        <f t="shared" ref="I194:I251" si="193">C194*G194</f>
        <v>62243.019540000001</v>
      </c>
    </row>
    <row r="195" spans="1:9" x14ac:dyDescent="0.25">
      <c r="A195" t="s">
        <v>8</v>
      </c>
      <c r="B195" s="1">
        <v>27.51</v>
      </c>
      <c r="C195" s="1">
        <v>27.52</v>
      </c>
      <c r="D195" t="s">
        <v>33</v>
      </c>
      <c r="E195" s="3">
        <f t="shared" ref="E195:F195" si="194">E185</f>
        <v>2261.3508999999999</v>
      </c>
      <c r="F195" s="3">
        <f t="shared" si="194"/>
        <v>-0.1</v>
      </c>
      <c r="G195" s="18">
        <f t="shared" si="191"/>
        <v>2261.2509</v>
      </c>
      <c r="H195" s="5">
        <f t="shared" si="192"/>
        <v>62207.012259000003</v>
      </c>
      <c r="I195" s="5">
        <f t="shared" si="193"/>
        <v>62229.624768000001</v>
      </c>
    </row>
    <row r="196" spans="1:9" x14ac:dyDescent="0.25">
      <c r="A196" t="s">
        <v>9</v>
      </c>
      <c r="B196" s="1">
        <v>65.7</v>
      </c>
      <c r="C196" s="1">
        <v>65.83</v>
      </c>
      <c r="D196" t="s">
        <v>33</v>
      </c>
      <c r="E196" s="3">
        <f t="shared" ref="E196:F196" si="195">E186</f>
        <v>946.14290000000005</v>
      </c>
      <c r="F196" s="3">
        <f t="shared" si="195"/>
        <v>0</v>
      </c>
      <c r="G196" s="18">
        <f t="shared" si="191"/>
        <v>946.14290000000005</v>
      </c>
      <c r="H196" s="5">
        <f t="shared" si="192"/>
        <v>62161.588530000008</v>
      </c>
      <c r="I196" s="5">
        <f t="shared" si="193"/>
        <v>62284.587106999999</v>
      </c>
    </row>
    <row r="197" spans="1:9" x14ac:dyDescent="0.25">
      <c r="A197" t="s">
        <v>10</v>
      </c>
      <c r="B197" s="1">
        <v>35.94</v>
      </c>
      <c r="C197" s="1">
        <v>35.96</v>
      </c>
      <c r="D197" t="s">
        <v>33</v>
      </c>
      <c r="E197" s="3">
        <f t="shared" ref="E197:F197" si="196">E187</f>
        <v>1730.2367999999999</v>
      </c>
      <c r="F197" s="3">
        <f t="shared" si="196"/>
        <v>0</v>
      </c>
      <c r="G197" s="18">
        <f t="shared" si="191"/>
        <v>1730.2367999999999</v>
      </c>
      <c r="H197" s="5">
        <f t="shared" si="192"/>
        <v>62184.710591999996</v>
      </c>
      <c r="I197" s="5">
        <f t="shared" si="193"/>
        <v>62219.315327999997</v>
      </c>
    </row>
    <row r="198" spans="1:9" x14ac:dyDescent="0.25">
      <c r="A198" t="s">
        <v>11</v>
      </c>
      <c r="B198" s="1">
        <v>54.15</v>
      </c>
      <c r="C198" s="1">
        <v>54.16</v>
      </c>
      <c r="D198" t="s">
        <v>33</v>
      </c>
      <c r="E198" s="3">
        <f t="shared" ref="E198:F198" si="197">E188</f>
        <v>1148.8611000000001</v>
      </c>
      <c r="F198" s="3">
        <f t="shared" si="197"/>
        <v>0</v>
      </c>
      <c r="G198" s="18">
        <f t="shared" si="191"/>
        <v>1148.8611000000001</v>
      </c>
      <c r="H198" s="5">
        <f t="shared" si="192"/>
        <v>62210.828565000003</v>
      </c>
      <c r="I198" s="5">
        <f t="shared" si="193"/>
        <v>62222.317175999997</v>
      </c>
    </row>
    <row r="199" spans="1:9" x14ac:dyDescent="0.25">
      <c r="A199" t="s">
        <v>12</v>
      </c>
      <c r="B199" s="1">
        <v>48.28</v>
      </c>
      <c r="C199" s="1">
        <v>48.29</v>
      </c>
      <c r="D199" t="s">
        <v>33</v>
      </c>
      <c r="E199" s="3">
        <f t="shared" ref="E199:F199" si="198">E189</f>
        <v>1289.1144999999999</v>
      </c>
      <c r="F199" s="3">
        <f t="shared" si="198"/>
        <v>0.05</v>
      </c>
      <c r="G199" s="18">
        <f t="shared" si="191"/>
        <v>1289.1644999999999</v>
      </c>
      <c r="H199" s="5">
        <f t="shared" si="192"/>
        <v>62240.862059999992</v>
      </c>
      <c r="I199" s="5">
        <f t="shared" si="193"/>
        <v>62253.753704999996</v>
      </c>
    </row>
    <row r="200" spans="1:9" x14ac:dyDescent="0.25">
      <c r="A200" t="s">
        <v>13</v>
      </c>
      <c r="B200" s="1">
        <v>17.59</v>
      </c>
      <c r="C200" s="1">
        <v>17.600000000000001</v>
      </c>
      <c r="D200" t="s">
        <v>33</v>
      </c>
      <c r="E200" s="3">
        <f t="shared" ref="E200:F200" si="199">E190</f>
        <v>3535.8029000000001</v>
      </c>
      <c r="F200" s="3">
        <f t="shared" si="199"/>
        <v>0</v>
      </c>
      <c r="G200" s="18">
        <f t="shared" si="191"/>
        <v>3535.8029000000001</v>
      </c>
      <c r="H200" s="5">
        <f t="shared" si="192"/>
        <v>62194.773011000005</v>
      </c>
      <c r="I200" s="5">
        <f t="shared" si="193"/>
        <v>62230.131040000007</v>
      </c>
    </row>
    <row r="201" spans="1:9" x14ac:dyDescent="0.25">
      <c r="A201" t="s">
        <v>14</v>
      </c>
      <c r="B201" s="1">
        <v>35.24</v>
      </c>
      <c r="C201" s="1">
        <v>35.25</v>
      </c>
      <c r="D201" t="s">
        <v>33</v>
      </c>
      <c r="E201" s="3">
        <f t="shared" ref="E201:F201" si="200">E191</f>
        <v>1765.0714</v>
      </c>
      <c r="F201" s="3">
        <f t="shared" si="200"/>
        <v>0</v>
      </c>
      <c r="G201" s="18">
        <f t="shared" si="191"/>
        <v>1765.0714</v>
      </c>
      <c r="H201" s="5">
        <f t="shared" si="192"/>
        <v>62201.116136000004</v>
      </c>
      <c r="I201" s="5">
        <f t="shared" si="193"/>
        <v>62218.76685</v>
      </c>
    </row>
    <row r="202" spans="1:9" x14ac:dyDescent="0.25">
      <c r="A202" t="s">
        <v>4</v>
      </c>
      <c r="B202" s="1">
        <v>20.64</v>
      </c>
      <c r="C202" s="1">
        <v>20.65</v>
      </c>
      <c r="D202" t="s">
        <v>34</v>
      </c>
      <c r="E202" s="3">
        <f t="shared" ref="E202:F202" si="201">E192</f>
        <v>3014.9661000000001</v>
      </c>
      <c r="F202" s="3">
        <f t="shared" si="201"/>
        <v>0</v>
      </c>
      <c r="G202" s="18">
        <f t="shared" si="191"/>
        <v>3014.9661000000001</v>
      </c>
      <c r="H202" s="5">
        <f t="shared" si="192"/>
        <v>62228.900304000003</v>
      </c>
      <c r="I202" s="5">
        <f t="shared" si="193"/>
        <v>62259.049964999998</v>
      </c>
    </row>
    <row r="203" spans="1:9" x14ac:dyDescent="0.25">
      <c r="A203" t="s">
        <v>6</v>
      </c>
      <c r="B203" s="1">
        <v>33.78</v>
      </c>
      <c r="C203" s="1">
        <v>33.79</v>
      </c>
      <c r="D203" t="s">
        <v>34</v>
      </c>
      <c r="E203" s="3">
        <f t="shared" ref="E203:F203" si="202">E193</f>
        <v>1842.1306</v>
      </c>
      <c r="F203" s="3">
        <f t="shared" si="202"/>
        <v>0</v>
      </c>
      <c r="G203" s="18">
        <f t="shared" si="191"/>
        <v>1842.1306</v>
      </c>
      <c r="H203" s="5">
        <f t="shared" si="192"/>
        <v>62227.171668000003</v>
      </c>
      <c r="I203" s="5">
        <f t="shared" si="193"/>
        <v>62245.592973999999</v>
      </c>
    </row>
    <row r="204" spans="1:9" x14ac:dyDescent="0.25">
      <c r="A204" t="s">
        <v>7</v>
      </c>
      <c r="B204" s="1">
        <v>17.54</v>
      </c>
      <c r="C204" s="1">
        <v>17.55</v>
      </c>
      <c r="D204" t="s">
        <v>34</v>
      </c>
      <c r="E204" s="3">
        <f t="shared" ref="E204:F204" si="203">E194</f>
        <v>3546.6107999999999</v>
      </c>
      <c r="F204" s="3">
        <f t="shared" si="203"/>
        <v>0</v>
      </c>
      <c r="G204" s="18">
        <f t="shared" si="191"/>
        <v>3546.6107999999999</v>
      </c>
      <c r="H204" s="5">
        <f t="shared" si="192"/>
        <v>62207.553431999993</v>
      </c>
      <c r="I204" s="5">
        <f t="shared" si="193"/>
        <v>62243.019540000001</v>
      </c>
    </row>
    <row r="205" spans="1:9" x14ac:dyDescent="0.25">
      <c r="A205" t="s">
        <v>8</v>
      </c>
      <c r="B205" s="1">
        <v>27.51</v>
      </c>
      <c r="C205" s="1">
        <v>27.52</v>
      </c>
      <c r="D205" t="s">
        <v>34</v>
      </c>
      <c r="E205" s="3">
        <f t="shared" ref="E205:F205" si="204">E195</f>
        <v>2261.3508999999999</v>
      </c>
      <c r="F205" s="3">
        <f t="shared" si="204"/>
        <v>-0.1</v>
      </c>
      <c r="G205" s="18">
        <f t="shared" si="191"/>
        <v>2261.2509</v>
      </c>
      <c r="H205" s="5">
        <f t="shared" si="192"/>
        <v>62207.012259000003</v>
      </c>
      <c r="I205" s="5">
        <f t="shared" si="193"/>
        <v>62229.624768000001</v>
      </c>
    </row>
    <row r="206" spans="1:9" x14ac:dyDescent="0.25">
      <c r="A206" t="s">
        <v>9</v>
      </c>
      <c r="B206" s="1">
        <v>65.7</v>
      </c>
      <c r="C206" s="1">
        <v>65.83</v>
      </c>
      <c r="D206" t="s">
        <v>34</v>
      </c>
      <c r="E206" s="3">
        <f t="shared" ref="E206:F206" si="205">E196</f>
        <v>946.14290000000005</v>
      </c>
      <c r="F206" s="3">
        <f t="shared" si="205"/>
        <v>0</v>
      </c>
      <c r="G206" s="18">
        <f t="shared" si="191"/>
        <v>946.14290000000005</v>
      </c>
      <c r="H206" s="5">
        <f t="shared" si="192"/>
        <v>62161.588530000008</v>
      </c>
      <c r="I206" s="5">
        <f t="shared" si="193"/>
        <v>62284.587106999999</v>
      </c>
    </row>
    <row r="207" spans="1:9" x14ac:dyDescent="0.25">
      <c r="A207" t="s">
        <v>10</v>
      </c>
      <c r="B207" s="1">
        <v>35.94</v>
      </c>
      <c r="C207" s="1">
        <v>35.96</v>
      </c>
      <c r="D207" t="s">
        <v>34</v>
      </c>
      <c r="E207" s="3">
        <f t="shared" ref="E207:F207" si="206">E197</f>
        <v>1730.2367999999999</v>
      </c>
      <c r="F207" s="3">
        <f t="shared" si="206"/>
        <v>0</v>
      </c>
      <c r="G207" s="18">
        <f t="shared" si="191"/>
        <v>1730.2367999999999</v>
      </c>
      <c r="H207" s="5">
        <f t="shared" si="192"/>
        <v>62184.710591999996</v>
      </c>
      <c r="I207" s="5">
        <f t="shared" si="193"/>
        <v>62219.315327999997</v>
      </c>
    </row>
    <row r="208" spans="1:9" x14ac:dyDescent="0.25">
      <c r="A208" t="s">
        <v>11</v>
      </c>
      <c r="B208" s="1">
        <v>54.15</v>
      </c>
      <c r="C208" s="1">
        <v>54.16</v>
      </c>
      <c r="D208" t="s">
        <v>34</v>
      </c>
      <c r="E208" s="3">
        <f t="shared" ref="E208:F208" si="207">E198</f>
        <v>1148.8611000000001</v>
      </c>
      <c r="F208" s="3">
        <f t="shared" si="207"/>
        <v>0</v>
      </c>
      <c r="G208" s="18">
        <f t="shared" si="191"/>
        <v>1148.8611000000001</v>
      </c>
      <c r="H208" s="5">
        <f t="shared" si="192"/>
        <v>62210.828565000003</v>
      </c>
      <c r="I208" s="5">
        <f t="shared" si="193"/>
        <v>62222.317175999997</v>
      </c>
    </row>
    <row r="209" spans="1:9" x14ac:dyDescent="0.25">
      <c r="A209" t="s">
        <v>12</v>
      </c>
      <c r="B209" s="1">
        <v>48.28</v>
      </c>
      <c r="C209" s="1">
        <v>48.29</v>
      </c>
      <c r="D209" t="s">
        <v>34</v>
      </c>
      <c r="E209" s="3">
        <f t="shared" ref="E209:F209" si="208">E199</f>
        <v>1289.1144999999999</v>
      </c>
      <c r="F209" s="3">
        <f t="shared" si="208"/>
        <v>0.05</v>
      </c>
      <c r="G209" s="18">
        <f t="shared" si="191"/>
        <v>1289.1644999999999</v>
      </c>
      <c r="H209" s="5">
        <f t="shared" si="192"/>
        <v>62240.862059999992</v>
      </c>
      <c r="I209" s="5">
        <f t="shared" si="193"/>
        <v>62253.753704999996</v>
      </c>
    </row>
    <row r="210" spans="1:9" x14ac:dyDescent="0.25">
      <c r="A210" t="s">
        <v>13</v>
      </c>
      <c r="B210" s="1">
        <v>17.59</v>
      </c>
      <c r="C210" s="1">
        <v>17.600000000000001</v>
      </c>
      <c r="D210" t="s">
        <v>34</v>
      </c>
      <c r="E210" s="3">
        <f t="shared" ref="E210:F210" si="209">E200</f>
        <v>3535.8029000000001</v>
      </c>
      <c r="F210" s="3">
        <f t="shared" si="209"/>
        <v>0</v>
      </c>
      <c r="G210" s="18">
        <f t="shared" si="191"/>
        <v>3535.8029000000001</v>
      </c>
      <c r="H210" s="5">
        <f t="shared" si="192"/>
        <v>62194.773011000005</v>
      </c>
      <c r="I210" s="5">
        <f t="shared" si="193"/>
        <v>62230.131040000007</v>
      </c>
    </row>
    <row r="211" spans="1:9" x14ac:dyDescent="0.25">
      <c r="A211" t="s">
        <v>14</v>
      </c>
      <c r="B211" s="1">
        <v>35.24</v>
      </c>
      <c r="C211" s="1">
        <v>35.25</v>
      </c>
      <c r="D211" t="s">
        <v>34</v>
      </c>
      <c r="E211" s="3">
        <f t="shared" ref="E211:F211" si="210">E201</f>
        <v>1765.0714</v>
      </c>
      <c r="F211" s="3">
        <f t="shared" si="210"/>
        <v>0</v>
      </c>
      <c r="G211" s="18">
        <f t="shared" si="191"/>
        <v>1765.0714</v>
      </c>
      <c r="H211" s="5">
        <f t="shared" si="192"/>
        <v>62201.116136000004</v>
      </c>
      <c r="I211" s="5">
        <f t="shared" si="193"/>
        <v>62218.76685</v>
      </c>
    </row>
    <row r="212" spans="1:9" x14ac:dyDescent="0.25">
      <c r="A212" t="s">
        <v>4</v>
      </c>
      <c r="B212" s="1">
        <v>20.64</v>
      </c>
      <c r="C212" s="1">
        <v>20.65</v>
      </c>
      <c r="D212" t="s">
        <v>35</v>
      </c>
      <c r="E212" s="3">
        <f t="shared" ref="E212:F212" si="211">E202</f>
        <v>3014.9661000000001</v>
      </c>
      <c r="F212" s="3">
        <f t="shared" si="211"/>
        <v>0</v>
      </c>
      <c r="G212" s="18">
        <f t="shared" si="191"/>
        <v>3014.9661000000001</v>
      </c>
      <c r="H212" s="5">
        <f t="shared" si="192"/>
        <v>62228.900304000003</v>
      </c>
      <c r="I212" s="5">
        <f t="shared" si="193"/>
        <v>62259.049964999998</v>
      </c>
    </row>
    <row r="213" spans="1:9" x14ac:dyDescent="0.25">
      <c r="A213" t="s">
        <v>6</v>
      </c>
      <c r="B213" s="1">
        <v>33.78</v>
      </c>
      <c r="C213" s="1">
        <v>33.79</v>
      </c>
      <c r="D213" t="s">
        <v>35</v>
      </c>
      <c r="E213" s="3">
        <f t="shared" ref="E213:F213" si="212">E203</f>
        <v>1842.1306</v>
      </c>
      <c r="F213" s="3">
        <f t="shared" si="212"/>
        <v>0</v>
      </c>
      <c r="G213" s="18">
        <f t="shared" si="191"/>
        <v>1842.1306</v>
      </c>
      <c r="H213" s="5">
        <f t="shared" si="192"/>
        <v>62227.171668000003</v>
      </c>
      <c r="I213" s="5">
        <f t="shared" si="193"/>
        <v>62245.592973999999</v>
      </c>
    </row>
    <row r="214" spans="1:9" x14ac:dyDescent="0.25">
      <c r="A214" t="s">
        <v>7</v>
      </c>
      <c r="B214" s="1">
        <v>17.54</v>
      </c>
      <c r="C214" s="1">
        <v>17.55</v>
      </c>
      <c r="D214" t="s">
        <v>35</v>
      </c>
      <c r="E214" s="3">
        <f t="shared" ref="E214:F214" si="213">E204</f>
        <v>3546.6107999999999</v>
      </c>
      <c r="F214" s="3">
        <f t="shared" si="213"/>
        <v>0</v>
      </c>
      <c r="G214" s="18">
        <f t="shared" si="191"/>
        <v>3546.6107999999999</v>
      </c>
      <c r="H214" s="5">
        <f t="shared" si="192"/>
        <v>62207.553431999993</v>
      </c>
      <c r="I214" s="5">
        <f t="shared" si="193"/>
        <v>62243.019540000001</v>
      </c>
    </row>
    <row r="215" spans="1:9" x14ac:dyDescent="0.25">
      <c r="A215" t="s">
        <v>8</v>
      </c>
      <c r="B215" s="1">
        <v>27.51</v>
      </c>
      <c r="C215" s="1">
        <v>27.52</v>
      </c>
      <c r="D215" t="s">
        <v>35</v>
      </c>
      <c r="E215" s="3">
        <f t="shared" ref="E215:F215" si="214">E205</f>
        <v>2261.3508999999999</v>
      </c>
      <c r="F215" s="3">
        <f t="shared" si="214"/>
        <v>-0.1</v>
      </c>
      <c r="G215" s="18">
        <f t="shared" si="191"/>
        <v>2261.2509</v>
      </c>
      <c r="H215" s="5">
        <f t="shared" si="192"/>
        <v>62207.012259000003</v>
      </c>
      <c r="I215" s="5">
        <f t="shared" si="193"/>
        <v>62229.624768000001</v>
      </c>
    </row>
    <row r="216" spans="1:9" x14ac:dyDescent="0.25">
      <c r="A216" t="s">
        <v>9</v>
      </c>
      <c r="B216" s="1">
        <v>65.7</v>
      </c>
      <c r="C216" s="1">
        <v>65.83</v>
      </c>
      <c r="D216" t="s">
        <v>35</v>
      </c>
      <c r="E216" s="3">
        <f t="shared" ref="E216:F216" si="215">E206</f>
        <v>946.14290000000005</v>
      </c>
      <c r="F216" s="3">
        <f t="shared" si="215"/>
        <v>0</v>
      </c>
      <c r="G216" s="18">
        <f t="shared" si="191"/>
        <v>946.14290000000005</v>
      </c>
      <c r="H216" s="5">
        <f t="shared" si="192"/>
        <v>62161.588530000008</v>
      </c>
      <c r="I216" s="5">
        <f t="shared" si="193"/>
        <v>62284.587106999999</v>
      </c>
    </row>
    <row r="217" spans="1:9" x14ac:dyDescent="0.25">
      <c r="A217" t="s">
        <v>10</v>
      </c>
      <c r="B217" s="1">
        <v>35.94</v>
      </c>
      <c r="C217" s="1">
        <v>35.96</v>
      </c>
      <c r="D217" t="s">
        <v>35</v>
      </c>
      <c r="E217" s="3">
        <f t="shared" ref="E217:F217" si="216">E207</f>
        <v>1730.2367999999999</v>
      </c>
      <c r="F217" s="3">
        <f t="shared" si="216"/>
        <v>0</v>
      </c>
      <c r="G217" s="18">
        <f t="shared" si="191"/>
        <v>1730.2367999999999</v>
      </c>
      <c r="H217" s="5">
        <f t="shared" si="192"/>
        <v>62184.710591999996</v>
      </c>
      <c r="I217" s="5">
        <f t="shared" si="193"/>
        <v>62219.315327999997</v>
      </c>
    </row>
    <row r="218" spans="1:9" x14ac:dyDescent="0.25">
      <c r="A218" t="s">
        <v>11</v>
      </c>
      <c r="B218" s="1">
        <v>54.15</v>
      </c>
      <c r="C218" s="1">
        <v>54.16</v>
      </c>
      <c r="D218" t="s">
        <v>35</v>
      </c>
      <c r="E218" s="3">
        <f t="shared" ref="E218:F218" si="217">E208</f>
        <v>1148.8611000000001</v>
      </c>
      <c r="F218" s="3">
        <f t="shared" si="217"/>
        <v>0</v>
      </c>
      <c r="G218" s="18">
        <f t="shared" si="191"/>
        <v>1148.8611000000001</v>
      </c>
      <c r="H218" s="5">
        <f t="shared" si="192"/>
        <v>62210.828565000003</v>
      </c>
      <c r="I218" s="5">
        <f t="shared" si="193"/>
        <v>62222.317175999997</v>
      </c>
    </row>
    <row r="219" spans="1:9" x14ac:dyDescent="0.25">
      <c r="A219" t="s">
        <v>12</v>
      </c>
      <c r="B219" s="1">
        <v>48.28</v>
      </c>
      <c r="C219" s="1">
        <v>48.29</v>
      </c>
      <c r="D219" t="s">
        <v>35</v>
      </c>
      <c r="E219" s="3">
        <f t="shared" ref="E219:F219" si="218">E209</f>
        <v>1289.1144999999999</v>
      </c>
      <c r="F219" s="3">
        <f t="shared" si="218"/>
        <v>0.05</v>
      </c>
      <c r="G219" s="18">
        <f t="shared" si="191"/>
        <v>1289.1644999999999</v>
      </c>
      <c r="H219" s="5">
        <f t="shared" si="192"/>
        <v>62240.862059999992</v>
      </c>
      <c r="I219" s="5">
        <f t="shared" si="193"/>
        <v>62253.753704999996</v>
      </c>
    </row>
    <row r="220" spans="1:9" x14ac:dyDescent="0.25">
      <c r="A220" t="s">
        <v>13</v>
      </c>
      <c r="B220" s="1">
        <v>17.59</v>
      </c>
      <c r="C220" s="1">
        <v>17.600000000000001</v>
      </c>
      <c r="D220" t="s">
        <v>35</v>
      </c>
      <c r="E220" s="3">
        <f t="shared" ref="E220:F220" si="219">E210</f>
        <v>3535.8029000000001</v>
      </c>
      <c r="F220" s="3">
        <f t="shared" si="219"/>
        <v>0</v>
      </c>
      <c r="G220" s="18">
        <f t="shared" si="191"/>
        <v>3535.8029000000001</v>
      </c>
      <c r="H220" s="5">
        <f t="shared" si="192"/>
        <v>62194.773011000005</v>
      </c>
      <c r="I220" s="5">
        <f t="shared" si="193"/>
        <v>62230.131040000007</v>
      </c>
    </row>
    <row r="221" spans="1:9" x14ac:dyDescent="0.25">
      <c r="A221" t="s">
        <v>14</v>
      </c>
      <c r="B221" s="1">
        <v>35.24</v>
      </c>
      <c r="C221" s="1">
        <v>35.25</v>
      </c>
      <c r="D221" t="s">
        <v>35</v>
      </c>
      <c r="E221" s="3">
        <f t="shared" ref="E221:F221" si="220">E211</f>
        <v>1765.0714</v>
      </c>
      <c r="F221" s="3">
        <f t="shared" si="220"/>
        <v>0</v>
      </c>
      <c r="G221" s="18">
        <f t="shared" si="191"/>
        <v>1765.0714</v>
      </c>
      <c r="H221" s="5">
        <f t="shared" si="192"/>
        <v>62201.116136000004</v>
      </c>
      <c r="I221" s="5">
        <f t="shared" si="193"/>
        <v>62218.76685</v>
      </c>
    </row>
    <row r="222" spans="1:9" x14ac:dyDescent="0.25">
      <c r="A222" t="s">
        <v>4</v>
      </c>
      <c r="B222" s="1">
        <v>20.64</v>
      </c>
      <c r="C222" s="1">
        <v>20.65</v>
      </c>
      <c r="D222" t="s">
        <v>36</v>
      </c>
      <c r="E222" s="3">
        <f t="shared" ref="E222:F222" si="221">E212</f>
        <v>3014.9661000000001</v>
      </c>
      <c r="F222" s="3">
        <f t="shared" si="221"/>
        <v>0</v>
      </c>
      <c r="G222" s="18">
        <f t="shared" si="191"/>
        <v>3014.9661000000001</v>
      </c>
      <c r="H222" s="5">
        <f t="shared" si="192"/>
        <v>62228.900304000003</v>
      </c>
      <c r="I222" s="5">
        <f t="shared" si="193"/>
        <v>62259.049964999998</v>
      </c>
    </row>
    <row r="223" spans="1:9" x14ac:dyDescent="0.25">
      <c r="A223" t="s">
        <v>6</v>
      </c>
      <c r="B223" s="1">
        <v>33.78</v>
      </c>
      <c r="C223" s="1">
        <v>33.79</v>
      </c>
      <c r="D223" t="s">
        <v>36</v>
      </c>
      <c r="E223" s="3">
        <f t="shared" ref="E223:F223" si="222">E213</f>
        <v>1842.1306</v>
      </c>
      <c r="F223" s="3">
        <f t="shared" si="222"/>
        <v>0</v>
      </c>
      <c r="G223" s="18">
        <f t="shared" si="191"/>
        <v>1842.1306</v>
      </c>
      <c r="H223" s="5">
        <f t="shared" si="192"/>
        <v>62227.171668000003</v>
      </c>
      <c r="I223" s="5">
        <f t="shared" si="193"/>
        <v>62245.592973999999</v>
      </c>
    </row>
    <row r="224" spans="1:9" x14ac:dyDescent="0.25">
      <c r="A224" t="s">
        <v>7</v>
      </c>
      <c r="B224" s="1">
        <v>17.54</v>
      </c>
      <c r="C224" s="1">
        <v>17.55</v>
      </c>
      <c r="D224" t="s">
        <v>36</v>
      </c>
      <c r="E224" s="3">
        <f t="shared" ref="E224:F224" si="223">E214</f>
        <v>3546.6107999999999</v>
      </c>
      <c r="F224" s="3">
        <f t="shared" si="223"/>
        <v>0</v>
      </c>
      <c r="G224" s="18">
        <f t="shared" si="191"/>
        <v>3546.6107999999999</v>
      </c>
      <c r="H224" s="5">
        <f t="shared" si="192"/>
        <v>62207.553431999993</v>
      </c>
      <c r="I224" s="5">
        <f t="shared" si="193"/>
        <v>62243.019540000001</v>
      </c>
    </row>
    <row r="225" spans="1:9" x14ac:dyDescent="0.25">
      <c r="A225" t="s">
        <v>8</v>
      </c>
      <c r="B225" s="1">
        <v>27.51</v>
      </c>
      <c r="C225" s="1">
        <v>27.52</v>
      </c>
      <c r="D225" t="s">
        <v>36</v>
      </c>
      <c r="E225" s="3">
        <f t="shared" ref="E225:F225" si="224">E215</f>
        <v>2261.3508999999999</v>
      </c>
      <c r="F225" s="3">
        <f t="shared" si="224"/>
        <v>-0.1</v>
      </c>
      <c r="G225" s="18">
        <f t="shared" si="191"/>
        <v>2261.2509</v>
      </c>
      <c r="H225" s="5">
        <f t="shared" si="192"/>
        <v>62207.012259000003</v>
      </c>
      <c r="I225" s="5">
        <f t="shared" si="193"/>
        <v>62229.624768000001</v>
      </c>
    </row>
    <row r="226" spans="1:9" x14ac:dyDescent="0.25">
      <c r="A226" t="s">
        <v>9</v>
      </c>
      <c r="B226" s="1">
        <v>65.7</v>
      </c>
      <c r="C226" s="1">
        <v>65.83</v>
      </c>
      <c r="D226" t="s">
        <v>36</v>
      </c>
      <c r="E226" s="3">
        <f t="shared" ref="E226:F226" si="225">E216</f>
        <v>946.14290000000005</v>
      </c>
      <c r="F226" s="3">
        <f t="shared" si="225"/>
        <v>0</v>
      </c>
      <c r="G226" s="18">
        <f t="shared" si="191"/>
        <v>946.14290000000005</v>
      </c>
      <c r="H226" s="5">
        <f t="shared" si="192"/>
        <v>62161.588530000008</v>
      </c>
      <c r="I226" s="5">
        <f t="shared" si="193"/>
        <v>62284.587106999999</v>
      </c>
    </row>
    <row r="227" spans="1:9" x14ac:dyDescent="0.25">
      <c r="A227" t="s">
        <v>10</v>
      </c>
      <c r="B227" s="1">
        <v>35.94</v>
      </c>
      <c r="C227" s="1">
        <v>35.96</v>
      </c>
      <c r="D227" t="s">
        <v>36</v>
      </c>
      <c r="E227" s="3">
        <f t="shared" ref="E227:F227" si="226">E217</f>
        <v>1730.2367999999999</v>
      </c>
      <c r="F227" s="3">
        <f t="shared" si="226"/>
        <v>0</v>
      </c>
      <c r="G227" s="18">
        <f t="shared" si="191"/>
        <v>1730.2367999999999</v>
      </c>
      <c r="H227" s="5">
        <f t="shared" si="192"/>
        <v>62184.710591999996</v>
      </c>
      <c r="I227" s="5">
        <f t="shared" si="193"/>
        <v>62219.315327999997</v>
      </c>
    </row>
    <row r="228" spans="1:9" x14ac:dyDescent="0.25">
      <c r="A228" t="s">
        <v>11</v>
      </c>
      <c r="B228" s="1">
        <v>54.15</v>
      </c>
      <c r="C228" s="1">
        <v>54.16</v>
      </c>
      <c r="D228" t="s">
        <v>36</v>
      </c>
      <c r="E228" s="3">
        <f t="shared" ref="E228:F228" si="227">E218</f>
        <v>1148.8611000000001</v>
      </c>
      <c r="F228" s="3">
        <f t="shared" si="227"/>
        <v>0</v>
      </c>
      <c r="G228" s="18">
        <f t="shared" si="191"/>
        <v>1148.8611000000001</v>
      </c>
      <c r="H228" s="5">
        <f t="shared" si="192"/>
        <v>62210.828565000003</v>
      </c>
      <c r="I228" s="5">
        <f t="shared" si="193"/>
        <v>62222.317175999997</v>
      </c>
    </row>
    <row r="229" spans="1:9" x14ac:dyDescent="0.25">
      <c r="A229" t="s">
        <v>12</v>
      </c>
      <c r="B229" s="1">
        <v>48.28</v>
      </c>
      <c r="C229" s="1">
        <v>48.29</v>
      </c>
      <c r="D229" t="s">
        <v>36</v>
      </c>
      <c r="E229" s="3">
        <f t="shared" ref="E229:F229" si="228">E219</f>
        <v>1289.1144999999999</v>
      </c>
      <c r="F229" s="3">
        <f t="shared" si="228"/>
        <v>0.05</v>
      </c>
      <c r="G229" s="18">
        <f t="shared" si="191"/>
        <v>1289.1644999999999</v>
      </c>
      <c r="H229" s="5">
        <f t="shared" si="192"/>
        <v>62240.862059999992</v>
      </c>
      <c r="I229" s="5">
        <f t="shared" si="193"/>
        <v>62253.753704999996</v>
      </c>
    </row>
    <row r="230" spans="1:9" x14ac:dyDescent="0.25">
      <c r="A230" t="s">
        <v>13</v>
      </c>
      <c r="B230" s="1">
        <v>17.59</v>
      </c>
      <c r="C230" s="1">
        <v>17.600000000000001</v>
      </c>
      <c r="D230" t="s">
        <v>36</v>
      </c>
      <c r="E230" s="3">
        <f t="shared" ref="E230:F230" si="229">E220</f>
        <v>3535.8029000000001</v>
      </c>
      <c r="F230" s="3">
        <f t="shared" si="229"/>
        <v>0</v>
      </c>
      <c r="G230" s="18">
        <f t="shared" si="191"/>
        <v>3535.8029000000001</v>
      </c>
      <c r="H230" s="5">
        <f t="shared" si="192"/>
        <v>62194.773011000005</v>
      </c>
      <c r="I230" s="5">
        <f t="shared" si="193"/>
        <v>62230.131040000007</v>
      </c>
    </row>
    <row r="231" spans="1:9" x14ac:dyDescent="0.25">
      <c r="A231" t="s">
        <v>14</v>
      </c>
      <c r="B231" s="1">
        <v>35.24</v>
      </c>
      <c r="C231" s="1">
        <v>35.25</v>
      </c>
      <c r="D231" t="s">
        <v>36</v>
      </c>
      <c r="E231" s="3">
        <f t="shared" ref="E231:F231" si="230">E221</f>
        <v>1765.0714</v>
      </c>
      <c r="F231" s="3">
        <f t="shared" si="230"/>
        <v>0</v>
      </c>
      <c r="G231" s="18">
        <f t="shared" si="191"/>
        <v>1765.0714</v>
      </c>
      <c r="H231" s="5">
        <f t="shared" si="192"/>
        <v>62201.116136000004</v>
      </c>
      <c r="I231" s="5">
        <f t="shared" si="193"/>
        <v>62218.76685</v>
      </c>
    </row>
    <row r="232" spans="1:9" x14ac:dyDescent="0.25">
      <c r="A232" t="s">
        <v>4</v>
      </c>
      <c r="B232" s="1">
        <v>20.64</v>
      </c>
      <c r="C232" s="1">
        <v>20.65</v>
      </c>
      <c r="D232" t="s">
        <v>37</v>
      </c>
      <c r="E232" s="3">
        <f t="shared" ref="E232:F232" si="231">E222</f>
        <v>3014.9661000000001</v>
      </c>
      <c r="F232" s="3">
        <f t="shared" si="231"/>
        <v>0</v>
      </c>
      <c r="G232" s="18">
        <f t="shared" si="191"/>
        <v>3014.9661000000001</v>
      </c>
      <c r="H232" s="5">
        <f t="shared" si="192"/>
        <v>62228.900304000003</v>
      </c>
      <c r="I232" s="5">
        <f t="shared" si="193"/>
        <v>62259.049964999998</v>
      </c>
    </row>
    <row r="233" spans="1:9" x14ac:dyDescent="0.25">
      <c r="A233" t="s">
        <v>6</v>
      </c>
      <c r="B233" s="1">
        <v>33.78</v>
      </c>
      <c r="C233" s="1">
        <v>33.79</v>
      </c>
      <c r="D233" t="s">
        <v>37</v>
      </c>
      <c r="E233" s="3">
        <f t="shared" ref="E233:F233" si="232">E223</f>
        <v>1842.1306</v>
      </c>
      <c r="F233" s="3">
        <f t="shared" si="232"/>
        <v>0</v>
      </c>
      <c r="G233" s="18">
        <f t="shared" si="191"/>
        <v>1842.1306</v>
      </c>
      <c r="H233" s="5">
        <f t="shared" si="192"/>
        <v>62227.171668000003</v>
      </c>
      <c r="I233" s="5">
        <f t="shared" si="193"/>
        <v>62245.592973999999</v>
      </c>
    </row>
    <row r="234" spans="1:9" x14ac:dyDescent="0.25">
      <c r="A234" t="s">
        <v>7</v>
      </c>
      <c r="B234" s="1">
        <v>17.54</v>
      </c>
      <c r="C234" s="1">
        <v>17.55</v>
      </c>
      <c r="D234" t="s">
        <v>37</v>
      </c>
      <c r="E234" s="3">
        <f t="shared" ref="E234:F234" si="233">E224</f>
        <v>3546.6107999999999</v>
      </c>
      <c r="F234" s="3">
        <f t="shared" si="233"/>
        <v>0</v>
      </c>
      <c r="G234" s="18">
        <f t="shared" si="191"/>
        <v>3546.6107999999999</v>
      </c>
      <c r="H234" s="5">
        <f t="shared" si="192"/>
        <v>62207.553431999993</v>
      </c>
      <c r="I234" s="5">
        <f t="shared" si="193"/>
        <v>62243.019540000001</v>
      </c>
    </row>
    <row r="235" spans="1:9" x14ac:dyDescent="0.25">
      <c r="A235" t="s">
        <v>8</v>
      </c>
      <c r="B235" s="1">
        <v>27.51</v>
      </c>
      <c r="C235" s="1">
        <v>27.52</v>
      </c>
      <c r="D235" t="s">
        <v>37</v>
      </c>
      <c r="E235" s="3">
        <f t="shared" ref="E235:F235" si="234">E225</f>
        <v>2261.3508999999999</v>
      </c>
      <c r="F235" s="3">
        <f t="shared" si="234"/>
        <v>-0.1</v>
      </c>
      <c r="G235" s="18">
        <f t="shared" si="191"/>
        <v>2261.2509</v>
      </c>
      <c r="H235" s="5">
        <f t="shared" si="192"/>
        <v>62207.012259000003</v>
      </c>
      <c r="I235" s="5">
        <f t="shared" si="193"/>
        <v>62229.624768000001</v>
      </c>
    </row>
    <row r="236" spans="1:9" x14ac:dyDescent="0.25">
      <c r="A236" t="s">
        <v>9</v>
      </c>
      <c r="B236" s="1">
        <v>65.7</v>
      </c>
      <c r="C236" s="1">
        <v>65.83</v>
      </c>
      <c r="D236" t="s">
        <v>37</v>
      </c>
      <c r="E236" s="3">
        <f t="shared" ref="E236:F236" si="235">E226</f>
        <v>946.14290000000005</v>
      </c>
      <c r="F236" s="3">
        <f t="shared" si="235"/>
        <v>0</v>
      </c>
      <c r="G236" s="18">
        <f t="shared" si="191"/>
        <v>946.14290000000005</v>
      </c>
      <c r="H236" s="5">
        <f t="shared" si="192"/>
        <v>62161.588530000008</v>
      </c>
      <c r="I236" s="5">
        <f t="shared" si="193"/>
        <v>62284.587106999999</v>
      </c>
    </row>
    <row r="237" spans="1:9" x14ac:dyDescent="0.25">
      <c r="A237" t="s">
        <v>10</v>
      </c>
      <c r="B237" s="1">
        <v>35.94</v>
      </c>
      <c r="C237" s="1">
        <v>35.96</v>
      </c>
      <c r="D237" t="s">
        <v>37</v>
      </c>
      <c r="E237" s="3">
        <f t="shared" ref="E237:F237" si="236">E227</f>
        <v>1730.2367999999999</v>
      </c>
      <c r="F237" s="3">
        <f t="shared" si="236"/>
        <v>0</v>
      </c>
      <c r="G237" s="18">
        <f t="shared" si="191"/>
        <v>1730.2367999999999</v>
      </c>
      <c r="H237" s="5">
        <f t="shared" si="192"/>
        <v>62184.710591999996</v>
      </c>
      <c r="I237" s="5">
        <f t="shared" si="193"/>
        <v>62219.315327999997</v>
      </c>
    </row>
    <row r="238" spans="1:9" x14ac:dyDescent="0.25">
      <c r="A238" t="s">
        <v>11</v>
      </c>
      <c r="B238" s="1">
        <v>54.15</v>
      </c>
      <c r="C238" s="1">
        <v>54.16</v>
      </c>
      <c r="D238" t="s">
        <v>37</v>
      </c>
      <c r="E238" s="3">
        <f t="shared" ref="E238:F238" si="237">E228</f>
        <v>1148.8611000000001</v>
      </c>
      <c r="F238" s="3">
        <f t="shared" si="237"/>
        <v>0</v>
      </c>
      <c r="G238" s="18">
        <f t="shared" si="191"/>
        <v>1148.8611000000001</v>
      </c>
      <c r="H238" s="5">
        <f t="shared" si="192"/>
        <v>62210.828565000003</v>
      </c>
      <c r="I238" s="5">
        <f t="shared" si="193"/>
        <v>62222.317175999997</v>
      </c>
    </row>
    <row r="239" spans="1:9" x14ac:dyDescent="0.25">
      <c r="A239" t="s">
        <v>12</v>
      </c>
      <c r="B239" s="1">
        <v>48.28</v>
      </c>
      <c r="C239" s="1">
        <v>48.29</v>
      </c>
      <c r="D239" t="s">
        <v>37</v>
      </c>
      <c r="E239" s="3">
        <f t="shared" ref="E239:F239" si="238">E229</f>
        <v>1289.1144999999999</v>
      </c>
      <c r="F239" s="3">
        <f t="shared" si="238"/>
        <v>0.05</v>
      </c>
      <c r="G239" s="18">
        <f t="shared" si="191"/>
        <v>1289.1644999999999</v>
      </c>
      <c r="H239" s="5">
        <f t="shared" si="192"/>
        <v>62240.862059999992</v>
      </c>
      <c r="I239" s="5">
        <f t="shared" si="193"/>
        <v>62253.753704999996</v>
      </c>
    </row>
    <row r="240" spans="1:9" x14ac:dyDescent="0.25">
      <c r="A240" t="s">
        <v>13</v>
      </c>
      <c r="B240" s="1">
        <v>17.59</v>
      </c>
      <c r="C240" s="1">
        <v>17.600000000000001</v>
      </c>
      <c r="D240" t="s">
        <v>37</v>
      </c>
      <c r="E240" s="3">
        <f t="shared" ref="E240:F240" si="239">E230</f>
        <v>3535.8029000000001</v>
      </c>
      <c r="F240" s="3">
        <f t="shared" si="239"/>
        <v>0</v>
      </c>
      <c r="G240" s="18">
        <f t="shared" si="191"/>
        <v>3535.8029000000001</v>
      </c>
      <c r="H240" s="5">
        <f t="shared" si="192"/>
        <v>62194.773011000005</v>
      </c>
      <c r="I240" s="5">
        <f t="shared" si="193"/>
        <v>62230.131040000007</v>
      </c>
    </row>
    <row r="241" spans="1:9" x14ac:dyDescent="0.25">
      <c r="A241" t="s">
        <v>14</v>
      </c>
      <c r="B241" s="1">
        <v>35.24</v>
      </c>
      <c r="C241" s="1">
        <v>35.25</v>
      </c>
      <c r="D241" t="s">
        <v>37</v>
      </c>
      <c r="E241" s="3">
        <f t="shared" ref="E241:F241" si="240">E231</f>
        <v>1765.0714</v>
      </c>
      <c r="F241" s="3">
        <f t="shared" si="240"/>
        <v>0</v>
      </c>
      <c r="G241" s="18">
        <f t="shared" si="191"/>
        <v>1765.0714</v>
      </c>
      <c r="H241" s="5">
        <f t="shared" si="192"/>
        <v>62201.116136000004</v>
      </c>
      <c r="I241" s="5">
        <f t="shared" si="193"/>
        <v>62218.76685</v>
      </c>
    </row>
    <row r="242" spans="1:9" x14ac:dyDescent="0.25">
      <c r="A242" t="s">
        <v>4</v>
      </c>
      <c r="B242" s="1">
        <v>20.64</v>
      </c>
      <c r="C242" s="1">
        <v>20.65</v>
      </c>
      <c r="D242" t="s">
        <v>38</v>
      </c>
      <c r="E242" s="3">
        <f t="shared" ref="E242:F242" si="241">E232</f>
        <v>3014.9661000000001</v>
      </c>
      <c r="F242" s="3">
        <f t="shared" si="241"/>
        <v>0</v>
      </c>
      <c r="G242" s="18">
        <f t="shared" si="191"/>
        <v>3014.9661000000001</v>
      </c>
      <c r="H242" s="5">
        <f t="shared" si="192"/>
        <v>62228.900304000003</v>
      </c>
      <c r="I242" s="5">
        <f t="shared" si="193"/>
        <v>62259.049964999998</v>
      </c>
    </row>
    <row r="243" spans="1:9" x14ac:dyDescent="0.25">
      <c r="A243" t="s">
        <v>6</v>
      </c>
      <c r="B243" s="1">
        <v>33.78</v>
      </c>
      <c r="C243" s="1">
        <v>33.79</v>
      </c>
      <c r="D243" t="s">
        <v>38</v>
      </c>
      <c r="E243" s="3">
        <f t="shared" ref="E243:F243" si="242">E233</f>
        <v>1842.1306</v>
      </c>
      <c r="F243" s="3">
        <f t="shared" si="242"/>
        <v>0</v>
      </c>
      <c r="G243" s="18">
        <f t="shared" si="191"/>
        <v>1842.1306</v>
      </c>
      <c r="H243" s="5">
        <f t="shared" si="192"/>
        <v>62227.171668000003</v>
      </c>
      <c r="I243" s="5">
        <f t="shared" si="193"/>
        <v>62245.592973999999</v>
      </c>
    </row>
    <row r="244" spans="1:9" x14ac:dyDescent="0.25">
      <c r="A244" t="s">
        <v>7</v>
      </c>
      <c r="B244" s="1">
        <v>17.54</v>
      </c>
      <c r="C244" s="1">
        <v>17.55</v>
      </c>
      <c r="D244" t="s">
        <v>38</v>
      </c>
      <c r="E244" s="3">
        <f t="shared" ref="E244:F244" si="243">E234</f>
        <v>3546.6107999999999</v>
      </c>
      <c r="F244" s="3">
        <f t="shared" si="243"/>
        <v>0</v>
      </c>
      <c r="G244" s="18">
        <f t="shared" si="191"/>
        <v>3546.6107999999999</v>
      </c>
      <c r="H244" s="5">
        <f t="shared" si="192"/>
        <v>62207.553431999993</v>
      </c>
      <c r="I244" s="5">
        <f t="shared" si="193"/>
        <v>62243.019540000001</v>
      </c>
    </row>
    <row r="245" spans="1:9" x14ac:dyDescent="0.25">
      <c r="A245" t="s">
        <v>8</v>
      </c>
      <c r="B245" s="1">
        <v>27.51</v>
      </c>
      <c r="C245" s="1">
        <v>27.52</v>
      </c>
      <c r="D245" t="s">
        <v>38</v>
      </c>
      <c r="E245" s="3">
        <f t="shared" ref="E245:F245" si="244">E235</f>
        <v>2261.3508999999999</v>
      </c>
      <c r="F245" s="3">
        <f t="shared" si="244"/>
        <v>-0.1</v>
      </c>
      <c r="G245" s="18">
        <f t="shared" si="191"/>
        <v>2261.2509</v>
      </c>
      <c r="H245" s="5">
        <f t="shared" si="192"/>
        <v>62207.012259000003</v>
      </c>
      <c r="I245" s="5">
        <f t="shared" si="193"/>
        <v>62229.624768000001</v>
      </c>
    </row>
    <row r="246" spans="1:9" x14ac:dyDescent="0.25">
      <c r="A246" t="s">
        <v>9</v>
      </c>
      <c r="B246" s="1">
        <v>65.7</v>
      </c>
      <c r="C246" s="1">
        <v>65.83</v>
      </c>
      <c r="D246" t="s">
        <v>38</v>
      </c>
      <c r="E246" s="3">
        <f t="shared" ref="E246:F246" si="245">E236</f>
        <v>946.14290000000005</v>
      </c>
      <c r="F246" s="3">
        <f t="shared" si="245"/>
        <v>0</v>
      </c>
      <c r="G246" s="18">
        <f t="shared" si="191"/>
        <v>946.14290000000005</v>
      </c>
      <c r="H246" s="5">
        <f t="shared" si="192"/>
        <v>62161.588530000008</v>
      </c>
      <c r="I246" s="5">
        <f t="shared" si="193"/>
        <v>62284.587106999999</v>
      </c>
    </row>
    <row r="247" spans="1:9" x14ac:dyDescent="0.25">
      <c r="A247" t="s">
        <v>10</v>
      </c>
      <c r="B247" s="1">
        <v>35.94</v>
      </c>
      <c r="C247" s="1">
        <v>35.96</v>
      </c>
      <c r="D247" t="s">
        <v>38</v>
      </c>
      <c r="E247" s="3">
        <f t="shared" ref="E247:F247" si="246">E237</f>
        <v>1730.2367999999999</v>
      </c>
      <c r="F247" s="3">
        <f t="shared" si="246"/>
        <v>0</v>
      </c>
      <c r="G247" s="18">
        <f t="shared" si="191"/>
        <v>1730.2367999999999</v>
      </c>
      <c r="H247" s="5">
        <f t="shared" si="192"/>
        <v>62184.710591999996</v>
      </c>
      <c r="I247" s="5">
        <f t="shared" si="193"/>
        <v>62219.315327999997</v>
      </c>
    </row>
    <row r="248" spans="1:9" x14ac:dyDescent="0.25">
      <c r="A248" t="s">
        <v>11</v>
      </c>
      <c r="B248" s="1">
        <v>54.15</v>
      </c>
      <c r="C248" s="1">
        <v>54.16</v>
      </c>
      <c r="D248" t="s">
        <v>38</v>
      </c>
      <c r="E248" s="3">
        <f t="shared" ref="E248:F248" si="247">E238</f>
        <v>1148.8611000000001</v>
      </c>
      <c r="F248" s="3">
        <f t="shared" si="247"/>
        <v>0</v>
      </c>
      <c r="G248" s="18">
        <f t="shared" si="191"/>
        <v>1148.8611000000001</v>
      </c>
      <c r="H248" s="5">
        <f t="shared" si="192"/>
        <v>62210.828565000003</v>
      </c>
      <c r="I248" s="5">
        <f t="shared" si="193"/>
        <v>62222.317175999997</v>
      </c>
    </row>
    <row r="249" spans="1:9" x14ac:dyDescent="0.25">
      <c r="A249" t="s">
        <v>12</v>
      </c>
      <c r="B249" s="1">
        <v>48.28</v>
      </c>
      <c r="C249" s="1">
        <v>48.29</v>
      </c>
      <c r="D249" t="s">
        <v>38</v>
      </c>
      <c r="E249" s="3">
        <f t="shared" ref="E249:F249" si="248">E239</f>
        <v>1289.1144999999999</v>
      </c>
      <c r="F249" s="3">
        <f t="shared" si="248"/>
        <v>0.05</v>
      </c>
      <c r="G249" s="18">
        <f t="shared" si="191"/>
        <v>1289.1644999999999</v>
      </c>
      <c r="H249" s="5">
        <f t="shared" si="192"/>
        <v>62240.862059999992</v>
      </c>
      <c r="I249" s="5">
        <f t="shared" si="193"/>
        <v>62253.753704999996</v>
      </c>
    </row>
    <row r="250" spans="1:9" x14ac:dyDescent="0.25">
      <c r="A250" t="s">
        <v>13</v>
      </c>
      <c r="B250" s="1">
        <v>17.59</v>
      </c>
      <c r="C250" s="1">
        <v>17.600000000000001</v>
      </c>
      <c r="D250" t="s">
        <v>38</v>
      </c>
      <c r="E250" s="3">
        <f t="shared" ref="E250:F250" si="249">E240</f>
        <v>3535.8029000000001</v>
      </c>
      <c r="F250" s="3">
        <f t="shared" si="249"/>
        <v>0</v>
      </c>
      <c r="G250" s="18">
        <f t="shared" si="191"/>
        <v>3535.8029000000001</v>
      </c>
      <c r="H250" s="5">
        <f t="shared" si="192"/>
        <v>62194.773011000005</v>
      </c>
      <c r="I250" s="5">
        <f t="shared" si="193"/>
        <v>62230.131040000007</v>
      </c>
    </row>
    <row r="251" spans="1:9" x14ac:dyDescent="0.25">
      <c r="A251" t="s">
        <v>14</v>
      </c>
      <c r="B251" s="1">
        <v>35.24</v>
      </c>
      <c r="C251" s="1">
        <v>35.25</v>
      </c>
      <c r="D251" t="s">
        <v>38</v>
      </c>
      <c r="E251" s="3">
        <f t="shared" ref="E251:F251" si="250">E241</f>
        <v>1765.0714</v>
      </c>
      <c r="F251" s="3">
        <f t="shared" si="250"/>
        <v>0</v>
      </c>
      <c r="G251" s="18">
        <f t="shared" si="191"/>
        <v>1765.0714</v>
      </c>
      <c r="H251" s="5">
        <f t="shared" si="192"/>
        <v>62201.116136000004</v>
      </c>
      <c r="I251" s="5">
        <f t="shared" si="193"/>
        <v>62218.76685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67FC-0804-48CB-92EB-16F5F51235F9}">
  <dimension ref="A1:O29"/>
  <sheetViews>
    <sheetView tabSelected="1" workbookViewId="0">
      <selection activeCell="K17" sqref="K17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6" bestFit="1" customWidth="1"/>
    <col min="6" max="6" width="9.5703125" style="6" bestFit="1" customWidth="1"/>
    <col min="8" max="11" width="10.85546875" customWidth="1"/>
    <col min="12" max="12" width="11.5703125" style="3" bestFit="1" customWidth="1"/>
    <col min="13" max="13" width="11.28515625" style="1" bestFit="1" customWidth="1"/>
    <col min="14" max="14" width="10.85546875" style="1" customWidth="1"/>
  </cols>
  <sheetData>
    <row r="1" spans="1:15" x14ac:dyDescent="0.25">
      <c r="A1" s="15" t="s">
        <v>39</v>
      </c>
      <c r="B1" t="s">
        <v>40</v>
      </c>
      <c r="C1" t="s">
        <v>41</v>
      </c>
      <c r="D1" s="2" t="s">
        <v>42</v>
      </c>
      <c r="E1" s="2" t="s">
        <v>43</v>
      </c>
      <c r="F1" s="2" t="s">
        <v>44</v>
      </c>
    </row>
    <row r="2" spans="1:15" x14ac:dyDescent="0.25">
      <c r="A2" s="4" t="s">
        <v>5</v>
      </c>
      <c r="B2" s="5">
        <v>62365.299821999994</v>
      </c>
      <c r="C2" s="5">
        <v>62342.321848</v>
      </c>
      <c r="D2" s="5">
        <f>B2-C2</f>
        <v>22.977973999993992</v>
      </c>
      <c r="E2" s="6" t="str">
        <f>_xlfn.XLOOKUP(B2,Table1[unit bid],Table1[my_fi_name])</f>
        <v>BTC</v>
      </c>
      <c r="F2" s="6" t="str">
        <f>_xlfn.XLOOKUP(C2,Table1[unit ask],Table1[my_fi_name])</f>
        <v>IBIT</v>
      </c>
      <c r="I2" s="7" t="s">
        <v>45</v>
      </c>
      <c r="J2" s="7" t="s">
        <v>46</v>
      </c>
      <c r="K2" s="7" t="s">
        <v>42</v>
      </c>
      <c r="L2" s="8" t="s">
        <v>47</v>
      </c>
      <c r="M2" s="9" t="s">
        <v>48</v>
      </c>
      <c r="N2" s="7" t="s">
        <v>49</v>
      </c>
    </row>
    <row r="3" spans="1:15" x14ac:dyDescent="0.25">
      <c r="A3" s="4" t="s">
        <v>15</v>
      </c>
      <c r="B3" s="5">
        <v>62434.236734999991</v>
      </c>
      <c r="C3" s="5">
        <v>62429.112174000009</v>
      </c>
      <c r="D3" s="5">
        <f t="shared" ref="D3:D28" si="0">B3-C3</f>
        <v>5.12456099998235</v>
      </c>
      <c r="E3" s="6" t="str">
        <f>_xlfn.XLOOKUP(B3,Table1[unit bid],Table1[my_fi_name])</f>
        <v>GBTC</v>
      </c>
      <c r="F3" s="6" t="str">
        <f>_xlfn.XLOOKUP(C3,Table1[unit ask],Table1[my_fi_name])</f>
        <v>FBTC</v>
      </c>
      <c r="G3" s="10"/>
      <c r="H3" s="10" t="s">
        <v>4</v>
      </c>
      <c r="I3">
        <f>COUNTIF(E:E,H3)</f>
        <v>0</v>
      </c>
      <c r="J3">
        <f t="shared" ref="J3:J12" si="1">COUNTIF(F:F,H3)</f>
        <v>0</v>
      </c>
      <c r="K3">
        <f>I3-J3</f>
        <v>0</v>
      </c>
      <c r="L3" s="11"/>
      <c r="M3" s="1">
        <f>'ETF_2026-06-23'!C2</f>
        <v>20.69</v>
      </c>
      <c r="N3" s="1">
        <f>L3*M3</f>
        <v>0</v>
      </c>
      <c r="O3" s="12">
        <f t="shared" ref="O3:O12" si="2">N3/C3</f>
        <v>0</v>
      </c>
    </row>
    <row r="4" spans="1:15" x14ac:dyDescent="0.25">
      <c r="A4" s="4" t="s">
        <v>16</v>
      </c>
      <c r="B4" s="5">
        <v>62526.748403999998</v>
      </c>
      <c r="C4" s="5">
        <v>62518.828988000001</v>
      </c>
      <c r="D4" s="5">
        <f t="shared" si="0"/>
        <v>7.9194159999969997</v>
      </c>
      <c r="E4" s="6" t="str">
        <f>_xlfn.XLOOKUP(B4,Table1[unit bid],Table1[my_fi_name])</f>
        <v>BRRR</v>
      </c>
      <c r="F4" s="6" t="str">
        <f>_xlfn.XLOOKUP(C4,Table1[unit ask],Table1[my_fi_name])</f>
        <v>IBIT</v>
      </c>
      <c r="G4" s="10"/>
      <c r="H4" s="10" t="s">
        <v>6</v>
      </c>
      <c r="I4">
        <f t="shared" ref="I4:I12" si="3">COUNTIF(E:E,H4)</f>
        <v>4</v>
      </c>
      <c r="J4">
        <f t="shared" si="1"/>
        <v>0</v>
      </c>
      <c r="K4">
        <f t="shared" ref="K4:K12" si="4">I4-J4</f>
        <v>4</v>
      </c>
      <c r="L4" s="11"/>
      <c r="M4" s="1">
        <f>'ETF_2026-06-23'!C3</f>
        <v>33.86</v>
      </c>
      <c r="N4" s="1">
        <f>L4*M4</f>
        <v>0</v>
      </c>
      <c r="O4" s="12">
        <f t="shared" si="2"/>
        <v>0</v>
      </c>
    </row>
    <row r="5" spans="1:15" x14ac:dyDescent="0.25">
      <c r="A5" s="4" t="s">
        <v>17</v>
      </c>
      <c r="B5" s="5">
        <v>62666.286344999993</v>
      </c>
      <c r="C5" s="5">
        <v>62642.383986000008</v>
      </c>
      <c r="D5" s="5">
        <f t="shared" si="0"/>
        <v>23.902358999985154</v>
      </c>
      <c r="E5" s="6" t="str">
        <f>_xlfn.XLOOKUP(B5,Table1[unit bid],Table1[my_fi_name])</f>
        <v>GBTC</v>
      </c>
      <c r="F5" s="6" t="str">
        <f>_xlfn.XLOOKUP(C5,Table1[unit ask],Table1[my_fi_name])</f>
        <v>IBIT</v>
      </c>
      <c r="G5" s="10"/>
      <c r="H5" s="10" t="s">
        <v>7</v>
      </c>
      <c r="I5">
        <f t="shared" si="3"/>
        <v>2</v>
      </c>
      <c r="J5">
        <f t="shared" si="1"/>
        <v>0</v>
      </c>
      <c r="K5">
        <f t="shared" si="4"/>
        <v>2</v>
      </c>
      <c r="L5" s="11"/>
      <c r="M5" s="1">
        <f>'ETF_2026-06-23'!C4</f>
        <v>17.59</v>
      </c>
      <c r="N5" s="1">
        <f t="shared" ref="N5:N12" si="5">L5*M5</f>
        <v>0</v>
      </c>
      <c r="O5" s="12">
        <f t="shared" si="2"/>
        <v>0</v>
      </c>
    </row>
    <row r="6" spans="1:15" x14ac:dyDescent="0.25">
      <c r="A6" s="4" t="s">
        <v>18</v>
      </c>
      <c r="B6" s="5">
        <v>62472.911669999994</v>
      </c>
      <c r="C6" s="5">
        <v>62463.578007000004</v>
      </c>
      <c r="D6" s="5">
        <f t="shared" si="0"/>
        <v>9.333662999990338</v>
      </c>
      <c r="E6" s="6" t="str">
        <f>_xlfn.XLOOKUP(B6,Table1[unit bid],Table1[my_fi_name])</f>
        <v>GBTC</v>
      </c>
      <c r="F6" s="6" t="str">
        <f>_xlfn.XLOOKUP(C6,Table1[unit ask],Table1[my_fi_name])</f>
        <v>FBTC</v>
      </c>
      <c r="G6" s="10"/>
      <c r="H6" s="10" t="s">
        <v>8</v>
      </c>
      <c r="I6">
        <f t="shared" si="3"/>
        <v>1</v>
      </c>
      <c r="J6">
        <f t="shared" si="1"/>
        <v>0</v>
      </c>
      <c r="K6">
        <f t="shared" si="4"/>
        <v>1</v>
      </c>
      <c r="L6" s="11">
        <v>-0.1</v>
      </c>
      <c r="M6" s="1">
        <f>'ETF_2026-06-23'!C5</f>
        <v>27.58</v>
      </c>
      <c r="N6" s="1">
        <f t="shared" si="5"/>
        <v>-2.758</v>
      </c>
      <c r="O6" s="12">
        <f t="shared" si="2"/>
        <v>-4.4153730669910131E-5</v>
      </c>
    </row>
    <row r="7" spans="1:15" x14ac:dyDescent="0.25">
      <c r="A7" s="4" t="s">
        <v>19</v>
      </c>
      <c r="B7" s="5">
        <v>62337.699504000004</v>
      </c>
      <c r="C7" s="5">
        <v>62324.671134000004</v>
      </c>
      <c r="D7" s="5">
        <f t="shared" si="0"/>
        <v>13.028369999999995</v>
      </c>
      <c r="E7" s="6" t="str">
        <f>_xlfn.XLOOKUP(B7,Table1[unit bid],Table1[my_fi_name])</f>
        <v>BITB</v>
      </c>
      <c r="F7" s="6" t="str">
        <f>_xlfn.XLOOKUP(C7,Table1[unit ask],Table1[my_fi_name])</f>
        <v>IBIT</v>
      </c>
      <c r="G7" s="10"/>
      <c r="H7" s="10" t="s">
        <v>9</v>
      </c>
      <c r="I7">
        <f t="shared" si="3"/>
        <v>0</v>
      </c>
      <c r="J7">
        <f t="shared" si="1"/>
        <v>0</v>
      </c>
      <c r="K7">
        <f t="shared" si="4"/>
        <v>0</v>
      </c>
      <c r="L7" s="11"/>
      <c r="M7" s="1">
        <f>'ETF_2026-06-23'!C6</f>
        <v>65.95</v>
      </c>
      <c r="N7" s="1">
        <f t="shared" si="5"/>
        <v>0</v>
      </c>
      <c r="O7" s="12">
        <f t="shared" si="2"/>
        <v>0</v>
      </c>
    </row>
    <row r="8" spans="1:15" x14ac:dyDescent="0.25">
      <c r="A8" s="4" t="s">
        <v>20</v>
      </c>
      <c r="B8" s="5">
        <v>62190.329055999995</v>
      </c>
      <c r="C8" s="5">
        <v>62183.465421999994</v>
      </c>
      <c r="D8" s="5">
        <f t="shared" si="0"/>
        <v>6.8636340000011842</v>
      </c>
      <c r="E8" s="6" t="str">
        <f>_xlfn.XLOOKUP(B8,Table1[unit bid],Table1[my_fi_name])</f>
        <v>BITB</v>
      </c>
      <c r="F8" s="6" t="str">
        <f>_xlfn.XLOOKUP(C8,Table1[unit ask],Table1[my_fi_name])</f>
        <v>IBIT</v>
      </c>
      <c r="G8" s="10"/>
      <c r="H8" s="10" t="s">
        <v>10</v>
      </c>
      <c r="I8">
        <f t="shared" si="3"/>
        <v>0</v>
      </c>
      <c r="J8">
        <f t="shared" si="1"/>
        <v>0</v>
      </c>
      <c r="K8">
        <f t="shared" si="4"/>
        <v>0</v>
      </c>
      <c r="L8" s="11"/>
      <c r="M8" s="1">
        <f>'ETF_2026-06-23'!C7</f>
        <v>36.04</v>
      </c>
      <c r="N8" s="1">
        <f t="shared" si="5"/>
        <v>0</v>
      </c>
      <c r="O8" s="12">
        <f t="shared" si="2"/>
        <v>0</v>
      </c>
    </row>
    <row r="9" spans="1:15" x14ac:dyDescent="0.25">
      <c r="A9" s="4" t="s">
        <v>21</v>
      </c>
      <c r="B9" s="5">
        <v>62305.320284999994</v>
      </c>
      <c r="C9" s="5">
        <v>62289.369705999998</v>
      </c>
      <c r="D9" s="5">
        <f t="shared" si="0"/>
        <v>15.950578999996651</v>
      </c>
      <c r="E9" s="6" t="str">
        <f>_xlfn.XLOOKUP(B9,Table1[unit bid],Table1[my_fi_name])</f>
        <v>GBTC</v>
      </c>
      <c r="F9" s="6" t="str">
        <f>_xlfn.XLOOKUP(C9,Table1[unit ask],Table1[my_fi_name])</f>
        <v>IBIT</v>
      </c>
      <c r="G9" s="10"/>
      <c r="H9" s="10" t="s">
        <v>11</v>
      </c>
      <c r="I9">
        <f t="shared" si="3"/>
        <v>0</v>
      </c>
      <c r="J9">
        <f t="shared" si="1"/>
        <v>4</v>
      </c>
      <c r="K9">
        <f t="shared" si="4"/>
        <v>-4</v>
      </c>
      <c r="L9" s="11"/>
      <c r="M9" s="1">
        <f>'ETF_2026-06-23'!C8</f>
        <v>54.28</v>
      </c>
      <c r="N9" s="1">
        <f t="shared" si="5"/>
        <v>0</v>
      </c>
      <c r="O9" s="12">
        <f t="shared" si="2"/>
        <v>0</v>
      </c>
    </row>
    <row r="10" spans="1:15" x14ac:dyDescent="0.25">
      <c r="A10" s="4" t="s">
        <v>22</v>
      </c>
      <c r="B10" s="5">
        <v>62245.592973999999</v>
      </c>
      <c r="C10" s="5">
        <v>62233.805787000005</v>
      </c>
      <c r="D10" s="5">
        <f t="shared" si="0"/>
        <v>11.787186999994447</v>
      </c>
      <c r="E10" s="6" t="str">
        <f>_xlfn.XLOOKUP(B10,Table1[unit bid],Table1[my_fi_name])</f>
        <v>BITB</v>
      </c>
      <c r="F10" s="6" t="str">
        <f>_xlfn.XLOOKUP(C10,Table1[unit ask],Table1[my_fi_name])</f>
        <v>FBTC</v>
      </c>
      <c r="G10" s="10"/>
      <c r="H10" s="10" t="s">
        <v>12</v>
      </c>
      <c r="I10">
        <f t="shared" si="3"/>
        <v>18</v>
      </c>
      <c r="J10">
        <f t="shared" si="1"/>
        <v>0</v>
      </c>
      <c r="K10">
        <f t="shared" si="4"/>
        <v>18</v>
      </c>
      <c r="L10" s="11">
        <v>0.05</v>
      </c>
      <c r="M10" s="1">
        <f>'ETF_2026-06-23'!C9</f>
        <v>48.38</v>
      </c>
      <c r="N10" s="1">
        <f t="shared" si="5"/>
        <v>2.4190000000000005</v>
      </c>
      <c r="O10" s="12">
        <f t="shared" si="2"/>
        <v>3.8869549586589871E-5</v>
      </c>
    </row>
    <row r="11" spans="1:15" x14ac:dyDescent="0.25">
      <c r="A11" s="4" t="s">
        <v>23</v>
      </c>
      <c r="B11" s="5">
        <v>62633.146728</v>
      </c>
      <c r="C11" s="5">
        <v>62607.082558000002</v>
      </c>
      <c r="D11" s="5">
        <f t="shared" si="0"/>
        <v>26.06416999999783</v>
      </c>
      <c r="E11" s="6" t="str">
        <f>_xlfn.XLOOKUP(B11,Table1[unit bid],Table1[my_fi_name])</f>
        <v>BRRR</v>
      </c>
      <c r="F11" s="6" t="str">
        <f>_xlfn.XLOOKUP(C11,Table1[unit ask],Table1[my_fi_name])</f>
        <v>IBIT</v>
      </c>
      <c r="G11" s="10"/>
      <c r="H11" s="10" t="s">
        <v>13</v>
      </c>
      <c r="I11">
        <f t="shared" si="3"/>
        <v>0</v>
      </c>
      <c r="J11">
        <f t="shared" si="1"/>
        <v>0</v>
      </c>
      <c r="K11">
        <f t="shared" si="4"/>
        <v>0</v>
      </c>
      <c r="L11" s="11"/>
      <c r="M11" s="1">
        <f>'ETF_2026-06-23'!C10</f>
        <v>17.64</v>
      </c>
      <c r="N11" s="1">
        <f t="shared" si="5"/>
        <v>0</v>
      </c>
      <c r="O11" s="12">
        <f t="shared" si="2"/>
        <v>0</v>
      </c>
    </row>
    <row r="12" spans="1:15" x14ac:dyDescent="0.25">
      <c r="A12" s="4" t="s">
        <v>24</v>
      </c>
      <c r="B12" s="5">
        <v>62511.586604999997</v>
      </c>
      <c r="C12" s="5">
        <v>62483.527560000002</v>
      </c>
      <c r="D12" s="5">
        <f>B12-C12</f>
        <v>28.059044999994512</v>
      </c>
      <c r="E12" s="6" t="str">
        <f>_xlfn.XLOOKUP(B12,Table1[unit bid],Table1[my_fi_name])</f>
        <v>GBTC</v>
      </c>
      <c r="F12" s="6" t="str">
        <f>_xlfn.XLOOKUP(C12,Table1[unit ask],Table1[my_fi_name])</f>
        <v>IBIT</v>
      </c>
      <c r="G12" s="10"/>
      <c r="H12" s="10" t="s">
        <v>14</v>
      </c>
      <c r="I12" s="13">
        <f t="shared" si="3"/>
        <v>0</v>
      </c>
      <c r="J12" s="13">
        <f t="shared" si="1"/>
        <v>21</v>
      </c>
      <c r="K12" s="13">
        <f t="shared" si="4"/>
        <v>-21</v>
      </c>
      <c r="L12" s="11"/>
      <c r="M12" s="1">
        <f>'ETF_2026-06-23'!C11</f>
        <v>35.32</v>
      </c>
      <c r="N12" s="1">
        <f t="shared" si="5"/>
        <v>0</v>
      </c>
      <c r="O12" s="12">
        <f t="shared" si="2"/>
        <v>0</v>
      </c>
    </row>
    <row r="13" spans="1:15" x14ac:dyDescent="0.25">
      <c r="A13" s="4" t="s">
        <v>25</v>
      </c>
      <c r="B13" s="5">
        <v>62524.478249999993</v>
      </c>
      <c r="C13" s="5">
        <v>62501.178273999998</v>
      </c>
      <c r="D13" s="5">
        <f t="shared" si="0"/>
        <v>23.299975999994786</v>
      </c>
      <c r="E13" s="6" t="str">
        <f>_xlfn.XLOOKUP(B13,Table1[unit bid],Table1[my_fi_name])</f>
        <v>GBTC</v>
      </c>
      <c r="F13" s="6" t="str">
        <f>_xlfn.XLOOKUP(C13,Table1[unit ask],Table1[my_fi_name])</f>
        <v>IBIT</v>
      </c>
      <c r="G13" s="10"/>
      <c r="H13" s="10"/>
      <c r="I13">
        <f>SUM(I3:I12)</f>
        <v>25</v>
      </c>
      <c r="J13">
        <f t="shared" ref="J13:K13" si="6">SUM(J3:J12)</f>
        <v>25</v>
      </c>
      <c r="K13">
        <f t="shared" si="6"/>
        <v>0</v>
      </c>
    </row>
    <row r="14" spans="1:15" x14ac:dyDescent="0.25">
      <c r="A14" s="4" t="s">
        <v>26</v>
      </c>
      <c r="B14" s="5">
        <v>62448.227339999998</v>
      </c>
      <c r="C14" s="5">
        <v>62430.575418</v>
      </c>
      <c r="D14" s="5">
        <f t="shared" si="0"/>
        <v>17.651921999997285</v>
      </c>
      <c r="E14" s="6" t="str">
        <f>_xlfn.XLOOKUP(B14,Table1[unit bid],Table1[my_fi_name])</f>
        <v>BITB</v>
      </c>
      <c r="F14" s="6" t="str">
        <f>_xlfn.XLOOKUP(C14,Table1[unit ask],Table1[my_fi_name])</f>
        <v>IBIT</v>
      </c>
    </row>
    <row r="15" spans="1:15" x14ac:dyDescent="0.25">
      <c r="A15" s="4" t="s">
        <v>27</v>
      </c>
      <c r="B15" s="5">
        <v>62369.778509999996</v>
      </c>
      <c r="C15" s="5">
        <v>62359.972561999995</v>
      </c>
      <c r="D15" s="5">
        <f t="shared" si="0"/>
        <v>9.8059480000010808</v>
      </c>
      <c r="E15" s="6" t="str">
        <f>_xlfn.XLOOKUP(B15,Table1[unit bid],Table1[my_fi_name])</f>
        <v>GBTC</v>
      </c>
      <c r="F15" s="6" t="str">
        <f>_xlfn.XLOOKUP(C15,Table1[unit ask],Table1[my_fi_name])</f>
        <v>IBIT</v>
      </c>
    </row>
    <row r="16" spans="1:15" x14ac:dyDescent="0.25">
      <c r="A16" s="4" t="s">
        <v>28</v>
      </c>
      <c r="B16" s="5">
        <v>62511.586604999997</v>
      </c>
      <c r="C16" s="5">
        <v>62501.178273999998</v>
      </c>
      <c r="D16" s="5">
        <f t="shared" si="0"/>
        <v>10.408330999998725</v>
      </c>
      <c r="E16" s="6" t="str">
        <f>_xlfn.XLOOKUP(B16,Table1[unit bid],Table1[my_fi_name])</f>
        <v>GBTC</v>
      </c>
      <c r="F16" s="6" t="str">
        <f>_xlfn.XLOOKUP(C16,Table1[unit ask],Table1[my_fi_name])</f>
        <v>IBIT</v>
      </c>
    </row>
    <row r="17" spans="1:6" x14ac:dyDescent="0.25">
      <c r="A17" s="4" t="s">
        <v>29</v>
      </c>
      <c r="B17" s="5">
        <v>62588.936474999988</v>
      </c>
      <c r="C17" s="5">
        <v>62554.130416</v>
      </c>
      <c r="D17" s="5">
        <f t="shared" si="0"/>
        <v>34.806058999987727</v>
      </c>
      <c r="E17" s="6" t="str">
        <f>_xlfn.XLOOKUP(B17,Table1[unit bid],Table1[my_fi_name])</f>
        <v>GBTC</v>
      </c>
      <c r="F17" s="6" t="str">
        <f>_xlfn.XLOOKUP(C17,Table1[unit ask],Table1[my_fi_name])</f>
        <v>IBIT</v>
      </c>
    </row>
    <row r="18" spans="1:6" x14ac:dyDescent="0.25">
      <c r="A18" s="4" t="s">
        <v>30</v>
      </c>
      <c r="B18" s="5">
        <v>62408.453444999992</v>
      </c>
      <c r="C18" s="5">
        <v>62394.646341000007</v>
      </c>
      <c r="D18" s="5">
        <f t="shared" si="0"/>
        <v>13.807103999984975</v>
      </c>
      <c r="E18" s="6" t="str">
        <f>_xlfn.XLOOKUP(B18,Table1[unit bid],Table1[my_fi_name])</f>
        <v>GBTC</v>
      </c>
      <c r="F18" s="6" t="str">
        <f>_xlfn.XLOOKUP(C18,Table1[unit ask],Table1[my_fi_name])</f>
        <v>FBTC</v>
      </c>
    </row>
    <row r="19" spans="1:6" x14ac:dyDescent="0.25">
      <c r="A19" s="4" t="s">
        <v>31</v>
      </c>
      <c r="B19" s="5">
        <v>62215.078769999993</v>
      </c>
      <c r="C19" s="5">
        <v>62183.465421999994</v>
      </c>
      <c r="D19" s="5">
        <f t="shared" si="0"/>
        <v>31.61334799999895</v>
      </c>
      <c r="E19" s="6" t="str">
        <f>_xlfn.XLOOKUP(B19,Table1[unit bid],Table1[my_fi_name])</f>
        <v>GBTC</v>
      </c>
      <c r="F19" s="6" t="str">
        <f>_xlfn.XLOOKUP(C19,Table1[unit ask],Table1[my_fi_name])</f>
        <v>IBIT</v>
      </c>
    </row>
    <row r="20" spans="1:6" x14ac:dyDescent="0.25">
      <c r="A20" s="4" t="s">
        <v>32</v>
      </c>
      <c r="B20" s="5">
        <v>62305.320284999994</v>
      </c>
      <c r="C20" s="5">
        <v>62271.718992000002</v>
      </c>
      <c r="D20" s="5">
        <f t="shared" si="0"/>
        <v>33.601292999992438</v>
      </c>
      <c r="E20" s="6" t="str">
        <f>_xlfn.XLOOKUP(B20,Table1[unit bid],Table1[my_fi_name])</f>
        <v>GBTC</v>
      </c>
      <c r="F20" s="6" t="str">
        <f>_xlfn.XLOOKUP(C20,Table1[unit ask],Table1[my_fi_name])</f>
        <v>IBIT</v>
      </c>
    </row>
    <row r="21" spans="1:6" x14ac:dyDescent="0.25">
      <c r="A21" s="4" t="s">
        <v>33</v>
      </c>
      <c r="B21" s="5">
        <v>62240.862059999992</v>
      </c>
      <c r="C21" s="5">
        <v>62218.76685</v>
      </c>
      <c r="D21" s="5">
        <f t="shared" si="0"/>
        <v>22.095209999992221</v>
      </c>
      <c r="E21" s="6" t="str">
        <f>_xlfn.XLOOKUP(B21,Table1[unit bid],Table1[my_fi_name])</f>
        <v>GBTC</v>
      </c>
      <c r="F21" s="6" t="str">
        <f>_xlfn.XLOOKUP(C21,Table1[unit ask],Table1[my_fi_name])</f>
        <v>IBIT</v>
      </c>
    </row>
    <row r="22" spans="1:6" x14ac:dyDescent="0.25">
      <c r="A22" s="4" t="s">
        <v>34</v>
      </c>
      <c r="B22" s="5">
        <v>62240.862059999992</v>
      </c>
      <c r="C22" s="5">
        <v>62218.76685</v>
      </c>
      <c r="D22" s="5">
        <f t="shared" si="0"/>
        <v>22.095209999992221</v>
      </c>
      <c r="E22" s="6" t="str">
        <f>_xlfn.XLOOKUP(B22,Table1[unit bid],Table1[my_fi_name])</f>
        <v>GBTC</v>
      </c>
      <c r="F22" s="6" t="str">
        <f>_xlfn.XLOOKUP(C22,Table1[unit ask],Table1[my_fi_name])</f>
        <v>IBIT</v>
      </c>
    </row>
    <row r="23" spans="1:6" x14ac:dyDescent="0.25">
      <c r="A23" s="4" t="s">
        <v>35</v>
      </c>
      <c r="B23" s="5">
        <v>62240.862059999992</v>
      </c>
      <c r="C23" s="5">
        <v>62218.76685</v>
      </c>
      <c r="D23" s="5">
        <f t="shared" si="0"/>
        <v>22.095209999992221</v>
      </c>
      <c r="E23" s="6" t="str">
        <f>_xlfn.XLOOKUP(B23,Table1[unit bid],Table1[my_fi_name])</f>
        <v>GBTC</v>
      </c>
      <c r="F23" s="6" t="str">
        <f>_xlfn.XLOOKUP(C23,Table1[unit ask],Table1[my_fi_name])</f>
        <v>IBIT</v>
      </c>
    </row>
    <row r="24" spans="1:6" x14ac:dyDescent="0.25">
      <c r="A24" s="4" t="s">
        <v>36</v>
      </c>
      <c r="B24" s="5">
        <v>62240.862059999992</v>
      </c>
      <c r="C24" s="5">
        <v>62218.76685</v>
      </c>
      <c r="D24" s="5">
        <f t="shared" si="0"/>
        <v>22.095209999992221</v>
      </c>
      <c r="E24" s="6" t="str">
        <f>_xlfn.XLOOKUP(B24,Table1[unit bid],Table1[my_fi_name])</f>
        <v>GBTC</v>
      </c>
      <c r="F24" s="6" t="str">
        <f>_xlfn.XLOOKUP(C24,Table1[unit ask],Table1[my_fi_name])</f>
        <v>IBIT</v>
      </c>
    </row>
    <row r="25" spans="1:6" x14ac:dyDescent="0.25">
      <c r="A25" s="4" t="s">
        <v>37</v>
      </c>
      <c r="B25" s="5">
        <v>62240.862059999992</v>
      </c>
      <c r="C25" s="5">
        <v>62218.76685</v>
      </c>
      <c r="D25" s="5">
        <f t="shared" si="0"/>
        <v>22.095209999992221</v>
      </c>
      <c r="E25" s="6" t="str">
        <f>_xlfn.XLOOKUP(B25,Table1[unit bid],Table1[my_fi_name])</f>
        <v>GBTC</v>
      </c>
      <c r="F25" s="6" t="str">
        <f>_xlfn.XLOOKUP(C25,Table1[unit ask],Table1[my_fi_name])</f>
        <v>IBIT</v>
      </c>
    </row>
    <row r="26" spans="1:6" x14ac:dyDescent="0.25">
      <c r="A26" s="4" t="s">
        <v>38</v>
      </c>
      <c r="B26" s="5">
        <v>62240.862059999992</v>
      </c>
      <c r="C26" s="5">
        <v>62218.76685</v>
      </c>
      <c r="D26" s="5">
        <f t="shared" si="0"/>
        <v>22.095209999992221</v>
      </c>
      <c r="E26" s="6" t="str">
        <f>_xlfn.XLOOKUP(B26,Table1[unit bid],Table1[my_fi_name])</f>
        <v>GBTC</v>
      </c>
      <c r="F26" s="6" t="str">
        <f>_xlfn.XLOOKUP(C26,Table1[unit ask],Table1[my_fi_name])</f>
        <v>IBIT</v>
      </c>
    </row>
    <row r="27" spans="1:6" x14ac:dyDescent="0.25">
      <c r="D27" s="5">
        <f t="shared" si="0"/>
        <v>0</v>
      </c>
      <c r="E27" s="6" t="e">
        <f>_xlfn.XLOOKUP(B27,Table1[unit bid],Table1[my_fi_name])</f>
        <v>#N/A</v>
      </c>
      <c r="F27" s="6" t="e">
        <f>_xlfn.XLOOKUP(C27,Table1[unit ask],Table1[my_fi_name])</f>
        <v>#N/A</v>
      </c>
    </row>
    <row r="28" spans="1:6" ht="17.25" x14ac:dyDescent="0.4">
      <c r="D28" s="14">
        <f t="shared" si="0"/>
        <v>0</v>
      </c>
      <c r="E28" s="6" t="e">
        <f>_xlfn.XLOOKUP(B28,Table1[unit bid],Table1[my_fi_name])</f>
        <v>#N/A</v>
      </c>
      <c r="F28" s="6" t="e">
        <f>_xlfn.XLOOKUP(C28,Table1[unit ask],Table1[my_fi_name])</f>
        <v>#N/A</v>
      </c>
    </row>
    <row r="29" spans="1:6" x14ac:dyDescent="0.25">
      <c r="D29" s="5">
        <f>SUM(D2:D28)</f>
        <v>478.57619899984275</v>
      </c>
    </row>
  </sheetData>
  <conditionalFormatting sqref="K3:K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2026-06-24T02:35:19Z</dcterms:created>
  <dcterms:modified xsi:type="dcterms:W3CDTF">2026-06-24T02:42:03Z</dcterms:modified>
</cp:coreProperties>
</file>