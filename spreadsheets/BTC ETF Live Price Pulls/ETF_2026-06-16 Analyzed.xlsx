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spreadsheets\"/>
    </mc:Choice>
  </mc:AlternateContent>
  <xr:revisionPtr revIDLastSave="0" documentId="13_ncr:9_{5FECC65D-30CC-456F-AD21-994E2E6F7EAB}" xr6:coauthVersionLast="47" xr6:coauthVersionMax="47" xr10:uidLastSave="{00000000-0000-0000-0000-000000000000}"/>
  <bookViews>
    <workbookView xWindow="29190" yWindow="2010" windowWidth="27135" windowHeight="12930" activeTab="1" xr2:uid="{EAE169E7-8B1F-4E07-AF9C-A6A990FAB322}"/>
  </bookViews>
  <sheets>
    <sheet name="ETF_2026-06-16" sheetId="1" r:id="rId1"/>
    <sheet name="Sheet1" sheetId="2" r:id="rId2"/>
  </sheets>
  <calcPr calcId="0"/>
  <pivotCaches>
    <pivotCache cacheId="35" r:id="rId3"/>
  </pivotCaches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3" i="2"/>
  <c r="F3" i="1"/>
  <c r="F4" i="1"/>
  <c r="F5" i="1"/>
  <c r="F6" i="1"/>
  <c r="F7" i="1"/>
  <c r="F8" i="1"/>
  <c r="F9" i="1"/>
  <c r="F10" i="1"/>
  <c r="F11" i="1"/>
  <c r="F2" i="1"/>
  <c r="D15" i="2"/>
  <c r="D16" i="2"/>
  <c r="D17" i="2"/>
  <c r="D18" i="2"/>
  <c r="D19" i="2"/>
  <c r="D20" i="2"/>
  <c r="D21" i="2"/>
  <c r="D22" i="2"/>
  <c r="D23" i="2"/>
  <c r="D24" i="2"/>
  <c r="D25" i="2"/>
  <c r="D26" i="2"/>
  <c r="G3" i="1"/>
  <c r="G4" i="1"/>
  <c r="I4" i="1"/>
  <c r="G5" i="1"/>
  <c r="G6" i="1"/>
  <c r="G7" i="1"/>
  <c r="G8" i="1"/>
  <c r="I8" i="1"/>
  <c r="G9" i="1"/>
  <c r="H9" i="1"/>
  <c r="I9" i="1"/>
  <c r="G10" i="1"/>
  <c r="G11" i="1"/>
  <c r="D14" i="2"/>
  <c r="D13" i="2"/>
  <c r="D12" i="2"/>
  <c r="D11" i="2"/>
  <c r="D10" i="2"/>
  <c r="D9" i="2"/>
  <c r="D8" i="2"/>
  <c r="D7" i="2"/>
  <c r="D6" i="2"/>
  <c r="D5" i="2"/>
  <c r="D4" i="2"/>
  <c r="D3" i="2"/>
  <c r="D2" i="2"/>
  <c r="I7" i="1" l="1"/>
  <c r="I3" i="1"/>
  <c r="H4" i="1"/>
  <c r="H3" i="1"/>
  <c r="I6" i="1"/>
  <c r="H7" i="1"/>
  <c r="D27" i="2"/>
  <c r="I5" i="1"/>
  <c r="H10" i="1"/>
  <c r="I10" i="1"/>
  <c r="I11" i="1"/>
  <c r="H8" i="1"/>
  <c r="H5" i="1"/>
  <c r="H6" i="1"/>
  <c r="H11" i="1"/>
  <c r="F14" i="1"/>
  <c r="G14" i="1" s="1"/>
  <c r="F21" i="1"/>
  <c r="G21" i="1" s="1"/>
  <c r="F16" i="1"/>
  <c r="G16" i="1" s="1"/>
  <c r="F20" i="1"/>
  <c r="G20" i="1" s="1"/>
  <c r="F17" i="1"/>
  <c r="G17" i="1" s="1"/>
  <c r="F12" i="1"/>
  <c r="G12" i="1" s="1"/>
  <c r="F18" i="1"/>
  <c r="G18" i="1" s="1"/>
  <c r="F15" i="1"/>
  <c r="G15" i="1" s="1"/>
  <c r="G2" i="1"/>
  <c r="F19" i="1"/>
  <c r="G19" i="1" s="1"/>
  <c r="F13" i="1"/>
  <c r="G13" i="1" s="1"/>
  <c r="N12" i="2"/>
  <c r="O12" i="2" s="1"/>
  <c r="N11" i="2"/>
  <c r="O11" i="2" s="1"/>
  <c r="N7" i="2"/>
  <c r="O7" i="2" s="1"/>
  <c r="N9" i="2"/>
  <c r="O9" i="2" s="1"/>
  <c r="N4" i="2"/>
  <c r="O4" i="2" s="1"/>
  <c r="N3" i="2"/>
  <c r="O3" i="2" s="1"/>
  <c r="N8" i="2"/>
  <c r="O8" i="2" s="1"/>
  <c r="N10" i="2"/>
  <c r="O10" i="2" s="1"/>
  <c r="N6" i="2"/>
  <c r="O6" i="2" s="1"/>
  <c r="N5" i="2"/>
  <c r="O5" i="2" s="1"/>
  <c r="I14" i="1" l="1"/>
  <c r="H14" i="1"/>
  <c r="H21" i="1"/>
  <c r="I21" i="1"/>
  <c r="H16" i="1"/>
  <c r="I16" i="1"/>
  <c r="H20" i="1"/>
  <c r="I20" i="1"/>
  <c r="H17" i="1"/>
  <c r="I17" i="1"/>
  <c r="H12" i="1"/>
  <c r="I12" i="1"/>
  <c r="H18" i="1"/>
  <c r="I18" i="1"/>
  <c r="H15" i="1"/>
  <c r="I15" i="1"/>
  <c r="I2" i="1"/>
  <c r="H2" i="1"/>
  <c r="I19" i="1"/>
  <c r="H19" i="1"/>
  <c r="H13" i="1"/>
  <c r="I13" i="1"/>
  <c r="F24" i="1"/>
  <c r="G24" i="1" s="1"/>
  <c r="F31" i="1"/>
  <c r="G31" i="1" s="1"/>
  <c r="F26" i="1"/>
  <c r="G26" i="1" s="1"/>
  <c r="F30" i="1"/>
  <c r="G30" i="1" s="1"/>
  <c r="F27" i="1"/>
  <c r="G27" i="1" s="1"/>
  <c r="F22" i="1"/>
  <c r="G22" i="1" s="1"/>
  <c r="F28" i="1"/>
  <c r="G28" i="1" s="1"/>
  <c r="F25" i="1"/>
  <c r="G25" i="1" s="1"/>
  <c r="F29" i="1"/>
  <c r="G29" i="1" s="1"/>
  <c r="F23" i="1"/>
  <c r="G23" i="1" s="1"/>
  <c r="F2" i="2" l="1"/>
  <c r="E3" i="2"/>
  <c r="H24" i="1"/>
  <c r="I24" i="1"/>
  <c r="I31" i="1"/>
  <c r="H31" i="1"/>
  <c r="H26" i="1"/>
  <c r="I26" i="1"/>
  <c r="H30" i="1"/>
  <c r="I30" i="1"/>
  <c r="H27" i="1"/>
  <c r="I27" i="1"/>
  <c r="I22" i="1"/>
  <c r="H22" i="1"/>
  <c r="H28" i="1"/>
  <c r="I28" i="1"/>
  <c r="I25" i="1"/>
  <c r="H25" i="1"/>
  <c r="I29" i="1"/>
  <c r="H29" i="1"/>
  <c r="H23" i="1"/>
  <c r="I23" i="1"/>
  <c r="F34" i="1"/>
  <c r="G34" i="1" s="1"/>
  <c r="F41" i="1"/>
  <c r="G41" i="1" s="1"/>
  <c r="F36" i="1"/>
  <c r="G36" i="1" s="1"/>
  <c r="F40" i="1"/>
  <c r="G40" i="1" s="1"/>
  <c r="F37" i="1"/>
  <c r="G37" i="1" s="1"/>
  <c r="F32" i="1"/>
  <c r="G32" i="1" s="1"/>
  <c r="F38" i="1"/>
  <c r="G38" i="1" s="1"/>
  <c r="F35" i="1"/>
  <c r="G35" i="1" s="1"/>
  <c r="F39" i="1"/>
  <c r="G39" i="1" s="1"/>
  <c r="F33" i="1"/>
  <c r="G33" i="1" s="1"/>
  <c r="E4" i="2" l="1"/>
  <c r="F4" i="2"/>
  <c r="H34" i="1"/>
  <c r="I34" i="1"/>
  <c r="H41" i="1"/>
  <c r="I41" i="1"/>
  <c r="I36" i="1"/>
  <c r="H36" i="1"/>
  <c r="H40" i="1"/>
  <c r="I40" i="1"/>
  <c r="I37" i="1"/>
  <c r="H37" i="1"/>
  <c r="H32" i="1"/>
  <c r="I32" i="1"/>
  <c r="H38" i="1"/>
  <c r="I38" i="1"/>
  <c r="I35" i="1"/>
  <c r="H35" i="1"/>
  <c r="I39" i="1"/>
  <c r="H39" i="1"/>
  <c r="I33" i="1"/>
  <c r="H33" i="1"/>
  <c r="F44" i="1"/>
  <c r="G44" i="1" s="1"/>
  <c r="F51" i="1"/>
  <c r="G51" i="1" s="1"/>
  <c r="F46" i="1"/>
  <c r="G46" i="1" s="1"/>
  <c r="F50" i="1"/>
  <c r="G50" i="1" s="1"/>
  <c r="F47" i="1"/>
  <c r="G47" i="1" s="1"/>
  <c r="F42" i="1"/>
  <c r="G42" i="1" s="1"/>
  <c r="F48" i="1"/>
  <c r="G48" i="1" s="1"/>
  <c r="F45" i="1"/>
  <c r="G45" i="1" s="1"/>
  <c r="F49" i="1"/>
  <c r="G49" i="1" s="1"/>
  <c r="F43" i="1"/>
  <c r="G43" i="1" s="1"/>
  <c r="H44" i="1" l="1"/>
  <c r="I44" i="1"/>
  <c r="H51" i="1"/>
  <c r="I51" i="1"/>
  <c r="H46" i="1"/>
  <c r="I46" i="1"/>
  <c r="I50" i="1"/>
  <c r="H50" i="1"/>
  <c r="I47" i="1"/>
  <c r="H47" i="1"/>
  <c r="I42" i="1"/>
  <c r="H42" i="1"/>
  <c r="I48" i="1"/>
  <c r="H48" i="1"/>
  <c r="H45" i="1"/>
  <c r="I45" i="1"/>
  <c r="I49" i="1"/>
  <c r="H49" i="1"/>
  <c r="H43" i="1"/>
  <c r="I43" i="1"/>
  <c r="F54" i="1"/>
  <c r="G54" i="1" s="1"/>
  <c r="F61" i="1"/>
  <c r="G61" i="1" s="1"/>
  <c r="F56" i="1"/>
  <c r="G56" i="1" s="1"/>
  <c r="F60" i="1"/>
  <c r="G60" i="1" s="1"/>
  <c r="F57" i="1"/>
  <c r="G57" i="1" s="1"/>
  <c r="F52" i="1"/>
  <c r="G52" i="1" s="1"/>
  <c r="F58" i="1"/>
  <c r="G58" i="1" s="1"/>
  <c r="F55" i="1"/>
  <c r="G55" i="1" s="1"/>
  <c r="F59" i="1"/>
  <c r="G59" i="1" s="1"/>
  <c r="F53" i="1"/>
  <c r="G53" i="1" s="1"/>
  <c r="H54" i="1" l="1"/>
  <c r="I54" i="1"/>
  <c r="H61" i="1"/>
  <c r="I61" i="1"/>
  <c r="H56" i="1"/>
  <c r="I56" i="1"/>
  <c r="H60" i="1"/>
  <c r="I60" i="1"/>
  <c r="I57" i="1"/>
  <c r="H57" i="1"/>
  <c r="I52" i="1"/>
  <c r="H52" i="1"/>
  <c r="H58" i="1"/>
  <c r="I58" i="1"/>
  <c r="H55" i="1"/>
  <c r="I55" i="1"/>
  <c r="I59" i="1"/>
  <c r="H59" i="1"/>
  <c r="H53" i="1"/>
  <c r="I53" i="1"/>
  <c r="F64" i="1"/>
  <c r="G64" i="1" s="1"/>
  <c r="F71" i="1"/>
  <c r="G71" i="1" s="1"/>
  <c r="F66" i="1"/>
  <c r="G66" i="1" s="1"/>
  <c r="F70" i="1"/>
  <c r="G70" i="1" s="1"/>
  <c r="F67" i="1"/>
  <c r="G67" i="1" s="1"/>
  <c r="F62" i="1"/>
  <c r="G62" i="1" s="1"/>
  <c r="F68" i="1"/>
  <c r="G68" i="1" s="1"/>
  <c r="F65" i="1"/>
  <c r="G65" i="1" s="1"/>
  <c r="F69" i="1"/>
  <c r="G69" i="1" s="1"/>
  <c r="F63" i="1"/>
  <c r="G63" i="1" s="1"/>
  <c r="H64" i="1" l="1"/>
  <c r="I64" i="1"/>
  <c r="H71" i="1"/>
  <c r="I71" i="1"/>
  <c r="I66" i="1"/>
  <c r="H66" i="1"/>
  <c r="H70" i="1"/>
  <c r="I70" i="1"/>
  <c r="I67" i="1"/>
  <c r="H67" i="1"/>
  <c r="H62" i="1"/>
  <c r="I62" i="1"/>
  <c r="H68" i="1"/>
  <c r="I68" i="1"/>
  <c r="I65" i="1"/>
  <c r="H65" i="1"/>
  <c r="H69" i="1"/>
  <c r="I69" i="1"/>
  <c r="H63" i="1"/>
  <c r="I63" i="1"/>
  <c r="F74" i="1"/>
  <c r="G74" i="1" s="1"/>
  <c r="F81" i="1"/>
  <c r="G81" i="1" s="1"/>
  <c r="F76" i="1"/>
  <c r="G76" i="1" s="1"/>
  <c r="F80" i="1"/>
  <c r="G80" i="1" s="1"/>
  <c r="F77" i="1"/>
  <c r="G77" i="1" s="1"/>
  <c r="F72" i="1"/>
  <c r="G72" i="1" s="1"/>
  <c r="F78" i="1"/>
  <c r="G78" i="1" s="1"/>
  <c r="F75" i="1"/>
  <c r="G75" i="1" s="1"/>
  <c r="F79" i="1"/>
  <c r="G79" i="1" s="1"/>
  <c r="F73" i="1"/>
  <c r="G73" i="1" s="1"/>
  <c r="H74" i="1" l="1"/>
  <c r="I74" i="1"/>
  <c r="I81" i="1"/>
  <c r="H81" i="1"/>
  <c r="H76" i="1"/>
  <c r="I76" i="1"/>
  <c r="H80" i="1"/>
  <c r="I80" i="1"/>
  <c r="H77" i="1"/>
  <c r="I77" i="1"/>
  <c r="I72" i="1"/>
  <c r="H72" i="1"/>
  <c r="H78" i="1"/>
  <c r="I78" i="1"/>
  <c r="H75" i="1"/>
  <c r="I75" i="1"/>
  <c r="H79" i="1"/>
  <c r="I79" i="1"/>
  <c r="H73" i="1"/>
  <c r="I73" i="1"/>
  <c r="F84" i="1"/>
  <c r="G84" i="1" s="1"/>
  <c r="F91" i="1"/>
  <c r="G91" i="1" s="1"/>
  <c r="F86" i="1"/>
  <c r="G86" i="1" s="1"/>
  <c r="F90" i="1"/>
  <c r="G90" i="1" s="1"/>
  <c r="F87" i="1"/>
  <c r="G87" i="1" s="1"/>
  <c r="F82" i="1"/>
  <c r="G82" i="1" s="1"/>
  <c r="F88" i="1"/>
  <c r="G88" i="1" s="1"/>
  <c r="F85" i="1"/>
  <c r="G85" i="1" s="1"/>
  <c r="F89" i="1"/>
  <c r="G89" i="1" s="1"/>
  <c r="F83" i="1"/>
  <c r="G83" i="1" s="1"/>
  <c r="H84" i="1" l="1"/>
  <c r="I84" i="1"/>
  <c r="I91" i="1"/>
  <c r="H91" i="1"/>
  <c r="I86" i="1"/>
  <c r="H86" i="1"/>
  <c r="H90" i="1"/>
  <c r="I90" i="1"/>
  <c r="H87" i="1"/>
  <c r="I87" i="1"/>
  <c r="I82" i="1"/>
  <c r="H82" i="1"/>
  <c r="H88" i="1"/>
  <c r="I88" i="1"/>
  <c r="I85" i="1"/>
  <c r="H85" i="1"/>
  <c r="H89" i="1"/>
  <c r="I89" i="1"/>
  <c r="I83" i="1"/>
  <c r="H83" i="1"/>
  <c r="F94" i="1"/>
  <c r="G94" i="1" s="1"/>
  <c r="F101" i="1"/>
  <c r="G101" i="1" s="1"/>
  <c r="F96" i="1"/>
  <c r="G96" i="1" s="1"/>
  <c r="F100" i="1"/>
  <c r="G100" i="1" s="1"/>
  <c r="F97" i="1"/>
  <c r="G97" i="1" s="1"/>
  <c r="F92" i="1"/>
  <c r="G92" i="1" s="1"/>
  <c r="F98" i="1"/>
  <c r="G98" i="1" s="1"/>
  <c r="F95" i="1"/>
  <c r="G95" i="1" s="1"/>
  <c r="F99" i="1"/>
  <c r="G99" i="1" s="1"/>
  <c r="F93" i="1"/>
  <c r="G93" i="1" s="1"/>
  <c r="H94" i="1" l="1"/>
  <c r="I94" i="1"/>
  <c r="H101" i="1"/>
  <c r="I101" i="1"/>
  <c r="H96" i="1"/>
  <c r="I96" i="1"/>
  <c r="H100" i="1"/>
  <c r="I100" i="1"/>
  <c r="I97" i="1"/>
  <c r="H97" i="1"/>
  <c r="H92" i="1"/>
  <c r="I92" i="1"/>
  <c r="H98" i="1"/>
  <c r="I98" i="1"/>
  <c r="I95" i="1"/>
  <c r="H95" i="1"/>
  <c r="I99" i="1"/>
  <c r="H99" i="1"/>
  <c r="H93" i="1"/>
  <c r="I93" i="1"/>
  <c r="F104" i="1"/>
  <c r="G104" i="1" s="1"/>
  <c r="F111" i="1"/>
  <c r="G111" i="1" s="1"/>
  <c r="F106" i="1"/>
  <c r="G106" i="1" s="1"/>
  <c r="F110" i="1"/>
  <c r="G110" i="1" s="1"/>
  <c r="F107" i="1"/>
  <c r="G107" i="1" s="1"/>
  <c r="F102" i="1"/>
  <c r="G102" i="1" s="1"/>
  <c r="F108" i="1"/>
  <c r="G108" i="1" s="1"/>
  <c r="F105" i="1"/>
  <c r="G105" i="1" s="1"/>
  <c r="F109" i="1"/>
  <c r="G109" i="1" s="1"/>
  <c r="F103" i="1"/>
  <c r="G103" i="1" s="1"/>
  <c r="H104" i="1" l="1"/>
  <c r="I104" i="1"/>
  <c r="H111" i="1"/>
  <c r="I111" i="1"/>
  <c r="H106" i="1"/>
  <c r="I106" i="1"/>
  <c r="I110" i="1"/>
  <c r="H110" i="1"/>
  <c r="I107" i="1"/>
  <c r="H107" i="1"/>
  <c r="H102" i="1"/>
  <c r="I102" i="1"/>
  <c r="I108" i="1"/>
  <c r="H108" i="1"/>
  <c r="I105" i="1"/>
  <c r="H105" i="1"/>
  <c r="I109" i="1"/>
  <c r="H109" i="1"/>
  <c r="I103" i="1"/>
  <c r="H103" i="1"/>
  <c r="F114" i="1"/>
  <c r="G114" i="1" s="1"/>
  <c r="F121" i="1"/>
  <c r="G121" i="1" s="1"/>
  <c r="F116" i="1"/>
  <c r="G116" i="1" s="1"/>
  <c r="F120" i="1"/>
  <c r="G120" i="1" s="1"/>
  <c r="F117" i="1"/>
  <c r="G117" i="1" s="1"/>
  <c r="F112" i="1"/>
  <c r="G112" i="1" s="1"/>
  <c r="F118" i="1"/>
  <c r="G118" i="1" s="1"/>
  <c r="F115" i="1"/>
  <c r="G115" i="1" s="1"/>
  <c r="F119" i="1"/>
  <c r="G119" i="1" s="1"/>
  <c r="F113" i="1"/>
  <c r="G113" i="1" s="1"/>
  <c r="I114" i="1" l="1"/>
  <c r="H114" i="1"/>
  <c r="H121" i="1"/>
  <c r="I121" i="1"/>
  <c r="H116" i="1"/>
  <c r="I116" i="1"/>
  <c r="H120" i="1"/>
  <c r="I120" i="1"/>
  <c r="I117" i="1"/>
  <c r="H117" i="1"/>
  <c r="H112" i="1"/>
  <c r="I112" i="1"/>
  <c r="H118" i="1"/>
  <c r="I118" i="1"/>
  <c r="H115" i="1"/>
  <c r="I115" i="1"/>
  <c r="H119" i="1"/>
  <c r="I119" i="1"/>
  <c r="I113" i="1"/>
  <c r="H113" i="1"/>
  <c r="F124" i="1"/>
  <c r="G124" i="1" s="1"/>
  <c r="F131" i="1"/>
  <c r="G131" i="1" s="1"/>
  <c r="F126" i="1"/>
  <c r="G126" i="1" s="1"/>
  <c r="F130" i="1"/>
  <c r="G130" i="1" s="1"/>
  <c r="F127" i="1"/>
  <c r="G127" i="1" s="1"/>
  <c r="F122" i="1"/>
  <c r="G122" i="1" s="1"/>
  <c r="F128" i="1"/>
  <c r="G128" i="1" s="1"/>
  <c r="F125" i="1"/>
  <c r="G125" i="1" s="1"/>
  <c r="F129" i="1"/>
  <c r="G129" i="1" s="1"/>
  <c r="F123" i="1"/>
  <c r="G123" i="1" s="1"/>
  <c r="H124" i="1" l="1"/>
  <c r="I124" i="1"/>
  <c r="I131" i="1"/>
  <c r="H131" i="1"/>
  <c r="I126" i="1"/>
  <c r="H126" i="1"/>
  <c r="H130" i="1"/>
  <c r="I130" i="1"/>
  <c r="I127" i="1"/>
  <c r="H127" i="1"/>
  <c r="H122" i="1"/>
  <c r="I122" i="1"/>
  <c r="H128" i="1"/>
  <c r="I128" i="1"/>
  <c r="I125" i="1"/>
  <c r="H125" i="1"/>
  <c r="H129" i="1"/>
  <c r="I129" i="1"/>
  <c r="H123" i="1"/>
  <c r="I123" i="1"/>
  <c r="F134" i="1"/>
  <c r="F141" i="1"/>
  <c r="F136" i="1"/>
  <c r="F140" i="1"/>
  <c r="F137" i="1"/>
  <c r="F132" i="1"/>
  <c r="F138" i="1"/>
  <c r="F135" i="1"/>
  <c r="F139" i="1"/>
  <c r="F133" i="1"/>
  <c r="G134" i="1" l="1"/>
  <c r="F144" i="1"/>
  <c r="G141" i="1"/>
  <c r="F151" i="1"/>
  <c r="G136" i="1"/>
  <c r="F146" i="1"/>
  <c r="G140" i="1"/>
  <c r="F150" i="1"/>
  <c r="G137" i="1"/>
  <c r="F147" i="1"/>
  <c r="G138" i="1"/>
  <c r="F148" i="1"/>
  <c r="G135" i="1"/>
  <c r="F145" i="1"/>
  <c r="G139" i="1"/>
  <c r="F149" i="1"/>
  <c r="G133" i="1"/>
  <c r="F143" i="1"/>
  <c r="G132" i="1"/>
  <c r="F142" i="1"/>
  <c r="H134" i="1"/>
  <c r="I134" i="1"/>
  <c r="H141" i="1"/>
  <c r="I141" i="1"/>
  <c r="I136" i="1"/>
  <c r="H136" i="1"/>
  <c r="H140" i="1"/>
  <c r="I140" i="1"/>
  <c r="I137" i="1"/>
  <c r="H137" i="1"/>
  <c r="H132" i="1"/>
  <c r="I132" i="1"/>
  <c r="H138" i="1"/>
  <c r="I138" i="1"/>
  <c r="I135" i="1"/>
  <c r="H135" i="1"/>
  <c r="H139" i="1"/>
  <c r="I139" i="1"/>
  <c r="H133" i="1"/>
  <c r="I133" i="1"/>
  <c r="G144" i="1" l="1"/>
  <c r="F154" i="1"/>
  <c r="G151" i="1"/>
  <c r="F161" i="1"/>
  <c r="F156" i="1"/>
  <c r="G146" i="1"/>
  <c r="G150" i="1"/>
  <c r="F160" i="1"/>
  <c r="G147" i="1"/>
  <c r="F157" i="1"/>
  <c r="G148" i="1"/>
  <c r="F158" i="1"/>
  <c r="F155" i="1"/>
  <c r="G145" i="1"/>
  <c r="G149" i="1"/>
  <c r="F159" i="1"/>
  <c r="G143" i="1"/>
  <c r="F153" i="1"/>
  <c r="G142" i="1"/>
  <c r="F152" i="1"/>
  <c r="H144" i="1" l="1"/>
  <c r="I144" i="1"/>
  <c r="F164" i="1"/>
  <c r="G154" i="1"/>
  <c r="H151" i="1"/>
  <c r="I151" i="1"/>
  <c r="G161" i="1"/>
  <c r="F171" i="1"/>
  <c r="G156" i="1"/>
  <c r="F166" i="1"/>
  <c r="H146" i="1"/>
  <c r="I146" i="1"/>
  <c r="H150" i="1"/>
  <c r="I150" i="1"/>
  <c r="F170" i="1"/>
  <c r="G160" i="1"/>
  <c r="H147" i="1"/>
  <c r="I147" i="1"/>
  <c r="F167" i="1"/>
  <c r="G157" i="1"/>
  <c r="I148" i="1"/>
  <c r="H148" i="1"/>
  <c r="G158" i="1"/>
  <c r="F168" i="1"/>
  <c r="F165" i="1"/>
  <c r="G155" i="1"/>
  <c r="H145" i="1"/>
  <c r="I145" i="1"/>
  <c r="H149" i="1"/>
  <c r="I149" i="1"/>
  <c r="G159" i="1"/>
  <c r="F169" i="1"/>
  <c r="H143" i="1"/>
  <c r="I143" i="1"/>
  <c r="F163" i="1"/>
  <c r="G153" i="1"/>
  <c r="I142" i="1"/>
  <c r="H142" i="1"/>
  <c r="F162" i="1"/>
  <c r="G152" i="1"/>
  <c r="G164" i="1" l="1"/>
  <c r="F174" i="1"/>
  <c r="H154" i="1"/>
  <c r="I154" i="1"/>
  <c r="H161" i="1"/>
  <c r="I161" i="1"/>
  <c r="G171" i="1"/>
  <c r="F181" i="1"/>
  <c r="H156" i="1"/>
  <c r="I156" i="1"/>
  <c r="G166" i="1"/>
  <c r="F176" i="1"/>
  <c r="G170" i="1"/>
  <c r="F180" i="1"/>
  <c r="I160" i="1"/>
  <c r="H160" i="1"/>
  <c r="F177" i="1"/>
  <c r="G167" i="1"/>
  <c r="I157" i="1"/>
  <c r="H157" i="1"/>
  <c r="I158" i="1"/>
  <c r="H158" i="1"/>
  <c r="F178" i="1"/>
  <c r="G168" i="1"/>
  <c r="F175" i="1"/>
  <c r="G165" i="1"/>
  <c r="H155" i="1"/>
  <c r="I155" i="1"/>
  <c r="H159" i="1"/>
  <c r="I159" i="1"/>
  <c r="G169" i="1"/>
  <c r="F179" i="1"/>
  <c r="G163" i="1"/>
  <c r="F173" i="1"/>
  <c r="H153" i="1"/>
  <c r="I153" i="1"/>
  <c r="F172" i="1"/>
  <c r="G162" i="1"/>
  <c r="H152" i="1"/>
  <c r="I152" i="1"/>
  <c r="H164" i="1" l="1"/>
  <c r="I164" i="1"/>
  <c r="F184" i="1"/>
  <c r="G174" i="1"/>
  <c r="H171" i="1"/>
  <c r="I171" i="1"/>
  <c r="G181" i="1"/>
  <c r="F191" i="1"/>
  <c r="H166" i="1"/>
  <c r="I166" i="1"/>
  <c r="G176" i="1"/>
  <c r="F186" i="1"/>
  <c r="I170" i="1"/>
  <c r="H170" i="1"/>
  <c r="F190" i="1"/>
  <c r="G180" i="1"/>
  <c r="G177" i="1"/>
  <c r="F187" i="1"/>
  <c r="H167" i="1"/>
  <c r="I167" i="1"/>
  <c r="F188" i="1"/>
  <c r="G178" i="1"/>
  <c r="H168" i="1"/>
  <c r="I168" i="1"/>
  <c r="G175" i="1"/>
  <c r="F185" i="1"/>
  <c r="H165" i="1"/>
  <c r="I165" i="1"/>
  <c r="H169" i="1"/>
  <c r="I169" i="1"/>
  <c r="G179" i="1"/>
  <c r="F189" i="1"/>
  <c r="H163" i="1"/>
  <c r="I163" i="1"/>
  <c r="G173" i="1"/>
  <c r="F183" i="1"/>
  <c r="G172" i="1"/>
  <c r="F182" i="1"/>
  <c r="H162" i="1"/>
  <c r="I162" i="1"/>
  <c r="F194" i="1" l="1"/>
  <c r="G184" i="1"/>
  <c r="I174" i="1"/>
  <c r="H174" i="1"/>
  <c r="I181" i="1"/>
  <c r="H181" i="1"/>
  <c r="G191" i="1"/>
  <c r="F201" i="1"/>
  <c r="I176" i="1"/>
  <c r="H176" i="1"/>
  <c r="F196" i="1"/>
  <c r="G186" i="1"/>
  <c r="F200" i="1"/>
  <c r="G190" i="1"/>
  <c r="H180" i="1"/>
  <c r="I180" i="1"/>
  <c r="H177" i="1"/>
  <c r="I177" i="1"/>
  <c r="F197" i="1"/>
  <c r="G187" i="1"/>
  <c r="G188" i="1"/>
  <c r="F198" i="1"/>
  <c r="H178" i="1"/>
  <c r="I178" i="1"/>
  <c r="H175" i="1"/>
  <c r="I175" i="1"/>
  <c r="G185" i="1"/>
  <c r="F195" i="1"/>
  <c r="H179" i="1"/>
  <c r="I179" i="1"/>
  <c r="G189" i="1"/>
  <c r="F199" i="1"/>
  <c r="H173" i="1"/>
  <c r="I173" i="1"/>
  <c r="F193" i="1"/>
  <c r="G183" i="1"/>
  <c r="H172" i="1"/>
  <c r="I172" i="1"/>
  <c r="G182" i="1"/>
  <c r="F192" i="1"/>
  <c r="G194" i="1" l="1"/>
  <c r="F204" i="1"/>
  <c r="H184" i="1"/>
  <c r="I184" i="1"/>
  <c r="I191" i="1"/>
  <c r="H191" i="1"/>
  <c r="F211" i="1"/>
  <c r="G201" i="1"/>
  <c r="F206" i="1"/>
  <c r="G196" i="1"/>
  <c r="I186" i="1"/>
  <c r="H186" i="1"/>
  <c r="G200" i="1"/>
  <c r="F210" i="1"/>
  <c r="H190" i="1"/>
  <c r="I190" i="1"/>
  <c r="F207" i="1"/>
  <c r="G197" i="1"/>
  <c r="H187" i="1"/>
  <c r="I187" i="1"/>
  <c r="H188" i="1"/>
  <c r="I188" i="1"/>
  <c r="F208" i="1"/>
  <c r="G198" i="1"/>
  <c r="I185" i="1"/>
  <c r="H185" i="1"/>
  <c r="G195" i="1"/>
  <c r="F205" i="1"/>
  <c r="H189" i="1"/>
  <c r="I189" i="1"/>
  <c r="G199" i="1"/>
  <c r="F209" i="1"/>
  <c r="F203" i="1"/>
  <c r="G193" i="1"/>
  <c r="I183" i="1"/>
  <c r="H183" i="1"/>
  <c r="H182" i="1"/>
  <c r="I182" i="1"/>
  <c r="F202" i="1"/>
  <c r="G192" i="1"/>
  <c r="I194" i="1" l="1"/>
  <c r="H194" i="1"/>
  <c r="G204" i="1"/>
  <c r="F214" i="1"/>
  <c r="F221" i="1"/>
  <c r="G211" i="1"/>
  <c r="I201" i="1"/>
  <c r="H201" i="1"/>
  <c r="G206" i="1"/>
  <c r="F216" i="1"/>
  <c r="I196" i="1"/>
  <c r="H196" i="1"/>
  <c r="H200" i="1"/>
  <c r="I200" i="1"/>
  <c r="G210" i="1"/>
  <c r="F220" i="1"/>
  <c r="G207" i="1"/>
  <c r="F217" i="1"/>
  <c r="H197" i="1"/>
  <c r="I197" i="1"/>
  <c r="F218" i="1"/>
  <c r="G208" i="1"/>
  <c r="H198" i="1"/>
  <c r="I198" i="1"/>
  <c r="I195" i="1"/>
  <c r="H195" i="1"/>
  <c r="G205" i="1"/>
  <c r="F215" i="1"/>
  <c r="H199" i="1"/>
  <c r="I199" i="1"/>
  <c r="G209" i="1"/>
  <c r="F219" i="1"/>
  <c r="G203" i="1"/>
  <c r="F213" i="1"/>
  <c r="I193" i="1"/>
  <c r="H193" i="1"/>
  <c r="F212" i="1"/>
  <c r="G202" i="1"/>
  <c r="H192" i="1"/>
  <c r="I192" i="1"/>
  <c r="H204" i="1" l="1"/>
  <c r="I204" i="1"/>
  <c r="G214" i="1"/>
  <c r="F224" i="1"/>
  <c r="G221" i="1"/>
  <c r="F231" i="1"/>
  <c r="I211" i="1"/>
  <c r="H211" i="1"/>
  <c r="I206" i="1"/>
  <c r="H206" i="1"/>
  <c r="G216" i="1"/>
  <c r="F226" i="1"/>
  <c r="I210" i="1"/>
  <c r="H210" i="1"/>
  <c r="G220" i="1"/>
  <c r="F230" i="1"/>
  <c r="H207" i="1"/>
  <c r="I207" i="1"/>
  <c r="G217" i="1"/>
  <c r="F227" i="1"/>
  <c r="F228" i="1"/>
  <c r="G218" i="1"/>
  <c r="I208" i="1"/>
  <c r="H208" i="1"/>
  <c r="I205" i="1"/>
  <c r="H205" i="1"/>
  <c r="F225" i="1"/>
  <c r="G215" i="1"/>
  <c r="I209" i="1"/>
  <c r="H209" i="1"/>
  <c r="F229" i="1"/>
  <c r="G219" i="1"/>
  <c r="I203" i="1"/>
  <c r="H203" i="1"/>
  <c r="F223" i="1"/>
  <c r="G213" i="1"/>
  <c r="F222" i="1"/>
  <c r="G212" i="1"/>
  <c r="H202" i="1"/>
  <c r="I202" i="1"/>
  <c r="I214" i="1" l="1"/>
  <c r="H214" i="1"/>
  <c r="F234" i="1"/>
  <c r="G224" i="1"/>
  <c r="H221" i="1"/>
  <c r="I221" i="1"/>
  <c r="F241" i="1"/>
  <c r="G231" i="1"/>
  <c r="H216" i="1"/>
  <c r="I216" i="1"/>
  <c r="G226" i="1"/>
  <c r="F236" i="1"/>
  <c r="I220" i="1"/>
  <c r="H220" i="1"/>
  <c r="G230" i="1"/>
  <c r="F240" i="1"/>
  <c r="H217" i="1"/>
  <c r="I217" i="1"/>
  <c r="G227" i="1"/>
  <c r="F237" i="1"/>
  <c r="G228" i="1"/>
  <c r="F238" i="1"/>
  <c r="I218" i="1"/>
  <c r="H218" i="1"/>
  <c r="G225" i="1"/>
  <c r="F235" i="1"/>
  <c r="H215" i="1"/>
  <c r="I215" i="1"/>
  <c r="F239" i="1"/>
  <c r="G229" i="1"/>
  <c r="H219" i="1"/>
  <c r="I219" i="1"/>
  <c r="G223" i="1"/>
  <c r="F233" i="1"/>
  <c r="H213" i="1"/>
  <c r="I213" i="1"/>
  <c r="F232" i="1"/>
  <c r="G222" i="1"/>
  <c r="I212" i="1"/>
  <c r="H212" i="1"/>
  <c r="G234" i="1" l="1"/>
  <c r="F244" i="1"/>
  <c r="G244" i="1" s="1"/>
  <c r="H224" i="1"/>
  <c r="I224" i="1"/>
  <c r="G241" i="1"/>
  <c r="F251" i="1"/>
  <c r="G251" i="1" s="1"/>
  <c r="H231" i="1"/>
  <c r="I231" i="1"/>
  <c r="H226" i="1"/>
  <c r="I226" i="1"/>
  <c r="G236" i="1"/>
  <c r="F246" i="1"/>
  <c r="G246" i="1" s="1"/>
  <c r="H230" i="1"/>
  <c r="I230" i="1"/>
  <c r="G240" i="1"/>
  <c r="F250" i="1"/>
  <c r="G250" i="1" s="1"/>
  <c r="H227" i="1"/>
  <c r="I227" i="1"/>
  <c r="G237" i="1"/>
  <c r="F247" i="1"/>
  <c r="G247" i="1" s="1"/>
  <c r="H228" i="1"/>
  <c r="I228" i="1"/>
  <c r="G238" i="1"/>
  <c r="F248" i="1"/>
  <c r="G248" i="1" s="1"/>
  <c r="H225" i="1"/>
  <c r="I225" i="1"/>
  <c r="F245" i="1"/>
  <c r="G245" i="1" s="1"/>
  <c r="G235" i="1"/>
  <c r="G239" i="1"/>
  <c r="F249" i="1"/>
  <c r="G249" i="1" s="1"/>
  <c r="H229" i="1"/>
  <c r="I229" i="1"/>
  <c r="H223" i="1"/>
  <c r="I223" i="1"/>
  <c r="G233" i="1"/>
  <c r="F243" i="1"/>
  <c r="G243" i="1" s="1"/>
  <c r="F242" i="1"/>
  <c r="G242" i="1" s="1"/>
  <c r="G232" i="1"/>
  <c r="H222" i="1"/>
  <c r="I222" i="1"/>
  <c r="H234" i="1" l="1"/>
  <c r="I234" i="1"/>
  <c r="H244" i="1"/>
  <c r="I244" i="1"/>
  <c r="H241" i="1"/>
  <c r="I241" i="1"/>
  <c r="H251" i="1"/>
  <c r="I251" i="1"/>
  <c r="I236" i="1"/>
  <c r="H236" i="1"/>
  <c r="H246" i="1"/>
  <c r="I246" i="1"/>
  <c r="H240" i="1"/>
  <c r="I240" i="1"/>
  <c r="I250" i="1"/>
  <c r="H250" i="1"/>
  <c r="H237" i="1"/>
  <c r="I237" i="1"/>
  <c r="H247" i="1"/>
  <c r="I247" i="1"/>
  <c r="H238" i="1"/>
  <c r="I238" i="1"/>
  <c r="H248" i="1"/>
  <c r="I248" i="1"/>
  <c r="H245" i="1"/>
  <c r="E8" i="2" s="1"/>
  <c r="I245" i="1"/>
  <c r="H235" i="1"/>
  <c r="I235" i="1"/>
  <c r="H239" i="1"/>
  <c r="I239" i="1"/>
  <c r="I249" i="1"/>
  <c r="H249" i="1"/>
  <c r="I233" i="1"/>
  <c r="H233" i="1"/>
  <c r="H243" i="1"/>
  <c r="I243" i="1"/>
  <c r="H242" i="1"/>
  <c r="I242" i="1"/>
  <c r="H232" i="1"/>
  <c r="I232" i="1"/>
  <c r="E2" i="2" l="1"/>
  <c r="E5" i="2"/>
  <c r="E11" i="2"/>
  <c r="E6" i="2"/>
  <c r="E14" i="2"/>
  <c r="E10" i="2"/>
  <c r="E7" i="2"/>
  <c r="F10" i="2"/>
  <c r="F6" i="2"/>
  <c r="F7" i="2"/>
  <c r="F11" i="2"/>
  <c r="F5" i="2"/>
  <c r="F14" i="2"/>
  <c r="F24" i="2"/>
  <c r="F3" i="2"/>
  <c r="E24" i="2"/>
  <c r="E17" i="2"/>
  <c r="E15" i="2"/>
  <c r="E19" i="2"/>
  <c r="E20" i="2"/>
  <c r="E16" i="2"/>
  <c r="E23" i="2"/>
  <c r="E22" i="2"/>
  <c r="E25" i="2"/>
  <c r="E18" i="2"/>
  <c r="E13" i="2"/>
  <c r="E12" i="2"/>
  <c r="E26" i="2"/>
  <c r="E21" i="2"/>
  <c r="E9" i="2"/>
  <c r="F8" i="2"/>
  <c r="F22" i="2"/>
  <c r="F12" i="2"/>
  <c r="F21" i="2"/>
  <c r="F9" i="2"/>
  <c r="F20" i="2"/>
  <c r="F17" i="2"/>
  <c r="F18" i="2"/>
  <c r="F13" i="2"/>
  <c r="F16" i="2"/>
  <c r="F26" i="2"/>
  <c r="F19" i="2"/>
  <c r="F23" i="2"/>
  <c r="F15" i="2"/>
  <c r="F25" i="2"/>
  <c r="I4" i="2" l="1"/>
  <c r="I6" i="2"/>
  <c r="I11" i="2"/>
  <c r="I7" i="2"/>
  <c r="I9" i="2"/>
  <c r="I8" i="2"/>
  <c r="I3" i="2"/>
  <c r="I10" i="2"/>
  <c r="I5" i="2"/>
  <c r="I12" i="2"/>
  <c r="J3" i="2"/>
  <c r="J11" i="2"/>
  <c r="J9" i="2"/>
  <c r="J7" i="2"/>
  <c r="J6" i="2"/>
  <c r="J4" i="2"/>
  <c r="J8" i="2"/>
  <c r="J12" i="2"/>
  <c r="J5" i="2"/>
  <c r="J10" i="2"/>
  <c r="K4" i="2" l="1"/>
  <c r="K6" i="2"/>
  <c r="K11" i="2"/>
  <c r="I13" i="2"/>
  <c r="K3" i="2"/>
  <c r="K7" i="2"/>
  <c r="K9" i="2"/>
  <c r="K8" i="2"/>
  <c r="K10" i="2"/>
  <c r="K5" i="2"/>
  <c r="K12" i="2"/>
  <c r="J13" i="2"/>
  <c r="K13" i="2" l="1"/>
</calcChain>
</file>

<file path=xl/sharedStrings.xml><?xml version="1.0" encoding="utf-8"?>
<sst xmlns="http://schemas.openxmlformats.org/spreadsheetml/2006/main" count="556" uniqueCount="55">
  <si>
    <t>my_fi_name</t>
  </si>
  <si>
    <t>price_screen_bid</t>
  </si>
  <si>
    <t>price_screen_ask</t>
  </si>
  <si>
    <t>time</t>
  </si>
  <si>
    <t>ARKB</t>
  </si>
  <si>
    <t>2026-06-16_09-49-36</t>
  </si>
  <si>
    <t>BITB</t>
  </si>
  <si>
    <t>BRRR</t>
  </si>
  <si>
    <t>BTC</t>
  </si>
  <si>
    <t>BTCW</t>
  </si>
  <si>
    <t>EZBC</t>
  </si>
  <si>
    <t>FBTC</t>
  </si>
  <si>
    <t>GBTC</t>
  </si>
  <si>
    <t>HODL</t>
  </si>
  <si>
    <t>IBIT</t>
  </si>
  <si>
    <t>2026-06-16_10-04-32</t>
  </si>
  <si>
    <t>2026-06-16_10-26-35</t>
  </si>
  <si>
    <t>2026-06-16_11-08-41</t>
  </si>
  <si>
    <t>2026-06-16_11-22-27</t>
  </si>
  <si>
    <t>2026-06-16_11-36-13</t>
  </si>
  <si>
    <t>2026-06-16_11-49-59</t>
  </si>
  <si>
    <t>2026-06-16_12-03-46</t>
  </si>
  <si>
    <t>2026-06-16_12-17-32</t>
  </si>
  <si>
    <t>2026-06-16_12-31-18</t>
  </si>
  <si>
    <t>2026-06-16_12-45-03</t>
  </si>
  <si>
    <t>2026-06-16_12-58-49</t>
  </si>
  <si>
    <t>2026-06-16_13-12-33</t>
  </si>
  <si>
    <t>2026-06-16_13-26-18</t>
  </si>
  <si>
    <t>2026-06-16_13-40-03</t>
  </si>
  <si>
    <t>2026-06-16_13-53-55</t>
  </si>
  <si>
    <t>2026-06-16_14-07-39</t>
  </si>
  <si>
    <t>2026-06-16_14-21-25</t>
  </si>
  <si>
    <t>2026-06-16_14-35-10</t>
  </si>
  <si>
    <t>2026-06-16_14-48-56</t>
  </si>
  <si>
    <t>2026-06-16_15-02-43</t>
  </si>
  <si>
    <t>2026-06-16_15-16-28</t>
  </si>
  <si>
    <t>2026-06-16_15-30-13</t>
  </si>
  <si>
    <t>2026-06-16_15-43-58</t>
  </si>
  <si>
    <t>2026-06-16_15-57-42</t>
  </si>
  <si>
    <t>Row Labels</t>
  </si>
  <si>
    <t>Max of unit bid</t>
  </si>
  <si>
    <t>Min of unit ask</t>
  </si>
  <si>
    <t>net</t>
  </si>
  <si>
    <t>bid name</t>
  </si>
  <si>
    <t>ask name</t>
  </si>
  <si>
    <t>hit bid</t>
  </si>
  <si>
    <t>lift ask</t>
  </si>
  <si>
    <t>diff</t>
  </si>
  <si>
    <t>price</t>
  </si>
  <si>
    <t>$ diff</t>
  </si>
  <si>
    <t>scalar</t>
  </si>
  <si>
    <t>adj</t>
  </si>
  <si>
    <t>adj scalar</t>
  </si>
  <si>
    <t>unit bid</t>
  </si>
  <si>
    <t>unit 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</si>
</sst>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00\);_(* &quot;-&quot;??_);_(@_)"/>
    <numFmt numFmtId="165" formatCode="0.0000%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 applyAlignment="1">
      <alignment horizontal="center"/>
    </xf>
    <xf numFmtId="164" fontId="0" fillId="0" borderId="0" xfId="1" applyNumberFormat="1" applyFont="1"/>
    <xf numFmtId="44" fontId="0" fillId="0" borderId="0" xfId="2" applyFon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right"/>
    </xf>
    <xf numFmtId="164" fontId="18" fillId="0" borderId="0" xfId="1" applyNumberFormat="1" applyFont="1" applyAlignment="1">
      <alignment horizontal="right"/>
    </xf>
    <xf numFmtId="44" fontId="18" fillId="0" borderId="0" xfId="2" applyFont="1" applyAlignment="1">
      <alignment horizontal="right"/>
    </xf>
    <xf numFmtId="0" fontId="16" fillId="0" borderId="0" xfId="0" applyFont="1"/>
    <xf numFmtId="164" fontId="0" fillId="33" borderId="0" xfId="1" applyNumberFormat="1" applyFont="1" applyFill="1"/>
    <xf numFmtId="165" fontId="0" fillId="0" borderId="0" xfId="3" applyNumberFormat="1" applyFont="1"/>
    <xf numFmtId="0" fontId="19" fillId="0" borderId="0" xfId="0" applyFont="1"/>
    <xf numFmtId="44" fontId="20" fillId="0" borderId="0" xfId="0" applyNumberFormat="1" applyFont="1"/>
    <xf numFmtId="0" fontId="0" fillId="0" borderId="0" xfId="0" pivotButton="1"/>
    <xf numFmtId="164" fontId="0" fillId="0" borderId="0" xfId="1" applyNumberFormat="1" applyFont="1" applyAlignment="1">
      <alignment horizontal="center"/>
    </xf>
    <xf numFmtId="44" fontId="0" fillId="0" borderId="0" xfId="2" applyFont="1" applyAlignment="1">
      <alignment horizont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.0000_);_(* \(#,##0.0000\);_(* &quot;-&quot;??_);_(@_)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Hyland" refreshedDate="46189.697494791668" createdVersion="8" refreshedVersion="8" minRefreshableVersion="3" recordCount="250" xr:uid="{EC68307C-CF46-482B-BCE5-0A88A06B8332}">
  <cacheSource type="worksheet">
    <worksheetSource name="Table1"/>
  </cacheSource>
  <cacheFields count="9">
    <cacheField name="my_fi_name" numFmtId="0">
      <sharedItems/>
    </cacheField>
    <cacheField name="price_screen_bid" numFmtId="0">
      <sharedItems containsSemiMixedTypes="0" containsString="0" containsNumber="1" minValue="18.47" maxValue="69.89"/>
    </cacheField>
    <cacheField name="price_screen_ask" numFmtId="0">
      <sharedItems containsSemiMixedTypes="0" containsString="0" containsNumber="1" minValue="18.48" maxValue="69.989999999999995"/>
    </cacheField>
    <cacheField name="time" numFmtId="0">
      <sharedItems count="25">
        <s v="2026-06-16_09-49-36"/>
        <s v="2026-06-16_10-04-32"/>
        <s v="2026-06-16_10-26-35"/>
        <s v="2026-06-16_11-08-41"/>
        <s v="2026-06-16_11-22-27"/>
        <s v="2026-06-16_11-36-13"/>
        <s v="2026-06-16_11-49-59"/>
        <s v="2026-06-16_12-03-46"/>
        <s v="2026-06-16_12-17-32"/>
        <s v="2026-06-16_12-31-18"/>
        <s v="2026-06-16_12-45-03"/>
        <s v="2026-06-16_12-58-49"/>
        <s v="2026-06-16_13-12-33"/>
        <s v="2026-06-16_13-26-18"/>
        <s v="2026-06-16_13-40-03"/>
        <s v="2026-06-16_13-53-55"/>
        <s v="2026-06-16_14-07-39"/>
        <s v="2026-06-16_14-21-25"/>
        <s v="2026-06-16_14-35-10"/>
        <s v="2026-06-16_14-48-56"/>
        <s v="2026-06-16_15-02-43"/>
        <s v="2026-06-16_15-16-28"/>
        <s v="2026-06-16_15-30-13"/>
        <s v="2026-06-16_15-43-58"/>
        <s v="2026-06-16_15-57-42"/>
      </sharedItems>
    </cacheField>
    <cacheField name="scalar" numFmtId="164">
      <sharedItems containsSemiMixedTypes="0" containsString="0" containsNumber="1" minValue="946.09739999999999" maxValue="3546.4557"/>
    </cacheField>
    <cacheField name="adj" numFmtId="164">
      <sharedItems containsSemiMixedTypes="0" containsString="0" containsNumber="1" minValue="-0.15" maxValue="0.2"/>
    </cacheField>
    <cacheField name="adj scalar" numFmtId="164">
      <sharedItems containsSemiMixedTypes="0" containsString="0" containsNumber="1" minValue="946.09739999999999" maxValue="3546.4557"/>
    </cacheField>
    <cacheField name="unit bid" numFmtId="44">
      <sharedItems containsSemiMixedTypes="0" containsString="0" containsNumber="1" minValue="65475.723329999993" maxValue="66162.605522000013"/>
    </cacheField>
    <cacheField name="unit ask" numFmtId="44">
      <sharedItems containsSemiMixedTypes="0" containsString="0" containsNumber="1" minValue="65510.40885" maxValue="66217.357025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ARKB"/>
    <n v="21.93"/>
    <n v="21.94"/>
    <x v="0"/>
    <n v="3014.8449999999998"/>
    <n v="0.1"/>
    <n v="3014.7449999999999"/>
    <n v="66113.35785"/>
    <n v="66143.505300000004"/>
  </r>
  <r>
    <s v="BITB"/>
    <n v="35.9"/>
    <n v="35.909999999999997"/>
    <x v="0"/>
    <n v="1842.0499"/>
    <n v="-0.1"/>
    <n v="1842.1498999999999"/>
    <n v="66133.18140999999"/>
    <n v="66151.602908999994"/>
  </r>
  <r>
    <s v="BRRR"/>
    <n v="18.649999999999999"/>
    <n v="18.66"/>
    <x v="0"/>
    <n v="3546.4557"/>
    <n v="0"/>
    <n v="3546.4557"/>
    <n v="66141.39880499999"/>
    <n v="66176.863362000004"/>
  </r>
  <r>
    <s v="BTC"/>
    <n v="29.25"/>
    <n v="29.26"/>
    <x v="0"/>
    <n v="2261.2858000000001"/>
    <n v="0"/>
    <n v="2261.2858000000001"/>
    <n v="66142.609649999999"/>
    <n v="66165.222508000006"/>
  </r>
  <r>
    <s v="BTCW"/>
    <n v="69.83"/>
    <n v="69.95"/>
    <x v="0"/>
    <n v="946.09739999999999"/>
    <n v="0"/>
    <n v="946.09739999999999"/>
    <n v="66065.981442000004"/>
    <n v="66179.513130000007"/>
  </r>
  <r>
    <s v="EZBC"/>
    <n v="38.21"/>
    <n v="38.229999999999997"/>
    <x v="0"/>
    <n v="1730.0737999999999"/>
    <n v="0.2"/>
    <n v="1729.8737999999998"/>
    <n v="66098.477897999997"/>
    <n v="66133.075373999993"/>
  </r>
  <r>
    <s v="FBTC"/>
    <n v="57.57"/>
    <n v="57.58"/>
    <x v="0"/>
    <n v="1148.8058000000001"/>
    <n v="-0.05"/>
    <n v="1148.8558"/>
    <n v="66139.628406000003"/>
    <n v="66151.116964000001"/>
  </r>
  <r>
    <s v="GBTC"/>
    <n v="51.31"/>
    <n v="51.32"/>
    <x v="0"/>
    <n v="1288.7435"/>
    <n v="-0.15"/>
    <n v="1288.8935000000001"/>
    <n v="66133.125485000011"/>
    <n v="66146.014420000007"/>
  </r>
  <r>
    <s v="HODL"/>
    <n v="18.7"/>
    <n v="18.71"/>
    <x v="0"/>
    <n v="3535.8029000000001"/>
    <n v="0"/>
    <n v="3535.8029000000001"/>
    <n v="66119.514230000001"/>
    <n v="66154.872259000011"/>
  </r>
  <r>
    <s v="IBIT"/>
    <n v="37.47"/>
    <n v="37.479999999999997"/>
    <x v="0"/>
    <n v="1764.9866999999999"/>
    <n v="0"/>
    <n v="1764.9866999999999"/>
    <n v="66134.051649000001"/>
    <n v="66151.701515999986"/>
  </r>
  <r>
    <s v="ARKB"/>
    <n v="21.94"/>
    <n v="21.95"/>
    <x v="1"/>
    <n v="3014.8449999999998"/>
    <n v="0.1"/>
    <n v="3014.7449999999999"/>
    <n v="66143.505300000004"/>
    <n v="66173.652749999994"/>
  </r>
  <r>
    <s v="BITB"/>
    <n v="35.909999999999997"/>
    <n v="35.92"/>
    <x v="1"/>
    <n v="1842.0499"/>
    <n v="-0.1"/>
    <n v="1842.1498999999999"/>
    <n v="66151.602908999994"/>
    <n v="66170.024407999997"/>
  </r>
  <r>
    <s v="BRRR"/>
    <n v="18.649999999999999"/>
    <n v="18.66"/>
    <x v="1"/>
    <n v="3546.4557"/>
    <n v="0"/>
    <n v="3546.4557"/>
    <n v="66141.39880499999"/>
    <n v="66176.863362000004"/>
  </r>
  <r>
    <s v="BTC"/>
    <n v="29.25"/>
    <n v="29.26"/>
    <x v="1"/>
    <n v="2261.2858000000001"/>
    <n v="0"/>
    <n v="2261.2858000000001"/>
    <n v="66142.609649999999"/>
    <n v="66165.222508000006"/>
  </r>
  <r>
    <s v="BTCW"/>
    <n v="69.89"/>
    <n v="69.989999999999995"/>
    <x v="1"/>
    <n v="946.09739999999999"/>
    <n v="0"/>
    <n v="946.09739999999999"/>
    <n v="66122.747285999998"/>
    <n v="66217.357025999998"/>
  </r>
  <r>
    <s v="EZBC"/>
    <n v="38.21"/>
    <n v="38.26"/>
    <x v="1"/>
    <n v="1730.0737999999999"/>
    <n v="0.2"/>
    <n v="1729.8737999999998"/>
    <n v="66098.477897999997"/>
    <n v="66184.971587999986"/>
  </r>
  <r>
    <s v="FBTC"/>
    <n v="57.59"/>
    <n v="57.6"/>
    <x v="1"/>
    <n v="1148.8058000000001"/>
    <n v="-0.05"/>
    <n v="1148.8558"/>
    <n v="66162.605522000013"/>
    <n v="66174.09408000001"/>
  </r>
  <r>
    <s v="GBTC"/>
    <n v="51.32"/>
    <n v="51.33"/>
    <x v="1"/>
    <n v="1288.7435"/>
    <n v="-0.15"/>
    <n v="1288.8935000000001"/>
    <n v="66146.014420000007"/>
    <n v="66158.903355000002"/>
  </r>
  <r>
    <s v="HODL"/>
    <n v="18.7"/>
    <n v="18.71"/>
    <x v="1"/>
    <n v="3535.8029000000001"/>
    <n v="0"/>
    <n v="3535.8029000000001"/>
    <n v="66119.514230000001"/>
    <n v="66154.872259000011"/>
  </r>
  <r>
    <s v="IBIT"/>
    <n v="37.479999999999997"/>
    <n v="37.49"/>
    <x v="1"/>
    <n v="1764.9866999999999"/>
    <n v="0"/>
    <n v="1764.9866999999999"/>
    <n v="66151.701515999986"/>
    <n v="66169.351383000001"/>
  </r>
  <r>
    <s v="ARKB"/>
    <n v="21.76"/>
    <n v="21.77"/>
    <x v="2"/>
    <n v="3014.8449999999998"/>
    <n v="0.1"/>
    <n v="3014.7449999999999"/>
    <n v="65600.851200000005"/>
    <n v="65630.998649999994"/>
  </r>
  <r>
    <s v="BITB"/>
    <n v="35.630000000000003"/>
    <n v="35.64"/>
    <x v="2"/>
    <n v="1842.0499"/>
    <n v="-0.1"/>
    <n v="1842.1498999999999"/>
    <n v="65635.800937000007"/>
    <n v="65654.222435999996"/>
  </r>
  <r>
    <s v="BRRR"/>
    <n v="18.510000000000002"/>
    <n v="18.52"/>
    <x v="2"/>
    <n v="3546.4557"/>
    <n v="0"/>
    <n v="3546.4557"/>
    <n v="65644.895006999999"/>
    <n v="65680.359563999998"/>
  </r>
  <r>
    <s v="BTC"/>
    <n v="29.02"/>
    <n v="29.03"/>
    <x v="2"/>
    <n v="2261.2858000000001"/>
    <n v="0"/>
    <n v="2261.2858000000001"/>
    <n v="65622.513915999996"/>
    <n v="65645.126774000004"/>
  </r>
  <r>
    <s v="BTCW"/>
    <n v="69.34"/>
    <n v="69.44"/>
    <x v="2"/>
    <n v="946.09739999999999"/>
    <n v="0"/>
    <n v="946.09739999999999"/>
    <n v="65602.393716000006"/>
    <n v="65697.003455999991"/>
  </r>
  <r>
    <s v="EZBC"/>
    <n v="37.909999999999997"/>
    <n v="37.950000000000003"/>
    <x v="2"/>
    <n v="1730.0737999999999"/>
    <n v="0.2"/>
    <n v="1729.8737999999998"/>
    <n v="65579.515757999994"/>
    <n v="65648.710709999999"/>
  </r>
  <r>
    <s v="FBTC"/>
    <n v="57.13"/>
    <n v="57.14"/>
    <x v="2"/>
    <n v="1148.8058000000001"/>
    <n v="-0.05"/>
    <n v="1148.8558"/>
    <n v="65634.131854000007"/>
    <n v="65645.620412000004"/>
  </r>
  <r>
    <s v="GBTC"/>
    <n v="50.92"/>
    <n v="50.93"/>
    <x v="2"/>
    <n v="1288.7435"/>
    <n v="-0.15"/>
    <n v="1288.8935000000001"/>
    <n v="65630.457020000002"/>
    <n v="65643.345955000012"/>
  </r>
  <r>
    <s v="HODL"/>
    <n v="18.559999999999999"/>
    <n v="18.57"/>
    <x v="2"/>
    <n v="3535.8029000000001"/>
    <n v="0"/>
    <n v="3535.8029000000001"/>
    <n v="65624.501823999992"/>
    <n v="65659.859853000002"/>
  </r>
  <r>
    <s v="IBIT"/>
    <n v="37.18"/>
    <n v="37.19"/>
    <x v="2"/>
    <n v="1764.9866999999999"/>
    <n v="0"/>
    <n v="1764.9866999999999"/>
    <n v="65622.205505999998"/>
    <n v="65639.855372999999"/>
  </r>
  <r>
    <s v="ARKB"/>
    <n v="21.8"/>
    <n v="21.81"/>
    <x v="3"/>
    <n v="3014.8449999999998"/>
    <n v="0.1"/>
    <n v="3014.7449999999999"/>
    <n v="65721.441000000006"/>
    <n v="65751.588449999996"/>
  </r>
  <r>
    <s v="BITB"/>
    <n v="35.69"/>
    <n v="35.700000000000003"/>
    <x v="3"/>
    <n v="1842.0499"/>
    <n v="-0.1"/>
    <n v="1842.1498999999999"/>
    <n v="65746.329930999986"/>
    <n v="65764.751430000004"/>
  </r>
  <r>
    <s v="BRRR"/>
    <n v="18.53"/>
    <n v="18.54"/>
    <x v="3"/>
    <n v="3546.4557"/>
    <n v="0"/>
    <n v="3546.4557"/>
    <n v="65715.824120999998"/>
    <n v="65751.288677999997"/>
  </r>
  <r>
    <s v="BTC"/>
    <n v="29.08"/>
    <n v="29.09"/>
    <x v="3"/>
    <n v="2261.2858000000001"/>
    <n v="0"/>
    <n v="2261.2858000000001"/>
    <n v="65758.191063999999"/>
    <n v="65780.803922000006"/>
  </r>
  <r>
    <s v="BTCW"/>
    <n v="69.48"/>
    <n v="69.55"/>
    <x v="3"/>
    <n v="946.09739999999999"/>
    <n v="0"/>
    <n v="946.09739999999999"/>
    <n v="65734.847351999997"/>
    <n v="65801.074169999993"/>
  </r>
  <r>
    <s v="EZBC"/>
    <n v="37.979999999999997"/>
    <n v="38.01"/>
    <x v="3"/>
    <n v="1730.0737999999999"/>
    <n v="0.2"/>
    <n v="1729.8737999999998"/>
    <n v="65700.606923999992"/>
    <n v="65752.503137999985"/>
  </r>
  <r>
    <s v="FBTC"/>
    <n v="57.23"/>
    <n v="57.24"/>
    <x v="3"/>
    <n v="1148.8058000000001"/>
    <n v="-0.05"/>
    <n v="1148.8558"/>
    <n v="65749.017433999994"/>
    <n v="65760.505992000006"/>
  </r>
  <r>
    <s v="GBTC"/>
    <n v="51"/>
    <n v="51.01"/>
    <x v="3"/>
    <n v="1288.7435"/>
    <n v="-0.15"/>
    <n v="1288.8935000000001"/>
    <n v="65733.568500000008"/>
    <n v="65746.457435000004"/>
  </r>
  <r>
    <s v="HODL"/>
    <n v="18.59"/>
    <n v="18.600000000000001"/>
    <x v="3"/>
    <n v="3535.8029000000001"/>
    <n v="0"/>
    <n v="3535.8029000000001"/>
    <n v="65730.575911000007"/>
    <n v="65765.933940000003"/>
  </r>
  <r>
    <s v="IBIT"/>
    <n v="37.24"/>
    <n v="37.25"/>
    <x v="3"/>
    <n v="1764.9866999999999"/>
    <n v="0"/>
    <n v="1764.9866999999999"/>
    <n v="65728.104707999999"/>
    <n v="65745.754574999999"/>
  </r>
  <r>
    <s v="ARKB"/>
    <n v="21.78"/>
    <n v="21.79"/>
    <x v="4"/>
    <n v="3014.8449999999998"/>
    <n v="0.1"/>
    <n v="3014.7449999999999"/>
    <n v="65661.146099999998"/>
    <n v="65691.293550000002"/>
  </r>
  <r>
    <s v="BITB"/>
    <n v="35.65"/>
    <n v="35.659999999999997"/>
    <x v="4"/>
    <n v="1842.0499"/>
    <n v="-0.1"/>
    <n v="1842.1498999999999"/>
    <n v="65672.643935"/>
    <n v="65691.065433999989"/>
  </r>
  <r>
    <s v="BRRR"/>
    <n v="18.52"/>
    <n v="18.53"/>
    <x v="4"/>
    <n v="3546.4557"/>
    <n v="0"/>
    <n v="3546.4557"/>
    <n v="65680.359563999998"/>
    <n v="65715.824120999998"/>
  </r>
  <r>
    <s v="BTC"/>
    <n v="29.05"/>
    <n v="29.06"/>
    <x v="4"/>
    <n v="2261.2858000000001"/>
    <n v="0"/>
    <n v="2261.2858000000001"/>
    <n v="65690.352490000005"/>
    <n v="65712.965347999998"/>
  </r>
  <r>
    <s v="BTCW"/>
    <n v="69.41"/>
    <n v="69.510000000000005"/>
    <x v="4"/>
    <n v="946.09739999999999"/>
    <n v="0"/>
    <n v="946.09739999999999"/>
    <n v="65668.620534000001"/>
    <n v="65763.230274000001"/>
  </r>
  <r>
    <s v="EZBC"/>
    <n v="37.94"/>
    <n v="37.97"/>
    <x v="4"/>
    <n v="1730.0737999999999"/>
    <n v="0.2"/>
    <n v="1729.8737999999998"/>
    <n v="65631.411971999987"/>
    <n v="65683.308185999995"/>
  </r>
  <r>
    <s v="FBTC"/>
    <n v="57.17"/>
    <n v="57.18"/>
    <x v="4"/>
    <n v="1148.8058000000001"/>
    <n v="-0.05"/>
    <n v="1148.8558"/>
    <n v="65680.08608600001"/>
    <n v="65691.574644000008"/>
  </r>
  <r>
    <s v="GBTC"/>
    <n v="50.95"/>
    <n v="50.96"/>
    <x v="4"/>
    <n v="1288.7435"/>
    <n v="-0.15"/>
    <n v="1288.8935000000001"/>
    <n v="65669.123825000017"/>
    <n v="65682.012760000012"/>
  </r>
  <r>
    <s v="HODL"/>
    <n v="18.57"/>
    <n v="18.579999999999998"/>
    <x v="4"/>
    <n v="3535.8029000000001"/>
    <n v="0"/>
    <n v="3535.8029000000001"/>
    <n v="65659.859853000002"/>
    <n v="65695.217881999997"/>
  </r>
  <r>
    <s v="IBIT"/>
    <n v="37.21"/>
    <n v="37.22"/>
    <x v="4"/>
    <n v="1764.9866999999999"/>
    <n v="0"/>
    <n v="1764.9866999999999"/>
    <n v="65675.155106999999"/>
    <n v="65692.804973999999"/>
  </r>
  <r>
    <s v="ARKB"/>
    <n v="21.86"/>
    <n v="21.87"/>
    <x v="5"/>
    <n v="3014.8449999999998"/>
    <n v="0.1"/>
    <n v="3014.7449999999999"/>
    <n v="65902.325700000001"/>
    <n v="65932.473150000005"/>
  </r>
  <r>
    <s v="BITB"/>
    <n v="35.78"/>
    <n v="35.79"/>
    <x v="5"/>
    <n v="1842.0499"/>
    <n v="-0.1"/>
    <n v="1842.1498999999999"/>
    <n v="65912.123422000004"/>
    <n v="65930.544920999993"/>
  </r>
  <r>
    <s v="BRRR"/>
    <n v="18.579999999999998"/>
    <n v="18.59"/>
    <x v="5"/>
    <n v="3546.4557"/>
    <n v="0"/>
    <n v="3546.4557"/>
    <n v="65893.146905999994"/>
    <n v="65928.611462999994"/>
  </r>
  <r>
    <s v="BTC"/>
    <n v="29.15"/>
    <n v="29.16"/>
    <x v="5"/>
    <n v="2261.2858000000001"/>
    <n v="0"/>
    <n v="2261.2858000000001"/>
    <n v="65916.481069999994"/>
    <n v="65939.093928000002"/>
  </r>
  <r>
    <s v="BTCW"/>
    <n v="69.650000000000006"/>
    <n v="69.739999999999995"/>
    <x v="5"/>
    <n v="946.09739999999999"/>
    <n v="0"/>
    <n v="946.09739999999999"/>
    <n v="65895.683910000007"/>
    <n v="65980.832675999991"/>
  </r>
  <r>
    <s v="EZBC"/>
    <n v="38.08"/>
    <n v="38.11"/>
    <x v="5"/>
    <n v="1730.0737999999999"/>
    <n v="0.2"/>
    <n v="1729.8737999999998"/>
    <n v="65873.594303999998"/>
    <n v="65925.490517999991"/>
  </r>
  <r>
    <s v="FBTC"/>
    <n v="57.37"/>
    <n v="57.38"/>
    <x v="5"/>
    <n v="1148.8058000000001"/>
    <n v="-0.05"/>
    <n v="1148.8558"/>
    <n v="65909.857246"/>
    <n v="65921.345804000011"/>
  </r>
  <r>
    <s v="GBTC"/>
    <n v="51.13"/>
    <n v="51.14"/>
    <x v="5"/>
    <n v="1288.7435"/>
    <n v="-0.15"/>
    <n v="1288.8935000000001"/>
    <n v="65901.124655000007"/>
    <n v="65914.013590000002"/>
  </r>
  <r>
    <s v="HODL"/>
    <n v="18.64"/>
    <n v="18.649999999999999"/>
    <x v="5"/>
    <n v="3535.8029000000001"/>
    <n v="0"/>
    <n v="3535.8029000000001"/>
    <n v="65907.366055999999"/>
    <n v="65942.724084999994"/>
  </r>
  <r>
    <s v="IBIT"/>
    <n v="37.340000000000003"/>
    <n v="37.35"/>
    <x v="5"/>
    <n v="1764.9866999999999"/>
    <n v="0"/>
    <n v="1764.9866999999999"/>
    <n v="65904.603378"/>
    <n v="65922.253245"/>
  </r>
  <r>
    <s v="ARKB"/>
    <n v="21.81"/>
    <n v="21.82"/>
    <x v="6"/>
    <n v="3014.8449999999998"/>
    <n v="0.1"/>
    <n v="3014.7449999999999"/>
    <n v="65751.588449999996"/>
    <n v="65781.7359"/>
  </r>
  <r>
    <s v="BITB"/>
    <n v="35.700000000000003"/>
    <n v="35.71"/>
    <x v="6"/>
    <n v="1842.0499"/>
    <n v="-0.1"/>
    <n v="1842.1498999999999"/>
    <n v="65764.751430000004"/>
    <n v="65783.172928999993"/>
  </r>
  <r>
    <s v="BRRR"/>
    <n v="18.54"/>
    <n v="18.55"/>
    <x v="6"/>
    <n v="3546.4557"/>
    <n v="0"/>
    <n v="3546.4557"/>
    <n v="65751.288677999997"/>
    <n v="65786.753234999996"/>
  </r>
  <r>
    <s v="BTC"/>
    <n v="29.08"/>
    <n v="29.09"/>
    <x v="6"/>
    <n v="2261.2858000000001"/>
    <n v="0"/>
    <n v="2261.2858000000001"/>
    <n v="65758.191063999999"/>
    <n v="65780.803922000006"/>
  </r>
  <r>
    <s v="BTCW"/>
    <n v="69.489999999999995"/>
    <n v="69.55"/>
    <x v="6"/>
    <n v="946.09739999999999"/>
    <n v="0"/>
    <n v="946.09739999999999"/>
    <n v="65744.308325999998"/>
    <n v="65801.074169999993"/>
  </r>
  <r>
    <s v="EZBC"/>
    <n v="37.99"/>
    <n v="38.020000000000003"/>
    <x v="6"/>
    <n v="1730.0737999999999"/>
    <n v="0.2"/>
    <n v="1729.8737999999998"/>
    <n v="65717.905662000005"/>
    <n v="65769.801875999998"/>
  </r>
  <r>
    <s v="FBTC"/>
    <n v="57.24"/>
    <n v="57.25"/>
    <x v="6"/>
    <n v="1148.8058000000001"/>
    <n v="-0.05"/>
    <n v="1148.8558"/>
    <n v="65760.505992000006"/>
    <n v="65771.994550000003"/>
  </r>
  <r>
    <s v="GBTC"/>
    <n v="51.01"/>
    <n v="51.02"/>
    <x v="6"/>
    <n v="1288.7435"/>
    <n v="-0.15"/>
    <n v="1288.8935000000001"/>
    <n v="65746.457435000004"/>
    <n v="65759.346370000014"/>
  </r>
  <r>
    <s v="HODL"/>
    <n v="18.59"/>
    <n v="18.600000000000001"/>
    <x v="6"/>
    <n v="3535.8029000000001"/>
    <n v="0"/>
    <n v="3535.8029000000001"/>
    <n v="65730.575911000007"/>
    <n v="65765.933940000003"/>
  </r>
  <r>
    <s v="IBIT"/>
    <n v="37.25"/>
    <n v="37.26"/>
    <x v="6"/>
    <n v="1764.9866999999999"/>
    <n v="0"/>
    <n v="1764.9866999999999"/>
    <n v="65745.754574999999"/>
    <n v="65763.404441999999"/>
  </r>
  <r>
    <s v="ARKB"/>
    <n v="21.84"/>
    <n v="21.85"/>
    <x v="7"/>
    <n v="3014.8449999999998"/>
    <n v="0.1"/>
    <n v="3014.7449999999999"/>
    <n v="65842.030799999993"/>
    <n v="65872.178249999997"/>
  </r>
  <r>
    <s v="BITB"/>
    <n v="35.76"/>
    <n v="35.770000000000003"/>
    <x v="7"/>
    <n v="1842.0499"/>
    <n v="-0.1"/>
    <n v="1842.1498999999999"/>
    <n v="65875.280423999997"/>
    <n v="65893.701923000001"/>
  </r>
  <r>
    <s v="BRRR"/>
    <n v="18.57"/>
    <n v="18.579999999999998"/>
    <x v="7"/>
    <n v="3546.4557"/>
    <n v="0"/>
    <n v="3546.4557"/>
    <n v="65857.682348999995"/>
    <n v="65893.146905999994"/>
  </r>
  <r>
    <s v="BTC"/>
    <n v="29.13"/>
    <n v="29.14"/>
    <x v="7"/>
    <n v="2261.2858000000001"/>
    <n v="0"/>
    <n v="2261.2858000000001"/>
    <n v="65871.255354000008"/>
    <n v="65893.868212000001"/>
  </r>
  <r>
    <s v="BTCW"/>
    <n v="69.62"/>
    <n v="69.67"/>
    <x v="7"/>
    <n v="946.09739999999999"/>
    <n v="0"/>
    <n v="946.09739999999999"/>
    <n v="65867.300988000003"/>
    <n v="65914.605857999995"/>
  </r>
  <r>
    <s v="EZBC"/>
    <n v="38.049999999999997"/>
    <n v="38.08"/>
    <x v="7"/>
    <n v="1730.0737999999999"/>
    <n v="0.2"/>
    <n v="1729.8737999999998"/>
    <n v="65821.698089999991"/>
    <n v="65873.594303999998"/>
  </r>
  <r>
    <s v="FBTC"/>
    <n v="57.34"/>
    <n v="57.35"/>
    <x v="7"/>
    <n v="1148.8058000000001"/>
    <n v="-0.05"/>
    <n v="1148.8558"/>
    <n v="65875.391572000008"/>
    <n v="65886.880130000005"/>
  </r>
  <r>
    <s v="GBTC"/>
    <n v="51.1"/>
    <n v="51.11"/>
    <x v="7"/>
    <n v="1288.7435"/>
    <n v="-0.15"/>
    <n v="1288.8935000000001"/>
    <n v="65862.457850000006"/>
    <n v="65875.346785000002"/>
  </r>
  <r>
    <s v="HODL"/>
    <n v="18.62"/>
    <n v="18.63"/>
    <x v="7"/>
    <n v="3535.8029000000001"/>
    <n v="0"/>
    <n v="3535.8029000000001"/>
    <n v="65836.649998000008"/>
    <n v="65872.008027000003"/>
  </r>
  <r>
    <s v="IBIT"/>
    <n v="37.32"/>
    <n v="37.33"/>
    <x v="7"/>
    <n v="1764.9866999999999"/>
    <n v="0"/>
    <n v="1764.9866999999999"/>
    <n v="65869.303644"/>
    <n v="65886.953511"/>
  </r>
  <r>
    <s v="ARKB"/>
    <n v="21.78"/>
    <n v="21.79"/>
    <x v="8"/>
    <n v="3014.8449999999998"/>
    <n v="0.1"/>
    <n v="3014.7449999999999"/>
    <n v="65661.146099999998"/>
    <n v="65691.293550000002"/>
  </r>
  <r>
    <s v="BITB"/>
    <n v="35.659999999999997"/>
    <n v="35.67"/>
    <x v="8"/>
    <n v="1842.0499"/>
    <n v="-0.1"/>
    <n v="1842.1498999999999"/>
    <n v="65691.065433999989"/>
    <n v="65709.486932999993"/>
  </r>
  <r>
    <s v="BRRR"/>
    <n v="18.52"/>
    <n v="18.53"/>
    <x v="8"/>
    <n v="3546.4557"/>
    <n v="0"/>
    <n v="3546.4557"/>
    <n v="65680.359563999998"/>
    <n v="65715.824120999998"/>
  </r>
  <r>
    <s v="BTC"/>
    <n v="29.05"/>
    <n v="29.06"/>
    <x v="8"/>
    <n v="2261.2858000000001"/>
    <n v="0"/>
    <n v="2261.2858000000001"/>
    <n v="65690.352490000005"/>
    <n v="65712.965347999998"/>
  </r>
  <r>
    <s v="BTCW"/>
    <n v="69.42"/>
    <n v="69.489999999999995"/>
    <x v="8"/>
    <n v="946.09739999999999"/>
    <n v="0"/>
    <n v="946.09739999999999"/>
    <n v="65678.081508000003"/>
    <n v="65744.308325999998"/>
  </r>
  <r>
    <s v="EZBC"/>
    <n v="37.94"/>
    <n v="37.979999999999997"/>
    <x v="8"/>
    <n v="1730.0737999999999"/>
    <n v="0.2"/>
    <n v="1729.8737999999998"/>
    <n v="65631.411971999987"/>
    <n v="65700.606923999992"/>
  </r>
  <r>
    <s v="FBTC"/>
    <n v="57.17"/>
    <n v="57.18"/>
    <x v="8"/>
    <n v="1148.8058000000001"/>
    <n v="-0.05"/>
    <n v="1148.8558"/>
    <n v="65680.08608600001"/>
    <n v="65691.574644000008"/>
  </r>
  <r>
    <s v="GBTC"/>
    <n v="50.95"/>
    <n v="50.96"/>
    <x v="8"/>
    <n v="1288.7435"/>
    <n v="-0.15"/>
    <n v="1288.8935000000001"/>
    <n v="65669.123825000017"/>
    <n v="65682.012760000012"/>
  </r>
  <r>
    <s v="HODL"/>
    <n v="18.57"/>
    <n v="18.579999999999998"/>
    <x v="8"/>
    <n v="3535.8029000000001"/>
    <n v="0"/>
    <n v="3535.8029000000001"/>
    <n v="65659.859853000002"/>
    <n v="65695.217881999997"/>
  </r>
  <r>
    <s v="IBIT"/>
    <n v="37.21"/>
    <n v="37.22"/>
    <x v="8"/>
    <n v="1764.9866999999999"/>
    <n v="0"/>
    <n v="1764.9866999999999"/>
    <n v="65675.155106999999"/>
    <n v="65692.804973999999"/>
  </r>
  <r>
    <s v="ARKB"/>
    <n v="21.78"/>
    <n v="21.79"/>
    <x v="9"/>
    <n v="3014.8449999999998"/>
    <n v="0.1"/>
    <n v="3014.7449999999999"/>
    <n v="65661.146099999998"/>
    <n v="65691.293550000002"/>
  </r>
  <r>
    <s v="BITB"/>
    <n v="35.65"/>
    <n v="35.659999999999997"/>
    <x v="9"/>
    <n v="1842.0499"/>
    <n v="-0.1"/>
    <n v="1842.1498999999999"/>
    <n v="65672.643935"/>
    <n v="65691.065433999989"/>
  </r>
  <r>
    <s v="BRRR"/>
    <n v="18.510000000000002"/>
    <n v="18.52"/>
    <x v="9"/>
    <n v="3546.4557"/>
    <n v="0"/>
    <n v="3546.4557"/>
    <n v="65644.895006999999"/>
    <n v="65680.359563999998"/>
  </r>
  <r>
    <s v="BTC"/>
    <n v="29.05"/>
    <n v="29.06"/>
    <x v="9"/>
    <n v="2261.2858000000001"/>
    <n v="0"/>
    <n v="2261.2858000000001"/>
    <n v="65690.352490000005"/>
    <n v="65712.965347999998"/>
  </r>
  <r>
    <s v="BTCW"/>
    <n v="69.41"/>
    <n v="69.5"/>
    <x v="9"/>
    <n v="946.09739999999999"/>
    <n v="0"/>
    <n v="946.09739999999999"/>
    <n v="65668.620534000001"/>
    <n v="65753.7693"/>
  </r>
  <r>
    <s v="EZBC"/>
    <n v="37.94"/>
    <n v="37.97"/>
    <x v="9"/>
    <n v="1730.0737999999999"/>
    <n v="0.2"/>
    <n v="1729.8737999999998"/>
    <n v="65631.411971999987"/>
    <n v="65683.308185999995"/>
  </r>
  <r>
    <s v="FBTC"/>
    <n v="57.17"/>
    <n v="57.18"/>
    <x v="9"/>
    <n v="1148.8058000000001"/>
    <n v="-0.05"/>
    <n v="1148.8558"/>
    <n v="65680.08608600001"/>
    <n v="65691.574644000008"/>
  </r>
  <r>
    <s v="GBTC"/>
    <n v="50.95"/>
    <n v="50.96"/>
    <x v="9"/>
    <n v="1288.7435"/>
    <n v="-0.15"/>
    <n v="1288.8935000000001"/>
    <n v="65669.123825000017"/>
    <n v="65682.012760000012"/>
  </r>
  <r>
    <s v="HODL"/>
    <n v="18.57"/>
    <n v="18.579999999999998"/>
    <x v="9"/>
    <n v="3535.8029000000001"/>
    <n v="0"/>
    <n v="3535.8029000000001"/>
    <n v="65659.859853000002"/>
    <n v="65695.217881999997"/>
  </r>
  <r>
    <s v="IBIT"/>
    <n v="37.21"/>
    <n v="37.22"/>
    <x v="9"/>
    <n v="1764.9866999999999"/>
    <n v="0"/>
    <n v="1764.9866999999999"/>
    <n v="65675.155106999999"/>
    <n v="65692.804973999999"/>
  </r>
  <r>
    <s v="ARKB"/>
    <n v="21.81"/>
    <n v="21.82"/>
    <x v="10"/>
    <n v="3014.8449999999998"/>
    <n v="0.1"/>
    <n v="3014.7449999999999"/>
    <n v="65751.588449999996"/>
    <n v="65781.7359"/>
  </r>
  <r>
    <s v="BITB"/>
    <n v="35.700000000000003"/>
    <n v="35.71"/>
    <x v="10"/>
    <n v="1842.0499"/>
    <n v="-0.1"/>
    <n v="1842.1498999999999"/>
    <n v="65764.751430000004"/>
    <n v="65783.172928999993"/>
  </r>
  <r>
    <s v="BRRR"/>
    <n v="18.54"/>
    <n v="18.55"/>
    <x v="10"/>
    <n v="3546.4557"/>
    <n v="0"/>
    <n v="3546.4557"/>
    <n v="65751.288677999997"/>
    <n v="65786.753234999996"/>
  </r>
  <r>
    <s v="BTC"/>
    <n v="29.08"/>
    <n v="29.09"/>
    <x v="10"/>
    <n v="2261.2858000000001"/>
    <n v="0"/>
    <n v="2261.2858000000001"/>
    <n v="65758.191063999999"/>
    <n v="65780.803922000006"/>
  </r>
  <r>
    <s v="BTCW"/>
    <n v="69.5"/>
    <n v="69.56"/>
    <x v="10"/>
    <n v="946.09739999999999"/>
    <n v="0"/>
    <n v="946.09739999999999"/>
    <n v="65753.7693"/>
    <n v="65810.535144000009"/>
  </r>
  <r>
    <s v="EZBC"/>
    <n v="37.99"/>
    <n v="38.020000000000003"/>
    <x v="10"/>
    <n v="1730.0737999999999"/>
    <n v="0.2"/>
    <n v="1729.8737999999998"/>
    <n v="65717.905662000005"/>
    <n v="65769.801875999998"/>
  </r>
  <r>
    <s v="FBTC"/>
    <n v="57.24"/>
    <n v="57.25"/>
    <x v="10"/>
    <n v="1148.8058000000001"/>
    <n v="-0.05"/>
    <n v="1148.8558"/>
    <n v="65760.505992000006"/>
    <n v="65771.994550000003"/>
  </r>
  <r>
    <s v="GBTC"/>
    <n v="51.02"/>
    <n v="51.03"/>
    <x v="10"/>
    <n v="1288.7435"/>
    <n v="-0.15"/>
    <n v="1288.8935000000001"/>
    <n v="65759.346370000014"/>
    <n v="65772.235305000009"/>
  </r>
  <r>
    <s v="HODL"/>
    <n v="18.59"/>
    <n v="18.600000000000001"/>
    <x v="10"/>
    <n v="3535.8029000000001"/>
    <n v="0"/>
    <n v="3535.8029000000001"/>
    <n v="65730.575911000007"/>
    <n v="65765.933940000003"/>
  </r>
  <r>
    <s v="IBIT"/>
    <n v="37.25"/>
    <n v="37.26"/>
    <x v="10"/>
    <n v="1764.9866999999999"/>
    <n v="0"/>
    <n v="1764.9866999999999"/>
    <n v="65745.754574999999"/>
    <n v="65763.404441999999"/>
  </r>
  <r>
    <s v="ARKB"/>
    <n v="21.79"/>
    <n v="21.8"/>
    <x v="11"/>
    <n v="3014.8449999999998"/>
    <n v="0.1"/>
    <n v="3014.7449999999999"/>
    <n v="65691.293550000002"/>
    <n v="65721.441000000006"/>
  </r>
  <r>
    <s v="BITB"/>
    <n v="35.67"/>
    <n v="35.68"/>
    <x v="11"/>
    <n v="1842.0499"/>
    <n v="-0.1"/>
    <n v="1842.1498999999999"/>
    <n v="65709.486932999993"/>
    <n v="65727.908431999997"/>
  </r>
  <r>
    <s v="BRRR"/>
    <n v="18.53"/>
    <n v="18.54"/>
    <x v="11"/>
    <n v="3546.4557"/>
    <n v="0"/>
    <n v="3546.4557"/>
    <n v="65715.824120999998"/>
    <n v="65751.288677999997"/>
  </r>
  <r>
    <s v="BTC"/>
    <n v="29.06"/>
    <n v="29.07"/>
    <x v="11"/>
    <n v="2261.2858000000001"/>
    <n v="0"/>
    <n v="2261.2858000000001"/>
    <n v="65712.965347999998"/>
    <n v="65735.578206000006"/>
  </r>
  <r>
    <s v="BTCW"/>
    <n v="69.459999999999994"/>
    <n v="69.52"/>
    <x v="11"/>
    <n v="946.09739999999999"/>
    <n v="0"/>
    <n v="946.09739999999999"/>
    <n v="65715.925403999994"/>
    <n v="65772.691248000003"/>
  </r>
  <r>
    <s v="EZBC"/>
    <n v="37.97"/>
    <n v="38"/>
    <x v="11"/>
    <n v="1730.0737999999999"/>
    <n v="0.2"/>
    <n v="1729.8737999999998"/>
    <n v="65683.308185999995"/>
    <n v="65735.204399999988"/>
  </r>
  <r>
    <s v="FBTC"/>
    <n v="57.2"/>
    <n v="57.21"/>
    <x v="11"/>
    <n v="1148.8058000000001"/>
    <n v="-0.05"/>
    <n v="1148.8558"/>
    <n v="65714.551760000002"/>
    <n v="65726.040317999999"/>
  </r>
  <r>
    <s v="GBTC"/>
    <n v="50.98"/>
    <n v="50.99"/>
    <x v="11"/>
    <n v="1288.7435"/>
    <n v="-0.15"/>
    <n v="1288.8935000000001"/>
    <n v="65707.790630000003"/>
    <n v="65720.679565000013"/>
  </r>
  <r>
    <s v="HODL"/>
    <n v="18.579999999999998"/>
    <n v="18.59"/>
    <x v="11"/>
    <n v="3535.8029000000001"/>
    <n v="0"/>
    <n v="3535.8029000000001"/>
    <n v="65695.217881999997"/>
    <n v="65730.575911000007"/>
  </r>
  <r>
    <s v="IBIT"/>
    <n v="37.229999999999997"/>
    <n v="37.24"/>
    <x v="11"/>
    <n v="1764.9866999999999"/>
    <n v="0"/>
    <n v="1764.9866999999999"/>
    <n v="65710.454840999999"/>
    <n v="65728.104707999999"/>
  </r>
  <r>
    <s v="ARKB"/>
    <n v="21.8"/>
    <n v="21.81"/>
    <x v="12"/>
    <n v="3014.8449999999998"/>
    <n v="0.1"/>
    <n v="3014.7449999999999"/>
    <n v="65721.441000000006"/>
    <n v="65751.588449999996"/>
  </r>
  <r>
    <s v="BITB"/>
    <n v="35.69"/>
    <n v="35.700000000000003"/>
    <x v="12"/>
    <n v="1842.0499"/>
    <n v="-0.1"/>
    <n v="1842.1498999999999"/>
    <n v="65746.329930999986"/>
    <n v="65764.751430000004"/>
  </r>
  <r>
    <s v="BRRR"/>
    <n v="18.54"/>
    <n v="18.55"/>
    <x v="12"/>
    <n v="3546.4557"/>
    <n v="0"/>
    <n v="3546.4557"/>
    <n v="65751.288677999997"/>
    <n v="65786.753234999996"/>
  </r>
  <r>
    <s v="BTC"/>
    <n v="29.08"/>
    <n v="29.09"/>
    <x v="12"/>
    <n v="2261.2858000000001"/>
    <n v="0"/>
    <n v="2261.2858000000001"/>
    <n v="65758.191063999999"/>
    <n v="65780.803922000006"/>
  </r>
  <r>
    <s v="BTCW"/>
    <n v="69.5"/>
    <n v="69.55"/>
    <x v="12"/>
    <n v="946.09739999999999"/>
    <n v="0"/>
    <n v="946.09739999999999"/>
    <n v="65753.7693"/>
    <n v="65801.074169999993"/>
  </r>
  <r>
    <s v="EZBC"/>
    <n v="37.99"/>
    <n v="38.01"/>
    <x v="12"/>
    <n v="1730.0737999999999"/>
    <n v="0.2"/>
    <n v="1729.8737999999998"/>
    <n v="65717.905662000005"/>
    <n v="65752.503137999985"/>
  </r>
  <r>
    <s v="FBTC"/>
    <n v="57.23"/>
    <n v="57.24"/>
    <x v="12"/>
    <n v="1148.8058000000001"/>
    <n v="-0.05"/>
    <n v="1148.8558"/>
    <n v="65749.017433999994"/>
    <n v="65760.505992000006"/>
  </r>
  <r>
    <s v="GBTC"/>
    <n v="51"/>
    <n v="51.01"/>
    <x v="12"/>
    <n v="1288.7435"/>
    <n v="-0.15"/>
    <n v="1288.8935000000001"/>
    <n v="65733.568500000008"/>
    <n v="65746.457435000004"/>
  </r>
  <r>
    <s v="HODL"/>
    <n v="18.59"/>
    <n v="18.600000000000001"/>
    <x v="12"/>
    <n v="3535.8029000000001"/>
    <n v="0"/>
    <n v="3535.8029000000001"/>
    <n v="65730.575911000007"/>
    <n v="65765.933940000003"/>
  </r>
  <r>
    <s v="IBIT"/>
    <n v="37.24"/>
    <n v="37.25"/>
    <x v="12"/>
    <n v="1764.9866999999999"/>
    <n v="0"/>
    <n v="1764.9866999999999"/>
    <n v="65728.104707999999"/>
    <n v="65745.754574999999"/>
  </r>
  <r>
    <s v="ARKB"/>
    <n v="21.79"/>
    <n v="21.8"/>
    <x v="13"/>
    <n v="3014.8449999999998"/>
    <n v="0.1"/>
    <n v="3014.7449999999999"/>
    <n v="65691.293550000002"/>
    <n v="65721.441000000006"/>
  </r>
  <r>
    <s v="BITB"/>
    <n v="35.67"/>
    <n v="35.68"/>
    <x v="13"/>
    <n v="1842.0499"/>
    <n v="-0.1"/>
    <n v="1842.1498999999999"/>
    <n v="65709.486932999993"/>
    <n v="65727.908431999997"/>
  </r>
  <r>
    <s v="BRRR"/>
    <n v="18.52"/>
    <n v="18.53"/>
    <x v="13"/>
    <n v="3546.4557"/>
    <n v="0"/>
    <n v="3546.4557"/>
    <n v="65680.359563999998"/>
    <n v="65715.824120999998"/>
  </r>
  <r>
    <s v="BTC"/>
    <n v="29.06"/>
    <n v="29.07"/>
    <x v="13"/>
    <n v="2261.2858000000001"/>
    <n v="0"/>
    <n v="2261.2858000000001"/>
    <n v="65712.965347999998"/>
    <n v="65735.578206000006"/>
  </r>
  <r>
    <s v="BTCW"/>
    <n v="69.44"/>
    <n v="69.5"/>
    <x v="13"/>
    <n v="946.09739999999999"/>
    <n v="0"/>
    <n v="946.09739999999999"/>
    <n v="65697.003455999991"/>
    <n v="65753.7693"/>
  </r>
  <r>
    <s v="EZBC"/>
    <n v="37.96"/>
    <n v="37.99"/>
    <x v="13"/>
    <n v="1730.0737999999999"/>
    <n v="0.2"/>
    <n v="1729.8737999999998"/>
    <n v="65666.009447999997"/>
    <n v="65717.905662000005"/>
  </r>
  <r>
    <s v="FBTC"/>
    <n v="57.19"/>
    <n v="57.2"/>
    <x v="13"/>
    <n v="1148.8058000000001"/>
    <n v="-0.05"/>
    <n v="1148.8558"/>
    <n v="65703.063202000005"/>
    <n v="65714.551760000002"/>
  </r>
  <r>
    <s v="GBTC"/>
    <n v="50.97"/>
    <n v="50.98"/>
    <x v="13"/>
    <n v="1288.7435"/>
    <n v="-0.15"/>
    <n v="1288.8935000000001"/>
    <n v="65694.901695000008"/>
    <n v="65707.790630000003"/>
  </r>
  <r>
    <s v="HODL"/>
    <n v="18.579999999999998"/>
    <n v="18.59"/>
    <x v="13"/>
    <n v="3535.8029000000001"/>
    <n v="0"/>
    <n v="3535.8029000000001"/>
    <n v="65695.217881999997"/>
    <n v="65730.575911000007"/>
  </r>
  <r>
    <s v="IBIT"/>
    <n v="37.22"/>
    <n v="37.229999999999997"/>
    <x v="13"/>
    <n v="1764.9866999999999"/>
    <n v="0"/>
    <n v="1764.9866999999999"/>
    <n v="65692.804973999999"/>
    <n v="65710.454840999999"/>
  </r>
  <r>
    <s v="ARKB"/>
    <n v="21.77"/>
    <n v="21.78"/>
    <x v="14"/>
    <n v="3014.8449999999998"/>
    <n v="0.1"/>
    <n v="3014.7449999999999"/>
    <n v="65630.998649999994"/>
    <n v="65661.146099999998"/>
  </r>
  <r>
    <s v="BITB"/>
    <n v="35.65"/>
    <n v="35.659999999999997"/>
    <x v="14"/>
    <n v="1842.0499"/>
    <n v="-0.1"/>
    <n v="1842.1498999999999"/>
    <n v="65672.643935"/>
    <n v="65691.065433999989"/>
  </r>
  <r>
    <s v="BRRR"/>
    <n v="18.510000000000002"/>
    <n v="18.52"/>
    <x v="14"/>
    <n v="3546.4557"/>
    <n v="0"/>
    <n v="3546.4557"/>
    <n v="65644.895006999999"/>
    <n v="65680.359563999998"/>
  </r>
  <r>
    <s v="BTC"/>
    <n v="29.04"/>
    <n v="29.05"/>
    <x v="14"/>
    <n v="2261.2858000000001"/>
    <n v="0"/>
    <n v="2261.2858000000001"/>
    <n v="65667.739631999997"/>
    <n v="65690.352490000005"/>
  </r>
  <r>
    <s v="BTCW"/>
    <n v="69.400000000000006"/>
    <n v="69.47"/>
    <x v="14"/>
    <n v="946.09739999999999"/>
    <n v="0"/>
    <n v="946.09739999999999"/>
    <n v="65659.15956"/>
    <n v="65725.386377999996"/>
  </r>
  <r>
    <s v="EZBC"/>
    <n v="37.94"/>
    <n v="37.97"/>
    <x v="14"/>
    <n v="1730.0737999999999"/>
    <n v="0.2"/>
    <n v="1729.8737999999998"/>
    <n v="65631.411971999987"/>
    <n v="65683.308185999995"/>
  </r>
  <r>
    <s v="FBTC"/>
    <n v="57.16"/>
    <n v="57.17"/>
    <x v="14"/>
    <n v="1148.8058000000001"/>
    <n v="-0.05"/>
    <n v="1148.8558"/>
    <n v="65668.597527999998"/>
    <n v="65680.08608600001"/>
  </r>
  <r>
    <s v="GBTC"/>
    <n v="50.94"/>
    <n v="50.95"/>
    <x v="14"/>
    <n v="1288.7435"/>
    <n v="-0.15"/>
    <n v="1288.8935000000001"/>
    <n v="65656.234890000007"/>
    <n v="65669.123825000017"/>
  </r>
  <r>
    <s v="HODL"/>
    <n v="18.57"/>
    <n v="18.579999999999998"/>
    <x v="14"/>
    <n v="3535.8029000000001"/>
    <n v="0"/>
    <n v="3535.8029000000001"/>
    <n v="65659.859853000002"/>
    <n v="65695.217881999997"/>
  </r>
  <r>
    <s v="IBIT"/>
    <n v="37.200000000000003"/>
    <n v="37.21"/>
    <x v="14"/>
    <n v="1764.9866999999999"/>
    <n v="0"/>
    <n v="1764.9866999999999"/>
    <n v="65657.505239999999"/>
    <n v="65675.155106999999"/>
  </r>
  <r>
    <s v="ARKB"/>
    <n v="21.86"/>
    <n v="21.87"/>
    <x v="15"/>
    <n v="3014.8449999999998"/>
    <n v="0.1"/>
    <n v="3014.7449999999999"/>
    <n v="65902.325700000001"/>
    <n v="65932.473150000005"/>
  </r>
  <r>
    <s v="BITB"/>
    <n v="35.78"/>
    <n v="35.79"/>
    <x v="15"/>
    <n v="1842.0499"/>
    <n v="-0.1"/>
    <n v="1842.1498999999999"/>
    <n v="65912.123422000004"/>
    <n v="65930.544920999993"/>
  </r>
  <r>
    <s v="BRRR"/>
    <n v="18.59"/>
    <n v="18.600000000000001"/>
    <x v="15"/>
    <n v="3546.4557"/>
    <n v="0"/>
    <n v="3546.4557"/>
    <n v="65928.611462999994"/>
    <n v="65964.076020000008"/>
  </r>
  <r>
    <s v="BTC"/>
    <n v="29.15"/>
    <n v="29.16"/>
    <x v="15"/>
    <n v="2261.2858000000001"/>
    <n v="0"/>
    <n v="2261.2858000000001"/>
    <n v="65916.481069999994"/>
    <n v="65939.093928000002"/>
  </r>
  <r>
    <s v="BTCW"/>
    <n v="69.680000000000007"/>
    <n v="69.739999999999995"/>
    <x v="15"/>
    <n v="946.09739999999999"/>
    <n v="0"/>
    <n v="946.09739999999999"/>
    <n v="65924.066832000011"/>
    <n v="65980.832675999991"/>
  </r>
  <r>
    <s v="EZBC"/>
    <n v="38.090000000000003"/>
    <n v="38.11"/>
    <x v="15"/>
    <n v="1730.0737999999999"/>
    <n v="0.2"/>
    <n v="1729.8737999999998"/>
    <n v="65890.893041999996"/>
    <n v="65925.490517999991"/>
  </r>
  <r>
    <s v="FBTC"/>
    <n v="57.38"/>
    <n v="57.39"/>
    <x v="15"/>
    <n v="1148.8058000000001"/>
    <n v="-0.05"/>
    <n v="1148.8558"/>
    <n v="65921.345804000011"/>
    <n v="65932.834362000009"/>
  </r>
  <r>
    <s v="GBTC"/>
    <n v="51.14"/>
    <n v="51.15"/>
    <x v="15"/>
    <n v="1288.7435"/>
    <n v="-0.15"/>
    <n v="1288.8935000000001"/>
    <n v="65914.013590000002"/>
    <n v="65926.902524999998"/>
  </r>
  <r>
    <s v="HODL"/>
    <n v="18.64"/>
    <n v="18.649999999999999"/>
    <x v="15"/>
    <n v="3535.8029000000001"/>
    <n v="0"/>
    <n v="3535.8029000000001"/>
    <n v="65907.366055999999"/>
    <n v="65942.724084999994"/>
  </r>
  <r>
    <s v="IBIT"/>
    <n v="37.35"/>
    <n v="37.36"/>
    <x v="15"/>
    <n v="1764.9866999999999"/>
    <n v="0"/>
    <n v="1764.9866999999999"/>
    <n v="65922.253245"/>
    <n v="65939.903112"/>
  </r>
  <r>
    <s v="ARKB"/>
    <n v="21.9"/>
    <n v="21.91"/>
    <x v="16"/>
    <n v="3014.8449999999998"/>
    <n v="0.1"/>
    <n v="3014.7449999999999"/>
    <n v="66022.915499999988"/>
    <n v="66053.062949999992"/>
  </r>
  <r>
    <s v="BITB"/>
    <n v="35.840000000000003"/>
    <n v="35.85"/>
    <x v="16"/>
    <n v="1842.0499"/>
    <n v="-0.1"/>
    <n v="1842.1498999999999"/>
    <n v="66022.652415999997"/>
    <n v="66041.073915000001"/>
  </r>
  <r>
    <s v="BRRR"/>
    <n v="18.62"/>
    <n v="18.63"/>
    <x v="16"/>
    <n v="3546.4557"/>
    <n v="0"/>
    <n v="3546.4557"/>
    <n v="66035.005134000006"/>
    <n v="66070.469690999991"/>
  </r>
  <r>
    <s v="BTC"/>
    <n v="29.2"/>
    <n v="29.21"/>
    <x v="16"/>
    <n v="2261.2858000000001"/>
    <n v="0"/>
    <n v="2261.2858000000001"/>
    <n v="66029.545360000004"/>
    <n v="66052.158218000011"/>
  </r>
  <r>
    <s v="BTCW"/>
    <n v="69.790000000000006"/>
    <n v="69.849999999999994"/>
    <x v="16"/>
    <n v="946.09739999999999"/>
    <n v="0"/>
    <n v="946.09739999999999"/>
    <n v="66028.137546000013"/>
    <n v="66084.903389999992"/>
  </r>
  <r>
    <s v="EZBC"/>
    <n v="38.15"/>
    <n v="38.17"/>
    <x v="16"/>
    <n v="1730.0737999999999"/>
    <n v="0.2"/>
    <n v="1729.8737999999998"/>
    <n v="65994.685469999997"/>
    <n v="66029.282945999992"/>
  </r>
  <r>
    <s v="FBTC"/>
    <n v="57.47"/>
    <n v="57.48"/>
    <x v="16"/>
    <n v="1148.8058000000001"/>
    <n v="-0.05"/>
    <n v="1148.8558"/>
    <n v="66024.742826000002"/>
    <n v="66036.231383999999"/>
  </r>
  <r>
    <s v="GBTC"/>
    <n v="51.22"/>
    <n v="51.23"/>
    <x v="16"/>
    <n v="1288.7435"/>
    <n v="-0.15"/>
    <n v="1288.8935000000001"/>
    <n v="66017.125070000009"/>
    <n v="66030.014005000005"/>
  </r>
  <r>
    <s v="HODL"/>
    <n v="18.670000000000002"/>
    <n v="18.68"/>
    <x v="16"/>
    <n v="3535.8029000000001"/>
    <n v="0"/>
    <n v="3535.8029000000001"/>
    <n v="66013.440143000014"/>
    <n v="66048.798171999995"/>
  </r>
  <r>
    <s v="IBIT"/>
    <n v="37.409999999999997"/>
    <n v="37.42"/>
    <x v="16"/>
    <n v="1764.9866999999999"/>
    <n v="0"/>
    <n v="1764.9866999999999"/>
    <n v="66028.152446999986"/>
    <n v="66045.802314"/>
  </r>
  <r>
    <s v="ARKB"/>
    <n v="21.86"/>
    <n v="21.87"/>
    <x v="17"/>
    <n v="3014.8449999999998"/>
    <n v="0.1"/>
    <n v="3014.7449999999999"/>
    <n v="65902.325700000001"/>
    <n v="65932.473150000005"/>
  </r>
  <r>
    <s v="BITB"/>
    <n v="35.79"/>
    <n v="35.799999999999997"/>
    <x v="17"/>
    <n v="1842.0499"/>
    <n v="-0.1"/>
    <n v="1842.1498999999999"/>
    <n v="65930.544920999993"/>
    <n v="65948.966419999997"/>
  </r>
  <r>
    <s v="BRRR"/>
    <n v="18.59"/>
    <n v="18.600000000000001"/>
    <x v="17"/>
    <n v="3546.4557"/>
    <n v="0"/>
    <n v="3546.4557"/>
    <n v="65928.611462999994"/>
    <n v="65964.076020000008"/>
  </r>
  <r>
    <s v="BTC"/>
    <n v="29.16"/>
    <n v="29.17"/>
    <x v="17"/>
    <n v="2261.2858000000001"/>
    <n v="0"/>
    <n v="2261.2858000000001"/>
    <n v="65939.093928000002"/>
    <n v="65961.70678600001"/>
  </r>
  <r>
    <s v="BTCW"/>
    <n v="69.69"/>
    <n v="69.739999999999995"/>
    <x v="17"/>
    <n v="946.09739999999999"/>
    <n v="0"/>
    <n v="946.09739999999999"/>
    <n v="65933.527805999998"/>
    <n v="65980.832675999991"/>
  </r>
  <r>
    <s v="EZBC"/>
    <n v="38.090000000000003"/>
    <n v="38.119999999999997"/>
    <x v="17"/>
    <n v="1730.0737999999999"/>
    <n v="0.2"/>
    <n v="1729.8737999999998"/>
    <n v="65890.893041999996"/>
    <n v="65942.789255999989"/>
  </r>
  <r>
    <s v="FBTC"/>
    <n v="57.4"/>
    <n v="57.41"/>
    <x v="17"/>
    <n v="1148.8058000000001"/>
    <n v="-0.05"/>
    <n v="1148.8558"/>
    <n v="65944.322920000006"/>
    <n v="65955.811478000003"/>
  </r>
  <r>
    <s v="GBTC"/>
    <n v="51.15"/>
    <n v="51.16"/>
    <x v="17"/>
    <n v="1288.7435"/>
    <n v="-0.15"/>
    <n v="1288.8935000000001"/>
    <n v="65926.902524999998"/>
    <n v="65939.791460000008"/>
  </r>
  <r>
    <s v="HODL"/>
    <n v="18.64"/>
    <n v="18.649999999999999"/>
    <x v="17"/>
    <n v="3535.8029000000001"/>
    <n v="0"/>
    <n v="3535.8029000000001"/>
    <n v="65907.366055999999"/>
    <n v="65942.724084999994"/>
  </r>
  <r>
    <s v="IBIT"/>
    <n v="37.35"/>
    <n v="37.36"/>
    <x v="17"/>
    <n v="1764.9866999999999"/>
    <n v="0"/>
    <n v="1764.9866999999999"/>
    <n v="65922.253245"/>
    <n v="65939.903112"/>
  </r>
  <r>
    <s v="ARKB"/>
    <n v="21.83"/>
    <n v="21.84"/>
    <x v="18"/>
    <n v="3014.8449999999998"/>
    <n v="0.1"/>
    <n v="3014.7449999999999"/>
    <n v="65811.883349999989"/>
    <n v="65842.030799999993"/>
  </r>
  <r>
    <s v="BITB"/>
    <n v="35.74"/>
    <n v="35.75"/>
    <x v="18"/>
    <n v="1842.0499"/>
    <n v="-0.1"/>
    <n v="1842.1498999999999"/>
    <n v="65838.437426000004"/>
    <n v="65856.858924999993"/>
  </r>
  <r>
    <s v="BRRR"/>
    <n v="18.559999999999999"/>
    <n v="18.57"/>
    <x v="18"/>
    <n v="3546.4557"/>
    <n v="0"/>
    <n v="3546.4557"/>
    <n v="65822.217791999996"/>
    <n v="65857.682348999995"/>
  </r>
  <r>
    <s v="BTC"/>
    <n v="29.12"/>
    <n v="29.13"/>
    <x v="18"/>
    <n v="2261.2858000000001"/>
    <n v="0"/>
    <n v="2261.2858000000001"/>
    <n v="65848.642496"/>
    <n v="65871.255354000008"/>
  </r>
  <r>
    <s v="BTCW"/>
    <n v="69.599999999999994"/>
    <n v="69.650000000000006"/>
    <x v="18"/>
    <n v="946.09739999999999"/>
    <n v="0"/>
    <n v="946.09739999999999"/>
    <n v="65848.37904"/>
    <n v="65895.683910000007"/>
  </r>
  <r>
    <s v="EZBC"/>
    <n v="38.04"/>
    <n v="38.07"/>
    <x v="18"/>
    <n v="1730.0737999999999"/>
    <n v="0.2"/>
    <n v="1729.8737999999998"/>
    <n v="65804.399351999993"/>
    <n v="65856.295566000001"/>
  </r>
  <r>
    <s v="FBTC"/>
    <n v="57.31"/>
    <n v="57.32"/>
    <x v="18"/>
    <n v="1148.8058000000001"/>
    <n v="-0.05"/>
    <n v="1148.8558"/>
    <n v="65840.925898000001"/>
    <n v="65852.414455999999"/>
  </r>
  <r>
    <s v="GBTC"/>
    <n v="51.08"/>
    <n v="51.09"/>
    <x v="18"/>
    <n v="1288.7435"/>
    <n v="-0.15"/>
    <n v="1288.8935000000001"/>
    <n v="65836.679980000001"/>
    <n v="65849.568915000011"/>
  </r>
  <r>
    <s v="HODL"/>
    <n v="18.62"/>
    <n v="18.63"/>
    <x v="18"/>
    <n v="3535.8029000000001"/>
    <n v="0"/>
    <n v="3535.8029000000001"/>
    <n v="65836.649998000008"/>
    <n v="65872.008027000003"/>
  </r>
  <r>
    <s v="IBIT"/>
    <n v="37.299999999999997"/>
    <n v="37.31"/>
    <x v="18"/>
    <n v="1764.9866999999999"/>
    <n v="0"/>
    <n v="1764.9866999999999"/>
    <n v="65834.003909999999"/>
    <n v="65851.653777"/>
  </r>
  <r>
    <s v="ARKB"/>
    <n v="21.83"/>
    <n v="21.84"/>
    <x v="19"/>
    <n v="3014.8449999999998"/>
    <n v="0.1"/>
    <n v="3014.7449999999999"/>
    <n v="65811.883349999989"/>
    <n v="65842.030799999993"/>
  </r>
  <r>
    <s v="BITB"/>
    <n v="35.74"/>
    <n v="35.75"/>
    <x v="19"/>
    <n v="1842.0499"/>
    <n v="-0.1"/>
    <n v="1842.1498999999999"/>
    <n v="65838.437426000004"/>
    <n v="65856.858924999993"/>
  </r>
  <r>
    <s v="BRRR"/>
    <n v="18.559999999999999"/>
    <n v="18.57"/>
    <x v="19"/>
    <n v="3546.4557"/>
    <n v="0"/>
    <n v="3546.4557"/>
    <n v="65822.217791999996"/>
    <n v="65857.682348999995"/>
  </r>
  <r>
    <s v="BTC"/>
    <n v="29.12"/>
    <n v="29.13"/>
    <x v="19"/>
    <n v="2261.2858000000001"/>
    <n v="0"/>
    <n v="2261.2858000000001"/>
    <n v="65848.642496"/>
    <n v="65871.255354000008"/>
  </r>
  <r>
    <s v="BTCW"/>
    <n v="69.569999999999993"/>
    <n v="69.63"/>
    <x v="19"/>
    <n v="946.09739999999999"/>
    <n v="0"/>
    <n v="946.09739999999999"/>
    <n v="65819.996117999995"/>
    <n v="65876.76196199999"/>
  </r>
  <r>
    <s v="EZBC"/>
    <n v="38.03"/>
    <n v="38.06"/>
    <x v="19"/>
    <n v="1730.0737999999999"/>
    <n v="0.2"/>
    <n v="1729.8737999999998"/>
    <n v="65787.100613999995"/>
    <n v="65838.996828000003"/>
  </r>
  <r>
    <s v="FBTC"/>
    <n v="57.3"/>
    <n v="57.31"/>
    <x v="19"/>
    <n v="1148.8058000000001"/>
    <n v="-0.05"/>
    <n v="1148.8558"/>
    <n v="65829.437340000004"/>
    <n v="65840.925898000001"/>
  </r>
  <r>
    <s v="GBTC"/>
    <n v="51.07"/>
    <n v="51.08"/>
    <x v="19"/>
    <n v="1288.7435"/>
    <n v="-0.15"/>
    <n v="1288.8935000000001"/>
    <n v="65823.791045000005"/>
    <n v="65836.679980000001"/>
  </r>
  <r>
    <s v="HODL"/>
    <n v="18.62"/>
    <n v="18.63"/>
    <x v="19"/>
    <n v="3535.8029000000001"/>
    <n v="0"/>
    <n v="3535.8029000000001"/>
    <n v="65836.649998000008"/>
    <n v="65872.008027000003"/>
  </r>
  <r>
    <s v="IBIT"/>
    <n v="37.29"/>
    <n v="37.299999999999997"/>
    <x v="19"/>
    <n v="1764.9866999999999"/>
    <n v="0"/>
    <n v="1764.9866999999999"/>
    <n v="65816.354042999999"/>
    <n v="65834.003909999999"/>
  </r>
  <r>
    <s v="ARKB"/>
    <n v="21.77"/>
    <n v="21.78"/>
    <x v="20"/>
    <n v="3014.8449999999998"/>
    <n v="0.1"/>
    <n v="3014.7449999999999"/>
    <n v="65630.998649999994"/>
    <n v="65661.146099999998"/>
  </r>
  <r>
    <s v="BITB"/>
    <n v="35.630000000000003"/>
    <n v="35.64"/>
    <x v="20"/>
    <n v="1842.0499"/>
    <n v="-0.1"/>
    <n v="1842.1498999999999"/>
    <n v="65635.800937000007"/>
    <n v="65654.222435999996"/>
  </r>
  <r>
    <s v="BRRR"/>
    <n v="18.5"/>
    <n v="18.510000000000002"/>
    <x v="20"/>
    <n v="3546.4557"/>
    <n v="0"/>
    <n v="3546.4557"/>
    <n v="65609.43045"/>
    <n v="65644.895006999999"/>
  </r>
  <r>
    <s v="BTC"/>
    <n v="29.03"/>
    <n v="29.04"/>
    <x v="20"/>
    <n v="2261.2858000000001"/>
    <n v="0"/>
    <n v="2261.2858000000001"/>
    <n v="65645.126774000004"/>
    <n v="65667.739631999997"/>
  </r>
  <r>
    <s v="BTCW"/>
    <n v="69.37"/>
    <n v="69.45"/>
    <x v="20"/>
    <n v="946.09739999999999"/>
    <n v="0"/>
    <n v="946.09739999999999"/>
    <n v="65630.77663800001"/>
    <n v="65706.464430000007"/>
  </r>
  <r>
    <s v="EZBC"/>
    <n v="37.92"/>
    <n v="37.94"/>
    <x v="20"/>
    <n v="1730.0737999999999"/>
    <n v="0.2"/>
    <n v="1729.8737999999998"/>
    <n v="65596.814495999992"/>
    <n v="65631.411971999987"/>
  </r>
  <r>
    <s v="FBTC"/>
    <n v="57.13"/>
    <n v="57.14"/>
    <x v="20"/>
    <n v="1148.8058000000001"/>
    <n v="-0.05"/>
    <n v="1148.8558"/>
    <n v="65634.131854000007"/>
    <n v="65645.620412000004"/>
  </r>
  <r>
    <s v="GBTC"/>
    <n v="50.91"/>
    <n v="50.92"/>
    <x v="20"/>
    <n v="1288.7435"/>
    <n v="-0.15"/>
    <n v="1288.8935000000001"/>
    <n v="65617.568085000006"/>
    <n v="65630.457020000002"/>
  </r>
  <r>
    <s v="HODL"/>
    <n v="18.559999999999999"/>
    <n v="18.57"/>
    <x v="20"/>
    <n v="3535.8029000000001"/>
    <n v="0"/>
    <n v="3535.8029000000001"/>
    <n v="65624.501823999992"/>
    <n v="65659.859853000002"/>
  </r>
  <r>
    <s v="IBIT"/>
    <n v="37.18"/>
    <n v="37.19"/>
    <x v="20"/>
    <n v="1764.9866999999999"/>
    <n v="0"/>
    <n v="1764.9866999999999"/>
    <n v="65622.205505999998"/>
    <n v="65639.855372999999"/>
  </r>
  <r>
    <s v="ARKB"/>
    <n v="21.72"/>
    <n v="21.73"/>
    <x v="21"/>
    <n v="3014.8449999999998"/>
    <n v="0.1"/>
    <n v="3014.7449999999999"/>
    <n v="65480.261399999996"/>
    <n v="65510.40885"/>
  </r>
  <r>
    <s v="BITB"/>
    <n v="35.57"/>
    <n v="35.58"/>
    <x v="21"/>
    <n v="1842.0499"/>
    <n v="-0.1"/>
    <n v="1842.1498999999999"/>
    <n v="65525.271943"/>
    <n v="65543.693441999989"/>
  </r>
  <r>
    <s v="BRRR"/>
    <n v="18.47"/>
    <n v="18.48"/>
    <x v="21"/>
    <n v="3546.4557"/>
    <n v="0"/>
    <n v="3546.4557"/>
    <n v="65503.036778999995"/>
    <n v="65538.501336000001"/>
  </r>
  <r>
    <s v="BTC"/>
    <n v="28.98"/>
    <n v="28.99"/>
    <x v="21"/>
    <n v="2261.2858000000001"/>
    <n v="0"/>
    <n v="2261.2858000000001"/>
    <n v="65532.062484000002"/>
    <n v="65554.675342000002"/>
  </r>
  <r>
    <s v="BTCW"/>
    <n v="69.22"/>
    <n v="69.319999999999993"/>
    <x v="21"/>
    <n v="946.09739999999999"/>
    <n v="0"/>
    <n v="946.09739999999999"/>
    <n v="65488.862027999996"/>
    <n v="65583.471767999989"/>
  </r>
  <r>
    <s v="EZBC"/>
    <n v="37.85"/>
    <n v="37.880000000000003"/>
    <x v="21"/>
    <n v="1730.0737999999999"/>
    <n v="0.2"/>
    <n v="1729.8737999999998"/>
    <n v="65475.723329999993"/>
    <n v="65527.619544000001"/>
  </r>
  <r>
    <s v="FBTC"/>
    <n v="57.04"/>
    <n v="57.05"/>
    <x v="21"/>
    <n v="1148.8058000000001"/>
    <n v="-0.05"/>
    <n v="1148.8558"/>
    <n v="65530.734832000002"/>
    <n v="65542.223389999999"/>
  </r>
  <r>
    <s v="GBTC"/>
    <n v="50.83"/>
    <n v="50.84"/>
    <x v="21"/>
    <n v="1288.7435"/>
    <n v="-0.15"/>
    <n v="1288.8935000000001"/>
    <n v="65514.456605000007"/>
    <n v="65527.345540000009"/>
  </r>
  <r>
    <s v="HODL"/>
    <n v="18.52"/>
    <n v="18.53"/>
    <x v="21"/>
    <n v="3535.8029000000001"/>
    <n v="0"/>
    <n v="3535.8029000000001"/>
    <n v="65483.069708000003"/>
    <n v="65518.427737000005"/>
  </r>
  <r>
    <s v="IBIT"/>
    <n v="37.11"/>
    <n v="37.119999999999997"/>
    <x v="21"/>
    <n v="1764.9866999999999"/>
    <n v="0"/>
    <n v="1764.9866999999999"/>
    <n v="65498.656436999998"/>
    <n v="65516.306303999991"/>
  </r>
  <r>
    <s v="ARKB"/>
    <n v="21.77"/>
    <n v="21.78"/>
    <x v="22"/>
    <n v="3014.8449999999998"/>
    <n v="0.1"/>
    <n v="3014.7449999999999"/>
    <n v="65630.998649999994"/>
    <n v="65661.146099999998"/>
  </r>
  <r>
    <s v="BITB"/>
    <n v="35.630000000000003"/>
    <n v="35.64"/>
    <x v="22"/>
    <n v="1842.0499"/>
    <n v="-0.1"/>
    <n v="1842.1498999999999"/>
    <n v="65635.800937000007"/>
    <n v="65654.222435999996"/>
  </r>
  <r>
    <s v="BRRR"/>
    <n v="18.510000000000002"/>
    <n v="18.52"/>
    <x v="22"/>
    <n v="3546.4557"/>
    <n v="0"/>
    <n v="3546.4557"/>
    <n v="65644.895006999999"/>
    <n v="65680.359563999998"/>
  </r>
  <r>
    <s v="BTC"/>
    <n v="29.03"/>
    <n v="29.04"/>
    <x v="22"/>
    <n v="2261.2858000000001"/>
    <n v="0"/>
    <n v="2261.2858000000001"/>
    <n v="65645.126774000004"/>
    <n v="65667.739631999997"/>
  </r>
  <r>
    <s v="BTCW"/>
    <n v="69.38"/>
    <n v="69.45"/>
    <x v="22"/>
    <n v="946.09739999999999"/>
    <n v="0"/>
    <n v="946.09739999999999"/>
    <n v="65640.237611999997"/>
    <n v="65706.464430000007"/>
  </r>
  <r>
    <s v="EZBC"/>
    <n v="37.93"/>
    <n v="37.950000000000003"/>
    <x v="22"/>
    <n v="1730.0737999999999"/>
    <n v="0.2"/>
    <n v="1729.8737999999998"/>
    <n v="65614.113233999989"/>
    <n v="65648.710709999999"/>
  </r>
  <r>
    <s v="FBTC"/>
    <n v="57.13"/>
    <n v="57.14"/>
    <x v="22"/>
    <n v="1148.8058000000001"/>
    <n v="-0.05"/>
    <n v="1148.8558"/>
    <n v="65634.131854000007"/>
    <n v="65645.620412000004"/>
  </r>
  <r>
    <s v="GBTC"/>
    <n v="50.92"/>
    <n v="50.93"/>
    <x v="22"/>
    <n v="1288.7435"/>
    <n v="-0.15"/>
    <n v="1288.8935000000001"/>
    <n v="65630.457020000002"/>
    <n v="65643.345955000012"/>
  </r>
  <r>
    <s v="HODL"/>
    <n v="18.559999999999999"/>
    <n v="18.57"/>
    <x v="22"/>
    <n v="3535.8029000000001"/>
    <n v="0"/>
    <n v="3535.8029000000001"/>
    <n v="65624.501823999992"/>
    <n v="65659.859853000002"/>
  </r>
  <r>
    <s v="IBIT"/>
    <n v="37.19"/>
    <n v="37.200000000000003"/>
    <x v="22"/>
    <n v="1764.9866999999999"/>
    <n v="0"/>
    <n v="1764.9866999999999"/>
    <n v="65639.855372999999"/>
    <n v="65657.505239999999"/>
  </r>
  <r>
    <s v="ARKB"/>
    <n v="21.74"/>
    <n v="21.75"/>
    <x v="23"/>
    <n v="3014.8449999999998"/>
    <n v="0.1"/>
    <n v="3014.7449999999999"/>
    <n v="65540.556299999997"/>
    <n v="65570.703750000001"/>
  </r>
  <r>
    <s v="BITB"/>
    <n v="35.6"/>
    <n v="35.61"/>
    <x v="23"/>
    <n v="1842.0499"/>
    <n v="-0.1"/>
    <n v="1842.1498999999999"/>
    <n v="65580.536439999996"/>
    <n v="65598.957939"/>
  </r>
  <r>
    <s v="BRRR"/>
    <n v="18.489999999999998"/>
    <n v="18.5"/>
    <x v="23"/>
    <n v="3546.4557"/>
    <n v="0"/>
    <n v="3546.4557"/>
    <n v="65573.965893000001"/>
    <n v="65609.43045"/>
  </r>
  <r>
    <s v="BTC"/>
    <n v="29"/>
    <n v="29.01"/>
    <x v="23"/>
    <n v="2261.2858000000001"/>
    <n v="0"/>
    <n v="2261.2858000000001"/>
    <n v="65577.28820000001"/>
    <n v="65599.901058000003"/>
  </r>
  <r>
    <s v="BTCW"/>
    <n v="69.31"/>
    <n v="69.38"/>
    <x v="23"/>
    <n v="946.09739999999999"/>
    <n v="0"/>
    <n v="946.09739999999999"/>
    <n v="65574.010794000002"/>
    <n v="65640.237611999997"/>
  </r>
  <r>
    <s v="EZBC"/>
    <n v="37.89"/>
    <n v="37.909999999999997"/>
    <x v="23"/>
    <n v="1730.0737999999999"/>
    <n v="0.2"/>
    <n v="1729.8737999999998"/>
    <n v="65544.918281999999"/>
    <n v="65579.515757999994"/>
  </r>
  <r>
    <s v="FBTC"/>
    <n v="57.08"/>
    <n v="57.09"/>
    <x v="23"/>
    <n v="1148.8058000000001"/>
    <n v="-0.05"/>
    <n v="1148.8558"/>
    <n v="65576.689064000006"/>
    <n v="65588.177622000003"/>
  </r>
  <r>
    <s v="GBTC"/>
    <n v="50.87"/>
    <n v="50.88"/>
    <x v="23"/>
    <n v="1288.7435"/>
    <n v="-0.15"/>
    <n v="1288.8935000000001"/>
    <n v="65566.01234500001"/>
    <n v="65578.901280000005"/>
  </r>
  <r>
    <s v="HODL"/>
    <n v="18.54"/>
    <n v="18.55"/>
    <x v="23"/>
    <n v="3535.8029000000001"/>
    <n v="0"/>
    <n v="3535.8029000000001"/>
    <n v="65553.785766000001"/>
    <n v="65589.143795000011"/>
  </r>
  <r>
    <s v="IBIT"/>
    <n v="37.15"/>
    <n v="37.159999999999997"/>
    <x v="23"/>
    <n v="1764.9866999999999"/>
    <n v="0"/>
    <n v="1764.9866999999999"/>
    <n v="65569.255904999998"/>
    <n v="65586.905771999998"/>
  </r>
  <r>
    <s v="ARKB"/>
    <n v="21.73"/>
    <n v="21.74"/>
    <x v="24"/>
    <n v="3014.8449999999998"/>
    <n v="0.1"/>
    <n v="3014.7449999999999"/>
    <n v="65510.40885"/>
    <n v="65540.556299999997"/>
  </r>
  <r>
    <s v="BITB"/>
    <n v="35.57"/>
    <n v="35.58"/>
    <x v="24"/>
    <n v="1842.0499"/>
    <n v="-0.1"/>
    <n v="1842.1498999999999"/>
    <n v="65525.271943"/>
    <n v="65543.693441999989"/>
  </r>
  <r>
    <s v="BRRR"/>
    <n v="18.48"/>
    <n v="18.489999999999998"/>
    <x v="24"/>
    <n v="3546.4557"/>
    <n v="0"/>
    <n v="3546.4557"/>
    <n v="65538.501336000001"/>
    <n v="65573.965893000001"/>
  </r>
  <r>
    <s v="BTC"/>
    <n v="28.98"/>
    <n v="28.99"/>
    <x v="24"/>
    <n v="2261.2858000000001"/>
    <n v="0"/>
    <n v="2261.2858000000001"/>
    <n v="65532.062484000002"/>
    <n v="65554.675342000002"/>
  </r>
  <r>
    <s v="BTCW"/>
    <n v="69.25"/>
    <n v="69.319999999999993"/>
    <x v="24"/>
    <n v="946.09739999999999"/>
    <n v="0"/>
    <n v="946.09739999999999"/>
    <n v="65517.24495"/>
    <n v="65583.471767999989"/>
  </r>
  <r>
    <s v="EZBC"/>
    <n v="37.85"/>
    <n v="37.880000000000003"/>
    <x v="24"/>
    <n v="1730.0737999999999"/>
    <n v="0.2"/>
    <n v="1729.8737999999998"/>
    <n v="65475.723329999993"/>
    <n v="65527.619544000001"/>
  </r>
  <r>
    <s v="FBTC"/>
    <n v="57.04"/>
    <n v="57.05"/>
    <x v="24"/>
    <n v="1148.8058000000001"/>
    <n v="-0.05"/>
    <n v="1148.8558"/>
    <n v="65530.734832000002"/>
    <n v="65542.223389999999"/>
  </r>
  <r>
    <s v="GBTC"/>
    <n v="50.83"/>
    <n v="50.84"/>
    <x v="24"/>
    <n v="1288.7435"/>
    <n v="-0.15"/>
    <n v="1288.8935000000001"/>
    <n v="65514.456605000007"/>
    <n v="65527.345540000009"/>
  </r>
  <r>
    <s v="HODL"/>
    <n v="18.53"/>
    <n v="18.54"/>
    <x v="24"/>
    <n v="3535.8029000000001"/>
    <n v="0"/>
    <n v="3535.8029000000001"/>
    <n v="65518.427737000005"/>
    <n v="65553.785766000001"/>
  </r>
  <r>
    <s v="IBIT"/>
    <n v="37.119999999999997"/>
    <n v="37.130000000000003"/>
    <x v="24"/>
    <n v="1764.9866999999999"/>
    <n v="0"/>
    <n v="1764.9866999999999"/>
    <n v="65516.306303999991"/>
    <n v="65533.956171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B5DD8-1F80-4413-BA35-44FE52C6A59C}" name="PivotTable1" cacheId="3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C26" firstHeaderRow="0" firstDataRow="1" firstDataCol="1"/>
  <pivotFields count="9">
    <pivotField showAll="0"/>
    <pivotField numFmtId="44" showAll="0"/>
    <pivotField numFmtId="44"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numFmtId="164" showAll="0"/>
    <pivotField numFmtId="164" showAll="0"/>
    <pivotField dataField="1" numFmtId="44" showAll="0"/>
    <pivotField dataField="1" numFmtId="44"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</rowItems>
  <colFields count="1">
    <field x="-2"/>
  </colFields>
  <colItems count="2">
    <i>
      <x/>
    </i>
    <i i="1">
      <x v="1"/>
    </i>
  </colItems>
  <dataFields count="2">
    <dataField name="Max of unit bid" fld="7" subtotal="max" baseField="3" baseItem="0" numFmtId="44"/>
    <dataField name="Min of unit ask" fld="8" subtotal="min" baseField="3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6F92AF-1558-4800-AF63-0DDC410F6977}" name="Table1" displayName="Table1" ref="A1:I251" totalsRowShown="0">
  <autoFilter ref="A1:I251" xr:uid="{9D6F92AF-1558-4800-AF63-0DDC410F6977}"/>
  <tableColumns count="9">
    <tableColumn id="1" xr3:uid="{FA11C375-43B6-4899-9E98-53DC80FD39C3}" name="my_fi_name"/>
    <tableColumn id="2" xr3:uid="{94E237F8-0400-407F-A97C-1804A7787B41}" name="price_screen_bid"/>
    <tableColumn id="3" xr3:uid="{1A3D9328-309E-4EFF-9CA1-518C97E5A564}" name="price_screen_ask"/>
    <tableColumn id="4" xr3:uid="{1E944567-E314-4F94-81CE-72B845E323A1}" name="time"/>
    <tableColumn id="5" xr3:uid="{A4A55E9A-12AE-42B6-BC5E-D9272B514244}" name="scalar" dataDxfId="1" dataCellStyle="Comma"/>
    <tableColumn id="6" xr3:uid="{35A5EC49-54A4-4CAE-B335-B6E39879B2F8}" name="adj" dataDxfId="0" dataCellStyle="Comma"/>
    <tableColumn id="7" xr3:uid="{9FB91B12-ADFB-4EB0-A9E1-52B4D8E6384D}" name="adj scalar"/>
    <tableColumn id="8" xr3:uid="{91E95B2B-36CC-4A5B-8B5E-A2A3FA84AC32}" name="unit bid"/>
    <tableColumn id="9" xr3:uid="{CF083474-E210-4CC3-ACA9-EAB99EB9CB4E}" name="unit a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0D3CE-B839-407B-A288-F8798D37AD9A}">
  <dimension ref="A1:I251"/>
  <sheetViews>
    <sheetView workbookViewId="0">
      <selection activeCell="E7" sqref="E7"/>
    </sheetView>
  </sheetViews>
  <sheetFormatPr defaultRowHeight="15" x14ac:dyDescent="0.25"/>
  <cols>
    <col min="1" max="1" width="13.85546875" customWidth="1"/>
    <col min="2" max="2" width="18.42578125" customWidth="1"/>
    <col min="3" max="3" width="18.5703125" customWidth="1"/>
    <col min="4" max="4" width="19" bestFit="1" customWidth="1"/>
    <col min="5" max="5" width="12.5703125" style="2" bestFit="1" customWidth="1"/>
    <col min="6" max="6" width="11.5703125" style="2" bestFit="1" customWidth="1"/>
    <col min="7" max="7" width="15.42578125" bestFit="1" customWidth="1"/>
    <col min="8" max="8" width="13.85546875" bestFit="1" customWidth="1"/>
    <col min="9" max="9" width="14" bestFit="1" customWidth="1"/>
    <col min="10" max="10" width="19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6" t="s">
        <v>50</v>
      </c>
      <c r="F1" s="16" t="s">
        <v>51</v>
      </c>
      <c r="G1" s="16" t="s">
        <v>52</v>
      </c>
      <c r="H1" s="17" t="s">
        <v>53</v>
      </c>
      <c r="I1" s="17" t="s">
        <v>54</v>
      </c>
    </row>
    <row r="2" spans="1:9" x14ac:dyDescent="0.25">
      <c r="A2" t="s">
        <v>4</v>
      </c>
      <c r="B2">
        <v>21.93</v>
      </c>
      <c r="C2">
        <v>21.94</v>
      </c>
      <c r="D2" t="s">
        <v>5</v>
      </c>
      <c r="E2" s="11">
        <v>3014.8449999999998</v>
      </c>
      <c r="F2" s="11">
        <f>Sheet1!L3</f>
        <v>0.1</v>
      </c>
      <c r="G2" s="2">
        <f>E2-F2</f>
        <v>3014.7449999999999</v>
      </c>
      <c r="H2" s="3">
        <f>Table1[[#This Row],[price_screen_bid]]*G2</f>
        <v>66113.35785</v>
      </c>
      <c r="I2" s="3">
        <f>Table1[[#This Row],[price_screen_ask]]*G2</f>
        <v>66143.505300000004</v>
      </c>
    </row>
    <row r="3" spans="1:9" x14ac:dyDescent="0.25">
      <c r="A3" t="s">
        <v>6</v>
      </c>
      <c r="B3">
        <v>35.9</v>
      </c>
      <c r="C3">
        <v>35.909999999999997</v>
      </c>
      <c r="D3" t="s">
        <v>5</v>
      </c>
      <c r="E3" s="11">
        <v>1842.0499</v>
      </c>
      <c r="F3" s="11">
        <f>Sheet1!L4</f>
        <v>-0.1</v>
      </c>
      <c r="G3" s="2">
        <f t="shared" ref="G3:G66" si="0">E3-F3</f>
        <v>1842.1498999999999</v>
      </c>
      <c r="H3" s="3">
        <f>Table1[[#This Row],[price_screen_bid]]*G3</f>
        <v>66133.18140999999</v>
      </c>
      <c r="I3" s="3">
        <f>Table1[[#This Row],[price_screen_ask]]*G3</f>
        <v>66151.602908999994</v>
      </c>
    </row>
    <row r="4" spans="1:9" x14ac:dyDescent="0.25">
      <c r="A4" t="s">
        <v>7</v>
      </c>
      <c r="B4">
        <v>18.649999999999999</v>
      </c>
      <c r="C4">
        <v>18.66</v>
      </c>
      <c r="D4" t="s">
        <v>5</v>
      </c>
      <c r="E4" s="11">
        <v>3546.4557</v>
      </c>
      <c r="F4" s="11">
        <f>Sheet1!L5</f>
        <v>0</v>
      </c>
      <c r="G4" s="2">
        <f t="shared" si="0"/>
        <v>3546.4557</v>
      </c>
      <c r="H4" s="3">
        <f>Table1[[#This Row],[price_screen_bid]]*G4</f>
        <v>66141.39880499999</v>
      </c>
      <c r="I4" s="3">
        <f>Table1[[#This Row],[price_screen_ask]]*G4</f>
        <v>66176.863362000004</v>
      </c>
    </row>
    <row r="5" spans="1:9" x14ac:dyDescent="0.25">
      <c r="A5" t="s">
        <v>8</v>
      </c>
      <c r="B5">
        <v>29.25</v>
      </c>
      <c r="C5">
        <v>29.26</v>
      </c>
      <c r="D5" t="s">
        <v>5</v>
      </c>
      <c r="E5" s="11">
        <v>2261.2858000000001</v>
      </c>
      <c r="F5" s="11">
        <f>Sheet1!L6</f>
        <v>0</v>
      </c>
      <c r="G5" s="2">
        <f t="shared" si="0"/>
        <v>2261.2858000000001</v>
      </c>
      <c r="H5" s="3">
        <f>Table1[[#This Row],[price_screen_bid]]*G5</f>
        <v>66142.609649999999</v>
      </c>
      <c r="I5" s="3">
        <f>Table1[[#This Row],[price_screen_ask]]*G5</f>
        <v>66165.222508000006</v>
      </c>
    </row>
    <row r="6" spans="1:9" x14ac:dyDescent="0.25">
      <c r="A6" t="s">
        <v>9</v>
      </c>
      <c r="B6">
        <v>69.83</v>
      </c>
      <c r="C6">
        <v>69.95</v>
      </c>
      <c r="D6" t="s">
        <v>5</v>
      </c>
      <c r="E6" s="11">
        <v>946.09739999999999</v>
      </c>
      <c r="F6" s="11">
        <f>Sheet1!L7</f>
        <v>0</v>
      </c>
      <c r="G6" s="2">
        <f t="shared" si="0"/>
        <v>946.09739999999999</v>
      </c>
      <c r="H6" s="3">
        <f>Table1[[#This Row],[price_screen_bid]]*G6</f>
        <v>66065.981442000004</v>
      </c>
      <c r="I6" s="3">
        <f>Table1[[#This Row],[price_screen_ask]]*G6</f>
        <v>66179.513130000007</v>
      </c>
    </row>
    <row r="7" spans="1:9" x14ac:dyDescent="0.25">
      <c r="A7" t="s">
        <v>10</v>
      </c>
      <c r="B7">
        <v>38.21</v>
      </c>
      <c r="C7">
        <v>38.229999999999997</v>
      </c>
      <c r="D7" t="s">
        <v>5</v>
      </c>
      <c r="E7" s="11">
        <v>1730.0737999999999</v>
      </c>
      <c r="F7" s="11">
        <f>Sheet1!L8</f>
        <v>0.2</v>
      </c>
      <c r="G7" s="2">
        <f t="shared" si="0"/>
        <v>1729.8737999999998</v>
      </c>
      <c r="H7" s="3">
        <f>Table1[[#This Row],[price_screen_bid]]*G7</f>
        <v>66098.477897999997</v>
      </c>
      <c r="I7" s="3">
        <f>Table1[[#This Row],[price_screen_ask]]*G7</f>
        <v>66133.075373999993</v>
      </c>
    </row>
    <row r="8" spans="1:9" x14ac:dyDescent="0.25">
      <c r="A8" t="s">
        <v>11</v>
      </c>
      <c r="B8">
        <v>57.57</v>
      </c>
      <c r="C8">
        <v>57.58</v>
      </c>
      <c r="D8" t="s">
        <v>5</v>
      </c>
      <c r="E8" s="11">
        <v>1148.8058000000001</v>
      </c>
      <c r="F8" s="11">
        <f>Sheet1!L9</f>
        <v>-0.05</v>
      </c>
      <c r="G8" s="2">
        <f t="shared" si="0"/>
        <v>1148.8558</v>
      </c>
      <c r="H8" s="3">
        <f>Table1[[#This Row],[price_screen_bid]]*G8</f>
        <v>66139.628406000003</v>
      </c>
      <c r="I8" s="3">
        <f>Table1[[#This Row],[price_screen_ask]]*G8</f>
        <v>66151.116964000001</v>
      </c>
    </row>
    <row r="9" spans="1:9" x14ac:dyDescent="0.25">
      <c r="A9" t="s">
        <v>12</v>
      </c>
      <c r="B9">
        <v>51.31</v>
      </c>
      <c r="C9">
        <v>51.32</v>
      </c>
      <c r="D9" t="s">
        <v>5</v>
      </c>
      <c r="E9" s="11">
        <v>1288.7435</v>
      </c>
      <c r="F9" s="11">
        <f>Sheet1!L10</f>
        <v>-0.15</v>
      </c>
      <c r="G9" s="2">
        <f t="shared" si="0"/>
        <v>1288.8935000000001</v>
      </c>
      <c r="H9" s="3">
        <f>Table1[[#This Row],[price_screen_bid]]*G9</f>
        <v>66133.125485000011</v>
      </c>
      <c r="I9" s="3">
        <f>Table1[[#This Row],[price_screen_ask]]*G9</f>
        <v>66146.014420000007</v>
      </c>
    </row>
    <row r="10" spans="1:9" x14ac:dyDescent="0.25">
      <c r="A10" t="s">
        <v>13</v>
      </c>
      <c r="B10">
        <v>18.7</v>
      </c>
      <c r="C10">
        <v>18.71</v>
      </c>
      <c r="D10" t="s">
        <v>5</v>
      </c>
      <c r="E10" s="11">
        <v>3535.8029000000001</v>
      </c>
      <c r="F10" s="11">
        <f>Sheet1!L11</f>
        <v>0</v>
      </c>
      <c r="G10" s="2">
        <f t="shared" si="0"/>
        <v>3535.8029000000001</v>
      </c>
      <c r="H10" s="3">
        <f>Table1[[#This Row],[price_screen_bid]]*G10</f>
        <v>66119.514230000001</v>
      </c>
      <c r="I10" s="3">
        <f>Table1[[#This Row],[price_screen_ask]]*G10</f>
        <v>66154.872259000011</v>
      </c>
    </row>
    <row r="11" spans="1:9" x14ac:dyDescent="0.25">
      <c r="A11" t="s">
        <v>14</v>
      </c>
      <c r="B11">
        <v>37.47</v>
      </c>
      <c r="C11">
        <v>37.479999999999997</v>
      </c>
      <c r="D11" t="s">
        <v>5</v>
      </c>
      <c r="E11" s="11">
        <v>1764.9866999999999</v>
      </c>
      <c r="F11" s="11">
        <f>Sheet1!L12</f>
        <v>0</v>
      </c>
      <c r="G11" s="2">
        <f t="shared" si="0"/>
        <v>1764.9866999999999</v>
      </c>
      <c r="H11" s="3">
        <f>Table1[[#This Row],[price_screen_bid]]*G11</f>
        <v>66134.051649000001</v>
      </c>
      <c r="I11" s="3">
        <f>Table1[[#This Row],[price_screen_ask]]*G11</f>
        <v>66151.701515999986</v>
      </c>
    </row>
    <row r="12" spans="1:9" x14ac:dyDescent="0.25">
      <c r="A12" t="s">
        <v>4</v>
      </c>
      <c r="B12">
        <v>21.94</v>
      </c>
      <c r="C12">
        <v>21.95</v>
      </c>
      <c r="D12" t="s">
        <v>15</v>
      </c>
      <c r="E12" s="2">
        <v>3014.8449999999998</v>
      </c>
      <c r="F12" s="2">
        <f>F2</f>
        <v>0.1</v>
      </c>
      <c r="G12" s="2">
        <f t="shared" si="0"/>
        <v>3014.7449999999999</v>
      </c>
      <c r="H12" s="3">
        <f>Table1[[#This Row],[price_screen_bid]]*G12</f>
        <v>66143.505300000004</v>
      </c>
      <c r="I12" s="3">
        <f>Table1[[#This Row],[price_screen_ask]]*G12</f>
        <v>66173.652749999994</v>
      </c>
    </row>
    <row r="13" spans="1:9" x14ac:dyDescent="0.25">
      <c r="A13" t="s">
        <v>6</v>
      </c>
      <c r="B13">
        <v>35.909999999999997</v>
      </c>
      <c r="C13">
        <v>35.92</v>
      </c>
      <c r="D13" t="s">
        <v>15</v>
      </c>
      <c r="E13" s="2">
        <v>1842.0499</v>
      </c>
      <c r="F13" s="2">
        <f t="shared" ref="F13:F76" si="1">F3</f>
        <v>-0.1</v>
      </c>
      <c r="G13" s="2">
        <f t="shared" si="0"/>
        <v>1842.1498999999999</v>
      </c>
      <c r="H13" s="3">
        <f>Table1[[#This Row],[price_screen_bid]]*G13</f>
        <v>66151.602908999994</v>
      </c>
      <c r="I13" s="3">
        <f>Table1[[#This Row],[price_screen_ask]]*G13</f>
        <v>66170.024407999997</v>
      </c>
    </row>
    <row r="14" spans="1:9" x14ac:dyDescent="0.25">
      <c r="A14" t="s">
        <v>7</v>
      </c>
      <c r="B14">
        <v>18.649999999999999</v>
      </c>
      <c r="C14">
        <v>18.66</v>
      </c>
      <c r="D14" t="s">
        <v>15</v>
      </c>
      <c r="E14" s="2">
        <v>3546.4557</v>
      </c>
      <c r="F14" s="2">
        <f t="shared" si="1"/>
        <v>0</v>
      </c>
      <c r="G14" s="2">
        <f t="shared" si="0"/>
        <v>3546.4557</v>
      </c>
      <c r="H14" s="3">
        <f>Table1[[#This Row],[price_screen_bid]]*G14</f>
        <v>66141.39880499999</v>
      </c>
      <c r="I14" s="3">
        <f>Table1[[#This Row],[price_screen_ask]]*G14</f>
        <v>66176.863362000004</v>
      </c>
    </row>
    <row r="15" spans="1:9" x14ac:dyDescent="0.25">
      <c r="A15" t="s">
        <v>8</v>
      </c>
      <c r="B15">
        <v>29.25</v>
      </c>
      <c r="C15">
        <v>29.26</v>
      </c>
      <c r="D15" t="s">
        <v>15</v>
      </c>
      <c r="E15" s="2">
        <v>2261.2858000000001</v>
      </c>
      <c r="F15" s="2">
        <f t="shared" si="1"/>
        <v>0</v>
      </c>
      <c r="G15" s="2">
        <f t="shared" si="0"/>
        <v>2261.2858000000001</v>
      </c>
      <c r="H15" s="3">
        <f>Table1[[#This Row],[price_screen_bid]]*G15</f>
        <v>66142.609649999999</v>
      </c>
      <c r="I15" s="3">
        <f>Table1[[#This Row],[price_screen_ask]]*G15</f>
        <v>66165.222508000006</v>
      </c>
    </row>
    <row r="16" spans="1:9" x14ac:dyDescent="0.25">
      <c r="A16" t="s">
        <v>9</v>
      </c>
      <c r="B16">
        <v>69.89</v>
      </c>
      <c r="C16">
        <v>69.989999999999995</v>
      </c>
      <c r="D16" t="s">
        <v>15</v>
      </c>
      <c r="E16" s="2">
        <v>946.09739999999999</v>
      </c>
      <c r="F16" s="2">
        <f t="shared" si="1"/>
        <v>0</v>
      </c>
      <c r="G16" s="2">
        <f t="shared" si="0"/>
        <v>946.09739999999999</v>
      </c>
      <c r="H16" s="3">
        <f>Table1[[#This Row],[price_screen_bid]]*G16</f>
        <v>66122.747285999998</v>
      </c>
      <c r="I16" s="3">
        <f>Table1[[#This Row],[price_screen_ask]]*G16</f>
        <v>66217.357025999998</v>
      </c>
    </row>
    <row r="17" spans="1:9" x14ac:dyDescent="0.25">
      <c r="A17" t="s">
        <v>10</v>
      </c>
      <c r="B17">
        <v>38.21</v>
      </c>
      <c r="C17">
        <v>38.26</v>
      </c>
      <c r="D17" t="s">
        <v>15</v>
      </c>
      <c r="E17" s="2">
        <v>1730.0737999999999</v>
      </c>
      <c r="F17" s="2">
        <f t="shared" si="1"/>
        <v>0.2</v>
      </c>
      <c r="G17" s="2">
        <f t="shared" si="0"/>
        <v>1729.8737999999998</v>
      </c>
      <c r="H17" s="3">
        <f>Table1[[#This Row],[price_screen_bid]]*G17</f>
        <v>66098.477897999997</v>
      </c>
      <c r="I17" s="3">
        <f>Table1[[#This Row],[price_screen_ask]]*G17</f>
        <v>66184.971587999986</v>
      </c>
    </row>
    <row r="18" spans="1:9" x14ac:dyDescent="0.25">
      <c r="A18" t="s">
        <v>11</v>
      </c>
      <c r="B18">
        <v>57.59</v>
      </c>
      <c r="C18">
        <v>57.6</v>
      </c>
      <c r="D18" t="s">
        <v>15</v>
      </c>
      <c r="E18" s="2">
        <v>1148.8058000000001</v>
      </c>
      <c r="F18" s="2">
        <f t="shared" si="1"/>
        <v>-0.05</v>
      </c>
      <c r="G18" s="2">
        <f t="shared" si="0"/>
        <v>1148.8558</v>
      </c>
      <c r="H18" s="3">
        <f>Table1[[#This Row],[price_screen_bid]]*G18</f>
        <v>66162.605522000013</v>
      </c>
      <c r="I18" s="3">
        <f>Table1[[#This Row],[price_screen_ask]]*G18</f>
        <v>66174.09408000001</v>
      </c>
    </row>
    <row r="19" spans="1:9" x14ac:dyDescent="0.25">
      <c r="A19" t="s">
        <v>12</v>
      </c>
      <c r="B19">
        <v>51.32</v>
      </c>
      <c r="C19">
        <v>51.33</v>
      </c>
      <c r="D19" t="s">
        <v>15</v>
      </c>
      <c r="E19" s="2">
        <v>1288.7435</v>
      </c>
      <c r="F19" s="2">
        <f t="shared" si="1"/>
        <v>-0.15</v>
      </c>
      <c r="G19" s="2">
        <f t="shared" si="0"/>
        <v>1288.8935000000001</v>
      </c>
      <c r="H19" s="3">
        <f>Table1[[#This Row],[price_screen_bid]]*G19</f>
        <v>66146.014420000007</v>
      </c>
      <c r="I19" s="3">
        <f>Table1[[#This Row],[price_screen_ask]]*G19</f>
        <v>66158.903355000002</v>
      </c>
    </row>
    <row r="20" spans="1:9" x14ac:dyDescent="0.25">
      <c r="A20" t="s">
        <v>13</v>
      </c>
      <c r="B20">
        <v>18.7</v>
      </c>
      <c r="C20">
        <v>18.71</v>
      </c>
      <c r="D20" t="s">
        <v>15</v>
      </c>
      <c r="E20" s="2">
        <v>3535.8029000000001</v>
      </c>
      <c r="F20" s="2">
        <f t="shared" si="1"/>
        <v>0</v>
      </c>
      <c r="G20" s="2">
        <f t="shared" si="0"/>
        <v>3535.8029000000001</v>
      </c>
      <c r="H20" s="3">
        <f>Table1[[#This Row],[price_screen_bid]]*G20</f>
        <v>66119.514230000001</v>
      </c>
      <c r="I20" s="3">
        <f>Table1[[#This Row],[price_screen_ask]]*G20</f>
        <v>66154.872259000011</v>
      </c>
    </row>
    <row r="21" spans="1:9" x14ac:dyDescent="0.25">
      <c r="A21" t="s">
        <v>14</v>
      </c>
      <c r="B21">
        <v>37.479999999999997</v>
      </c>
      <c r="C21">
        <v>37.49</v>
      </c>
      <c r="D21" t="s">
        <v>15</v>
      </c>
      <c r="E21" s="2">
        <v>1764.9866999999999</v>
      </c>
      <c r="F21" s="2">
        <f t="shared" si="1"/>
        <v>0</v>
      </c>
      <c r="G21" s="2">
        <f t="shared" si="0"/>
        <v>1764.9866999999999</v>
      </c>
      <c r="H21" s="3">
        <f>Table1[[#This Row],[price_screen_bid]]*G21</f>
        <v>66151.701515999986</v>
      </c>
      <c r="I21" s="3">
        <f>Table1[[#This Row],[price_screen_ask]]*G21</f>
        <v>66169.351383000001</v>
      </c>
    </row>
    <row r="22" spans="1:9" x14ac:dyDescent="0.25">
      <c r="A22" t="s">
        <v>4</v>
      </c>
      <c r="B22">
        <v>21.76</v>
      </c>
      <c r="C22">
        <v>21.77</v>
      </c>
      <c r="D22" t="s">
        <v>16</v>
      </c>
      <c r="E22" s="2">
        <v>3014.8449999999998</v>
      </c>
      <c r="F22" s="2">
        <f t="shared" si="1"/>
        <v>0.1</v>
      </c>
      <c r="G22" s="2">
        <f t="shared" si="0"/>
        <v>3014.7449999999999</v>
      </c>
      <c r="H22" s="3">
        <f>Table1[[#This Row],[price_screen_bid]]*G22</f>
        <v>65600.851200000005</v>
      </c>
      <c r="I22" s="3">
        <f>Table1[[#This Row],[price_screen_ask]]*G22</f>
        <v>65630.998649999994</v>
      </c>
    </row>
    <row r="23" spans="1:9" x14ac:dyDescent="0.25">
      <c r="A23" t="s">
        <v>6</v>
      </c>
      <c r="B23">
        <v>35.630000000000003</v>
      </c>
      <c r="C23">
        <v>35.64</v>
      </c>
      <c r="D23" t="s">
        <v>16</v>
      </c>
      <c r="E23" s="2">
        <v>1842.0499</v>
      </c>
      <c r="F23" s="2">
        <f t="shared" si="1"/>
        <v>-0.1</v>
      </c>
      <c r="G23" s="2">
        <f t="shared" si="0"/>
        <v>1842.1498999999999</v>
      </c>
      <c r="H23" s="3">
        <f>Table1[[#This Row],[price_screen_bid]]*G23</f>
        <v>65635.800937000007</v>
      </c>
      <c r="I23" s="3">
        <f>Table1[[#This Row],[price_screen_ask]]*G23</f>
        <v>65654.222435999996</v>
      </c>
    </row>
    <row r="24" spans="1:9" x14ac:dyDescent="0.25">
      <c r="A24" t="s">
        <v>7</v>
      </c>
      <c r="B24">
        <v>18.510000000000002</v>
      </c>
      <c r="C24">
        <v>18.52</v>
      </c>
      <c r="D24" t="s">
        <v>16</v>
      </c>
      <c r="E24" s="2">
        <v>3546.4557</v>
      </c>
      <c r="F24" s="2">
        <f t="shared" si="1"/>
        <v>0</v>
      </c>
      <c r="G24" s="2">
        <f t="shared" si="0"/>
        <v>3546.4557</v>
      </c>
      <c r="H24" s="3">
        <f>Table1[[#This Row],[price_screen_bid]]*G24</f>
        <v>65644.895006999999</v>
      </c>
      <c r="I24" s="3">
        <f>Table1[[#This Row],[price_screen_ask]]*G24</f>
        <v>65680.359563999998</v>
      </c>
    </row>
    <row r="25" spans="1:9" x14ac:dyDescent="0.25">
      <c r="A25" t="s">
        <v>8</v>
      </c>
      <c r="B25">
        <v>29.02</v>
      </c>
      <c r="C25">
        <v>29.03</v>
      </c>
      <c r="D25" t="s">
        <v>16</v>
      </c>
      <c r="E25" s="2">
        <v>2261.2858000000001</v>
      </c>
      <c r="F25" s="2">
        <f t="shared" si="1"/>
        <v>0</v>
      </c>
      <c r="G25" s="2">
        <f t="shared" si="0"/>
        <v>2261.2858000000001</v>
      </c>
      <c r="H25" s="3">
        <f>Table1[[#This Row],[price_screen_bid]]*G25</f>
        <v>65622.513915999996</v>
      </c>
      <c r="I25" s="3">
        <f>Table1[[#This Row],[price_screen_ask]]*G25</f>
        <v>65645.126774000004</v>
      </c>
    </row>
    <row r="26" spans="1:9" x14ac:dyDescent="0.25">
      <c r="A26" t="s">
        <v>9</v>
      </c>
      <c r="B26">
        <v>69.34</v>
      </c>
      <c r="C26">
        <v>69.44</v>
      </c>
      <c r="D26" t="s">
        <v>16</v>
      </c>
      <c r="E26" s="2">
        <v>946.09739999999999</v>
      </c>
      <c r="F26" s="2">
        <f t="shared" si="1"/>
        <v>0</v>
      </c>
      <c r="G26" s="2">
        <f t="shared" si="0"/>
        <v>946.09739999999999</v>
      </c>
      <c r="H26" s="3">
        <f>Table1[[#This Row],[price_screen_bid]]*G26</f>
        <v>65602.393716000006</v>
      </c>
      <c r="I26" s="3">
        <f>Table1[[#This Row],[price_screen_ask]]*G26</f>
        <v>65697.003455999991</v>
      </c>
    </row>
    <row r="27" spans="1:9" x14ac:dyDescent="0.25">
      <c r="A27" t="s">
        <v>10</v>
      </c>
      <c r="B27">
        <v>37.909999999999997</v>
      </c>
      <c r="C27">
        <v>37.950000000000003</v>
      </c>
      <c r="D27" t="s">
        <v>16</v>
      </c>
      <c r="E27" s="2">
        <v>1730.0737999999999</v>
      </c>
      <c r="F27" s="2">
        <f t="shared" si="1"/>
        <v>0.2</v>
      </c>
      <c r="G27" s="2">
        <f t="shared" si="0"/>
        <v>1729.8737999999998</v>
      </c>
      <c r="H27" s="3">
        <f>Table1[[#This Row],[price_screen_bid]]*G27</f>
        <v>65579.515757999994</v>
      </c>
      <c r="I27" s="3">
        <f>Table1[[#This Row],[price_screen_ask]]*G27</f>
        <v>65648.710709999999</v>
      </c>
    </row>
    <row r="28" spans="1:9" x14ac:dyDescent="0.25">
      <c r="A28" t="s">
        <v>11</v>
      </c>
      <c r="B28">
        <v>57.13</v>
      </c>
      <c r="C28">
        <v>57.14</v>
      </c>
      <c r="D28" t="s">
        <v>16</v>
      </c>
      <c r="E28" s="2">
        <v>1148.8058000000001</v>
      </c>
      <c r="F28" s="2">
        <f t="shared" si="1"/>
        <v>-0.05</v>
      </c>
      <c r="G28" s="2">
        <f t="shared" si="0"/>
        <v>1148.8558</v>
      </c>
      <c r="H28" s="3">
        <f>Table1[[#This Row],[price_screen_bid]]*G28</f>
        <v>65634.131854000007</v>
      </c>
      <c r="I28" s="3">
        <f>Table1[[#This Row],[price_screen_ask]]*G28</f>
        <v>65645.620412000004</v>
      </c>
    </row>
    <row r="29" spans="1:9" x14ac:dyDescent="0.25">
      <c r="A29" t="s">
        <v>12</v>
      </c>
      <c r="B29">
        <v>50.92</v>
      </c>
      <c r="C29">
        <v>50.93</v>
      </c>
      <c r="D29" t="s">
        <v>16</v>
      </c>
      <c r="E29" s="2">
        <v>1288.7435</v>
      </c>
      <c r="F29" s="2">
        <f t="shared" si="1"/>
        <v>-0.15</v>
      </c>
      <c r="G29" s="2">
        <f t="shared" si="0"/>
        <v>1288.8935000000001</v>
      </c>
      <c r="H29" s="3">
        <f>Table1[[#This Row],[price_screen_bid]]*G29</f>
        <v>65630.457020000002</v>
      </c>
      <c r="I29" s="3">
        <f>Table1[[#This Row],[price_screen_ask]]*G29</f>
        <v>65643.345955000012</v>
      </c>
    </row>
    <row r="30" spans="1:9" x14ac:dyDescent="0.25">
      <c r="A30" t="s">
        <v>13</v>
      </c>
      <c r="B30">
        <v>18.559999999999999</v>
      </c>
      <c r="C30">
        <v>18.57</v>
      </c>
      <c r="D30" t="s">
        <v>16</v>
      </c>
      <c r="E30" s="2">
        <v>3535.8029000000001</v>
      </c>
      <c r="F30" s="2">
        <f t="shared" si="1"/>
        <v>0</v>
      </c>
      <c r="G30" s="2">
        <f t="shared" si="0"/>
        <v>3535.8029000000001</v>
      </c>
      <c r="H30" s="3">
        <f>Table1[[#This Row],[price_screen_bid]]*G30</f>
        <v>65624.501823999992</v>
      </c>
      <c r="I30" s="3">
        <f>Table1[[#This Row],[price_screen_ask]]*G30</f>
        <v>65659.859853000002</v>
      </c>
    </row>
    <row r="31" spans="1:9" x14ac:dyDescent="0.25">
      <c r="A31" t="s">
        <v>14</v>
      </c>
      <c r="B31">
        <v>37.18</v>
      </c>
      <c r="C31">
        <v>37.19</v>
      </c>
      <c r="D31" t="s">
        <v>16</v>
      </c>
      <c r="E31" s="2">
        <v>1764.9866999999999</v>
      </c>
      <c r="F31" s="2">
        <f t="shared" si="1"/>
        <v>0</v>
      </c>
      <c r="G31" s="2">
        <f t="shared" si="0"/>
        <v>1764.9866999999999</v>
      </c>
      <c r="H31" s="3">
        <f>Table1[[#This Row],[price_screen_bid]]*G31</f>
        <v>65622.205505999998</v>
      </c>
      <c r="I31" s="3">
        <f>Table1[[#This Row],[price_screen_ask]]*G31</f>
        <v>65639.855372999999</v>
      </c>
    </row>
    <row r="32" spans="1:9" x14ac:dyDescent="0.25">
      <c r="A32" t="s">
        <v>4</v>
      </c>
      <c r="B32">
        <v>21.8</v>
      </c>
      <c r="C32">
        <v>21.81</v>
      </c>
      <c r="D32" t="s">
        <v>17</v>
      </c>
      <c r="E32" s="2">
        <v>3014.8449999999998</v>
      </c>
      <c r="F32" s="2">
        <f t="shared" si="1"/>
        <v>0.1</v>
      </c>
      <c r="G32" s="2">
        <f t="shared" si="0"/>
        <v>3014.7449999999999</v>
      </c>
      <c r="H32" s="3">
        <f>Table1[[#This Row],[price_screen_bid]]*G32</f>
        <v>65721.441000000006</v>
      </c>
      <c r="I32" s="3">
        <f>Table1[[#This Row],[price_screen_ask]]*G32</f>
        <v>65751.588449999996</v>
      </c>
    </row>
    <row r="33" spans="1:9" x14ac:dyDescent="0.25">
      <c r="A33" t="s">
        <v>6</v>
      </c>
      <c r="B33">
        <v>35.69</v>
      </c>
      <c r="C33">
        <v>35.700000000000003</v>
      </c>
      <c r="D33" t="s">
        <v>17</v>
      </c>
      <c r="E33" s="2">
        <v>1842.0499</v>
      </c>
      <c r="F33" s="2">
        <f t="shared" si="1"/>
        <v>-0.1</v>
      </c>
      <c r="G33" s="2">
        <f t="shared" si="0"/>
        <v>1842.1498999999999</v>
      </c>
      <c r="H33" s="3">
        <f>Table1[[#This Row],[price_screen_bid]]*G33</f>
        <v>65746.329930999986</v>
      </c>
      <c r="I33" s="3">
        <f>Table1[[#This Row],[price_screen_ask]]*G33</f>
        <v>65764.751430000004</v>
      </c>
    </row>
    <row r="34" spans="1:9" x14ac:dyDescent="0.25">
      <c r="A34" t="s">
        <v>7</v>
      </c>
      <c r="B34">
        <v>18.53</v>
      </c>
      <c r="C34">
        <v>18.54</v>
      </c>
      <c r="D34" t="s">
        <v>17</v>
      </c>
      <c r="E34" s="2">
        <v>3546.4557</v>
      </c>
      <c r="F34" s="2">
        <f t="shared" si="1"/>
        <v>0</v>
      </c>
      <c r="G34" s="2">
        <f t="shared" si="0"/>
        <v>3546.4557</v>
      </c>
      <c r="H34" s="3">
        <f>Table1[[#This Row],[price_screen_bid]]*G34</f>
        <v>65715.824120999998</v>
      </c>
      <c r="I34" s="3">
        <f>Table1[[#This Row],[price_screen_ask]]*G34</f>
        <v>65751.288677999997</v>
      </c>
    </row>
    <row r="35" spans="1:9" x14ac:dyDescent="0.25">
      <c r="A35" t="s">
        <v>8</v>
      </c>
      <c r="B35">
        <v>29.08</v>
      </c>
      <c r="C35">
        <v>29.09</v>
      </c>
      <c r="D35" t="s">
        <v>17</v>
      </c>
      <c r="E35" s="2">
        <v>2261.2858000000001</v>
      </c>
      <c r="F35" s="2">
        <f t="shared" si="1"/>
        <v>0</v>
      </c>
      <c r="G35" s="2">
        <f t="shared" si="0"/>
        <v>2261.2858000000001</v>
      </c>
      <c r="H35" s="3">
        <f>Table1[[#This Row],[price_screen_bid]]*G35</f>
        <v>65758.191063999999</v>
      </c>
      <c r="I35" s="3">
        <f>Table1[[#This Row],[price_screen_ask]]*G35</f>
        <v>65780.803922000006</v>
      </c>
    </row>
    <row r="36" spans="1:9" x14ac:dyDescent="0.25">
      <c r="A36" t="s">
        <v>9</v>
      </c>
      <c r="B36">
        <v>69.48</v>
      </c>
      <c r="C36">
        <v>69.55</v>
      </c>
      <c r="D36" t="s">
        <v>17</v>
      </c>
      <c r="E36" s="2">
        <v>946.09739999999999</v>
      </c>
      <c r="F36" s="2">
        <f t="shared" si="1"/>
        <v>0</v>
      </c>
      <c r="G36" s="2">
        <f t="shared" si="0"/>
        <v>946.09739999999999</v>
      </c>
      <c r="H36" s="3">
        <f>Table1[[#This Row],[price_screen_bid]]*G36</f>
        <v>65734.847351999997</v>
      </c>
      <c r="I36" s="3">
        <f>Table1[[#This Row],[price_screen_ask]]*G36</f>
        <v>65801.074169999993</v>
      </c>
    </row>
    <row r="37" spans="1:9" x14ac:dyDescent="0.25">
      <c r="A37" t="s">
        <v>10</v>
      </c>
      <c r="B37">
        <v>37.979999999999997</v>
      </c>
      <c r="C37">
        <v>38.01</v>
      </c>
      <c r="D37" t="s">
        <v>17</v>
      </c>
      <c r="E37" s="2">
        <v>1730.0737999999999</v>
      </c>
      <c r="F37" s="2">
        <f t="shared" si="1"/>
        <v>0.2</v>
      </c>
      <c r="G37" s="2">
        <f t="shared" si="0"/>
        <v>1729.8737999999998</v>
      </c>
      <c r="H37" s="3">
        <f>Table1[[#This Row],[price_screen_bid]]*G37</f>
        <v>65700.606923999992</v>
      </c>
      <c r="I37" s="3">
        <f>Table1[[#This Row],[price_screen_ask]]*G37</f>
        <v>65752.503137999985</v>
      </c>
    </row>
    <row r="38" spans="1:9" x14ac:dyDescent="0.25">
      <c r="A38" t="s">
        <v>11</v>
      </c>
      <c r="B38">
        <v>57.23</v>
      </c>
      <c r="C38">
        <v>57.24</v>
      </c>
      <c r="D38" t="s">
        <v>17</v>
      </c>
      <c r="E38" s="2">
        <v>1148.8058000000001</v>
      </c>
      <c r="F38" s="2">
        <f t="shared" si="1"/>
        <v>-0.05</v>
      </c>
      <c r="G38" s="2">
        <f t="shared" si="0"/>
        <v>1148.8558</v>
      </c>
      <c r="H38" s="3">
        <f>Table1[[#This Row],[price_screen_bid]]*G38</f>
        <v>65749.017433999994</v>
      </c>
      <c r="I38" s="3">
        <f>Table1[[#This Row],[price_screen_ask]]*G38</f>
        <v>65760.505992000006</v>
      </c>
    </row>
    <row r="39" spans="1:9" x14ac:dyDescent="0.25">
      <c r="A39" t="s">
        <v>12</v>
      </c>
      <c r="B39">
        <v>51</v>
      </c>
      <c r="C39">
        <v>51.01</v>
      </c>
      <c r="D39" t="s">
        <v>17</v>
      </c>
      <c r="E39" s="2">
        <v>1288.7435</v>
      </c>
      <c r="F39" s="2">
        <f t="shared" si="1"/>
        <v>-0.15</v>
      </c>
      <c r="G39" s="2">
        <f t="shared" si="0"/>
        <v>1288.8935000000001</v>
      </c>
      <c r="H39" s="3">
        <f>Table1[[#This Row],[price_screen_bid]]*G39</f>
        <v>65733.568500000008</v>
      </c>
      <c r="I39" s="3">
        <f>Table1[[#This Row],[price_screen_ask]]*G39</f>
        <v>65746.457435000004</v>
      </c>
    </row>
    <row r="40" spans="1:9" x14ac:dyDescent="0.25">
      <c r="A40" t="s">
        <v>13</v>
      </c>
      <c r="B40">
        <v>18.59</v>
      </c>
      <c r="C40">
        <v>18.600000000000001</v>
      </c>
      <c r="D40" t="s">
        <v>17</v>
      </c>
      <c r="E40" s="2">
        <v>3535.8029000000001</v>
      </c>
      <c r="F40" s="2">
        <f t="shared" si="1"/>
        <v>0</v>
      </c>
      <c r="G40" s="2">
        <f t="shared" si="0"/>
        <v>3535.8029000000001</v>
      </c>
      <c r="H40" s="3">
        <f>Table1[[#This Row],[price_screen_bid]]*G40</f>
        <v>65730.575911000007</v>
      </c>
      <c r="I40" s="3">
        <f>Table1[[#This Row],[price_screen_ask]]*G40</f>
        <v>65765.933940000003</v>
      </c>
    </row>
    <row r="41" spans="1:9" x14ac:dyDescent="0.25">
      <c r="A41" t="s">
        <v>14</v>
      </c>
      <c r="B41">
        <v>37.24</v>
      </c>
      <c r="C41">
        <v>37.25</v>
      </c>
      <c r="D41" t="s">
        <v>17</v>
      </c>
      <c r="E41" s="2">
        <v>1764.9866999999999</v>
      </c>
      <c r="F41" s="2">
        <f t="shared" si="1"/>
        <v>0</v>
      </c>
      <c r="G41" s="2">
        <f t="shared" si="0"/>
        <v>1764.9866999999999</v>
      </c>
      <c r="H41" s="3">
        <f>Table1[[#This Row],[price_screen_bid]]*G41</f>
        <v>65728.104707999999</v>
      </c>
      <c r="I41" s="3">
        <f>Table1[[#This Row],[price_screen_ask]]*G41</f>
        <v>65745.754574999999</v>
      </c>
    </row>
    <row r="42" spans="1:9" x14ac:dyDescent="0.25">
      <c r="A42" t="s">
        <v>4</v>
      </c>
      <c r="B42">
        <v>21.78</v>
      </c>
      <c r="C42">
        <v>21.79</v>
      </c>
      <c r="D42" t="s">
        <v>18</v>
      </c>
      <c r="E42" s="2">
        <v>3014.8449999999998</v>
      </c>
      <c r="F42" s="2">
        <f t="shared" si="1"/>
        <v>0.1</v>
      </c>
      <c r="G42" s="2">
        <f t="shared" si="0"/>
        <v>3014.7449999999999</v>
      </c>
      <c r="H42" s="3">
        <f>Table1[[#This Row],[price_screen_bid]]*G42</f>
        <v>65661.146099999998</v>
      </c>
      <c r="I42" s="3">
        <f>Table1[[#This Row],[price_screen_ask]]*G42</f>
        <v>65691.293550000002</v>
      </c>
    </row>
    <row r="43" spans="1:9" x14ac:dyDescent="0.25">
      <c r="A43" t="s">
        <v>6</v>
      </c>
      <c r="B43">
        <v>35.65</v>
      </c>
      <c r="C43">
        <v>35.659999999999997</v>
      </c>
      <c r="D43" t="s">
        <v>18</v>
      </c>
      <c r="E43" s="2">
        <v>1842.0499</v>
      </c>
      <c r="F43" s="2">
        <f t="shared" si="1"/>
        <v>-0.1</v>
      </c>
      <c r="G43" s="2">
        <f t="shared" si="0"/>
        <v>1842.1498999999999</v>
      </c>
      <c r="H43" s="3">
        <f>Table1[[#This Row],[price_screen_bid]]*G43</f>
        <v>65672.643935</v>
      </c>
      <c r="I43" s="3">
        <f>Table1[[#This Row],[price_screen_ask]]*G43</f>
        <v>65691.065433999989</v>
      </c>
    </row>
    <row r="44" spans="1:9" x14ac:dyDescent="0.25">
      <c r="A44" t="s">
        <v>7</v>
      </c>
      <c r="B44">
        <v>18.52</v>
      </c>
      <c r="C44">
        <v>18.53</v>
      </c>
      <c r="D44" t="s">
        <v>18</v>
      </c>
      <c r="E44" s="2">
        <v>3546.4557</v>
      </c>
      <c r="F44" s="2">
        <f t="shared" si="1"/>
        <v>0</v>
      </c>
      <c r="G44" s="2">
        <f t="shared" si="0"/>
        <v>3546.4557</v>
      </c>
      <c r="H44" s="3">
        <f>Table1[[#This Row],[price_screen_bid]]*G44</f>
        <v>65680.359563999998</v>
      </c>
      <c r="I44" s="3">
        <f>Table1[[#This Row],[price_screen_ask]]*G44</f>
        <v>65715.824120999998</v>
      </c>
    </row>
    <row r="45" spans="1:9" x14ac:dyDescent="0.25">
      <c r="A45" t="s">
        <v>8</v>
      </c>
      <c r="B45">
        <v>29.05</v>
      </c>
      <c r="C45">
        <v>29.06</v>
      </c>
      <c r="D45" t="s">
        <v>18</v>
      </c>
      <c r="E45" s="2">
        <v>2261.2858000000001</v>
      </c>
      <c r="F45" s="2">
        <f t="shared" si="1"/>
        <v>0</v>
      </c>
      <c r="G45" s="2">
        <f t="shared" si="0"/>
        <v>2261.2858000000001</v>
      </c>
      <c r="H45" s="3">
        <f>Table1[[#This Row],[price_screen_bid]]*G45</f>
        <v>65690.352490000005</v>
      </c>
      <c r="I45" s="3">
        <f>Table1[[#This Row],[price_screen_ask]]*G45</f>
        <v>65712.965347999998</v>
      </c>
    </row>
    <row r="46" spans="1:9" x14ac:dyDescent="0.25">
      <c r="A46" t="s">
        <v>9</v>
      </c>
      <c r="B46">
        <v>69.41</v>
      </c>
      <c r="C46">
        <v>69.510000000000005</v>
      </c>
      <c r="D46" t="s">
        <v>18</v>
      </c>
      <c r="E46" s="2">
        <v>946.09739999999999</v>
      </c>
      <c r="F46" s="2">
        <f t="shared" si="1"/>
        <v>0</v>
      </c>
      <c r="G46" s="2">
        <f t="shared" si="0"/>
        <v>946.09739999999999</v>
      </c>
      <c r="H46" s="3">
        <f>Table1[[#This Row],[price_screen_bid]]*G46</f>
        <v>65668.620534000001</v>
      </c>
      <c r="I46" s="3">
        <f>Table1[[#This Row],[price_screen_ask]]*G46</f>
        <v>65763.230274000001</v>
      </c>
    </row>
    <row r="47" spans="1:9" x14ac:dyDescent="0.25">
      <c r="A47" t="s">
        <v>10</v>
      </c>
      <c r="B47">
        <v>37.94</v>
      </c>
      <c r="C47">
        <v>37.97</v>
      </c>
      <c r="D47" t="s">
        <v>18</v>
      </c>
      <c r="E47" s="2">
        <v>1730.0737999999999</v>
      </c>
      <c r="F47" s="2">
        <f t="shared" si="1"/>
        <v>0.2</v>
      </c>
      <c r="G47" s="2">
        <f t="shared" si="0"/>
        <v>1729.8737999999998</v>
      </c>
      <c r="H47" s="3">
        <f>Table1[[#This Row],[price_screen_bid]]*G47</f>
        <v>65631.411971999987</v>
      </c>
      <c r="I47" s="3">
        <f>Table1[[#This Row],[price_screen_ask]]*G47</f>
        <v>65683.308185999995</v>
      </c>
    </row>
    <row r="48" spans="1:9" x14ac:dyDescent="0.25">
      <c r="A48" t="s">
        <v>11</v>
      </c>
      <c r="B48">
        <v>57.17</v>
      </c>
      <c r="C48">
        <v>57.18</v>
      </c>
      <c r="D48" t="s">
        <v>18</v>
      </c>
      <c r="E48" s="2">
        <v>1148.8058000000001</v>
      </c>
      <c r="F48" s="2">
        <f t="shared" si="1"/>
        <v>-0.05</v>
      </c>
      <c r="G48" s="2">
        <f t="shared" si="0"/>
        <v>1148.8558</v>
      </c>
      <c r="H48" s="3">
        <f>Table1[[#This Row],[price_screen_bid]]*G48</f>
        <v>65680.08608600001</v>
      </c>
      <c r="I48" s="3">
        <f>Table1[[#This Row],[price_screen_ask]]*G48</f>
        <v>65691.574644000008</v>
      </c>
    </row>
    <row r="49" spans="1:9" x14ac:dyDescent="0.25">
      <c r="A49" t="s">
        <v>12</v>
      </c>
      <c r="B49">
        <v>50.95</v>
      </c>
      <c r="C49">
        <v>50.96</v>
      </c>
      <c r="D49" t="s">
        <v>18</v>
      </c>
      <c r="E49" s="2">
        <v>1288.7435</v>
      </c>
      <c r="F49" s="2">
        <f t="shared" si="1"/>
        <v>-0.15</v>
      </c>
      <c r="G49" s="2">
        <f t="shared" si="0"/>
        <v>1288.8935000000001</v>
      </c>
      <c r="H49" s="3">
        <f>Table1[[#This Row],[price_screen_bid]]*G49</f>
        <v>65669.123825000017</v>
      </c>
      <c r="I49" s="3">
        <f>Table1[[#This Row],[price_screen_ask]]*G49</f>
        <v>65682.012760000012</v>
      </c>
    </row>
    <row r="50" spans="1:9" x14ac:dyDescent="0.25">
      <c r="A50" t="s">
        <v>13</v>
      </c>
      <c r="B50">
        <v>18.57</v>
      </c>
      <c r="C50">
        <v>18.579999999999998</v>
      </c>
      <c r="D50" t="s">
        <v>18</v>
      </c>
      <c r="E50" s="2">
        <v>3535.8029000000001</v>
      </c>
      <c r="F50" s="2">
        <f t="shared" si="1"/>
        <v>0</v>
      </c>
      <c r="G50" s="2">
        <f t="shared" si="0"/>
        <v>3535.8029000000001</v>
      </c>
      <c r="H50" s="3">
        <f>Table1[[#This Row],[price_screen_bid]]*G50</f>
        <v>65659.859853000002</v>
      </c>
      <c r="I50" s="3">
        <f>Table1[[#This Row],[price_screen_ask]]*G50</f>
        <v>65695.217881999997</v>
      </c>
    </row>
    <row r="51" spans="1:9" x14ac:dyDescent="0.25">
      <c r="A51" t="s">
        <v>14</v>
      </c>
      <c r="B51">
        <v>37.21</v>
      </c>
      <c r="C51">
        <v>37.22</v>
      </c>
      <c r="D51" t="s">
        <v>18</v>
      </c>
      <c r="E51" s="2">
        <v>1764.9866999999999</v>
      </c>
      <c r="F51" s="2">
        <f t="shared" si="1"/>
        <v>0</v>
      </c>
      <c r="G51" s="2">
        <f t="shared" si="0"/>
        <v>1764.9866999999999</v>
      </c>
      <c r="H51" s="3">
        <f>Table1[[#This Row],[price_screen_bid]]*G51</f>
        <v>65675.155106999999</v>
      </c>
      <c r="I51" s="3">
        <f>Table1[[#This Row],[price_screen_ask]]*G51</f>
        <v>65692.804973999999</v>
      </c>
    </row>
    <row r="52" spans="1:9" x14ac:dyDescent="0.25">
      <c r="A52" t="s">
        <v>4</v>
      </c>
      <c r="B52">
        <v>21.86</v>
      </c>
      <c r="C52">
        <v>21.87</v>
      </c>
      <c r="D52" t="s">
        <v>19</v>
      </c>
      <c r="E52" s="2">
        <v>3014.8449999999998</v>
      </c>
      <c r="F52" s="2">
        <f t="shared" si="1"/>
        <v>0.1</v>
      </c>
      <c r="G52" s="2">
        <f t="shared" si="0"/>
        <v>3014.7449999999999</v>
      </c>
      <c r="H52" s="3">
        <f>Table1[[#This Row],[price_screen_bid]]*G52</f>
        <v>65902.325700000001</v>
      </c>
      <c r="I52" s="3">
        <f>Table1[[#This Row],[price_screen_ask]]*G52</f>
        <v>65932.473150000005</v>
      </c>
    </row>
    <row r="53" spans="1:9" x14ac:dyDescent="0.25">
      <c r="A53" t="s">
        <v>6</v>
      </c>
      <c r="B53">
        <v>35.78</v>
      </c>
      <c r="C53">
        <v>35.79</v>
      </c>
      <c r="D53" t="s">
        <v>19</v>
      </c>
      <c r="E53" s="2">
        <v>1842.0499</v>
      </c>
      <c r="F53" s="2">
        <f t="shared" si="1"/>
        <v>-0.1</v>
      </c>
      <c r="G53" s="2">
        <f t="shared" si="0"/>
        <v>1842.1498999999999</v>
      </c>
      <c r="H53" s="3">
        <f>Table1[[#This Row],[price_screen_bid]]*G53</f>
        <v>65912.123422000004</v>
      </c>
      <c r="I53" s="3">
        <f>Table1[[#This Row],[price_screen_ask]]*G53</f>
        <v>65930.544920999993</v>
      </c>
    </row>
    <row r="54" spans="1:9" x14ac:dyDescent="0.25">
      <c r="A54" t="s">
        <v>7</v>
      </c>
      <c r="B54">
        <v>18.579999999999998</v>
      </c>
      <c r="C54">
        <v>18.59</v>
      </c>
      <c r="D54" t="s">
        <v>19</v>
      </c>
      <c r="E54" s="2">
        <v>3546.4557</v>
      </c>
      <c r="F54" s="2">
        <f t="shared" si="1"/>
        <v>0</v>
      </c>
      <c r="G54" s="2">
        <f t="shared" si="0"/>
        <v>3546.4557</v>
      </c>
      <c r="H54" s="3">
        <f>Table1[[#This Row],[price_screen_bid]]*G54</f>
        <v>65893.146905999994</v>
      </c>
      <c r="I54" s="3">
        <f>Table1[[#This Row],[price_screen_ask]]*G54</f>
        <v>65928.611462999994</v>
      </c>
    </row>
    <row r="55" spans="1:9" x14ac:dyDescent="0.25">
      <c r="A55" t="s">
        <v>8</v>
      </c>
      <c r="B55">
        <v>29.15</v>
      </c>
      <c r="C55">
        <v>29.16</v>
      </c>
      <c r="D55" t="s">
        <v>19</v>
      </c>
      <c r="E55" s="2">
        <v>2261.2858000000001</v>
      </c>
      <c r="F55" s="2">
        <f t="shared" si="1"/>
        <v>0</v>
      </c>
      <c r="G55" s="2">
        <f t="shared" si="0"/>
        <v>2261.2858000000001</v>
      </c>
      <c r="H55" s="3">
        <f>Table1[[#This Row],[price_screen_bid]]*G55</f>
        <v>65916.481069999994</v>
      </c>
      <c r="I55" s="3">
        <f>Table1[[#This Row],[price_screen_ask]]*G55</f>
        <v>65939.093928000002</v>
      </c>
    </row>
    <row r="56" spans="1:9" x14ac:dyDescent="0.25">
      <c r="A56" t="s">
        <v>9</v>
      </c>
      <c r="B56">
        <v>69.650000000000006</v>
      </c>
      <c r="C56">
        <v>69.739999999999995</v>
      </c>
      <c r="D56" t="s">
        <v>19</v>
      </c>
      <c r="E56" s="2">
        <v>946.09739999999999</v>
      </c>
      <c r="F56" s="2">
        <f t="shared" si="1"/>
        <v>0</v>
      </c>
      <c r="G56" s="2">
        <f t="shared" si="0"/>
        <v>946.09739999999999</v>
      </c>
      <c r="H56" s="3">
        <f>Table1[[#This Row],[price_screen_bid]]*G56</f>
        <v>65895.683910000007</v>
      </c>
      <c r="I56" s="3">
        <f>Table1[[#This Row],[price_screen_ask]]*G56</f>
        <v>65980.832675999991</v>
      </c>
    </row>
    <row r="57" spans="1:9" x14ac:dyDescent="0.25">
      <c r="A57" t="s">
        <v>10</v>
      </c>
      <c r="B57">
        <v>38.08</v>
      </c>
      <c r="C57">
        <v>38.11</v>
      </c>
      <c r="D57" t="s">
        <v>19</v>
      </c>
      <c r="E57" s="2">
        <v>1730.0737999999999</v>
      </c>
      <c r="F57" s="2">
        <f t="shared" si="1"/>
        <v>0.2</v>
      </c>
      <c r="G57" s="2">
        <f t="shared" si="0"/>
        <v>1729.8737999999998</v>
      </c>
      <c r="H57" s="3">
        <f>Table1[[#This Row],[price_screen_bid]]*G57</f>
        <v>65873.594303999998</v>
      </c>
      <c r="I57" s="3">
        <f>Table1[[#This Row],[price_screen_ask]]*G57</f>
        <v>65925.490517999991</v>
      </c>
    </row>
    <row r="58" spans="1:9" x14ac:dyDescent="0.25">
      <c r="A58" t="s">
        <v>11</v>
      </c>
      <c r="B58">
        <v>57.37</v>
      </c>
      <c r="C58">
        <v>57.38</v>
      </c>
      <c r="D58" t="s">
        <v>19</v>
      </c>
      <c r="E58" s="2">
        <v>1148.8058000000001</v>
      </c>
      <c r="F58" s="2">
        <f t="shared" si="1"/>
        <v>-0.05</v>
      </c>
      <c r="G58" s="2">
        <f t="shared" si="0"/>
        <v>1148.8558</v>
      </c>
      <c r="H58" s="3">
        <f>Table1[[#This Row],[price_screen_bid]]*G58</f>
        <v>65909.857246</v>
      </c>
      <c r="I58" s="3">
        <f>Table1[[#This Row],[price_screen_ask]]*G58</f>
        <v>65921.345804000011</v>
      </c>
    </row>
    <row r="59" spans="1:9" x14ac:dyDescent="0.25">
      <c r="A59" t="s">
        <v>12</v>
      </c>
      <c r="B59">
        <v>51.13</v>
      </c>
      <c r="C59">
        <v>51.14</v>
      </c>
      <c r="D59" t="s">
        <v>19</v>
      </c>
      <c r="E59" s="2">
        <v>1288.7435</v>
      </c>
      <c r="F59" s="2">
        <f t="shared" si="1"/>
        <v>-0.15</v>
      </c>
      <c r="G59" s="2">
        <f t="shared" si="0"/>
        <v>1288.8935000000001</v>
      </c>
      <c r="H59" s="3">
        <f>Table1[[#This Row],[price_screen_bid]]*G59</f>
        <v>65901.124655000007</v>
      </c>
      <c r="I59" s="3">
        <f>Table1[[#This Row],[price_screen_ask]]*G59</f>
        <v>65914.013590000002</v>
      </c>
    </row>
    <row r="60" spans="1:9" x14ac:dyDescent="0.25">
      <c r="A60" t="s">
        <v>13</v>
      </c>
      <c r="B60">
        <v>18.64</v>
      </c>
      <c r="C60">
        <v>18.649999999999999</v>
      </c>
      <c r="D60" t="s">
        <v>19</v>
      </c>
      <c r="E60" s="2">
        <v>3535.8029000000001</v>
      </c>
      <c r="F60" s="2">
        <f t="shared" si="1"/>
        <v>0</v>
      </c>
      <c r="G60" s="2">
        <f t="shared" si="0"/>
        <v>3535.8029000000001</v>
      </c>
      <c r="H60" s="3">
        <f>Table1[[#This Row],[price_screen_bid]]*G60</f>
        <v>65907.366055999999</v>
      </c>
      <c r="I60" s="3">
        <f>Table1[[#This Row],[price_screen_ask]]*G60</f>
        <v>65942.724084999994</v>
      </c>
    </row>
    <row r="61" spans="1:9" x14ac:dyDescent="0.25">
      <c r="A61" t="s">
        <v>14</v>
      </c>
      <c r="B61">
        <v>37.340000000000003</v>
      </c>
      <c r="C61">
        <v>37.35</v>
      </c>
      <c r="D61" t="s">
        <v>19</v>
      </c>
      <c r="E61" s="2">
        <v>1764.9866999999999</v>
      </c>
      <c r="F61" s="2">
        <f t="shared" si="1"/>
        <v>0</v>
      </c>
      <c r="G61" s="2">
        <f t="shared" si="0"/>
        <v>1764.9866999999999</v>
      </c>
      <c r="H61" s="3">
        <f>Table1[[#This Row],[price_screen_bid]]*G61</f>
        <v>65904.603378</v>
      </c>
      <c r="I61" s="3">
        <f>Table1[[#This Row],[price_screen_ask]]*G61</f>
        <v>65922.253245</v>
      </c>
    </row>
    <row r="62" spans="1:9" x14ac:dyDescent="0.25">
      <c r="A62" t="s">
        <v>4</v>
      </c>
      <c r="B62">
        <v>21.81</v>
      </c>
      <c r="C62">
        <v>21.82</v>
      </c>
      <c r="D62" t="s">
        <v>20</v>
      </c>
      <c r="E62" s="2">
        <v>3014.8449999999998</v>
      </c>
      <c r="F62" s="2">
        <f t="shared" si="1"/>
        <v>0.1</v>
      </c>
      <c r="G62" s="2">
        <f t="shared" si="0"/>
        <v>3014.7449999999999</v>
      </c>
      <c r="H62" s="3">
        <f>Table1[[#This Row],[price_screen_bid]]*G62</f>
        <v>65751.588449999996</v>
      </c>
      <c r="I62" s="3">
        <f>Table1[[#This Row],[price_screen_ask]]*G62</f>
        <v>65781.7359</v>
      </c>
    </row>
    <row r="63" spans="1:9" x14ac:dyDescent="0.25">
      <c r="A63" t="s">
        <v>6</v>
      </c>
      <c r="B63">
        <v>35.700000000000003</v>
      </c>
      <c r="C63">
        <v>35.71</v>
      </c>
      <c r="D63" t="s">
        <v>20</v>
      </c>
      <c r="E63" s="2">
        <v>1842.0499</v>
      </c>
      <c r="F63" s="2">
        <f t="shared" si="1"/>
        <v>-0.1</v>
      </c>
      <c r="G63" s="2">
        <f t="shared" si="0"/>
        <v>1842.1498999999999</v>
      </c>
      <c r="H63" s="3">
        <f>Table1[[#This Row],[price_screen_bid]]*G63</f>
        <v>65764.751430000004</v>
      </c>
      <c r="I63" s="3">
        <f>Table1[[#This Row],[price_screen_ask]]*G63</f>
        <v>65783.172928999993</v>
      </c>
    </row>
    <row r="64" spans="1:9" x14ac:dyDescent="0.25">
      <c r="A64" t="s">
        <v>7</v>
      </c>
      <c r="B64">
        <v>18.54</v>
      </c>
      <c r="C64">
        <v>18.55</v>
      </c>
      <c r="D64" t="s">
        <v>20</v>
      </c>
      <c r="E64" s="2">
        <v>3546.4557</v>
      </c>
      <c r="F64" s="2">
        <f t="shared" si="1"/>
        <v>0</v>
      </c>
      <c r="G64" s="2">
        <f t="shared" si="0"/>
        <v>3546.4557</v>
      </c>
      <c r="H64" s="3">
        <f>Table1[[#This Row],[price_screen_bid]]*G64</f>
        <v>65751.288677999997</v>
      </c>
      <c r="I64" s="3">
        <f>Table1[[#This Row],[price_screen_ask]]*G64</f>
        <v>65786.753234999996</v>
      </c>
    </row>
    <row r="65" spans="1:9" x14ac:dyDescent="0.25">
      <c r="A65" t="s">
        <v>8</v>
      </c>
      <c r="B65">
        <v>29.08</v>
      </c>
      <c r="C65">
        <v>29.09</v>
      </c>
      <c r="D65" t="s">
        <v>20</v>
      </c>
      <c r="E65" s="2">
        <v>2261.2858000000001</v>
      </c>
      <c r="F65" s="2">
        <f t="shared" si="1"/>
        <v>0</v>
      </c>
      <c r="G65" s="2">
        <f t="shared" si="0"/>
        <v>2261.2858000000001</v>
      </c>
      <c r="H65" s="3">
        <f>Table1[[#This Row],[price_screen_bid]]*G65</f>
        <v>65758.191063999999</v>
      </c>
      <c r="I65" s="3">
        <f>Table1[[#This Row],[price_screen_ask]]*G65</f>
        <v>65780.803922000006</v>
      </c>
    </row>
    <row r="66" spans="1:9" x14ac:dyDescent="0.25">
      <c r="A66" t="s">
        <v>9</v>
      </c>
      <c r="B66">
        <v>69.489999999999995</v>
      </c>
      <c r="C66">
        <v>69.55</v>
      </c>
      <c r="D66" t="s">
        <v>20</v>
      </c>
      <c r="E66" s="2">
        <v>946.09739999999999</v>
      </c>
      <c r="F66" s="2">
        <f t="shared" si="1"/>
        <v>0</v>
      </c>
      <c r="G66" s="2">
        <f t="shared" si="0"/>
        <v>946.09739999999999</v>
      </c>
      <c r="H66" s="3">
        <f>Table1[[#This Row],[price_screen_bid]]*G66</f>
        <v>65744.308325999998</v>
      </c>
      <c r="I66" s="3">
        <f>Table1[[#This Row],[price_screen_ask]]*G66</f>
        <v>65801.074169999993</v>
      </c>
    </row>
    <row r="67" spans="1:9" x14ac:dyDescent="0.25">
      <c r="A67" t="s">
        <v>10</v>
      </c>
      <c r="B67">
        <v>37.99</v>
      </c>
      <c r="C67">
        <v>38.020000000000003</v>
      </c>
      <c r="D67" t="s">
        <v>20</v>
      </c>
      <c r="E67" s="2">
        <v>1730.0737999999999</v>
      </c>
      <c r="F67" s="2">
        <f t="shared" si="1"/>
        <v>0.2</v>
      </c>
      <c r="G67" s="2">
        <f t="shared" ref="G67:G130" si="2">E67-F67</f>
        <v>1729.8737999999998</v>
      </c>
      <c r="H67" s="3">
        <f>Table1[[#This Row],[price_screen_bid]]*G67</f>
        <v>65717.905662000005</v>
      </c>
      <c r="I67" s="3">
        <f>Table1[[#This Row],[price_screen_ask]]*G67</f>
        <v>65769.801875999998</v>
      </c>
    </row>
    <row r="68" spans="1:9" x14ac:dyDescent="0.25">
      <c r="A68" t="s">
        <v>11</v>
      </c>
      <c r="B68">
        <v>57.24</v>
      </c>
      <c r="C68">
        <v>57.25</v>
      </c>
      <c r="D68" t="s">
        <v>20</v>
      </c>
      <c r="E68" s="2">
        <v>1148.8058000000001</v>
      </c>
      <c r="F68" s="2">
        <f t="shared" si="1"/>
        <v>-0.05</v>
      </c>
      <c r="G68" s="2">
        <f t="shared" si="2"/>
        <v>1148.8558</v>
      </c>
      <c r="H68" s="3">
        <f>Table1[[#This Row],[price_screen_bid]]*G68</f>
        <v>65760.505992000006</v>
      </c>
      <c r="I68" s="3">
        <f>Table1[[#This Row],[price_screen_ask]]*G68</f>
        <v>65771.994550000003</v>
      </c>
    </row>
    <row r="69" spans="1:9" x14ac:dyDescent="0.25">
      <c r="A69" t="s">
        <v>12</v>
      </c>
      <c r="B69">
        <v>51.01</v>
      </c>
      <c r="C69">
        <v>51.02</v>
      </c>
      <c r="D69" t="s">
        <v>20</v>
      </c>
      <c r="E69" s="2">
        <v>1288.7435</v>
      </c>
      <c r="F69" s="2">
        <f t="shared" si="1"/>
        <v>-0.15</v>
      </c>
      <c r="G69" s="2">
        <f t="shared" si="2"/>
        <v>1288.8935000000001</v>
      </c>
      <c r="H69" s="3">
        <f>Table1[[#This Row],[price_screen_bid]]*G69</f>
        <v>65746.457435000004</v>
      </c>
      <c r="I69" s="3">
        <f>Table1[[#This Row],[price_screen_ask]]*G69</f>
        <v>65759.346370000014</v>
      </c>
    </row>
    <row r="70" spans="1:9" x14ac:dyDescent="0.25">
      <c r="A70" t="s">
        <v>13</v>
      </c>
      <c r="B70">
        <v>18.59</v>
      </c>
      <c r="C70">
        <v>18.600000000000001</v>
      </c>
      <c r="D70" t="s">
        <v>20</v>
      </c>
      <c r="E70" s="2">
        <v>3535.8029000000001</v>
      </c>
      <c r="F70" s="2">
        <f t="shared" si="1"/>
        <v>0</v>
      </c>
      <c r="G70" s="2">
        <f t="shared" si="2"/>
        <v>3535.8029000000001</v>
      </c>
      <c r="H70" s="3">
        <f>Table1[[#This Row],[price_screen_bid]]*G70</f>
        <v>65730.575911000007</v>
      </c>
      <c r="I70" s="3">
        <f>Table1[[#This Row],[price_screen_ask]]*G70</f>
        <v>65765.933940000003</v>
      </c>
    </row>
    <row r="71" spans="1:9" x14ac:dyDescent="0.25">
      <c r="A71" t="s">
        <v>14</v>
      </c>
      <c r="B71">
        <v>37.25</v>
      </c>
      <c r="C71">
        <v>37.26</v>
      </c>
      <c r="D71" t="s">
        <v>20</v>
      </c>
      <c r="E71" s="2">
        <v>1764.9866999999999</v>
      </c>
      <c r="F71" s="2">
        <f t="shared" si="1"/>
        <v>0</v>
      </c>
      <c r="G71" s="2">
        <f t="shared" si="2"/>
        <v>1764.9866999999999</v>
      </c>
      <c r="H71" s="3">
        <f>Table1[[#This Row],[price_screen_bid]]*G71</f>
        <v>65745.754574999999</v>
      </c>
      <c r="I71" s="3">
        <f>Table1[[#This Row],[price_screen_ask]]*G71</f>
        <v>65763.404441999999</v>
      </c>
    </row>
    <row r="72" spans="1:9" x14ac:dyDescent="0.25">
      <c r="A72" t="s">
        <v>4</v>
      </c>
      <c r="B72">
        <v>21.84</v>
      </c>
      <c r="C72">
        <v>21.85</v>
      </c>
      <c r="D72" t="s">
        <v>21</v>
      </c>
      <c r="E72" s="2">
        <v>3014.8449999999998</v>
      </c>
      <c r="F72" s="2">
        <f t="shared" si="1"/>
        <v>0.1</v>
      </c>
      <c r="G72" s="2">
        <f t="shared" si="2"/>
        <v>3014.7449999999999</v>
      </c>
      <c r="H72" s="3">
        <f>Table1[[#This Row],[price_screen_bid]]*G72</f>
        <v>65842.030799999993</v>
      </c>
      <c r="I72" s="3">
        <f>Table1[[#This Row],[price_screen_ask]]*G72</f>
        <v>65872.178249999997</v>
      </c>
    </row>
    <row r="73" spans="1:9" x14ac:dyDescent="0.25">
      <c r="A73" t="s">
        <v>6</v>
      </c>
      <c r="B73">
        <v>35.76</v>
      </c>
      <c r="C73">
        <v>35.770000000000003</v>
      </c>
      <c r="D73" t="s">
        <v>21</v>
      </c>
      <c r="E73" s="2">
        <v>1842.0499</v>
      </c>
      <c r="F73" s="2">
        <f t="shared" si="1"/>
        <v>-0.1</v>
      </c>
      <c r="G73" s="2">
        <f t="shared" si="2"/>
        <v>1842.1498999999999</v>
      </c>
      <c r="H73" s="3">
        <f>Table1[[#This Row],[price_screen_bid]]*G73</f>
        <v>65875.280423999997</v>
      </c>
      <c r="I73" s="3">
        <f>Table1[[#This Row],[price_screen_ask]]*G73</f>
        <v>65893.701923000001</v>
      </c>
    </row>
    <row r="74" spans="1:9" x14ac:dyDescent="0.25">
      <c r="A74" t="s">
        <v>7</v>
      </c>
      <c r="B74">
        <v>18.57</v>
      </c>
      <c r="C74">
        <v>18.579999999999998</v>
      </c>
      <c r="D74" t="s">
        <v>21</v>
      </c>
      <c r="E74" s="2">
        <v>3546.4557</v>
      </c>
      <c r="F74" s="2">
        <f t="shared" si="1"/>
        <v>0</v>
      </c>
      <c r="G74" s="2">
        <f t="shared" si="2"/>
        <v>3546.4557</v>
      </c>
      <c r="H74" s="3">
        <f>Table1[[#This Row],[price_screen_bid]]*G74</f>
        <v>65857.682348999995</v>
      </c>
      <c r="I74" s="3">
        <f>Table1[[#This Row],[price_screen_ask]]*G74</f>
        <v>65893.146905999994</v>
      </c>
    </row>
    <row r="75" spans="1:9" x14ac:dyDescent="0.25">
      <c r="A75" t="s">
        <v>8</v>
      </c>
      <c r="B75">
        <v>29.13</v>
      </c>
      <c r="C75">
        <v>29.14</v>
      </c>
      <c r="D75" t="s">
        <v>21</v>
      </c>
      <c r="E75" s="2">
        <v>2261.2858000000001</v>
      </c>
      <c r="F75" s="2">
        <f t="shared" si="1"/>
        <v>0</v>
      </c>
      <c r="G75" s="2">
        <f t="shared" si="2"/>
        <v>2261.2858000000001</v>
      </c>
      <c r="H75" s="3">
        <f>Table1[[#This Row],[price_screen_bid]]*G75</f>
        <v>65871.255354000008</v>
      </c>
      <c r="I75" s="3">
        <f>Table1[[#This Row],[price_screen_ask]]*G75</f>
        <v>65893.868212000001</v>
      </c>
    </row>
    <row r="76" spans="1:9" x14ac:dyDescent="0.25">
      <c r="A76" t="s">
        <v>9</v>
      </c>
      <c r="B76">
        <v>69.62</v>
      </c>
      <c r="C76">
        <v>69.67</v>
      </c>
      <c r="D76" t="s">
        <v>21</v>
      </c>
      <c r="E76" s="2">
        <v>946.09739999999999</v>
      </c>
      <c r="F76" s="2">
        <f t="shared" si="1"/>
        <v>0</v>
      </c>
      <c r="G76" s="2">
        <f t="shared" si="2"/>
        <v>946.09739999999999</v>
      </c>
      <c r="H76" s="3">
        <f>Table1[[#This Row],[price_screen_bid]]*G76</f>
        <v>65867.300988000003</v>
      </c>
      <c r="I76" s="3">
        <f>Table1[[#This Row],[price_screen_ask]]*G76</f>
        <v>65914.605857999995</v>
      </c>
    </row>
    <row r="77" spans="1:9" x14ac:dyDescent="0.25">
      <c r="A77" t="s">
        <v>10</v>
      </c>
      <c r="B77">
        <v>38.049999999999997</v>
      </c>
      <c r="C77">
        <v>38.08</v>
      </c>
      <c r="D77" t="s">
        <v>21</v>
      </c>
      <c r="E77" s="2">
        <v>1730.0737999999999</v>
      </c>
      <c r="F77" s="2">
        <f t="shared" ref="F77:F140" si="3">F67</f>
        <v>0.2</v>
      </c>
      <c r="G77" s="2">
        <f t="shared" si="2"/>
        <v>1729.8737999999998</v>
      </c>
      <c r="H77" s="3">
        <f>Table1[[#This Row],[price_screen_bid]]*G77</f>
        <v>65821.698089999991</v>
      </c>
      <c r="I77" s="3">
        <f>Table1[[#This Row],[price_screen_ask]]*G77</f>
        <v>65873.594303999998</v>
      </c>
    </row>
    <row r="78" spans="1:9" x14ac:dyDescent="0.25">
      <c r="A78" t="s">
        <v>11</v>
      </c>
      <c r="B78">
        <v>57.34</v>
      </c>
      <c r="C78">
        <v>57.35</v>
      </c>
      <c r="D78" t="s">
        <v>21</v>
      </c>
      <c r="E78" s="2">
        <v>1148.8058000000001</v>
      </c>
      <c r="F78" s="2">
        <f t="shared" si="3"/>
        <v>-0.05</v>
      </c>
      <c r="G78" s="2">
        <f t="shared" si="2"/>
        <v>1148.8558</v>
      </c>
      <c r="H78" s="3">
        <f>Table1[[#This Row],[price_screen_bid]]*G78</f>
        <v>65875.391572000008</v>
      </c>
      <c r="I78" s="3">
        <f>Table1[[#This Row],[price_screen_ask]]*G78</f>
        <v>65886.880130000005</v>
      </c>
    </row>
    <row r="79" spans="1:9" x14ac:dyDescent="0.25">
      <c r="A79" t="s">
        <v>12</v>
      </c>
      <c r="B79">
        <v>51.1</v>
      </c>
      <c r="C79">
        <v>51.11</v>
      </c>
      <c r="D79" t="s">
        <v>21</v>
      </c>
      <c r="E79" s="2">
        <v>1288.7435</v>
      </c>
      <c r="F79" s="2">
        <f t="shared" si="3"/>
        <v>-0.15</v>
      </c>
      <c r="G79" s="2">
        <f t="shared" si="2"/>
        <v>1288.8935000000001</v>
      </c>
      <c r="H79" s="3">
        <f>Table1[[#This Row],[price_screen_bid]]*G79</f>
        <v>65862.457850000006</v>
      </c>
      <c r="I79" s="3">
        <f>Table1[[#This Row],[price_screen_ask]]*G79</f>
        <v>65875.346785000002</v>
      </c>
    </row>
    <row r="80" spans="1:9" x14ac:dyDescent="0.25">
      <c r="A80" t="s">
        <v>13</v>
      </c>
      <c r="B80">
        <v>18.62</v>
      </c>
      <c r="C80">
        <v>18.63</v>
      </c>
      <c r="D80" t="s">
        <v>21</v>
      </c>
      <c r="E80" s="2">
        <v>3535.8029000000001</v>
      </c>
      <c r="F80" s="2">
        <f t="shared" si="3"/>
        <v>0</v>
      </c>
      <c r="G80" s="2">
        <f t="shared" si="2"/>
        <v>3535.8029000000001</v>
      </c>
      <c r="H80" s="3">
        <f>Table1[[#This Row],[price_screen_bid]]*G80</f>
        <v>65836.649998000008</v>
      </c>
      <c r="I80" s="3">
        <f>Table1[[#This Row],[price_screen_ask]]*G80</f>
        <v>65872.008027000003</v>
      </c>
    </row>
    <row r="81" spans="1:9" x14ac:dyDescent="0.25">
      <c r="A81" t="s">
        <v>14</v>
      </c>
      <c r="B81">
        <v>37.32</v>
      </c>
      <c r="C81">
        <v>37.33</v>
      </c>
      <c r="D81" t="s">
        <v>21</v>
      </c>
      <c r="E81" s="2">
        <v>1764.9866999999999</v>
      </c>
      <c r="F81" s="2">
        <f t="shared" si="3"/>
        <v>0</v>
      </c>
      <c r="G81" s="2">
        <f t="shared" si="2"/>
        <v>1764.9866999999999</v>
      </c>
      <c r="H81" s="3">
        <f>Table1[[#This Row],[price_screen_bid]]*G81</f>
        <v>65869.303644</v>
      </c>
      <c r="I81" s="3">
        <f>Table1[[#This Row],[price_screen_ask]]*G81</f>
        <v>65886.953511</v>
      </c>
    </row>
    <row r="82" spans="1:9" x14ac:dyDescent="0.25">
      <c r="A82" t="s">
        <v>4</v>
      </c>
      <c r="B82">
        <v>21.78</v>
      </c>
      <c r="C82">
        <v>21.79</v>
      </c>
      <c r="D82" t="s">
        <v>22</v>
      </c>
      <c r="E82" s="2">
        <v>3014.8449999999998</v>
      </c>
      <c r="F82" s="2">
        <f t="shared" si="3"/>
        <v>0.1</v>
      </c>
      <c r="G82" s="2">
        <f t="shared" si="2"/>
        <v>3014.7449999999999</v>
      </c>
      <c r="H82" s="3">
        <f>Table1[[#This Row],[price_screen_bid]]*G82</f>
        <v>65661.146099999998</v>
      </c>
      <c r="I82" s="3">
        <f>Table1[[#This Row],[price_screen_ask]]*G82</f>
        <v>65691.293550000002</v>
      </c>
    </row>
    <row r="83" spans="1:9" x14ac:dyDescent="0.25">
      <c r="A83" t="s">
        <v>6</v>
      </c>
      <c r="B83">
        <v>35.659999999999997</v>
      </c>
      <c r="C83">
        <v>35.67</v>
      </c>
      <c r="D83" t="s">
        <v>22</v>
      </c>
      <c r="E83" s="2">
        <v>1842.0499</v>
      </c>
      <c r="F83" s="2">
        <f t="shared" si="3"/>
        <v>-0.1</v>
      </c>
      <c r="G83" s="2">
        <f t="shared" si="2"/>
        <v>1842.1498999999999</v>
      </c>
      <c r="H83" s="3">
        <f>Table1[[#This Row],[price_screen_bid]]*G83</f>
        <v>65691.065433999989</v>
      </c>
      <c r="I83" s="3">
        <f>Table1[[#This Row],[price_screen_ask]]*G83</f>
        <v>65709.486932999993</v>
      </c>
    </row>
    <row r="84" spans="1:9" x14ac:dyDescent="0.25">
      <c r="A84" t="s">
        <v>7</v>
      </c>
      <c r="B84">
        <v>18.52</v>
      </c>
      <c r="C84">
        <v>18.53</v>
      </c>
      <c r="D84" t="s">
        <v>22</v>
      </c>
      <c r="E84" s="2">
        <v>3546.4557</v>
      </c>
      <c r="F84" s="2">
        <f t="shared" si="3"/>
        <v>0</v>
      </c>
      <c r="G84" s="2">
        <f t="shared" si="2"/>
        <v>3546.4557</v>
      </c>
      <c r="H84" s="3">
        <f>Table1[[#This Row],[price_screen_bid]]*G84</f>
        <v>65680.359563999998</v>
      </c>
      <c r="I84" s="3">
        <f>Table1[[#This Row],[price_screen_ask]]*G84</f>
        <v>65715.824120999998</v>
      </c>
    </row>
    <row r="85" spans="1:9" x14ac:dyDescent="0.25">
      <c r="A85" t="s">
        <v>8</v>
      </c>
      <c r="B85">
        <v>29.05</v>
      </c>
      <c r="C85">
        <v>29.06</v>
      </c>
      <c r="D85" t="s">
        <v>22</v>
      </c>
      <c r="E85" s="2">
        <v>2261.2858000000001</v>
      </c>
      <c r="F85" s="2">
        <f t="shared" si="3"/>
        <v>0</v>
      </c>
      <c r="G85" s="2">
        <f t="shared" si="2"/>
        <v>2261.2858000000001</v>
      </c>
      <c r="H85" s="3">
        <f>Table1[[#This Row],[price_screen_bid]]*G85</f>
        <v>65690.352490000005</v>
      </c>
      <c r="I85" s="3">
        <f>Table1[[#This Row],[price_screen_ask]]*G85</f>
        <v>65712.965347999998</v>
      </c>
    </row>
    <row r="86" spans="1:9" x14ac:dyDescent="0.25">
      <c r="A86" t="s">
        <v>9</v>
      </c>
      <c r="B86">
        <v>69.42</v>
      </c>
      <c r="C86">
        <v>69.489999999999995</v>
      </c>
      <c r="D86" t="s">
        <v>22</v>
      </c>
      <c r="E86" s="2">
        <v>946.09739999999999</v>
      </c>
      <c r="F86" s="2">
        <f t="shared" si="3"/>
        <v>0</v>
      </c>
      <c r="G86" s="2">
        <f t="shared" si="2"/>
        <v>946.09739999999999</v>
      </c>
      <c r="H86" s="3">
        <f>Table1[[#This Row],[price_screen_bid]]*G86</f>
        <v>65678.081508000003</v>
      </c>
      <c r="I86" s="3">
        <f>Table1[[#This Row],[price_screen_ask]]*G86</f>
        <v>65744.308325999998</v>
      </c>
    </row>
    <row r="87" spans="1:9" x14ac:dyDescent="0.25">
      <c r="A87" t="s">
        <v>10</v>
      </c>
      <c r="B87">
        <v>37.94</v>
      </c>
      <c r="C87">
        <v>37.979999999999997</v>
      </c>
      <c r="D87" t="s">
        <v>22</v>
      </c>
      <c r="E87" s="2">
        <v>1730.0737999999999</v>
      </c>
      <c r="F87" s="2">
        <f t="shared" si="3"/>
        <v>0.2</v>
      </c>
      <c r="G87" s="2">
        <f t="shared" si="2"/>
        <v>1729.8737999999998</v>
      </c>
      <c r="H87" s="3">
        <f>Table1[[#This Row],[price_screen_bid]]*G87</f>
        <v>65631.411971999987</v>
      </c>
      <c r="I87" s="3">
        <f>Table1[[#This Row],[price_screen_ask]]*G87</f>
        <v>65700.606923999992</v>
      </c>
    </row>
    <row r="88" spans="1:9" x14ac:dyDescent="0.25">
      <c r="A88" t="s">
        <v>11</v>
      </c>
      <c r="B88">
        <v>57.17</v>
      </c>
      <c r="C88">
        <v>57.18</v>
      </c>
      <c r="D88" t="s">
        <v>22</v>
      </c>
      <c r="E88" s="2">
        <v>1148.8058000000001</v>
      </c>
      <c r="F88" s="2">
        <f t="shared" si="3"/>
        <v>-0.05</v>
      </c>
      <c r="G88" s="2">
        <f t="shared" si="2"/>
        <v>1148.8558</v>
      </c>
      <c r="H88" s="3">
        <f>Table1[[#This Row],[price_screen_bid]]*G88</f>
        <v>65680.08608600001</v>
      </c>
      <c r="I88" s="3">
        <f>Table1[[#This Row],[price_screen_ask]]*G88</f>
        <v>65691.574644000008</v>
      </c>
    </row>
    <row r="89" spans="1:9" x14ac:dyDescent="0.25">
      <c r="A89" t="s">
        <v>12</v>
      </c>
      <c r="B89">
        <v>50.95</v>
      </c>
      <c r="C89">
        <v>50.96</v>
      </c>
      <c r="D89" t="s">
        <v>22</v>
      </c>
      <c r="E89" s="2">
        <v>1288.7435</v>
      </c>
      <c r="F89" s="2">
        <f t="shared" si="3"/>
        <v>-0.15</v>
      </c>
      <c r="G89" s="2">
        <f t="shared" si="2"/>
        <v>1288.8935000000001</v>
      </c>
      <c r="H89" s="3">
        <f>Table1[[#This Row],[price_screen_bid]]*G89</f>
        <v>65669.123825000017</v>
      </c>
      <c r="I89" s="3">
        <f>Table1[[#This Row],[price_screen_ask]]*G89</f>
        <v>65682.012760000012</v>
      </c>
    </row>
    <row r="90" spans="1:9" x14ac:dyDescent="0.25">
      <c r="A90" t="s">
        <v>13</v>
      </c>
      <c r="B90">
        <v>18.57</v>
      </c>
      <c r="C90">
        <v>18.579999999999998</v>
      </c>
      <c r="D90" t="s">
        <v>22</v>
      </c>
      <c r="E90" s="2">
        <v>3535.8029000000001</v>
      </c>
      <c r="F90" s="2">
        <f t="shared" si="3"/>
        <v>0</v>
      </c>
      <c r="G90" s="2">
        <f t="shared" si="2"/>
        <v>3535.8029000000001</v>
      </c>
      <c r="H90" s="3">
        <f>Table1[[#This Row],[price_screen_bid]]*G90</f>
        <v>65659.859853000002</v>
      </c>
      <c r="I90" s="3">
        <f>Table1[[#This Row],[price_screen_ask]]*G90</f>
        <v>65695.217881999997</v>
      </c>
    </row>
    <row r="91" spans="1:9" x14ac:dyDescent="0.25">
      <c r="A91" t="s">
        <v>14</v>
      </c>
      <c r="B91">
        <v>37.21</v>
      </c>
      <c r="C91">
        <v>37.22</v>
      </c>
      <c r="D91" t="s">
        <v>22</v>
      </c>
      <c r="E91" s="2">
        <v>1764.9866999999999</v>
      </c>
      <c r="F91" s="2">
        <f t="shared" si="3"/>
        <v>0</v>
      </c>
      <c r="G91" s="2">
        <f t="shared" si="2"/>
        <v>1764.9866999999999</v>
      </c>
      <c r="H91" s="3">
        <f>Table1[[#This Row],[price_screen_bid]]*G91</f>
        <v>65675.155106999999</v>
      </c>
      <c r="I91" s="3">
        <f>Table1[[#This Row],[price_screen_ask]]*G91</f>
        <v>65692.804973999999</v>
      </c>
    </row>
    <row r="92" spans="1:9" x14ac:dyDescent="0.25">
      <c r="A92" t="s">
        <v>4</v>
      </c>
      <c r="B92">
        <v>21.78</v>
      </c>
      <c r="C92">
        <v>21.79</v>
      </c>
      <c r="D92" t="s">
        <v>23</v>
      </c>
      <c r="E92" s="2">
        <v>3014.8449999999998</v>
      </c>
      <c r="F92" s="2">
        <f t="shared" si="3"/>
        <v>0.1</v>
      </c>
      <c r="G92" s="2">
        <f t="shared" si="2"/>
        <v>3014.7449999999999</v>
      </c>
      <c r="H92" s="3">
        <f>Table1[[#This Row],[price_screen_bid]]*G92</f>
        <v>65661.146099999998</v>
      </c>
      <c r="I92" s="3">
        <f>Table1[[#This Row],[price_screen_ask]]*G92</f>
        <v>65691.293550000002</v>
      </c>
    </row>
    <row r="93" spans="1:9" x14ac:dyDescent="0.25">
      <c r="A93" t="s">
        <v>6</v>
      </c>
      <c r="B93">
        <v>35.65</v>
      </c>
      <c r="C93">
        <v>35.659999999999997</v>
      </c>
      <c r="D93" t="s">
        <v>23</v>
      </c>
      <c r="E93" s="2">
        <v>1842.0499</v>
      </c>
      <c r="F93" s="2">
        <f t="shared" si="3"/>
        <v>-0.1</v>
      </c>
      <c r="G93" s="2">
        <f t="shared" si="2"/>
        <v>1842.1498999999999</v>
      </c>
      <c r="H93" s="3">
        <f>Table1[[#This Row],[price_screen_bid]]*G93</f>
        <v>65672.643935</v>
      </c>
      <c r="I93" s="3">
        <f>Table1[[#This Row],[price_screen_ask]]*G93</f>
        <v>65691.065433999989</v>
      </c>
    </row>
    <row r="94" spans="1:9" x14ac:dyDescent="0.25">
      <c r="A94" t="s">
        <v>7</v>
      </c>
      <c r="B94">
        <v>18.510000000000002</v>
      </c>
      <c r="C94">
        <v>18.52</v>
      </c>
      <c r="D94" t="s">
        <v>23</v>
      </c>
      <c r="E94" s="2">
        <v>3546.4557</v>
      </c>
      <c r="F94" s="2">
        <f t="shared" si="3"/>
        <v>0</v>
      </c>
      <c r="G94" s="2">
        <f t="shared" si="2"/>
        <v>3546.4557</v>
      </c>
      <c r="H94" s="3">
        <f>Table1[[#This Row],[price_screen_bid]]*G94</f>
        <v>65644.895006999999</v>
      </c>
      <c r="I94" s="3">
        <f>Table1[[#This Row],[price_screen_ask]]*G94</f>
        <v>65680.359563999998</v>
      </c>
    </row>
    <row r="95" spans="1:9" x14ac:dyDescent="0.25">
      <c r="A95" t="s">
        <v>8</v>
      </c>
      <c r="B95">
        <v>29.05</v>
      </c>
      <c r="C95">
        <v>29.06</v>
      </c>
      <c r="D95" t="s">
        <v>23</v>
      </c>
      <c r="E95" s="2">
        <v>2261.2858000000001</v>
      </c>
      <c r="F95" s="2">
        <f t="shared" si="3"/>
        <v>0</v>
      </c>
      <c r="G95" s="2">
        <f t="shared" si="2"/>
        <v>2261.2858000000001</v>
      </c>
      <c r="H95" s="3">
        <f>Table1[[#This Row],[price_screen_bid]]*G95</f>
        <v>65690.352490000005</v>
      </c>
      <c r="I95" s="3">
        <f>Table1[[#This Row],[price_screen_ask]]*G95</f>
        <v>65712.965347999998</v>
      </c>
    </row>
    <row r="96" spans="1:9" x14ac:dyDescent="0.25">
      <c r="A96" t="s">
        <v>9</v>
      </c>
      <c r="B96">
        <v>69.41</v>
      </c>
      <c r="C96">
        <v>69.5</v>
      </c>
      <c r="D96" t="s">
        <v>23</v>
      </c>
      <c r="E96" s="2">
        <v>946.09739999999999</v>
      </c>
      <c r="F96" s="2">
        <f t="shared" si="3"/>
        <v>0</v>
      </c>
      <c r="G96" s="2">
        <f t="shared" si="2"/>
        <v>946.09739999999999</v>
      </c>
      <c r="H96" s="3">
        <f>Table1[[#This Row],[price_screen_bid]]*G96</f>
        <v>65668.620534000001</v>
      </c>
      <c r="I96" s="3">
        <f>Table1[[#This Row],[price_screen_ask]]*G96</f>
        <v>65753.7693</v>
      </c>
    </row>
    <row r="97" spans="1:9" x14ac:dyDescent="0.25">
      <c r="A97" t="s">
        <v>10</v>
      </c>
      <c r="B97">
        <v>37.94</v>
      </c>
      <c r="C97">
        <v>37.97</v>
      </c>
      <c r="D97" t="s">
        <v>23</v>
      </c>
      <c r="E97" s="2">
        <v>1730.0737999999999</v>
      </c>
      <c r="F97" s="2">
        <f t="shared" si="3"/>
        <v>0.2</v>
      </c>
      <c r="G97" s="2">
        <f t="shared" si="2"/>
        <v>1729.8737999999998</v>
      </c>
      <c r="H97" s="3">
        <f>Table1[[#This Row],[price_screen_bid]]*G97</f>
        <v>65631.411971999987</v>
      </c>
      <c r="I97" s="3">
        <f>Table1[[#This Row],[price_screen_ask]]*G97</f>
        <v>65683.308185999995</v>
      </c>
    </row>
    <row r="98" spans="1:9" x14ac:dyDescent="0.25">
      <c r="A98" t="s">
        <v>11</v>
      </c>
      <c r="B98">
        <v>57.17</v>
      </c>
      <c r="C98">
        <v>57.18</v>
      </c>
      <c r="D98" t="s">
        <v>23</v>
      </c>
      <c r="E98" s="2">
        <v>1148.8058000000001</v>
      </c>
      <c r="F98" s="2">
        <f t="shared" si="3"/>
        <v>-0.05</v>
      </c>
      <c r="G98" s="2">
        <f t="shared" si="2"/>
        <v>1148.8558</v>
      </c>
      <c r="H98" s="3">
        <f>Table1[[#This Row],[price_screen_bid]]*G98</f>
        <v>65680.08608600001</v>
      </c>
      <c r="I98" s="3">
        <f>Table1[[#This Row],[price_screen_ask]]*G98</f>
        <v>65691.574644000008</v>
      </c>
    </row>
    <row r="99" spans="1:9" x14ac:dyDescent="0.25">
      <c r="A99" t="s">
        <v>12</v>
      </c>
      <c r="B99">
        <v>50.95</v>
      </c>
      <c r="C99">
        <v>50.96</v>
      </c>
      <c r="D99" t="s">
        <v>23</v>
      </c>
      <c r="E99" s="2">
        <v>1288.7435</v>
      </c>
      <c r="F99" s="2">
        <f t="shared" si="3"/>
        <v>-0.15</v>
      </c>
      <c r="G99" s="2">
        <f t="shared" si="2"/>
        <v>1288.8935000000001</v>
      </c>
      <c r="H99" s="3">
        <f>Table1[[#This Row],[price_screen_bid]]*G99</f>
        <v>65669.123825000017</v>
      </c>
      <c r="I99" s="3">
        <f>Table1[[#This Row],[price_screen_ask]]*G99</f>
        <v>65682.012760000012</v>
      </c>
    </row>
    <row r="100" spans="1:9" x14ac:dyDescent="0.25">
      <c r="A100" t="s">
        <v>13</v>
      </c>
      <c r="B100">
        <v>18.57</v>
      </c>
      <c r="C100">
        <v>18.579999999999998</v>
      </c>
      <c r="D100" t="s">
        <v>23</v>
      </c>
      <c r="E100" s="2">
        <v>3535.8029000000001</v>
      </c>
      <c r="F100" s="2">
        <f t="shared" si="3"/>
        <v>0</v>
      </c>
      <c r="G100" s="2">
        <f t="shared" si="2"/>
        <v>3535.8029000000001</v>
      </c>
      <c r="H100" s="3">
        <f>Table1[[#This Row],[price_screen_bid]]*G100</f>
        <v>65659.859853000002</v>
      </c>
      <c r="I100" s="3">
        <f>Table1[[#This Row],[price_screen_ask]]*G100</f>
        <v>65695.217881999997</v>
      </c>
    </row>
    <row r="101" spans="1:9" x14ac:dyDescent="0.25">
      <c r="A101" t="s">
        <v>14</v>
      </c>
      <c r="B101">
        <v>37.21</v>
      </c>
      <c r="C101">
        <v>37.22</v>
      </c>
      <c r="D101" t="s">
        <v>23</v>
      </c>
      <c r="E101" s="2">
        <v>1764.9866999999999</v>
      </c>
      <c r="F101" s="2">
        <f t="shared" si="3"/>
        <v>0</v>
      </c>
      <c r="G101" s="2">
        <f t="shared" si="2"/>
        <v>1764.9866999999999</v>
      </c>
      <c r="H101" s="3">
        <f>Table1[[#This Row],[price_screen_bid]]*G101</f>
        <v>65675.155106999999</v>
      </c>
      <c r="I101" s="3">
        <f>Table1[[#This Row],[price_screen_ask]]*G101</f>
        <v>65692.804973999999</v>
      </c>
    </row>
    <row r="102" spans="1:9" x14ac:dyDescent="0.25">
      <c r="A102" t="s">
        <v>4</v>
      </c>
      <c r="B102">
        <v>21.81</v>
      </c>
      <c r="C102">
        <v>21.82</v>
      </c>
      <c r="D102" t="s">
        <v>24</v>
      </c>
      <c r="E102" s="2">
        <v>3014.8449999999998</v>
      </c>
      <c r="F102" s="2">
        <f t="shared" si="3"/>
        <v>0.1</v>
      </c>
      <c r="G102" s="2">
        <f t="shared" si="2"/>
        <v>3014.7449999999999</v>
      </c>
      <c r="H102" s="3">
        <f>Table1[[#This Row],[price_screen_bid]]*G102</f>
        <v>65751.588449999996</v>
      </c>
      <c r="I102" s="3">
        <f>Table1[[#This Row],[price_screen_ask]]*G102</f>
        <v>65781.7359</v>
      </c>
    </row>
    <row r="103" spans="1:9" x14ac:dyDescent="0.25">
      <c r="A103" t="s">
        <v>6</v>
      </c>
      <c r="B103">
        <v>35.700000000000003</v>
      </c>
      <c r="C103">
        <v>35.71</v>
      </c>
      <c r="D103" t="s">
        <v>24</v>
      </c>
      <c r="E103" s="2">
        <v>1842.0499</v>
      </c>
      <c r="F103" s="2">
        <f t="shared" si="3"/>
        <v>-0.1</v>
      </c>
      <c r="G103" s="2">
        <f t="shared" si="2"/>
        <v>1842.1498999999999</v>
      </c>
      <c r="H103" s="3">
        <f>Table1[[#This Row],[price_screen_bid]]*G103</f>
        <v>65764.751430000004</v>
      </c>
      <c r="I103" s="3">
        <f>Table1[[#This Row],[price_screen_ask]]*G103</f>
        <v>65783.172928999993</v>
      </c>
    </row>
    <row r="104" spans="1:9" x14ac:dyDescent="0.25">
      <c r="A104" t="s">
        <v>7</v>
      </c>
      <c r="B104">
        <v>18.54</v>
      </c>
      <c r="C104">
        <v>18.55</v>
      </c>
      <c r="D104" t="s">
        <v>24</v>
      </c>
      <c r="E104" s="2">
        <v>3546.4557</v>
      </c>
      <c r="F104" s="2">
        <f t="shared" si="3"/>
        <v>0</v>
      </c>
      <c r="G104" s="2">
        <f t="shared" si="2"/>
        <v>3546.4557</v>
      </c>
      <c r="H104" s="3">
        <f>Table1[[#This Row],[price_screen_bid]]*G104</f>
        <v>65751.288677999997</v>
      </c>
      <c r="I104" s="3">
        <f>Table1[[#This Row],[price_screen_ask]]*G104</f>
        <v>65786.753234999996</v>
      </c>
    </row>
    <row r="105" spans="1:9" x14ac:dyDescent="0.25">
      <c r="A105" t="s">
        <v>8</v>
      </c>
      <c r="B105">
        <v>29.08</v>
      </c>
      <c r="C105">
        <v>29.09</v>
      </c>
      <c r="D105" t="s">
        <v>24</v>
      </c>
      <c r="E105" s="2">
        <v>2261.2858000000001</v>
      </c>
      <c r="F105" s="2">
        <f t="shared" si="3"/>
        <v>0</v>
      </c>
      <c r="G105" s="2">
        <f t="shared" si="2"/>
        <v>2261.2858000000001</v>
      </c>
      <c r="H105" s="3">
        <f>Table1[[#This Row],[price_screen_bid]]*G105</f>
        <v>65758.191063999999</v>
      </c>
      <c r="I105" s="3">
        <f>Table1[[#This Row],[price_screen_ask]]*G105</f>
        <v>65780.803922000006</v>
      </c>
    </row>
    <row r="106" spans="1:9" x14ac:dyDescent="0.25">
      <c r="A106" t="s">
        <v>9</v>
      </c>
      <c r="B106">
        <v>69.5</v>
      </c>
      <c r="C106">
        <v>69.56</v>
      </c>
      <c r="D106" t="s">
        <v>24</v>
      </c>
      <c r="E106" s="2">
        <v>946.09739999999999</v>
      </c>
      <c r="F106" s="2">
        <f t="shared" si="3"/>
        <v>0</v>
      </c>
      <c r="G106" s="2">
        <f t="shared" si="2"/>
        <v>946.09739999999999</v>
      </c>
      <c r="H106" s="3">
        <f>Table1[[#This Row],[price_screen_bid]]*G106</f>
        <v>65753.7693</v>
      </c>
      <c r="I106" s="3">
        <f>Table1[[#This Row],[price_screen_ask]]*G106</f>
        <v>65810.535144000009</v>
      </c>
    </row>
    <row r="107" spans="1:9" x14ac:dyDescent="0.25">
      <c r="A107" t="s">
        <v>10</v>
      </c>
      <c r="B107">
        <v>37.99</v>
      </c>
      <c r="C107">
        <v>38.020000000000003</v>
      </c>
      <c r="D107" t="s">
        <v>24</v>
      </c>
      <c r="E107" s="2">
        <v>1730.0737999999999</v>
      </c>
      <c r="F107" s="2">
        <f t="shared" si="3"/>
        <v>0.2</v>
      </c>
      <c r="G107" s="2">
        <f t="shared" si="2"/>
        <v>1729.8737999999998</v>
      </c>
      <c r="H107" s="3">
        <f>Table1[[#This Row],[price_screen_bid]]*G107</f>
        <v>65717.905662000005</v>
      </c>
      <c r="I107" s="3">
        <f>Table1[[#This Row],[price_screen_ask]]*G107</f>
        <v>65769.801875999998</v>
      </c>
    </row>
    <row r="108" spans="1:9" x14ac:dyDescent="0.25">
      <c r="A108" t="s">
        <v>11</v>
      </c>
      <c r="B108">
        <v>57.24</v>
      </c>
      <c r="C108">
        <v>57.25</v>
      </c>
      <c r="D108" t="s">
        <v>24</v>
      </c>
      <c r="E108" s="2">
        <v>1148.8058000000001</v>
      </c>
      <c r="F108" s="2">
        <f t="shared" si="3"/>
        <v>-0.05</v>
      </c>
      <c r="G108" s="2">
        <f t="shared" si="2"/>
        <v>1148.8558</v>
      </c>
      <c r="H108" s="3">
        <f>Table1[[#This Row],[price_screen_bid]]*G108</f>
        <v>65760.505992000006</v>
      </c>
      <c r="I108" s="3">
        <f>Table1[[#This Row],[price_screen_ask]]*G108</f>
        <v>65771.994550000003</v>
      </c>
    </row>
    <row r="109" spans="1:9" x14ac:dyDescent="0.25">
      <c r="A109" t="s">
        <v>12</v>
      </c>
      <c r="B109">
        <v>51.02</v>
      </c>
      <c r="C109">
        <v>51.03</v>
      </c>
      <c r="D109" t="s">
        <v>24</v>
      </c>
      <c r="E109" s="2">
        <v>1288.7435</v>
      </c>
      <c r="F109" s="2">
        <f t="shared" si="3"/>
        <v>-0.15</v>
      </c>
      <c r="G109" s="2">
        <f t="shared" si="2"/>
        <v>1288.8935000000001</v>
      </c>
      <c r="H109" s="3">
        <f>Table1[[#This Row],[price_screen_bid]]*G109</f>
        <v>65759.346370000014</v>
      </c>
      <c r="I109" s="3">
        <f>Table1[[#This Row],[price_screen_ask]]*G109</f>
        <v>65772.235305000009</v>
      </c>
    </row>
    <row r="110" spans="1:9" x14ac:dyDescent="0.25">
      <c r="A110" t="s">
        <v>13</v>
      </c>
      <c r="B110">
        <v>18.59</v>
      </c>
      <c r="C110">
        <v>18.600000000000001</v>
      </c>
      <c r="D110" t="s">
        <v>24</v>
      </c>
      <c r="E110" s="2">
        <v>3535.8029000000001</v>
      </c>
      <c r="F110" s="2">
        <f t="shared" si="3"/>
        <v>0</v>
      </c>
      <c r="G110" s="2">
        <f t="shared" si="2"/>
        <v>3535.8029000000001</v>
      </c>
      <c r="H110" s="3">
        <f>Table1[[#This Row],[price_screen_bid]]*G110</f>
        <v>65730.575911000007</v>
      </c>
      <c r="I110" s="3">
        <f>Table1[[#This Row],[price_screen_ask]]*G110</f>
        <v>65765.933940000003</v>
      </c>
    </row>
    <row r="111" spans="1:9" x14ac:dyDescent="0.25">
      <c r="A111" t="s">
        <v>14</v>
      </c>
      <c r="B111">
        <v>37.25</v>
      </c>
      <c r="C111">
        <v>37.26</v>
      </c>
      <c r="D111" t="s">
        <v>24</v>
      </c>
      <c r="E111" s="2">
        <v>1764.9866999999999</v>
      </c>
      <c r="F111" s="2">
        <f t="shared" si="3"/>
        <v>0</v>
      </c>
      <c r="G111" s="2">
        <f t="shared" si="2"/>
        <v>1764.9866999999999</v>
      </c>
      <c r="H111" s="3">
        <f>Table1[[#This Row],[price_screen_bid]]*G111</f>
        <v>65745.754574999999</v>
      </c>
      <c r="I111" s="3">
        <f>Table1[[#This Row],[price_screen_ask]]*G111</f>
        <v>65763.404441999999</v>
      </c>
    </row>
    <row r="112" spans="1:9" x14ac:dyDescent="0.25">
      <c r="A112" t="s">
        <v>4</v>
      </c>
      <c r="B112">
        <v>21.79</v>
      </c>
      <c r="C112">
        <v>21.8</v>
      </c>
      <c r="D112" t="s">
        <v>25</v>
      </c>
      <c r="E112" s="2">
        <v>3014.8449999999998</v>
      </c>
      <c r="F112" s="2">
        <f t="shared" si="3"/>
        <v>0.1</v>
      </c>
      <c r="G112" s="2">
        <f t="shared" si="2"/>
        <v>3014.7449999999999</v>
      </c>
      <c r="H112" s="3">
        <f>Table1[[#This Row],[price_screen_bid]]*G112</f>
        <v>65691.293550000002</v>
      </c>
      <c r="I112" s="3">
        <f>Table1[[#This Row],[price_screen_ask]]*G112</f>
        <v>65721.441000000006</v>
      </c>
    </row>
    <row r="113" spans="1:9" x14ac:dyDescent="0.25">
      <c r="A113" t="s">
        <v>6</v>
      </c>
      <c r="B113">
        <v>35.67</v>
      </c>
      <c r="C113">
        <v>35.68</v>
      </c>
      <c r="D113" t="s">
        <v>25</v>
      </c>
      <c r="E113" s="2">
        <v>1842.0499</v>
      </c>
      <c r="F113" s="2">
        <f t="shared" si="3"/>
        <v>-0.1</v>
      </c>
      <c r="G113" s="2">
        <f t="shared" si="2"/>
        <v>1842.1498999999999</v>
      </c>
      <c r="H113" s="3">
        <f>Table1[[#This Row],[price_screen_bid]]*G113</f>
        <v>65709.486932999993</v>
      </c>
      <c r="I113" s="3">
        <f>Table1[[#This Row],[price_screen_ask]]*G113</f>
        <v>65727.908431999997</v>
      </c>
    </row>
    <row r="114" spans="1:9" x14ac:dyDescent="0.25">
      <c r="A114" t="s">
        <v>7</v>
      </c>
      <c r="B114">
        <v>18.53</v>
      </c>
      <c r="C114">
        <v>18.54</v>
      </c>
      <c r="D114" t="s">
        <v>25</v>
      </c>
      <c r="E114" s="2">
        <v>3546.4557</v>
      </c>
      <c r="F114" s="2">
        <f t="shared" si="3"/>
        <v>0</v>
      </c>
      <c r="G114" s="2">
        <f t="shared" si="2"/>
        <v>3546.4557</v>
      </c>
      <c r="H114" s="3">
        <f>Table1[[#This Row],[price_screen_bid]]*G114</f>
        <v>65715.824120999998</v>
      </c>
      <c r="I114" s="3">
        <f>Table1[[#This Row],[price_screen_ask]]*G114</f>
        <v>65751.288677999997</v>
      </c>
    </row>
    <row r="115" spans="1:9" x14ac:dyDescent="0.25">
      <c r="A115" t="s">
        <v>8</v>
      </c>
      <c r="B115">
        <v>29.06</v>
      </c>
      <c r="C115">
        <v>29.07</v>
      </c>
      <c r="D115" t="s">
        <v>25</v>
      </c>
      <c r="E115" s="2">
        <v>2261.2858000000001</v>
      </c>
      <c r="F115" s="2">
        <f t="shared" si="3"/>
        <v>0</v>
      </c>
      <c r="G115" s="2">
        <f t="shared" si="2"/>
        <v>2261.2858000000001</v>
      </c>
      <c r="H115" s="3">
        <f>Table1[[#This Row],[price_screen_bid]]*G115</f>
        <v>65712.965347999998</v>
      </c>
      <c r="I115" s="3">
        <f>Table1[[#This Row],[price_screen_ask]]*G115</f>
        <v>65735.578206000006</v>
      </c>
    </row>
    <row r="116" spans="1:9" x14ac:dyDescent="0.25">
      <c r="A116" t="s">
        <v>9</v>
      </c>
      <c r="B116">
        <v>69.459999999999994</v>
      </c>
      <c r="C116">
        <v>69.52</v>
      </c>
      <c r="D116" t="s">
        <v>25</v>
      </c>
      <c r="E116" s="2">
        <v>946.09739999999999</v>
      </c>
      <c r="F116" s="2">
        <f t="shared" si="3"/>
        <v>0</v>
      </c>
      <c r="G116" s="2">
        <f t="shared" si="2"/>
        <v>946.09739999999999</v>
      </c>
      <c r="H116" s="3">
        <f>Table1[[#This Row],[price_screen_bid]]*G116</f>
        <v>65715.925403999994</v>
      </c>
      <c r="I116" s="3">
        <f>Table1[[#This Row],[price_screen_ask]]*G116</f>
        <v>65772.691248000003</v>
      </c>
    </row>
    <row r="117" spans="1:9" x14ac:dyDescent="0.25">
      <c r="A117" t="s">
        <v>10</v>
      </c>
      <c r="B117">
        <v>37.97</v>
      </c>
      <c r="C117">
        <v>38</v>
      </c>
      <c r="D117" t="s">
        <v>25</v>
      </c>
      <c r="E117" s="2">
        <v>1730.0737999999999</v>
      </c>
      <c r="F117" s="2">
        <f t="shared" si="3"/>
        <v>0.2</v>
      </c>
      <c r="G117" s="2">
        <f t="shared" si="2"/>
        <v>1729.8737999999998</v>
      </c>
      <c r="H117" s="3">
        <f>Table1[[#This Row],[price_screen_bid]]*G117</f>
        <v>65683.308185999995</v>
      </c>
      <c r="I117" s="3">
        <f>Table1[[#This Row],[price_screen_ask]]*G117</f>
        <v>65735.204399999988</v>
      </c>
    </row>
    <row r="118" spans="1:9" x14ac:dyDescent="0.25">
      <c r="A118" t="s">
        <v>11</v>
      </c>
      <c r="B118">
        <v>57.2</v>
      </c>
      <c r="C118">
        <v>57.21</v>
      </c>
      <c r="D118" t="s">
        <v>25</v>
      </c>
      <c r="E118" s="2">
        <v>1148.8058000000001</v>
      </c>
      <c r="F118" s="2">
        <f t="shared" si="3"/>
        <v>-0.05</v>
      </c>
      <c r="G118" s="2">
        <f t="shared" si="2"/>
        <v>1148.8558</v>
      </c>
      <c r="H118" s="3">
        <f>Table1[[#This Row],[price_screen_bid]]*G118</f>
        <v>65714.551760000002</v>
      </c>
      <c r="I118" s="3">
        <f>Table1[[#This Row],[price_screen_ask]]*G118</f>
        <v>65726.040317999999</v>
      </c>
    </row>
    <row r="119" spans="1:9" x14ac:dyDescent="0.25">
      <c r="A119" t="s">
        <v>12</v>
      </c>
      <c r="B119">
        <v>50.98</v>
      </c>
      <c r="C119">
        <v>50.99</v>
      </c>
      <c r="D119" t="s">
        <v>25</v>
      </c>
      <c r="E119" s="2">
        <v>1288.7435</v>
      </c>
      <c r="F119" s="2">
        <f t="shared" si="3"/>
        <v>-0.15</v>
      </c>
      <c r="G119" s="2">
        <f t="shared" si="2"/>
        <v>1288.8935000000001</v>
      </c>
      <c r="H119" s="3">
        <f>Table1[[#This Row],[price_screen_bid]]*G119</f>
        <v>65707.790630000003</v>
      </c>
      <c r="I119" s="3">
        <f>Table1[[#This Row],[price_screen_ask]]*G119</f>
        <v>65720.679565000013</v>
      </c>
    </row>
    <row r="120" spans="1:9" x14ac:dyDescent="0.25">
      <c r="A120" t="s">
        <v>13</v>
      </c>
      <c r="B120">
        <v>18.579999999999998</v>
      </c>
      <c r="C120">
        <v>18.59</v>
      </c>
      <c r="D120" t="s">
        <v>25</v>
      </c>
      <c r="E120" s="2">
        <v>3535.8029000000001</v>
      </c>
      <c r="F120" s="2">
        <f t="shared" si="3"/>
        <v>0</v>
      </c>
      <c r="G120" s="2">
        <f t="shared" si="2"/>
        <v>3535.8029000000001</v>
      </c>
      <c r="H120" s="3">
        <f>Table1[[#This Row],[price_screen_bid]]*G120</f>
        <v>65695.217881999997</v>
      </c>
      <c r="I120" s="3">
        <f>Table1[[#This Row],[price_screen_ask]]*G120</f>
        <v>65730.575911000007</v>
      </c>
    </row>
    <row r="121" spans="1:9" x14ac:dyDescent="0.25">
      <c r="A121" t="s">
        <v>14</v>
      </c>
      <c r="B121">
        <v>37.229999999999997</v>
      </c>
      <c r="C121">
        <v>37.24</v>
      </c>
      <c r="D121" t="s">
        <v>25</v>
      </c>
      <c r="E121" s="2">
        <v>1764.9866999999999</v>
      </c>
      <c r="F121" s="2">
        <f t="shared" si="3"/>
        <v>0</v>
      </c>
      <c r="G121" s="2">
        <f t="shared" si="2"/>
        <v>1764.9866999999999</v>
      </c>
      <c r="H121" s="3">
        <f>Table1[[#This Row],[price_screen_bid]]*G121</f>
        <v>65710.454840999999</v>
      </c>
      <c r="I121" s="3">
        <f>Table1[[#This Row],[price_screen_ask]]*G121</f>
        <v>65728.104707999999</v>
      </c>
    </row>
    <row r="122" spans="1:9" x14ac:dyDescent="0.25">
      <c r="A122" t="s">
        <v>4</v>
      </c>
      <c r="B122">
        <v>21.8</v>
      </c>
      <c r="C122">
        <v>21.81</v>
      </c>
      <c r="D122" t="s">
        <v>26</v>
      </c>
      <c r="E122" s="2">
        <v>3014.8449999999998</v>
      </c>
      <c r="F122" s="2">
        <f t="shared" si="3"/>
        <v>0.1</v>
      </c>
      <c r="G122" s="2">
        <f t="shared" si="2"/>
        <v>3014.7449999999999</v>
      </c>
      <c r="H122" s="3">
        <f>Table1[[#This Row],[price_screen_bid]]*G122</f>
        <v>65721.441000000006</v>
      </c>
      <c r="I122" s="3">
        <f>Table1[[#This Row],[price_screen_ask]]*G122</f>
        <v>65751.588449999996</v>
      </c>
    </row>
    <row r="123" spans="1:9" x14ac:dyDescent="0.25">
      <c r="A123" t="s">
        <v>6</v>
      </c>
      <c r="B123">
        <v>35.69</v>
      </c>
      <c r="C123">
        <v>35.700000000000003</v>
      </c>
      <c r="D123" t="s">
        <v>26</v>
      </c>
      <c r="E123" s="2">
        <v>1842.0499</v>
      </c>
      <c r="F123" s="2">
        <f t="shared" si="3"/>
        <v>-0.1</v>
      </c>
      <c r="G123" s="2">
        <f t="shared" si="2"/>
        <v>1842.1498999999999</v>
      </c>
      <c r="H123" s="3">
        <f>Table1[[#This Row],[price_screen_bid]]*G123</f>
        <v>65746.329930999986</v>
      </c>
      <c r="I123" s="3">
        <f>Table1[[#This Row],[price_screen_ask]]*G123</f>
        <v>65764.751430000004</v>
      </c>
    </row>
    <row r="124" spans="1:9" x14ac:dyDescent="0.25">
      <c r="A124" t="s">
        <v>7</v>
      </c>
      <c r="B124">
        <v>18.54</v>
      </c>
      <c r="C124">
        <v>18.55</v>
      </c>
      <c r="D124" t="s">
        <v>26</v>
      </c>
      <c r="E124" s="2">
        <v>3546.4557</v>
      </c>
      <c r="F124" s="2">
        <f t="shared" si="3"/>
        <v>0</v>
      </c>
      <c r="G124" s="2">
        <f t="shared" si="2"/>
        <v>3546.4557</v>
      </c>
      <c r="H124" s="3">
        <f>Table1[[#This Row],[price_screen_bid]]*G124</f>
        <v>65751.288677999997</v>
      </c>
      <c r="I124" s="3">
        <f>Table1[[#This Row],[price_screen_ask]]*G124</f>
        <v>65786.753234999996</v>
      </c>
    </row>
    <row r="125" spans="1:9" x14ac:dyDescent="0.25">
      <c r="A125" t="s">
        <v>8</v>
      </c>
      <c r="B125">
        <v>29.08</v>
      </c>
      <c r="C125">
        <v>29.09</v>
      </c>
      <c r="D125" t="s">
        <v>26</v>
      </c>
      <c r="E125" s="2">
        <v>2261.2858000000001</v>
      </c>
      <c r="F125" s="2">
        <f t="shared" si="3"/>
        <v>0</v>
      </c>
      <c r="G125" s="2">
        <f t="shared" si="2"/>
        <v>2261.2858000000001</v>
      </c>
      <c r="H125" s="3">
        <f>Table1[[#This Row],[price_screen_bid]]*G125</f>
        <v>65758.191063999999</v>
      </c>
      <c r="I125" s="3">
        <f>Table1[[#This Row],[price_screen_ask]]*G125</f>
        <v>65780.803922000006</v>
      </c>
    </row>
    <row r="126" spans="1:9" x14ac:dyDescent="0.25">
      <c r="A126" t="s">
        <v>9</v>
      </c>
      <c r="B126">
        <v>69.5</v>
      </c>
      <c r="C126">
        <v>69.55</v>
      </c>
      <c r="D126" t="s">
        <v>26</v>
      </c>
      <c r="E126" s="2">
        <v>946.09739999999999</v>
      </c>
      <c r="F126" s="2">
        <f t="shared" si="3"/>
        <v>0</v>
      </c>
      <c r="G126" s="2">
        <f t="shared" si="2"/>
        <v>946.09739999999999</v>
      </c>
      <c r="H126" s="3">
        <f>Table1[[#This Row],[price_screen_bid]]*G126</f>
        <v>65753.7693</v>
      </c>
      <c r="I126" s="3">
        <f>Table1[[#This Row],[price_screen_ask]]*G126</f>
        <v>65801.074169999993</v>
      </c>
    </row>
    <row r="127" spans="1:9" x14ac:dyDescent="0.25">
      <c r="A127" t="s">
        <v>10</v>
      </c>
      <c r="B127">
        <v>37.99</v>
      </c>
      <c r="C127">
        <v>38.01</v>
      </c>
      <c r="D127" t="s">
        <v>26</v>
      </c>
      <c r="E127" s="2">
        <v>1730.0737999999999</v>
      </c>
      <c r="F127" s="2">
        <f t="shared" si="3"/>
        <v>0.2</v>
      </c>
      <c r="G127" s="2">
        <f t="shared" si="2"/>
        <v>1729.8737999999998</v>
      </c>
      <c r="H127" s="3">
        <f>Table1[[#This Row],[price_screen_bid]]*G127</f>
        <v>65717.905662000005</v>
      </c>
      <c r="I127" s="3">
        <f>Table1[[#This Row],[price_screen_ask]]*G127</f>
        <v>65752.503137999985</v>
      </c>
    </row>
    <row r="128" spans="1:9" x14ac:dyDescent="0.25">
      <c r="A128" t="s">
        <v>11</v>
      </c>
      <c r="B128">
        <v>57.23</v>
      </c>
      <c r="C128">
        <v>57.24</v>
      </c>
      <c r="D128" t="s">
        <v>26</v>
      </c>
      <c r="E128" s="2">
        <v>1148.8058000000001</v>
      </c>
      <c r="F128" s="2">
        <f t="shared" si="3"/>
        <v>-0.05</v>
      </c>
      <c r="G128" s="2">
        <f t="shared" si="2"/>
        <v>1148.8558</v>
      </c>
      <c r="H128" s="3">
        <f>Table1[[#This Row],[price_screen_bid]]*G128</f>
        <v>65749.017433999994</v>
      </c>
      <c r="I128" s="3">
        <f>Table1[[#This Row],[price_screen_ask]]*G128</f>
        <v>65760.505992000006</v>
      </c>
    </row>
    <row r="129" spans="1:9" x14ac:dyDescent="0.25">
      <c r="A129" t="s">
        <v>12</v>
      </c>
      <c r="B129">
        <v>51</v>
      </c>
      <c r="C129">
        <v>51.01</v>
      </c>
      <c r="D129" t="s">
        <v>26</v>
      </c>
      <c r="E129" s="2">
        <v>1288.7435</v>
      </c>
      <c r="F129" s="2">
        <f t="shared" si="3"/>
        <v>-0.15</v>
      </c>
      <c r="G129" s="2">
        <f t="shared" si="2"/>
        <v>1288.8935000000001</v>
      </c>
      <c r="H129" s="3">
        <f>Table1[[#This Row],[price_screen_bid]]*G129</f>
        <v>65733.568500000008</v>
      </c>
      <c r="I129" s="3">
        <f>Table1[[#This Row],[price_screen_ask]]*G129</f>
        <v>65746.457435000004</v>
      </c>
    </row>
    <row r="130" spans="1:9" x14ac:dyDescent="0.25">
      <c r="A130" t="s">
        <v>13</v>
      </c>
      <c r="B130">
        <v>18.59</v>
      </c>
      <c r="C130">
        <v>18.600000000000001</v>
      </c>
      <c r="D130" t="s">
        <v>26</v>
      </c>
      <c r="E130" s="2">
        <v>3535.8029000000001</v>
      </c>
      <c r="F130" s="2">
        <f t="shared" si="3"/>
        <v>0</v>
      </c>
      <c r="G130" s="2">
        <f t="shared" si="2"/>
        <v>3535.8029000000001</v>
      </c>
      <c r="H130" s="3">
        <f>Table1[[#This Row],[price_screen_bid]]*G130</f>
        <v>65730.575911000007</v>
      </c>
      <c r="I130" s="3">
        <f>Table1[[#This Row],[price_screen_ask]]*G130</f>
        <v>65765.933940000003</v>
      </c>
    </row>
    <row r="131" spans="1:9" x14ac:dyDescent="0.25">
      <c r="A131" t="s">
        <v>14</v>
      </c>
      <c r="B131">
        <v>37.24</v>
      </c>
      <c r="C131">
        <v>37.25</v>
      </c>
      <c r="D131" t="s">
        <v>26</v>
      </c>
      <c r="E131" s="2">
        <v>1764.9866999999999</v>
      </c>
      <c r="F131" s="2">
        <f t="shared" si="3"/>
        <v>0</v>
      </c>
      <c r="G131" s="2">
        <f t="shared" ref="G131:G141" si="4">E131-F131</f>
        <v>1764.9866999999999</v>
      </c>
      <c r="H131" s="3">
        <f>Table1[[#This Row],[price_screen_bid]]*G131</f>
        <v>65728.104707999999</v>
      </c>
      <c r="I131" s="3">
        <f>Table1[[#This Row],[price_screen_ask]]*G131</f>
        <v>65745.754574999999</v>
      </c>
    </row>
    <row r="132" spans="1:9" x14ac:dyDescent="0.25">
      <c r="A132" t="s">
        <v>4</v>
      </c>
      <c r="B132">
        <v>21.79</v>
      </c>
      <c r="C132">
        <v>21.8</v>
      </c>
      <c r="D132" t="s">
        <v>27</v>
      </c>
      <c r="E132" s="2">
        <v>3014.8449999999998</v>
      </c>
      <c r="F132" s="2">
        <f t="shared" si="3"/>
        <v>0.1</v>
      </c>
      <c r="G132" s="2">
        <f t="shared" si="4"/>
        <v>3014.7449999999999</v>
      </c>
      <c r="H132" s="3">
        <f>Table1[[#This Row],[price_screen_bid]]*G132</f>
        <v>65691.293550000002</v>
      </c>
      <c r="I132" s="3">
        <f>Table1[[#This Row],[price_screen_ask]]*G132</f>
        <v>65721.441000000006</v>
      </c>
    </row>
    <row r="133" spans="1:9" x14ac:dyDescent="0.25">
      <c r="A133" t="s">
        <v>6</v>
      </c>
      <c r="B133">
        <v>35.67</v>
      </c>
      <c r="C133">
        <v>35.68</v>
      </c>
      <c r="D133" t="s">
        <v>27</v>
      </c>
      <c r="E133" s="2">
        <v>1842.0499</v>
      </c>
      <c r="F133" s="2">
        <f t="shared" si="3"/>
        <v>-0.1</v>
      </c>
      <c r="G133" s="2">
        <f t="shared" si="4"/>
        <v>1842.1498999999999</v>
      </c>
      <c r="H133" s="3">
        <f>Table1[[#This Row],[price_screen_bid]]*G133</f>
        <v>65709.486932999993</v>
      </c>
      <c r="I133" s="3">
        <f>Table1[[#This Row],[price_screen_ask]]*G133</f>
        <v>65727.908431999997</v>
      </c>
    </row>
    <row r="134" spans="1:9" x14ac:dyDescent="0.25">
      <c r="A134" t="s">
        <v>7</v>
      </c>
      <c r="B134">
        <v>18.52</v>
      </c>
      <c r="C134">
        <v>18.53</v>
      </c>
      <c r="D134" t="s">
        <v>27</v>
      </c>
      <c r="E134" s="2">
        <v>3546.4557</v>
      </c>
      <c r="F134" s="2">
        <f t="shared" si="3"/>
        <v>0</v>
      </c>
      <c r="G134" s="2">
        <f t="shared" si="4"/>
        <v>3546.4557</v>
      </c>
      <c r="H134" s="3">
        <f>Table1[[#This Row],[price_screen_bid]]*G134</f>
        <v>65680.359563999998</v>
      </c>
      <c r="I134" s="3">
        <f>Table1[[#This Row],[price_screen_ask]]*G134</f>
        <v>65715.824120999998</v>
      </c>
    </row>
    <row r="135" spans="1:9" x14ac:dyDescent="0.25">
      <c r="A135" t="s">
        <v>8</v>
      </c>
      <c r="B135">
        <v>29.06</v>
      </c>
      <c r="C135">
        <v>29.07</v>
      </c>
      <c r="D135" t="s">
        <v>27</v>
      </c>
      <c r="E135" s="2">
        <v>2261.2858000000001</v>
      </c>
      <c r="F135" s="2">
        <f t="shared" si="3"/>
        <v>0</v>
      </c>
      <c r="G135" s="2">
        <f t="shared" si="4"/>
        <v>2261.2858000000001</v>
      </c>
      <c r="H135" s="3">
        <f>Table1[[#This Row],[price_screen_bid]]*G135</f>
        <v>65712.965347999998</v>
      </c>
      <c r="I135" s="3">
        <f>Table1[[#This Row],[price_screen_ask]]*G135</f>
        <v>65735.578206000006</v>
      </c>
    </row>
    <row r="136" spans="1:9" x14ac:dyDescent="0.25">
      <c r="A136" t="s">
        <v>9</v>
      </c>
      <c r="B136">
        <v>69.44</v>
      </c>
      <c r="C136">
        <v>69.5</v>
      </c>
      <c r="D136" t="s">
        <v>27</v>
      </c>
      <c r="E136" s="2">
        <v>946.09739999999999</v>
      </c>
      <c r="F136" s="2">
        <f t="shared" si="3"/>
        <v>0</v>
      </c>
      <c r="G136" s="2">
        <f t="shared" si="4"/>
        <v>946.09739999999999</v>
      </c>
      <c r="H136" s="3">
        <f>Table1[[#This Row],[price_screen_bid]]*G136</f>
        <v>65697.003455999991</v>
      </c>
      <c r="I136" s="3">
        <f>Table1[[#This Row],[price_screen_ask]]*G136</f>
        <v>65753.7693</v>
      </c>
    </row>
    <row r="137" spans="1:9" x14ac:dyDescent="0.25">
      <c r="A137" t="s">
        <v>10</v>
      </c>
      <c r="B137">
        <v>37.96</v>
      </c>
      <c r="C137">
        <v>37.99</v>
      </c>
      <c r="D137" t="s">
        <v>27</v>
      </c>
      <c r="E137" s="2">
        <v>1730.0737999999999</v>
      </c>
      <c r="F137" s="2">
        <f t="shared" si="3"/>
        <v>0.2</v>
      </c>
      <c r="G137" s="2">
        <f t="shared" si="4"/>
        <v>1729.8737999999998</v>
      </c>
      <c r="H137" s="3">
        <f>Table1[[#This Row],[price_screen_bid]]*G137</f>
        <v>65666.009447999997</v>
      </c>
      <c r="I137" s="3">
        <f>Table1[[#This Row],[price_screen_ask]]*G137</f>
        <v>65717.905662000005</v>
      </c>
    </row>
    <row r="138" spans="1:9" x14ac:dyDescent="0.25">
      <c r="A138" t="s">
        <v>11</v>
      </c>
      <c r="B138">
        <v>57.19</v>
      </c>
      <c r="C138">
        <v>57.2</v>
      </c>
      <c r="D138" t="s">
        <v>27</v>
      </c>
      <c r="E138" s="2">
        <v>1148.8058000000001</v>
      </c>
      <c r="F138" s="2">
        <f t="shared" si="3"/>
        <v>-0.05</v>
      </c>
      <c r="G138" s="2">
        <f t="shared" si="4"/>
        <v>1148.8558</v>
      </c>
      <c r="H138" s="3">
        <f>Table1[[#This Row],[price_screen_bid]]*G138</f>
        <v>65703.063202000005</v>
      </c>
      <c r="I138" s="3">
        <f>Table1[[#This Row],[price_screen_ask]]*G138</f>
        <v>65714.551760000002</v>
      </c>
    </row>
    <row r="139" spans="1:9" x14ac:dyDescent="0.25">
      <c r="A139" t="s">
        <v>12</v>
      </c>
      <c r="B139">
        <v>50.97</v>
      </c>
      <c r="C139">
        <v>50.98</v>
      </c>
      <c r="D139" t="s">
        <v>27</v>
      </c>
      <c r="E139" s="2">
        <v>1288.7435</v>
      </c>
      <c r="F139" s="2">
        <f t="shared" si="3"/>
        <v>-0.15</v>
      </c>
      <c r="G139" s="2">
        <f t="shared" si="4"/>
        <v>1288.8935000000001</v>
      </c>
      <c r="H139" s="3">
        <f>Table1[[#This Row],[price_screen_bid]]*G139</f>
        <v>65694.901695000008</v>
      </c>
      <c r="I139" s="3">
        <f>Table1[[#This Row],[price_screen_ask]]*G139</f>
        <v>65707.790630000003</v>
      </c>
    </row>
    <row r="140" spans="1:9" x14ac:dyDescent="0.25">
      <c r="A140" t="s">
        <v>13</v>
      </c>
      <c r="B140">
        <v>18.579999999999998</v>
      </c>
      <c r="C140">
        <v>18.59</v>
      </c>
      <c r="D140" t="s">
        <v>27</v>
      </c>
      <c r="E140" s="2">
        <v>3535.8029000000001</v>
      </c>
      <c r="F140" s="2">
        <f t="shared" si="3"/>
        <v>0</v>
      </c>
      <c r="G140" s="2">
        <f t="shared" si="4"/>
        <v>3535.8029000000001</v>
      </c>
      <c r="H140" s="3">
        <f>Table1[[#This Row],[price_screen_bid]]*G140</f>
        <v>65695.217881999997</v>
      </c>
      <c r="I140" s="3">
        <f>Table1[[#This Row],[price_screen_ask]]*G140</f>
        <v>65730.575911000007</v>
      </c>
    </row>
    <row r="141" spans="1:9" x14ac:dyDescent="0.25">
      <c r="A141" t="s">
        <v>14</v>
      </c>
      <c r="B141">
        <v>37.22</v>
      </c>
      <c r="C141">
        <v>37.229999999999997</v>
      </c>
      <c r="D141" t="s">
        <v>27</v>
      </c>
      <c r="E141" s="2">
        <v>1764.9866999999999</v>
      </c>
      <c r="F141" s="2">
        <f t="shared" ref="F141:F204" si="5">F131</f>
        <v>0</v>
      </c>
      <c r="G141" s="2">
        <f t="shared" si="4"/>
        <v>1764.9866999999999</v>
      </c>
      <c r="H141" s="3">
        <f>Table1[[#This Row],[price_screen_bid]]*G141</f>
        <v>65692.804973999999</v>
      </c>
      <c r="I141" s="3">
        <f>Table1[[#This Row],[price_screen_ask]]*G141</f>
        <v>65710.454840999999</v>
      </c>
    </row>
    <row r="142" spans="1:9" x14ac:dyDescent="0.25">
      <c r="A142" t="s">
        <v>4</v>
      </c>
      <c r="B142">
        <v>21.77</v>
      </c>
      <c r="C142">
        <v>21.78</v>
      </c>
      <c r="D142" t="s">
        <v>28</v>
      </c>
      <c r="E142" s="2">
        <v>3014.8449999999998</v>
      </c>
      <c r="F142" s="2">
        <f t="shared" si="5"/>
        <v>0.1</v>
      </c>
      <c r="G142" s="2">
        <f t="shared" ref="G142:G205" si="6">E142-F142</f>
        <v>3014.7449999999999</v>
      </c>
      <c r="H142" s="3">
        <f>Table1[[#This Row],[price_screen_bid]]*G142</f>
        <v>65630.998649999994</v>
      </c>
      <c r="I142" s="3">
        <f>Table1[[#This Row],[price_screen_ask]]*G142</f>
        <v>65661.146099999998</v>
      </c>
    </row>
    <row r="143" spans="1:9" x14ac:dyDescent="0.25">
      <c r="A143" t="s">
        <v>6</v>
      </c>
      <c r="B143">
        <v>35.65</v>
      </c>
      <c r="C143">
        <v>35.659999999999997</v>
      </c>
      <c r="D143" t="s">
        <v>28</v>
      </c>
      <c r="E143" s="2">
        <v>1842.0499</v>
      </c>
      <c r="F143" s="2">
        <f t="shared" si="5"/>
        <v>-0.1</v>
      </c>
      <c r="G143" s="2">
        <f t="shared" si="6"/>
        <v>1842.1498999999999</v>
      </c>
      <c r="H143" s="3">
        <f>Table1[[#This Row],[price_screen_bid]]*G143</f>
        <v>65672.643935</v>
      </c>
      <c r="I143" s="3">
        <f>Table1[[#This Row],[price_screen_ask]]*G143</f>
        <v>65691.065433999989</v>
      </c>
    </row>
    <row r="144" spans="1:9" x14ac:dyDescent="0.25">
      <c r="A144" t="s">
        <v>7</v>
      </c>
      <c r="B144">
        <v>18.510000000000002</v>
      </c>
      <c r="C144">
        <v>18.52</v>
      </c>
      <c r="D144" t="s">
        <v>28</v>
      </c>
      <c r="E144" s="2">
        <v>3546.4557</v>
      </c>
      <c r="F144" s="2">
        <f t="shared" si="5"/>
        <v>0</v>
      </c>
      <c r="G144" s="2">
        <f t="shared" si="6"/>
        <v>3546.4557</v>
      </c>
      <c r="H144" s="3">
        <f>Table1[[#This Row],[price_screen_bid]]*G144</f>
        <v>65644.895006999999</v>
      </c>
      <c r="I144" s="3">
        <f>Table1[[#This Row],[price_screen_ask]]*G144</f>
        <v>65680.359563999998</v>
      </c>
    </row>
    <row r="145" spans="1:9" x14ac:dyDescent="0.25">
      <c r="A145" t="s">
        <v>8</v>
      </c>
      <c r="B145">
        <v>29.04</v>
      </c>
      <c r="C145">
        <v>29.05</v>
      </c>
      <c r="D145" t="s">
        <v>28</v>
      </c>
      <c r="E145" s="2">
        <v>2261.2858000000001</v>
      </c>
      <c r="F145" s="2">
        <f t="shared" si="5"/>
        <v>0</v>
      </c>
      <c r="G145" s="2">
        <f t="shared" si="6"/>
        <v>2261.2858000000001</v>
      </c>
      <c r="H145" s="3">
        <f>Table1[[#This Row],[price_screen_bid]]*G145</f>
        <v>65667.739631999997</v>
      </c>
      <c r="I145" s="3">
        <f>Table1[[#This Row],[price_screen_ask]]*G145</f>
        <v>65690.352490000005</v>
      </c>
    </row>
    <row r="146" spans="1:9" x14ac:dyDescent="0.25">
      <c r="A146" t="s">
        <v>9</v>
      </c>
      <c r="B146">
        <v>69.400000000000006</v>
      </c>
      <c r="C146">
        <v>69.47</v>
      </c>
      <c r="D146" t="s">
        <v>28</v>
      </c>
      <c r="E146" s="2">
        <v>946.09739999999999</v>
      </c>
      <c r="F146" s="2">
        <f t="shared" si="5"/>
        <v>0</v>
      </c>
      <c r="G146" s="2">
        <f t="shared" si="6"/>
        <v>946.09739999999999</v>
      </c>
      <c r="H146" s="3">
        <f>Table1[[#This Row],[price_screen_bid]]*G146</f>
        <v>65659.15956</v>
      </c>
      <c r="I146" s="3">
        <f>Table1[[#This Row],[price_screen_ask]]*G146</f>
        <v>65725.386377999996</v>
      </c>
    </row>
    <row r="147" spans="1:9" x14ac:dyDescent="0.25">
      <c r="A147" t="s">
        <v>10</v>
      </c>
      <c r="B147">
        <v>37.94</v>
      </c>
      <c r="C147">
        <v>37.97</v>
      </c>
      <c r="D147" t="s">
        <v>28</v>
      </c>
      <c r="E147" s="2">
        <v>1730.0737999999999</v>
      </c>
      <c r="F147" s="2">
        <f t="shared" si="5"/>
        <v>0.2</v>
      </c>
      <c r="G147" s="2">
        <f t="shared" si="6"/>
        <v>1729.8737999999998</v>
      </c>
      <c r="H147" s="3">
        <f>Table1[[#This Row],[price_screen_bid]]*G147</f>
        <v>65631.411971999987</v>
      </c>
      <c r="I147" s="3">
        <f>Table1[[#This Row],[price_screen_ask]]*G147</f>
        <v>65683.308185999995</v>
      </c>
    </row>
    <row r="148" spans="1:9" x14ac:dyDescent="0.25">
      <c r="A148" t="s">
        <v>11</v>
      </c>
      <c r="B148">
        <v>57.16</v>
      </c>
      <c r="C148">
        <v>57.17</v>
      </c>
      <c r="D148" t="s">
        <v>28</v>
      </c>
      <c r="E148" s="2">
        <v>1148.8058000000001</v>
      </c>
      <c r="F148" s="2">
        <f t="shared" si="5"/>
        <v>-0.05</v>
      </c>
      <c r="G148" s="2">
        <f t="shared" si="6"/>
        <v>1148.8558</v>
      </c>
      <c r="H148" s="3">
        <f>Table1[[#This Row],[price_screen_bid]]*G148</f>
        <v>65668.597527999998</v>
      </c>
      <c r="I148" s="3">
        <f>Table1[[#This Row],[price_screen_ask]]*G148</f>
        <v>65680.08608600001</v>
      </c>
    </row>
    <row r="149" spans="1:9" x14ac:dyDescent="0.25">
      <c r="A149" t="s">
        <v>12</v>
      </c>
      <c r="B149">
        <v>50.94</v>
      </c>
      <c r="C149">
        <v>50.95</v>
      </c>
      <c r="D149" t="s">
        <v>28</v>
      </c>
      <c r="E149" s="2">
        <v>1288.7435</v>
      </c>
      <c r="F149" s="2">
        <f t="shared" si="5"/>
        <v>-0.15</v>
      </c>
      <c r="G149" s="2">
        <f t="shared" si="6"/>
        <v>1288.8935000000001</v>
      </c>
      <c r="H149" s="3">
        <f>Table1[[#This Row],[price_screen_bid]]*G149</f>
        <v>65656.234890000007</v>
      </c>
      <c r="I149" s="3">
        <f>Table1[[#This Row],[price_screen_ask]]*G149</f>
        <v>65669.123825000017</v>
      </c>
    </row>
    <row r="150" spans="1:9" x14ac:dyDescent="0.25">
      <c r="A150" t="s">
        <v>13</v>
      </c>
      <c r="B150">
        <v>18.57</v>
      </c>
      <c r="C150">
        <v>18.579999999999998</v>
      </c>
      <c r="D150" t="s">
        <v>28</v>
      </c>
      <c r="E150" s="2">
        <v>3535.8029000000001</v>
      </c>
      <c r="F150" s="2">
        <f t="shared" si="5"/>
        <v>0</v>
      </c>
      <c r="G150" s="2">
        <f t="shared" si="6"/>
        <v>3535.8029000000001</v>
      </c>
      <c r="H150" s="3">
        <f>Table1[[#This Row],[price_screen_bid]]*G150</f>
        <v>65659.859853000002</v>
      </c>
      <c r="I150" s="3">
        <f>Table1[[#This Row],[price_screen_ask]]*G150</f>
        <v>65695.217881999997</v>
      </c>
    </row>
    <row r="151" spans="1:9" x14ac:dyDescent="0.25">
      <c r="A151" t="s">
        <v>14</v>
      </c>
      <c r="B151">
        <v>37.200000000000003</v>
      </c>
      <c r="C151">
        <v>37.21</v>
      </c>
      <c r="D151" t="s">
        <v>28</v>
      </c>
      <c r="E151" s="2">
        <v>1764.9866999999999</v>
      </c>
      <c r="F151" s="2">
        <f t="shared" si="5"/>
        <v>0</v>
      </c>
      <c r="G151" s="2">
        <f t="shared" si="6"/>
        <v>1764.9866999999999</v>
      </c>
      <c r="H151" s="3">
        <f>Table1[[#This Row],[price_screen_bid]]*G151</f>
        <v>65657.505239999999</v>
      </c>
      <c r="I151" s="3">
        <f>Table1[[#This Row],[price_screen_ask]]*G151</f>
        <v>65675.155106999999</v>
      </c>
    </row>
    <row r="152" spans="1:9" x14ac:dyDescent="0.25">
      <c r="A152" t="s">
        <v>4</v>
      </c>
      <c r="B152">
        <v>21.86</v>
      </c>
      <c r="C152">
        <v>21.87</v>
      </c>
      <c r="D152" t="s">
        <v>29</v>
      </c>
      <c r="E152" s="2">
        <v>3014.8449999999998</v>
      </c>
      <c r="F152" s="2">
        <f t="shared" si="5"/>
        <v>0.1</v>
      </c>
      <c r="G152" s="2">
        <f t="shared" si="6"/>
        <v>3014.7449999999999</v>
      </c>
      <c r="H152" s="3">
        <f>Table1[[#This Row],[price_screen_bid]]*G152</f>
        <v>65902.325700000001</v>
      </c>
      <c r="I152" s="3">
        <f>Table1[[#This Row],[price_screen_ask]]*G152</f>
        <v>65932.473150000005</v>
      </c>
    </row>
    <row r="153" spans="1:9" x14ac:dyDescent="0.25">
      <c r="A153" t="s">
        <v>6</v>
      </c>
      <c r="B153">
        <v>35.78</v>
      </c>
      <c r="C153">
        <v>35.79</v>
      </c>
      <c r="D153" t="s">
        <v>29</v>
      </c>
      <c r="E153" s="2">
        <v>1842.0499</v>
      </c>
      <c r="F153" s="2">
        <f t="shared" si="5"/>
        <v>-0.1</v>
      </c>
      <c r="G153" s="2">
        <f t="shared" si="6"/>
        <v>1842.1498999999999</v>
      </c>
      <c r="H153" s="3">
        <f>Table1[[#This Row],[price_screen_bid]]*G153</f>
        <v>65912.123422000004</v>
      </c>
      <c r="I153" s="3">
        <f>Table1[[#This Row],[price_screen_ask]]*G153</f>
        <v>65930.544920999993</v>
      </c>
    </row>
    <row r="154" spans="1:9" x14ac:dyDescent="0.25">
      <c r="A154" t="s">
        <v>7</v>
      </c>
      <c r="B154">
        <v>18.59</v>
      </c>
      <c r="C154">
        <v>18.600000000000001</v>
      </c>
      <c r="D154" t="s">
        <v>29</v>
      </c>
      <c r="E154" s="2">
        <v>3546.4557</v>
      </c>
      <c r="F154" s="2">
        <f t="shared" si="5"/>
        <v>0</v>
      </c>
      <c r="G154" s="2">
        <f t="shared" si="6"/>
        <v>3546.4557</v>
      </c>
      <c r="H154" s="3">
        <f>Table1[[#This Row],[price_screen_bid]]*G154</f>
        <v>65928.611462999994</v>
      </c>
      <c r="I154" s="3">
        <f>Table1[[#This Row],[price_screen_ask]]*G154</f>
        <v>65964.076020000008</v>
      </c>
    </row>
    <row r="155" spans="1:9" x14ac:dyDescent="0.25">
      <c r="A155" t="s">
        <v>8</v>
      </c>
      <c r="B155">
        <v>29.15</v>
      </c>
      <c r="C155">
        <v>29.16</v>
      </c>
      <c r="D155" t="s">
        <v>29</v>
      </c>
      <c r="E155" s="2">
        <v>2261.2858000000001</v>
      </c>
      <c r="F155" s="2">
        <f t="shared" si="5"/>
        <v>0</v>
      </c>
      <c r="G155" s="2">
        <f t="shared" si="6"/>
        <v>2261.2858000000001</v>
      </c>
      <c r="H155" s="3">
        <f>Table1[[#This Row],[price_screen_bid]]*G155</f>
        <v>65916.481069999994</v>
      </c>
      <c r="I155" s="3">
        <f>Table1[[#This Row],[price_screen_ask]]*G155</f>
        <v>65939.093928000002</v>
      </c>
    </row>
    <row r="156" spans="1:9" x14ac:dyDescent="0.25">
      <c r="A156" t="s">
        <v>9</v>
      </c>
      <c r="B156">
        <v>69.680000000000007</v>
      </c>
      <c r="C156">
        <v>69.739999999999995</v>
      </c>
      <c r="D156" t="s">
        <v>29</v>
      </c>
      <c r="E156" s="2">
        <v>946.09739999999999</v>
      </c>
      <c r="F156" s="2">
        <f t="shared" si="5"/>
        <v>0</v>
      </c>
      <c r="G156" s="2">
        <f t="shared" si="6"/>
        <v>946.09739999999999</v>
      </c>
      <c r="H156" s="3">
        <f>Table1[[#This Row],[price_screen_bid]]*G156</f>
        <v>65924.066832000011</v>
      </c>
      <c r="I156" s="3">
        <f>Table1[[#This Row],[price_screen_ask]]*G156</f>
        <v>65980.832675999991</v>
      </c>
    </row>
    <row r="157" spans="1:9" x14ac:dyDescent="0.25">
      <c r="A157" t="s">
        <v>10</v>
      </c>
      <c r="B157">
        <v>38.090000000000003</v>
      </c>
      <c r="C157">
        <v>38.11</v>
      </c>
      <c r="D157" t="s">
        <v>29</v>
      </c>
      <c r="E157" s="2">
        <v>1730.0737999999999</v>
      </c>
      <c r="F157" s="2">
        <f t="shared" si="5"/>
        <v>0.2</v>
      </c>
      <c r="G157" s="2">
        <f t="shared" si="6"/>
        <v>1729.8737999999998</v>
      </c>
      <c r="H157" s="3">
        <f>Table1[[#This Row],[price_screen_bid]]*G157</f>
        <v>65890.893041999996</v>
      </c>
      <c r="I157" s="3">
        <f>Table1[[#This Row],[price_screen_ask]]*G157</f>
        <v>65925.490517999991</v>
      </c>
    </row>
    <row r="158" spans="1:9" x14ac:dyDescent="0.25">
      <c r="A158" t="s">
        <v>11</v>
      </c>
      <c r="B158">
        <v>57.38</v>
      </c>
      <c r="C158">
        <v>57.39</v>
      </c>
      <c r="D158" t="s">
        <v>29</v>
      </c>
      <c r="E158" s="2">
        <v>1148.8058000000001</v>
      </c>
      <c r="F158" s="2">
        <f t="shared" si="5"/>
        <v>-0.05</v>
      </c>
      <c r="G158" s="2">
        <f t="shared" si="6"/>
        <v>1148.8558</v>
      </c>
      <c r="H158" s="3">
        <f>Table1[[#This Row],[price_screen_bid]]*G158</f>
        <v>65921.345804000011</v>
      </c>
      <c r="I158" s="3">
        <f>Table1[[#This Row],[price_screen_ask]]*G158</f>
        <v>65932.834362000009</v>
      </c>
    </row>
    <row r="159" spans="1:9" x14ac:dyDescent="0.25">
      <c r="A159" t="s">
        <v>12</v>
      </c>
      <c r="B159">
        <v>51.14</v>
      </c>
      <c r="C159">
        <v>51.15</v>
      </c>
      <c r="D159" t="s">
        <v>29</v>
      </c>
      <c r="E159" s="2">
        <v>1288.7435</v>
      </c>
      <c r="F159" s="2">
        <f t="shared" si="5"/>
        <v>-0.15</v>
      </c>
      <c r="G159" s="2">
        <f t="shared" si="6"/>
        <v>1288.8935000000001</v>
      </c>
      <c r="H159" s="3">
        <f>Table1[[#This Row],[price_screen_bid]]*G159</f>
        <v>65914.013590000002</v>
      </c>
      <c r="I159" s="3">
        <f>Table1[[#This Row],[price_screen_ask]]*G159</f>
        <v>65926.902524999998</v>
      </c>
    </row>
    <row r="160" spans="1:9" x14ac:dyDescent="0.25">
      <c r="A160" t="s">
        <v>13</v>
      </c>
      <c r="B160">
        <v>18.64</v>
      </c>
      <c r="C160">
        <v>18.649999999999999</v>
      </c>
      <c r="D160" t="s">
        <v>29</v>
      </c>
      <c r="E160" s="2">
        <v>3535.8029000000001</v>
      </c>
      <c r="F160" s="2">
        <f t="shared" si="5"/>
        <v>0</v>
      </c>
      <c r="G160" s="2">
        <f t="shared" si="6"/>
        <v>3535.8029000000001</v>
      </c>
      <c r="H160" s="3">
        <f>Table1[[#This Row],[price_screen_bid]]*G160</f>
        <v>65907.366055999999</v>
      </c>
      <c r="I160" s="3">
        <f>Table1[[#This Row],[price_screen_ask]]*G160</f>
        <v>65942.724084999994</v>
      </c>
    </row>
    <row r="161" spans="1:9" x14ac:dyDescent="0.25">
      <c r="A161" t="s">
        <v>14</v>
      </c>
      <c r="B161">
        <v>37.35</v>
      </c>
      <c r="C161">
        <v>37.36</v>
      </c>
      <c r="D161" t="s">
        <v>29</v>
      </c>
      <c r="E161" s="2">
        <v>1764.9866999999999</v>
      </c>
      <c r="F161" s="2">
        <f t="shared" si="5"/>
        <v>0</v>
      </c>
      <c r="G161" s="2">
        <f t="shared" si="6"/>
        <v>1764.9866999999999</v>
      </c>
      <c r="H161" s="3">
        <f>Table1[[#This Row],[price_screen_bid]]*G161</f>
        <v>65922.253245</v>
      </c>
      <c r="I161" s="3">
        <f>Table1[[#This Row],[price_screen_ask]]*G161</f>
        <v>65939.903112</v>
      </c>
    </row>
    <row r="162" spans="1:9" x14ac:dyDescent="0.25">
      <c r="A162" t="s">
        <v>4</v>
      </c>
      <c r="B162">
        <v>21.9</v>
      </c>
      <c r="C162">
        <v>21.91</v>
      </c>
      <c r="D162" t="s">
        <v>30</v>
      </c>
      <c r="E162" s="2">
        <v>3014.8449999999998</v>
      </c>
      <c r="F162" s="2">
        <f t="shared" si="5"/>
        <v>0.1</v>
      </c>
      <c r="G162" s="2">
        <f t="shared" si="6"/>
        <v>3014.7449999999999</v>
      </c>
      <c r="H162" s="3">
        <f>Table1[[#This Row],[price_screen_bid]]*G162</f>
        <v>66022.915499999988</v>
      </c>
      <c r="I162" s="3">
        <f>Table1[[#This Row],[price_screen_ask]]*G162</f>
        <v>66053.062949999992</v>
      </c>
    </row>
    <row r="163" spans="1:9" x14ac:dyDescent="0.25">
      <c r="A163" t="s">
        <v>6</v>
      </c>
      <c r="B163">
        <v>35.840000000000003</v>
      </c>
      <c r="C163">
        <v>35.85</v>
      </c>
      <c r="D163" t="s">
        <v>30</v>
      </c>
      <c r="E163" s="2">
        <v>1842.0499</v>
      </c>
      <c r="F163" s="2">
        <f t="shared" si="5"/>
        <v>-0.1</v>
      </c>
      <c r="G163" s="2">
        <f t="shared" si="6"/>
        <v>1842.1498999999999</v>
      </c>
      <c r="H163" s="3">
        <f>Table1[[#This Row],[price_screen_bid]]*G163</f>
        <v>66022.652415999997</v>
      </c>
      <c r="I163" s="3">
        <f>Table1[[#This Row],[price_screen_ask]]*G163</f>
        <v>66041.073915000001</v>
      </c>
    </row>
    <row r="164" spans="1:9" x14ac:dyDescent="0.25">
      <c r="A164" t="s">
        <v>7</v>
      </c>
      <c r="B164">
        <v>18.62</v>
      </c>
      <c r="C164">
        <v>18.63</v>
      </c>
      <c r="D164" t="s">
        <v>30</v>
      </c>
      <c r="E164" s="2">
        <v>3546.4557</v>
      </c>
      <c r="F164" s="2">
        <f t="shared" si="5"/>
        <v>0</v>
      </c>
      <c r="G164" s="2">
        <f t="shared" si="6"/>
        <v>3546.4557</v>
      </c>
      <c r="H164" s="3">
        <f>Table1[[#This Row],[price_screen_bid]]*G164</f>
        <v>66035.005134000006</v>
      </c>
      <c r="I164" s="3">
        <f>Table1[[#This Row],[price_screen_ask]]*G164</f>
        <v>66070.469690999991</v>
      </c>
    </row>
    <row r="165" spans="1:9" x14ac:dyDescent="0.25">
      <c r="A165" t="s">
        <v>8</v>
      </c>
      <c r="B165">
        <v>29.2</v>
      </c>
      <c r="C165">
        <v>29.21</v>
      </c>
      <c r="D165" t="s">
        <v>30</v>
      </c>
      <c r="E165" s="2">
        <v>2261.2858000000001</v>
      </c>
      <c r="F165" s="2">
        <f t="shared" si="5"/>
        <v>0</v>
      </c>
      <c r="G165" s="2">
        <f t="shared" si="6"/>
        <v>2261.2858000000001</v>
      </c>
      <c r="H165" s="3">
        <f>Table1[[#This Row],[price_screen_bid]]*G165</f>
        <v>66029.545360000004</v>
      </c>
      <c r="I165" s="3">
        <f>Table1[[#This Row],[price_screen_ask]]*G165</f>
        <v>66052.158218000011</v>
      </c>
    </row>
    <row r="166" spans="1:9" x14ac:dyDescent="0.25">
      <c r="A166" t="s">
        <v>9</v>
      </c>
      <c r="B166">
        <v>69.790000000000006</v>
      </c>
      <c r="C166">
        <v>69.849999999999994</v>
      </c>
      <c r="D166" t="s">
        <v>30</v>
      </c>
      <c r="E166" s="2">
        <v>946.09739999999999</v>
      </c>
      <c r="F166" s="2">
        <f t="shared" si="5"/>
        <v>0</v>
      </c>
      <c r="G166" s="2">
        <f t="shared" si="6"/>
        <v>946.09739999999999</v>
      </c>
      <c r="H166" s="3">
        <f>Table1[[#This Row],[price_screen_bid]]*G166</f>
        <v>66028.137546000013</v>
      </c>
      <c r="I166" s="3">
        <f>Table1[[#This Row],[price_screen_ask]]*G166</f>
        <v>66084.903389999992</v>
      </c>
    </row>
    <row r="167" spans="1:9" x14ac:dyDescent="0.25">
      <c r="A167" t="s">
        <v>10</v>
      </c>
      <c r="B167">
        <v>38.15</v>
      </c>
      <c r="C167">
        <v>38.17</v>
      </c>
      <c r="D167" t="s">
        <v>30</v>
      </c>
      <c r="E167" s="2">
        <v>1730.0737999999999</v>
      </c>
      <c r="F167" s="2">
        <f t="shared" si="5"/>
        <v>0.2</v>
      </c>
      <c r="G167" s="2">
        <f t="shared" si="6"/>
        <v>1729.8737999999998</v>
      </c>
      <c r="H167" s="3">
        <f>Table1[[#This Row],[price_screen_bid]]*G167</f>
        <v>65994.685469999997</v>
      </c>
      <c r="I167" s="3">
        <f>Table1[[#This Row],[price_screen_ask]]*G167</f>
        <v>66029.282945999992</v>
      </c>
    </row>
    <row r="168" spans="1:9" x14ac:dyDescent="0.25">
      <c r="A168" t="s">
        <v>11</v>
      </c>
      <c r="B168">
        <v>57.47</v>
      </c>
      <c r="C168">
        <v>57.48</v>
      </c>
      <c r="D168" t="s">
        <v>30</v>
      </c>
      <c r="E168" s="2">
        <v>1148.8058000000001</v>
      </c>
      <c r="F168" s="2">
        <f t="shared" si="5"/>
        <v>-0.05</v>
      </c>
      <c r="G168" s="2">
        <f t="shared" si="6"/>
        <v>1148.8558</v>
      </c>
      <c r="H168" s="3">
        <f>Table1[[#This Row],[price_screen_bid]]*G168</f>
        <v>66024.742826000002</v>
      </c>
      <c r="I168" s="3">
        <f>Table1[[#This Row],[price_screen_ask]]*G168</f>
        <v>66036.231383999999</v>
      </c>
    </row>
    <row r="169" spans="1:9" x14ac:dyDescent="0.25">
      <c r="A169" t="s">
        <v>12</v>
      </c>
      <c r="B169">
        <v>51.22</v>
      </c>
      <c r="C169">
        <v>51.23</v>
      </c>
      <c r="D169" t="s">
        <v>30</v>
      </c>
      <c r="E169" s="2">
        <v>1288.7435</v>
      </c>
      <c r="F169" s="2">
        <f t="shared" si="5"/>
        <v>-0.15</v>
      </c>
      <c r="G169" s="2">
        <f t="shared" si="6"/>
        <v>1288.8935000000001</v>
      </c>
      <c r="H169" s="3">
        <f>Table1[[#This Row],[price_screen_bid]]*G169</f>
        <v>66017.125070000009</v>
      </c>
      <c r="I169" s="3">
        <f>Table1[[#This Row],[price_screen_ask]]*G169</f>
        <v>66030.014005000005</v>
      </c>
    </row>
    <row r="170" spans="1:9" x14ac:dyDescent="0.25">
      <c r="A170" t="s">
        <v>13</v>
      </c>
      <c r="B170">
        <v>18.670000000000002</v>
      </c>
      <c r="C170">
        <v>18.68</v>
      </c>
      <c r="D170" t="s">
        <v>30</v>
      </c>
      <c r="E170" s="2">
        <v>3535.8029000000001</v>
      </c>
      <c r="F170" s="2">
        <f t="shared" si="5"/>
        <v>0</v>
      </c>
      <c r="G170" s="2">
        <f t="shared" si="6"/>
        <v>3535.8029000000001</v>
      </c>
      <c r="H170" s="3">
        <f>Table1[[#This Row],[price_screen_bid]]*G170</f>
        <v>66013.440143000014</v>
      </c>
      <c r="I170" s="3">
        <f>Table1[[#This Row],[price_screen_ask]]*G170</f>
        <v>66048.798171999995</v>
      </c>
    </row>
    <row r="171" spans="1:9" x14ac:dyDescent="0.25">
      <c r="A171" t="s">
        <v>14</v>
      </c>
      <c r="B171">
        <v>37.409999999999997</v>
      </c>
      <c r="C171">
        <v>37.42</v>
      </c>
      <c r="D171" t="s">
        <v>30</v>
      </c>
      <c r="E171" s="2">
        <v>1764.9866999999999</v>
      </c>
      <c r="F171" s="2">
        <f t="shared" si="5"/>
        <v>0</v>
      </c>
      <c r="G171" s="2">
        <f t="shared" si="6"/>
        <v>1764.9866999999999</v>
      </c>
      <c r="H171" s="3">
        <f>Table1[[#This Row],[price_screen_bid]]*G171</f>
        <v>66028.152446999986</v>
      </c>
      <c r="I171" s="3">
        <f>Table1[[#This Row],[price_screen_ask]]*G171</f>
        <v>66045.802314</v>
      </c>
    </row>
    <row r="172" spans="1:9" x14ac:dyDescent="0.25">
      <c r="A172" t="s">
        <v>4</v>
      </c>
      <c r="B172">
        <v>21.86</v>
      </c>
      <c r="C172">
        <v>21.87</v>
      </c>
      <c r="D172" t="s">
        <v>31</v>
      </c>
      <c r="E172" s="2">
        <v>3014.8449999999998</v>
      </c>
      <c r="F172" s="2">
        <f t="shared" si="5"/>
        <v>0.1</v>
      </c>
      <c r="G172" s="2">
        <f t="shared" si="6"/>
        <v>3014.7449999999999</v>
      </c>
      <c r="H172" s="3">
        <f>Table1[[#This Row],[price_screen_bid]]*G172</f>
        <v>65902.325700000001</v>
      </c>
      <c r="I172" s="3">
        <f>Table1[[#This Row],[price_screen_ask]]*G172</f>
        <v>65932.473150000005</v>
      </c>
    </row>
    <row r="173" spans="1:9" x14ac:dyDescent="0.25">
      <c r="A173" t="s">
        <v>6</v>
      </c>
      <c r="B173">
        <v>35.79</v>
      </c>
      <c r="C173">
        <v>35.799999999999997</v>
      </c>
      <c r="D173" t="s">
        <v>31</v>
      </c>
      <c r="E173" s="2">
        <v>1842.0499</v>
      </c>
      <c r="F173" s="2">
        <f t="shared" si="5"/>
        <v>-0.1</v>
      </c>
      <c r="G173" s="2">
        <f t="shared" si="6"/>
        <v>1842.1498999999999</v>
      </c>
      <c r="H173" s="3">
        <f>Table1[[#This Row],[price_screen_bid]]*G173</f>
        <v>65930.544920999993</v>
      </c>
      <c r="I173" s="3">
        <f>Table1[[#This Row],[price_screen_ask]]*G173</f>
        <v>65948.966419999997</v>
      </c>
    </row>
    <row r="174" spans="1:9" x14ac:dyDescent="0.25">
      <c r="A174" t="s">
        <v>7</v>
      </c>
      <c r="B174">
        <v>18.59</v>
      </c>
      <c r="C174">
        <v>18.600000000000001</v>
      </c>
      <c r="D174" t="s">
        <v>31</v>
      </c>
      <c r="E174" s="2">
        <v>3546.4557</v>
      </c>
      <c r="F174" s="2">
        <f t="shared" si="5"/>
        <v>0</v>
      </c>
      <c r="G174" s="2">
        <f t="shared" si="6"/>
        <v>3546.4557</v>
      </c>
      <c r="H174" s="3">
        <f>Table1[[#This Row],[price_screen_bid]]*G174</f>
        <v>65928.611462999994</v>
      </c>
      <c r="I174" s="3">
        <f>Table1[[#This Row],[price_screen_ask]]*G174</f>
        <v>65964.076020000008</v>
      </c>
    </row>
    <row r="175" spans="1:9" x14ac:dyDescent="0.25">
      <c r="A175" t="s">
        <v>8</v>
      </c>
      <c r="B175">
        <v>29.16</v>
      </c>
      <c r="C175">
        <v>29.17</v>
      </c>
      <c r="D175" t="s">
        <v>31</v>
      </c>
      <c r="E175" s="2">
        <v>2261.2858000000001</v>
      </c>
      <c r="F175" s="2">
        <f t="shared" si="5"/>
        <v>0</v>
      </c>
      <c r="G175" s="2">
        <f t="shared" si="6"/>
        <v>2261.2858000000001</v>
      </c>
      <c r="H175" s="3">
        <f>Table1[[#This Row],[price_screen_bid]]*G175</f>
        <v>65939.093928000002</v>
      </c>
      <c r="I175" s="3">
        <f>Table1[[#This Row],[price_screen_ask]]*G175</f>
        <v>65961.70678600001</v>
      </c>
    </row>
    <row r="176" spans="1:9" x14ac:dyDescent="0.25">
      <c r="A176" t="s">
        <v>9</v>
      </c>
      <c r="B176">
        <v>69.69</v>
      </c>
      <c r="C176">
        <v>69.739999999999995</v>
      </c>
      <c r="D176" t="s">
        <v>31</v>
      </c>
      <c r="E176" s="2">
        <v>946.09739999999999</v>
      </c>
      <c r="F176" s="2">
        <f t="shared" si="5"/>
        <v>0</v>
      </c>
      <c r="G176" s="2">
        <f t="shared" si="6"/>
        <v>946.09739999999999</v>
      </c>
      <c r="H176" s="3">
        <f>Table1[[#This Row],[price_screen_bid]]*G176</f>
        <v>65933.527805999998</v>
      </c>
      <c r="I176" s="3">
        <f>Table1[[#This Row],[price_screen_ask]]*G176</f>
        <v>65980.832675999991</v>
      </c>
    </row>
    <row r="177" spans="1:9" x14ac:dyDescent="0.25">
      <c r="A177" t="s">
        <v>10</v>
      </c>
      <c r="B177">
        <v>38.090000000000003</v>
      </c>
      <c r="C177">
        <v>38.119999999999997</v>
      </c>
      <c r="D177" t="s">
        <v>31</v>
      </c>
      <c r="E177" s="2">
        <v>1730.0737999999999</v>
      </c>
      <c r="F177" s="2">
        <f t="shared" si="5"/>
        <v>0.2</v>
      </c>
      <c r="G177" s="2">
        <f t="shared" si="6"/>
        <v>1729.8737999999998</v>
      </c>
      <c r="H177" s="3">
        <f>Table1[[#This Row],[price_screen_bid]]*G177</f>
        <v>65890.893041999996</v>
      </c>
      <c r="I177" s="3">
        <f>Table1[[#This Row],[price_screen_ask]]*G177</f>
        <v>65942.789255999989</v>
      </c>
    </row>
    <row r="178" spans="1:9" x14ac:dyDescent="0.25">
      <c r="A178" t="s">
        <v>11</v>
      </c>
      <c r="B178">
        <v>57.4</v>
      </c>
      <c r="C178">
        <v>57.41</v>
      </c>
      <c r="D178" t="s">
        <v>31</v>
      </c>
      <c r="E178" s="2">
        <v>1148.8058000000001</v>
      </c>
      <c r="F178" s="2">
        <f t="shared" si="5"/>
        <v>-0.05</v>
      </c>
      <c r="G178" s="2">
        <f t="shared" si="6"/>
        <v>1148.8558</v>
      </c>
      <c r="H178" s="3">
        <f>Table1[[#This Row],[price_screen_bid]]*G178</f>
        <v>65944.322920000006</v>
      </c>
      <c r="I178" s="3">
        <f>Table1[[#This Row],[price_screen_ask]]*G178</f>
        <v>65955.811478000003</v>
      </c>
    </row>
    <row r="179" spans="1:9" x14ac:dyDescent="0.25">
      <c r="A179" t="s">
        <v>12</v>
      </c>
      <c r="B179">
        <v>51.15</v>
      </c>
      <c r="C179">
        <v>51.16</v>
      </c>
      <c r="D179" t="s">
        <v>31</v>
      </c>
      <c r="E179" s="2">
        <v>1288.7435</v>
      </c>
      <c r="F179" s="2">
        <f t="shared" si="5"/>
        <v>-0.15</v>
      </c>
      <c r="G179" s="2">
        <f t="shared" si="6"/>
        <v>1288.8935000000001</v>
      </c>
      <c r="H179" s="3">
        <f>Table1[[#This Row],[price_screen_bid]]*G179</f>
        <v>65926.902524999998</v>
      </c>
      <c r="I179" s="3">
        <f>Table1[[#This Row],[price_screen_ask]]*G179</f>
        <v>65939.791460000008</v>
      </c>
    </row>
    <row r="180" spans="1:9" x14ac:dyDescent="0.25">
      <c r="A180" t="s">
        <v>13</v>
      </c>
      <c r="B180">
        <v>18.64</v>
      </c>
      <c r="C180">
        <v>18.649999999999999</v>
      </c>
      <c r="D180" t="s">
        <v>31</v>
      </c>
      <c r="E180" s="2">
        <v>3535.8029000000001</v>
      </c>
      <c r="F180" s="2">
        <f t="shared" si="5"/>
        <v>0</v>
      </c>
      <c r="G180" s="2">
        <f t="shared" si="6"/>
        <v>3535.8029000000001</v>
      </c>
      <c r="H180" s="3">
        <f>Table1[[#This Row],[price_screen_bid]]*G180</f>
        <v>65907.366055999999</v>
      </c>
      <c r="I180" s="3">
        <f>Table1[[#This Row],[price_screen_ask]]*G180</f>
        <v>65942.724084999994</v>
      </c>
    </row>
    <row r="181" spans="1:9" x14ac:dyDescent="0.25">
      <c r="A181" t="s">
        <v>14</v>
      </c>
      <c r="B181">
        <v>37.35</v>
      </c>
      <c r="C181">
        <v>37.36</v>
      </c>
      <c r="D181" t="s">
        <v>31</v>
      </c>
      <c r="E181" s="2">
        <v>1764.9866999999999</v>
      </c>
      <c r="F181" s="2">
        <f t="shared" si="5"/>
        <v>0</v>
      </c>
      <c r="G181" s="2">
        <f t="shared" si="6"/>
        <v>1764.9866999999999</v>
      </c>
      <c r="H181" s="3">
        <f>Table1[[#This Row],[price_screen_bid]]*G181</f>
        <v>65922.253245</v>
      </c>
      <c r="I181" s="3">
        <f>Table1[[#This Row],[price_screen_ask]]*G181</f>
        <v>65939.903112</v>
      </c>
    </row>
    <row r="182" spans="1:9" x14ac:dyDescent="0.25">
      <c r="A182" t="s">
        <v>4</v>
      </c>
      <c r="B182">
        <v>21.83</v>
      </c>
      <c r="C182">
        <v>21.84</v>
      </c>
      <c r="D182" t="s">
        <v>32</v>
      </c>
      <c r="E182" s="2">
        <v>3014.8449999999998</v>
      </c>
      <c r="F182" s="2">
        <f t="shared" si="5"/>
        <v>0.1</v>
      </c>
      <c r="G182" s="2">
        <f t="shared" si="6"/>
        <v>3014.7449999999999</v>
      </c>
      <c r="H182" s="3">
        <f>Table1[[#This Row],[price_screen_bid]]*G182</f>
        <v>65811.883349999989</v>
      </c>
      <c r="I182" s="3">
        <f>Table1[[#This Row],[price_screen_ask]]*G182</f>
        <v>65842.030799999993</v>
      </c>
    </row>
    <row r="183" spans="1:9" x14ac:dyDescent="0.25">
      <c r="A183" t="s">
        <v>6</v>
      </c>
      <c r="B183">
        <v>35.74</v>
      </c>
      <c r="C183">
        <v>35.75</v>
      </c>
      <c r="D183" t="s">
        <v>32</v>
      </c>
      <c r="E183" s="2">
        <v>1842.0499</v>
      </c>
      <c r="F183" s="2">
        <f t="shared" si="5"/>
        <v>-0.1</v>
      </c>
      <c r="G183" s="2">
        <f t="shared" si="6"/>
        <v>1842.1498999999999</v>
      </c>
      <c r="H183" s="3">
        <f>Table1[[#This Row],[price_screen_bid]]*G183</f>
        <v>65838.437426000004</v>
      </c>
      <c r="I183" s="3">
        <f>Table1[[#This Row],[price_screen_ask]]*G183</f>
        <v>65856.858924999993</v>
      </c>
    </row>
    <row r="184" spans="1:9" x14ac:dyDescent="0.25">
      <c r="A184" t="s">
        <v>7</v>
      </c>
      <c r="B184">
        <v>18.559999999999999</v>
      </c>
      <c r="C184">
        <v>18.57</v>
      </c>
      <c r="D184" t="s">
        <v>32</v>
      </c>
      <c r="E184" s="2">
        <v>3546.4557</v>
      </c>
      <c r="F184" s="2">
        <f t="shared" si="5"/>
        <v>0</v>
      </c>
      <c r="G184" s="2">
        <f t="shared" si="6"/>
        <v>3546.4557</v>
      </c>
      <c r="H184" s="3">
        <f>Table1[[#This Row],[price_screen_bid]]*G184</f>
        <v>65822.217791999996</v>
      </c>
      <c r="I184" s="3">
        <f>Table1[[#This Row],[price_screen_ask]]*G184</f>
        <v>65857.682348999995</v>
      </c>
    </row>
    <row r="185" spans="1:9" x14ac:dyDescent="0.25">
      <c r="A185" t="s">
        <v>8</v>
      </c>
      <c r="B185">
        <v>29.12</v>
      </c>
      <c r="C185">
        <v>29.13</v>
      </c>
      <c r="D185" t="s">
        <v>32</v>
      </c>
      <c r="E185" s="2">
        <v>2261.2858000000001</v>
      </c>
      <c r="F185" s="2">
        <f t="shared" si="5"/>
        <v>0</v>
      </c>
      <c r="G185" s="2">
        <f t="shared" si="6"/>
        <v>2261.2858000000001</v>
      </c>
      <c r="H185" s="3">
        <f>Table1[[#This Row],[price_screen_bid]]*G185</f>
        <v>65848.642496</v>
      </c>
      <c r="I185" s="3">
        <f>Table1[[#This Row],[price_screen_ask]]*G185</f>
        <v>65871.255354000008</v>
      </c>
    </row>
    <row r="186" spans="1:9" x14ac:dyDescent="0.25">
      <c r="A186" t="s">
        <v>9</v>
      </c>
      <c r="B186">
        <v>69.599999999999994</v>
      </c>
      <c r="C186">
        <v>69.650000000000006</v>
      </c>
      <c r="D186" t="s">
        <v>32</v>
      </c>
      <c r="E186" s="2">
        <v>946.09739999999999</v>
      </c>
      <c r="F186" s="2">
        <f t="shared" si="5"/>
        <v>0</v>
      </c>
      <c r="G186" s="2">
        <f t="shared" si="6"/>
        <v>946.09739999999999</v>
      </c>
      <c r="H186" s="3">
        <f>Table1[[#This Row],[price_screen_bid]]*G186</f>
        <v>65848.37904</v>
      </c>
      <c r="I186" s="3">
        <f>Table1[[#This Row],[price_screen_ask]]*G186</f>
        <v>65895.683910000007</v>
      </c>
    </row>
    <row r="187" spans="1:9" x14ac:dyDescent="0.25">
      <c r="A187" t="s">
        <v>10</v>
      </c>
      <c r="B187">
        <v>38.04</v>
      </c>
      <c r="C187">
        <v>38.07</v>
      </c>
      <c r="D187" t="s">
        <v>32</v>
      </c>
      <c r="E187" s="2">
        <v>1730.0737999999999</v>
      </c>
      <c r="F187" s="2">
        <f t="shared" si="5"/>
        <v>0.2</v>
      </c>
      <c r="G187" s="2">
        <f t="shared" si="6"/>
        <v>1729.8737999999998</v>
      </c>
      <c r="H187" s="3">
        <f>Table1[[#This Row],[price_screen_bid]]*G187</f>
        <v>65804.399351999993</v>
      </c>
      <c r="I187" s="3">
        <f>Table1[[#This Row],[price_screen_ask]]*G187</f>
        <v>65856.295566000001</v>
      </c>
    </row>
    <row r="188" spans="1:9" x14ac:dyDescent="0.25">
      <c r="A188" t="s">
        <v>11</v>
      </c>
      <c r="B188">
        <v>57.31</v>
      </c>
      <c r="C188">
        <v>57.32</v>
      </c>
      <c r="D188" t="s">
        <v>32</v>
      </c>
      <c r="E188" s="2">
        <v>1148.8058000000001</v>
      </c>
      <c r="F188" s="2">
        <f t="shared" si="5"/>
        <v>-0.05</v>
      </c>
      <c r="G188" s="2">
        <f t="shared" si="6"/>
        <v>1148.8558</v>
      </c>
      <c r="H188" s="3">
        <f>Table1[[#This Row],[price_screen_bid]]*G188</f>
        <v>65840.925898000001</v>
      </c>
      <c r="I188" s="3">
        <f>Table1[[#This Row],[price_screen_ask]]*G188</f>
        <v>65852.414455999999</v>
      </c>
    </row>
    <row r="189" spans="1:9" x14ac:dyDescent="0.25">
      <c r="A189" t="s">
        <v>12</v>
      </c>
      <c r="B189">
        <v>51.08</v>
      </c>
      <c r="C189">
        <v>51.09</v>
      </c>
      <c r="D189" t="s">
        <v>32</v>
      </c>
      <c r="E189" s="2">
        <v>1288.7435</v>
      </c>
      <c r="F189" s="2">
        <f t="shared" si="5"/>
        <v>-0.15</v>
      </c>
      <c r="G189" s="2">
        <f t="shared" si="6"/>
        <v>1288.8935000000001</v>
      </c>
      <c r="H189" s="3">
        <f>Table1[[#This Row],[price_screen_bid]]*G189</f>
        <v>65836.679980000001</v>
      </c>
      <c r="I189" s="3">
        <f>Table1[[#This Row],[price_screen_ask]]*G189</f>
        <v>65849.568915000011</v>
      </c>
    </row>
    <row r="190" spans="1:9" x14ac:dyDescent="0.25">
      <c r="A190" t="s">
        <v>13</v>
      </c>
      <c r="B190">
        <v>18.62</v>
      </c>
      <c r="C190">
        <v>18.63</v>
      </c>
      <c r="D190" t="s">
        <v>32</v>
      </c>
      <c r="E190" s="2">
        <v>3535.8029000000001</v>
      </c>
      <c r="F190" s="2">
        <f t="shared" si="5"/>
        <v>0</v>
      </c>
      <c r="G190" s="2">
        <f t="shared" si="6"/>
        <v>3535.8029000000001</v>
      </c>
      <c r="H190" s="3">
        <f>Table1[[#This Row],[price_screen_bid]]*G190</f>
        <v>65836.649998000008</v>
      </c>
      <c r="I190" s="3">
        <f>Table1[[#This Row],[price_screen_ask]]*G190</f>
        <v>65872.008027000003</v>
      </c>
    </row>
    <row r="191" spans="1:9" x14ac:dyDescent="0.25">
      <c r="A191" t="s">
        <v>14</v>
      </c>
      <c r="B191">
        <v>37.299999999999997</v>
      </c>
      <c r="C191">
        <v>37.31</v>
      </c>
      <c r="D191" t="s">
        <v>32</v>
      </c>
      <c r="E191" s="2">
        <v>1764.9866999999999</v>
      </c>
      <c r="F191" s="2">
        <f t="shared" si="5"/>
        <v>0</v>
      </c>
      <c r="G191" s="2">
        <f t="shared" si="6"/>
        <v>1764.9866999999999</v>
      </c>
      <c r="H191" s="3">
        <f>Table1[[#This Row],[price_screen_bid]]*G191</f>
        <v>65834.003909999999</v>
      </c>
      <c r="I191" s="3">
        <f>Table1[[#This Row],[price_screen_ask]]*G191</f>
        <v>65851.653777</v>
      </c>
    </row>
    <row r="192" spans="1:9" x14ac:dyDescent="0.25">
      <c r="A192" t="s">
        <v>4</v>
      </c>
      <c r="B192">
        <v>21.83</v>
      </c>
      <c r="C192">
        <v>21.84</v>
      </c>
      <c r="D192" t="s">
        <v>33</v>
      </c>
      <c r="E192" s="2">
        <v>3014.8449999999998</v>
      </c>
      <c r="F192" s="2">
        <f t="shared" si="5"/>
        <v>0.1</v>
      </c>
      <c r="G192" s="2">
        <f t="shared" si="6"/>
        <v>3014.7449999999999</v>
      </c>
      <c r="H192" s="3">
        <f>Table1[[#This Row],[price_screen_bid]]*G192</f>
        <v>65811.883349999989</v>
      </c>
      <c r="I192" s="3">
        <f>Table1[[#This Row],[price_screen_ask]]*G192</f>
        <v>65842.030799999993</v>
      </c>
    </row>
    <row r="193" spans="1:9" x14ac:dyDescent="0.25">
      <c r="A193" t="s">
        <v>6</v>
      </c>
      <c r="B193">
        <v>35.74</v>
      </c>
      <c r="C193">
        <v>35.75</v>
      </c>
      <c r="D193" t="s">
        <v>33</v>
      </c>
      <c r="E193" s="2">
        <v>1842.0499</v>
      </c>
      <c r="F193" s="2">
        <f t="shared" si="5"/>
        <v>-0.1</v>
      </c>
      <c r="G193" s="2">
        <f t="shared" si="6"/>
        <v>1842.1498999999999</v>
      </c>
      <c r="H193" s="3">
        <f>Table1[[#This Row],[price_screen_bid]]*G193</f>
        <v>65838.437426000004</v>
      </c>
      <c r="I193" s="3">
        <f>Table1[[#This Row],[price_screen_ask]]*G193</f>
        <v>65856.858924999993</v>
      </c>
    </row>
    <row r="194" spans="1:9" x14ac:dyDescent="0.25">
      <c r="A194" t="s">
        <v>7</v>
      </c>
      <c r="B194">
        <v>18.559999999999999</v>
      </c>
      <c r="C194">
        <v>18.57</v>
      </c>
      <c r="D194" t="s">
        <v>33</v>
      </c>
      <c r="E194" s="2">
        <v>3546.4557</v>
      </c>
      <c r="F194" s="2">
        <f t="shared" si="5"/>
        <v>0</v>
      </c>
      <c r="G194" s="2">
        <f t="shared" si="6"/>
        <v>3546.4557</v>
      </c>
      <c r="H194" s="3">
        <f>Table1[[#This Row],[price_screen_bid]]*G194</f>
        <v>65822.217791999996</v>
      </c>
      <c r="I194" s="3">
        <f>Table1[[#This Row],[price_screen_ask]]*G194</f>
        <v>65857.682348999995</v>
      </c>
    </row>
    <row r="195" spans="1:9" x14ac:dyDescent="0.25">
      <c r="A195" t="s">
        <v>8</v>
      </c>
      <c r="B195">
        <v>29.12</v>
      </c>
      <c r="C195">
        <v>29.13</v>
      </c>
      <c r="D195" t="s">
        <v>33</v>
      </c>
      <c r="E195" s="2">
        <v>2261.2858000000001</v>
      </c>
      <c r="F195" s="2">
        <f t="shared" si="5"/>
        <v>0</v>
      </c>
      <c r="G195" s="2">
        <f t="shared" si="6"/>
        <v>2261.2858000000001</v>
      </c>
      <c r="H195" s="3">
        <f>Table1[[#This Row],[price_screen_bid]]*G195</f>
        <v>65848.642496</v>
      </c>
      <c r="I195" s="3">
        <f>Table1[[#This Row],[price_screen_ask]]*G195</f>
        <v>65871.255354000008</v>
      </c>
    </row>
    <row r="196" spans="1:9" x14ac:dyDescent="0.25">
      <c r="A196" t="s">
        <v>9</v>
      </c>
      <c r="B196">
        <v>69.569999999999993</v>
      </c>
      <c r="C196">
        <v>69.63</v>
      </c>
      <c r="D196" t="s">
        <v>33</v>
      </c>
      <c r="E196" s="2">
        <v>946.09739999999999</v>
      </c>
      <c r="F196" s="2">
        <f t="shared" si="5"/>
        <v>0</v>
      </c>
      <c r="G196" s="2">
        <f t="shared" si="6"/>
        <v>946.09739999999999</v>
      </c>
      <c r="H196" s="3">
        <f>Table1[[#This Row],[price_screen_bid]]*G196</f>
        <v>65819.996117999995</v>
      </c>
      <c r="I196" s="3">
        <f>Table1[[#This Row],[price_screen_ask]]*G196</f>
        <v>65876.76196199999</v>
      </c>
    </row>
    <row r="197" spans="1:9" x14ac:dyDescent="0.25">
      <c r="A197" t="s">
        <v>10</v>
      </c>
      <c r="B197">
        <v>38.03</v>
      </c>
      <c r="C197">
        <v>38.06</v>
      </c>
      <c r="D197" t="s">
        <v>33</v>
      </c>
      <c r="E197" s="2">
        <v>1730.0737999999999</v>
      </c>
      <c r="F197" s="2">
        <f t="shared" si="5"/>
        <v>0.2</v>
      </c>
      <c r="G197" s="2">
        <f t="shared" si="6"/>
        <v>1729.8737999999998</v>
      </c>
      <c r="H197" s="3">
        <f>Table1[[#This Row],[price_screen_bid]]*G197</f>
        <v>65787.100613999995</v>
      </c>
      <c r="I197" s="3">
        <f>Table1[[#This Row],[price_screen_ask]]*G197</f>
        <v>65838.996828000003</v>
      </c>
    </row>
    <row r="198" spans="1:9" x14ac:dyDescent="0.25">
      <c r="A198" t="s">
        <v>11</v>
      </c>
      <c r="B198">
        <v>57.3</v>
      </c>
      <c r="C198">
        <v>57.31</v>
      </c>
      <c r="D198" t="s">
        <v>33</v>
      </c>
      <c r="E198" s="2">
        <v>1148.8058000000001</v>
      </c>
      <c r="F198" s="2">
        <f t="shared" si="5"/>
        <v>-0.05</v>
      </c>
      <c r="G198" s="2">
        <f t="shared" si="6"/>
        <v>1148.8558</v>
      </c>
      <c r="H198" s="3">
        <f>Table1[[#This Row],[price_screen_bid]]*G198</f>
        <v>65829.437340000004</v>
      </c>
      <c r="I198" s="3">
        <f>Table1[[#This Row],[price_screen_ask]]*G198</f>
        <v>65840.925898000001</v>
      </c>
    </row>
    <row r="199" spans="1:9" x14ac:dyDescent="0.25">
      <c r="A199" t="s">
        <v>12</v>
      </c>
      <c r="B199">
        <v>51.07</v>
      </c>
      <c r="C199">
        <v>51.08</v>
      </c>
      <c r="D199" t="s">
        <v>33</v>
      </c>
      <c r="E199" s="2">
        <v>1288.7435</v>
      </c>
      <c r="F199" s="2">
        <f t="shared" si="5"/>
        <v>-0.15</v>
      </c>
      <c r="G199" s="2">
        <f t="shared" si="6"/>
        <v>1288.8935000000001</v>
      </c>
      <c r="H199" s="3">
        <f>Table1[[#This Row],[price_screen_bid]]*G199</f>
        <v>65823.791045000005</v>
      </c>
      <c r="I199" s="3">
        <f>Table1[[#This Row],[price_screen_ask]]*G199</f>
        <v>65836.679980000001</v>
      </c>
    </row>
    <row r="200" spans="1:9" x14ac:dyDescent="0.25">
      <c r="A200" t="s">
        <v>13</v>
      </c>
      <c r="B200">
        <v>18.62</v>
      </c>
      <c r="C200">
        <v>18.63</v>
      </c>
      <c r="D200" t="s">
        <v>33</v>
      </c>
      <c r="E200" s="2">
        <v>3535.8029000000001</v>
      </c>
      <c r="F200" s="2">
        <f t="shared" si="5"/>
        <v>0</v>
      </c>
      <c r="G200" s="2">
        <f t="shared" si="6"/>
        <v>3535.8029000000001</v>
      </c>
      <c r="H200" s="3">
        <f>Table1[[#This Row],[price_screen_bid]]*G200</f>
        <v>65836.649998000008</v>
      </c>
      <c r="I200" s="3">
        <f>Table1[[#This Row],[price_screen_ask]]*G200</f>
        <v>65872.008027000003</v>
      </c>
    </row>
    <row r="201" spans="1:9" x14ac:dyDescent="0.25">
      <c r="A201" t="s">
        <v>14</v>
      </c>
      <c r="B201">
        <v>37.29</v>
      </c>
      <c r="C201">
        <v>37.299999999999997</v>
      </c>
      <c r="D201" t="s">
        <v>33</v>
      </c>
      <c r="E201" s="2">
        <v>1764.9866999999999</v>
      </c>
      <c r="F201" s="2">
        <f t="shared" si="5"/>
        <v>0</v>
      </c>
      <c r="G201" s="2">
        <f t="shared" si="6"/>
        <v>1764.9866999999999</v>
      </c>
      <c r="H201" s="3">
        <f>Table1[[#This Row],[price_screen_bid]]*G201</f>
        <v>65816.354042999999</v>
      </c>
      <c r="I201" s="3">
        <f>Table1[[#This Row],[price_screen_ask]]*G201</f>
        <v>65834.003909999999</v>
      </c>
    </row>
    <row r="202" spans="1:9" x14ac:dyDescent="0.25">
      <c r="A202" t="s">
        <v>4</v>
      </c>
      <c r="B202">
        <v>21.77</v>
      </c>
      <c r="C202">
        <v>21.78</v>
      </c>
      <c r="D202" t="s">
        <v>34</v>
      </c>
      <c r="E202" s="2">
        <v>3014.8449999999998</v>
      </c>
      <c r="F202" s="2">
        <f t="shared" si="5"/>
        <v>0.1</v>
      </c>
      <c r="G202" s="2">
        <f t="shared" si="6"/>
        <v>3014.7449999999999</v>
      </c>
      <c r="H202" s="3">
        <f>Table1[[#This Row],[price_screen_bid]]*G202</f>
        <v>65630.998649999994</v>
      </c>
      <c r="I202" s="3">
        <f>Table1[[#This Row],[price_screen_ask]]*G202</f>
        <v>65661.146099999998</v>
      </c>
    </row>
    <row r="203" spans="1:9" x14ac:dyDescent="0.25">
      <c r="A203" t="s">
        <v>6</v>
      </c>
      <c r="B203">
        <v>35.630000000000003</v>
      </c>
      <c r="C203">
        <v>35.64</v>
      </c>
      <c r="D203" t="s">
        <v>34</v>
      </c>
      <c r="E203" s="2">
        <v>1842.0499</v>
      </c>
      <c r="F203" s="2">
        <f t="shared" si="5"/>
        <v>-0.1</v>
      </c>
      <c r="G203" s="2">
        <f t="shared" si="6"/>
        <v>1842.1498999999999</v>
      </c>
      <c r="H203" s="3">
        <f>Table1[[#This Row],[price_screen_bid]]*G203</f>
        <v>65635.800937000007</v>
      </c>
      <c r="I203" s="3">
        <f>Table1[[#This Row],[price_screen_ask]]*G203</f>
        <v>65654.222435999996</v>
      </c>
    </row>
    <row r="204" spans="1:9" x14ac:dyDescent="0.25">
      <c r="A204" t="s">
        <v>7</v>
      </c>
      <c r="B204">
        <v>18.5</v>
      </c>
      <c r="C204">
        <v>18.510000000000002</v>
      </c>
      <c r="D204" t="s">
        <v>34</v>
      </c>
      <c r="E204" s="2">
        <v>3546.4557</v>
      </c>
      <c r="F204" s="2">
        <f t="shared" si="5"/>
        <v>0</v>
      </c>
      <c r="G204" s="2">
        <f t="shared" si="6"/>
        <v>3546.4557</v>
      </c>
      <c r="H204" s="3">
        <f>Table1[[#This Row],[price_screen_bid]]*G204</f>
        <v>65609.43045</v>
      </c>
      <c r="I204" s="3">
        <f>Table1[[#This Row],[price_screen_ask]]*G204</f>
        <v>65644.895006999999</v>
      </c>
    </row>
    <row r="205" spans="1:9" x14ac:dyDescent="0.25">
      <c r="A205" t="s">
        <v>8</v>
      </c>
      <c r="B205">
        <v>29.03</v>
      </c>
      <c r="C205">
        <v>29.04</v>
      </c>
      <c r="D205" t="s">
        <v>34</v>
      </c>
      <c r="E205" s="2">
        <v>2261.2858000000001</v>
      </c>
      <c r="F205" s="2">
        <f t="shared" ref="F205:F251" si="7">F195</f>
        <v>0</v>
      </c>
      <c r="G205" s="2">
        <f t="shared" si="6"/>
        <v>2261.2858000000001</v>
      </c>
      <c r="H205" s="3">
        <f>Table1[[#This Row],[price_screen_bid]]*G205</f>
        <v>65645.126774000004</v>
      </c>
      <c r="I205" s="3">
        <f>Table1[[#This Row],[price_screen_ask]]*G205</f>
        <v>65667.739631999997</v>
      </c>
    </row>
    <row r="206" spans="1:9" x14ac:dyDescent="0.25">
      <c r="A206" t="s">
        <v>9</v>
      </c>
      <c r="B206">
        <v>69.37</v>
      </c>
      <c r="C206">
        <v>69.45</v>
      </c>
      <c r="D206" t="s">
        <v>34</v>
      </c>
      <c r="E206" s="2">
        <v>946.09739999999999</v>
      </c>
      <c r="F206" s="2">
        <f t="shared" si="7"/>
        <v>0</v>
      </c>
      <c r="G206" s="2">
        <f t="shared" ref="G206:G251" si="8">E206-F206</f>
        <v>946.09739999999999</v>
      </c>
      <c r="H206" s="3">
        <f>Table1[[#This Row],[price_screen_bid]]*G206</f>
        <v>65630.77663800001</v>
      </c>
      <c r="I206" s="3">
        <f>Table1[[#This Row],[price_screen_ask]]*G206</f>
        <v>65706.464430000007</v>
      </c>
    </row>
    <row r="207" spans="1:9" x14ac:dyDescent="0.25">
      <c r="A207" t="s">
        <v>10</v>
      </c>
      <c r="B207">
        <v>37.92</v>
      </c>
      <c r="C207">
        <v>37.94</v>
      </c>
      <c r="D207" t="s">
        <v>34</v>
      </c>
      <c r="E207" s="2">
        <v>1730.0737999999999</v>
      </c>
      <c r="F207" s="2">
        <f t="shared" si="7"/>
        <v>0.2</v>
      </c>
      <c r="G207" s="2">
        <f t="shared" si="8"/>
        <v>1729.8737999999998</v>
      </c>
      <c r="H207" s="3">
        <f>Table1[[#This Row],[price_screen_bid]]*G207</f>
        <v>65596.814495999992</v>
      </c>
      <c r="I207" s="3">
        <f>Table1[[#This Row],[price_screen_ask]]*G207</f>
        <v>65631.411971999987</v>
      </c>
    </row>
    <row r="208" spans="1:9" x14ac:dyDescent="0.25">
      <c r="A208" t="s">
        <v>11</v>
      </c>
      <c r="B208">
        <v>57.13</v>
      </c>
      <c r="C208">
        <v>57.14</v>
      </c>
      <c r="D208" t="s">
        <v>34</v>
      </c>
      <c r="E208" s="2">
        <v>1148.8058000000001</v>
      </c>
      <c r="F208" s="2">
        <f t="shared" si="7"/>
        <v>-0.05</v>
      </c>
      <c r="G208" s="2">
        <f t="shared" si="8"/>
        <v>1148.8558</v>
      </c>
      <c r="H208" s="3">
        <f>Table1[[#This Row],[price_screen_bid]]*G208</f>
        <v>65634.131854000007</v>
      </c>
      <c r="I208" s="3">
        <f>Table1[[#This Row],[price_screen_ask]]*G208</f>
        <v>65645.620412000004</v>
      </c>
    </row>
    <row r="209" spans="1:9" x14ac:dyDescent="0.25">
      <c r="A209" t="s">
        <v>12</v>
      </c>
      <c r="B209">
        <v>50.91</v>
      </c>
      <c r="C209">
        <v>50.92</v>
      </c>
      <c r="D209" t="s">
        <v>34</v>
      </c>
      <c r="E209" s="2">
        <v>1288.7435</v>
      </c>
      <c r="F209" s="2">
        <f t="shared" si="7"/>
        <v>-0.15</v>
      </c>
      <c r="G209" s="2">
        <f t="shared" si="8"/>
        <v>1288.8935000000001</v>
      </c>
      <c r="H209" s="3">
        <f>Table1[[#This Row],[price_screen_bid]]*G209</f>
        <v>65617.568085000006</v>
      </c>
      <c r="I209" s="3">
        <f>Table1[[#This Row],[price_screen_ask]]*G209</f>
        <v>65630.457020000002</v>
      </c>
    </row>
    <row r="210" spans="1:9" x14ac:dyDescent="0.25">
      <c r="A210" t="s">
        <v>13</v>
      </c>
      <c r="B210">
        <v>18.559999999999999</v>
      </c>
      <c r="C210">
        <v>18.57</v>
      </c>
      <c r="D210" t="s">
        <v>34</v>
      </c>
      <c r="E210" s="2">
        <v>3535.8029000000001</v>
      </c>
      <c r="F210" s="2">
        <f t="shared" si="7"/>
        <v>0</v>
      </c>
      <c r="G210" s="2">
        <f t="shared" si="8"/>
        <v>3535.8029000000001</v>
      </c>
      <c r="H210" s="3">
        <f>Table1[[#This Row],[price_screen_bid]]*G210</f>
        <v>65624.501823999992</v>
      </c>
      <c r="I210" s="3">
        <f>Table1[[#This Row],[price_screen_ask]]*G210</f>
        <v>65659.859853000002</v>
      </c>
    </row>
    <row r="211" spans="1:9" x14ac:dyDescent="0.25">
      <c r="A211" t="s">
        <v>14</v>
      </c>
      <c r="B211">
        <v>37.18</v>
      </c>
      <c r="C211">
        <v>37.19</v>
      </c>
      <c r="D211" t="s">
        <v>34</v>
      </c>
      <c r="E211" s="2">
        <v>1764.9866999999999</v>
      </c>
      <c r="F211" s="2">
        <f t="shared" si="7"/>
        <v>0</v>
      </c>
      <c r="G211" s="2">
        <f t="shared" si="8"/>
        <v>1764.9866999999999</v>
      </c>
      <c r="H211" s="3">
        <f>Table1[[#This Row],[price_screen_bid]]*G211</f>
        <v>65622.205505999998</v>
      </c>
      <c r="I211" s="3">
        <f>Table1[[#This Row],[price_screen_ask]]*G211</f>
        <v>65639.855372999999</v>
      </c>
    </row>
    <row r="212" spans="1:9" x14ac:dyDescent="0.25">
      <c r="A212" t="s">
        <v>4</v>
      </c>
      <c r="B212">
        <v>21.72</v>
      </c>
      <c r="C212">
        <v>21.73</v>
      </c>
      <c r="D212" t="s">
        <v>35</v>
      </c>
      <c r="E212" s="2">
        <v>3014.8449999999998</v>
      </c>
      <c r="F212" s="2">
        <f t="shared" si="7"/>
        <v>0.1</v>
      </c>
      <c r="G212" s="2">
        <f t="shared" si="8"/>
        <v>3014.7449999999999</v>
      </c>
      <c r="H212" s="3">
        <f>Table1[[#This Row],[price_screen_bid]]*G212</f>
        <v>65480.261399999996</v>
      </c>
      <c r="I212" s="3">
        <f>Table1[[#This Row],[price_screen_ask]]*G212</f>
        <v>65510.40885</v>
      </c>
    </row>
    <row r="213" spans="1:9" x14ac:dyDescent="0.25">
      <c r="A213" t="s">
        <v>6</v>
      </c>
      <c r="B213">
        <v>35.57</v>
      </c>
      <c r="C213">
        <v>35.58</v>
      </c>
      <c r="D213" t="s">
        <v>35</v>
      </c>
      <c r="E213" s="2">
        <v>1842.0499</v>
      </c>
      <c r="F213" s="2">
        <f t="shared" si="7"/>
        <v>-0.1</v>
      </c>
      <c r="G213" s="2">
        <f t="shared" si="8"/>
        <v>1842.1498999999999</v>
      </c>
      <c r="H213" s="3">
        <f>Table1[[#This Row],[price_screen_bid]]*G213</f>
        <v>65525.271943</v>
      </c>
      <c r="I213" s="3">
        <f>Table1[[#This Row],[price_screen_ask]]*G213</f>
        <v>65543.693441999989</v>
      </c>
    </row>
    <row r="214" spans="1:9" x14ac:dyDescent="0.25">
      <c r="A214" t="s">
        <v>7</v>
      </c>
      <c r="B214">
        <v>18.47</v>
      </c>
      <c r="C214">
        <v>18.48</v>
      </c>
      <c r="D214" t="s">
        <v>35</v>
      </c>
      <c r="E214" s="2">
        <v>3546.4557</v>
      </c>
      <c r="F214" s="2">
        <f t="shared" si="7"/>
        <v>0</v>
      </c>
      <c r="G214" s="2">
        <f t="shared" si="8"/>
        <v>3546.4557</v>
      </c>
      <c r="H214" s="3">
        <f>Table1[[#This Row],[price_screen_bid]]*G214</f>
        <v>65503.036778999995</v>
      </c>
      <c r="I214" s="3">
        <f>Table1[[#This Row],[price_screen_ask]]*G214</f>
        <v>65538.501336000001</v>
      </c>
    </row>
    <row r="215" spans="1:9" x14ac:dyDescent="0.25">
      <c r="A215" t="s">
        <v>8</v>
      </c>
      <c r="B215">
        <v>28.98</v>
      </c>
      <c r="C215">
        <v>28.99</v>
      </c>
      <c r="D215" t="s">
        <v>35</v>
      </c>
      <c r="E215" s="2">
        <v>2261.2858000000001</v>
      </c>
      <c r="F215" s="2">
        <f t="shared" si="7"/>
        <v>0</v>
      </c>
      <c r="G215" s="2">
        <f t="shared" si="8"/>
        <v>2261.2858000000001</v>
      </c>
      <c r="H215" s="3">
        <f>Table1[[#This Row],[price_screen_bid]]*G215</f>
        <v>65532.062484000002</v>
      </c>
      <c r="I215" s="3">
        <f>Table1[[#This Row],[price_screen_ask]]*G215</f>
        <v>65554.675342000002</v>
      </c>
    </row>
    <row r="216" spans="1:9" x14ac:dyDescent="0.25">
      <c r="A216" t="s">
        <v>9</v>
      </c>
      <c r="B216">
        <v>69.22</v>
      </c>
      <c r="C216">
        <v>69.319999999999993</v>
      </c>
      <c r="D216" t="s">
        <v>35</v>
      </c>
      <c r="E216" s="2">
        <v>946.09739999999999</v>
      </c>
      <c r="F216" s="2">
        <f t="shared" si="7"/>
        <v>0</v>
      </c>
      <c r="G216" s="2">
        <f t="shared" si="8"/>
        <v>946.09739999999999</v>
      </c>
      <c r="H216" s="3">
        <f>Table1[[#This Row],[price_screen_bid]]*G216</f>
        <v>65488.862027999996</v>
      </c>
      <c r="I216" s="3">
        <f>Table1[[#This Row],[price_screen_ask]]*G216</f>
        <v>65583.471767999989</v>
      </c>
    </row>
    <row r="217" spans="1:9" x14ac:dyDescent="0.25">
      <c r="A217" t="s">
        <v>10</v>
      </c>
      <c r="B217">
        <v>37.85</v>
      </c>
      <c r="C217">
        <v>37.880000000000003</v>
      </c>
      <c r="D217" t="s">
        <v>35</v>
      </c>
      <c r="E217" s="2">
        <v>1730.0737999999999</v>
      </c>
      <c r="F217" s="2">
        <f t="shared" si="7"/>
        <v>0.2</v>
      </c>
      <c r="G217" s="2">
        <f t="shared" si="8"/>
        <v>1729.8737999999998</v>
      </c>
      <c r="H217" s="3">
        <f>Table1[[#This Row],[price_screen_bid]]*G217</f>
        <v>65475.723329999993</v>
      </c>
      <c r="I217" s="3">
        <f>Table1[[#This Row],[price_screen_ask]]*G217</f>
        <v>65527.619544000001</v>
      </c>
    </row>
    <row r="218" spans="1:9" x14ac:dyDescent="0.25">
      <c r="A218" t="s">
        <v>11</v>
      </c>
      <c r="B218">
        <v>57.04</v>
      </c>
      <c r="C218">
        <v>57.05</v>
      </c>
      <c r="D218" t="s">
        <v>35</v>
      </c>
      <c r="E218" s="2">
        <v>1148.8058000000001</v>
      </c>
      <c r="F218" s="2">
        <f t="shared" si="7"/>
        <v>-0.05</v>
      </c>
      <c r="G218" s="2">
        <f t="shared" si="8"/>
        <v>1148.8558</v>
      </c>
      <c r="H218" s="3">
        <f>Table1[[#This Row],[price_screen_bid]]*G218</f>
        <v>65530.734832000002</v>
      </c>
      <c r="I218" s="3">
        <f>Table1[[#This Row],[price_screen_ask]]*G218</f>
        <v>65542.223389999999</v>
      </c>
    </row>
    <row r="219" spans="1:9" x14ac:dyDescent="0.25">
      <c r="A219" t="s">
        <v>12</v>
      </c>
      <c r="B219">
        <v>50.83</v>
      </c>
      <c r="C219">
        <v>50.84</v>
      </c>
      <c r="D219" t="s">
        <v>35</v>
      </c>
      <c r="E219" s="2">
        <v>1288.7435</v>
      </c>
      <c r="F219" s="2">
        <f t="shared" si="7"/>
        <v>-0.15</v>
      </c>
      <c r="G219" s="2">
        <f t="shared" si="8"/>
        <v>1288.8935000000001</v>
      </c>
      <c r="H219" s="3">
        <f>Table1[[#This Row],[price_screen_bid]]*G219</f>
        <v>65514.456605000007</v>
      </c>
      <c r="I219" s="3">
        <f>Table1[[#This Row],[price_screen_ask]]*G219</f>
        <v>65527.345540000009</v>
      </c>
    </row>
    <row r="220" spans="1:9" x14ac:dyDescent="0.25">
      <c r="A220" t="s">
        <v>13</v>
      </c>
      <c r="B220">
        <v>18.52</v>
      </c>
      <c r="C220">
        <v>18.53</v>
      </c>
      <c r="D220" t="s">
        <v>35</v>
      </c>
      <c r="E220" s="2">
        <v>3535.8029000000001</v>
      </c>
      <c r="F220" s="2">
        <f t="shared" si="7"/>
        <v>0</v>
      </c>
      <c r="G220" s="2">
        <f t="shared" si="8"/>
        <v>3535.8029000000001</v>
      </c>
      <c r="H220" s="3">
        <f>Table1[[#This Row],[price_screen_bid]]*G220</f>
        <v>65483.069708000003</v>
      </c>
      <c r="I220" s="3">
        <f>Table1[[#This Row],[price_screen_ask]]*G220</f>
        <v>65518.427737000005</v>
      </c>
    </row>
    <row r="221" spans="1:9" x14ac:dyDescent="0.25">
      <c r="A221" t="s">
        <v>14</v>
      </c>
      <c r="B221">
        <v>37.11</v>
      </c>
      <c r="C221">
        <v>37.119999999999997</v>
      </c>
      <c r="D221" t="s">
        <v>35</v>
      </c>
      <c r="E221" s="2">
        <v>1764.9866999999999</v>
      </c>
      <c r="F221" s="2">
        <f t="shared" si="7"/>
        <v>0</v>
      </c>
      <c r="G221" s="2">
        <f t="shared" si="8"/>
        <v>1764.9866999999999</v>
      </c>
      <c r="H221" s="3">
        <f>Table1[[#This Row],[price_screen_bid]]*G221</f>
        <v>65498.656436999998</v>
      </c>
      <c r="I221" s="3">
        <f>Table1[[#This Row],[price_screen_ask]]*G221</f>
        <v>65516.306303999991</v>
      </c>
    </row>
    <row r="222" spans="1:9" x14ac:dyDescent="0.25">
      <c r="A222" t="s">
        <v>4</v>
      </c>
      <c r="B222">
        <v>21.77</v>
      </c>
      <c r="C222">
        <v>21.78</v>
      </c>
      <c r="D222" t="s">
        <v>36</v>
      </c>
      <c r="E222" s="2">
        <v>3014.8449999999998</v>
      </c>
      <c r="F222" s="2">
        <f t="shared" si="7"/>
        <v>0.1</v>
      </c>
      <c r="G222" s="2">
        <f t="shared" si="8"/>
        <v>3014.7449999999999</v>
      </c>
      <c r="H222" s="3">
        <f>Table1[[#This Row],[price_screen_bid]]*G222</f>
        <v>65630.998649999994</v>
      </c>
      <c r="I222" s="3">
        <f>Table1[[#This Row],[price_screen_ask]]*G222</f>
        <v>65661.146099999998</v>
      </c>
    </row>
    <row r="223" spans="1:9" x14ac:dyDescent="0.25">
      <c r="A223" t="s">
        <v>6</v>
      </c>
      <c r="B223">
        <v>35.630000000000003</v>
      </c>
      <c r="C223">
        <v>35.64</v>
      </c>
      <c r="D223" t="s">
        <v>36</v>
      </c>
      <c r="E223" s="2">
        <v>1842.0499</v>
      </c>
      <c r="F223" s="2">
        <f t="shared" si="7"/>
        <v>-0.1</v>
      </c>
      <c r="G223" s="2">
        <f t="shared" si="8"/>
        <v>1842.1498999999999</v>
      </c>
      <c r="H223" s="3">
        <f>Table1[[#This Row],[price_screen_bid]]*G223</f>
        <v>65635.800937000007</v>
      </c>
      <c r="I223" s="3">
        <f>Table1[[#This Row],[price_screen_ask]]*G223</f>
        <v>65654.222435999996</v>
      </c>
    </row>
    <row r="224" spans="1:9" x14ac:dyDescent="0.25">
      <c r="A224" t="s">
        <v>7</v>
      </c>
      <c r="B224">
        <v>18.510000000000002</v>
      </c>
      <c r="C224">
        <v>18.52</v>
      </c>
      <c r="D224" t="s">
        <v>36</v>
      </c>
      <c r="E224" s="2">
        <v>3546.4557</v>
      </c>
      <c r="F224" s="2">
        <f t="shared" si="7"/>
        <v>0</v>
      </c>
      <c r="G224" s="2">
        <f t="shared" si="8"/>
        <v>3546.4557</v>
      </c>
      <c r="H224" s="3">
        <f>Table1[[#This Row],[price_screen_bid]]*G224</f>
        <v>65644.895006999999</v>
      </c>
      <c r="I224" s="3">
        <f>Table1[[#This Row],[price_screen_ask]]*G224</f>
        <v>65680.359563999998</v>
      </c>
    </row>
    <row r="225" spans="1:9" x14ac:dyDescent="0.25">
      <c r="A225" t="s">
        <v>8</v>
      </c>
      <c r="B225">
        <v>29.03</v>
      </c>
      <c r="C225">
        <v>29.04</v>
      </c>
      <c r="D225" t="s">
        <v>36</v>
      </c>
      <c r="E225" s="2">
        <v>2261.2858000000001</v>
      </c>
      <c r="F225" s="2">
        <f t="shared" si="7"/>
        <v>0</v>
      </c>
      <c r="G225" s="2">
        <f t="shared" si="8"/>
        <v>2261.2858000000001</v>
      </c>
      <c r="H225" s="3">
        <f>Table1[[#This Row],[price_screen_bid]]*G225</f>
        <v>65645.126774000004</v>
      </c>
      <c r="I225" s="3">
        <f>Table1[[#This Row],[price_screen_ask]]*G225</f>
        <v>65667.739631999997</v>
      </c>
    </row>
    <row r="226" spans="1:9" x14ac:dyDescent="0.25">
      <c r="A226" t="s">
        <v>9</v>
      </c>
      <c r="B226">
        <v>69.38</v>
      </c>
      <c r="C226">
        <v>69.45</v>
      </c>
      <c r="D226" t="s">
        <v>36</v>
      </c>
      <c r="E226" s="2">
        <v>946.09739999999999</v>
      </c>
      <c r="F226" s="2">
        <f t="shared" si="7"/>
        <v>0</v>
      </c>
      <c r="G226" s="2">
        <f t="shared" si="8"/>
        <v>946.09739999999999</v>
      </c>
      <c r="H226" s="3">
        <f>Table1[[#This Row],[price_screen_bid]]*G226</f>
        <v>65640.237611999997</v>
      </c>
      <c r="I226" s="3">
        <f>Table1[[#This Row],[price_screen_ask]]*G226</f>
        <v>65706.464430000007</v>
      </c>
    </row>
    <row r="227" spans="1:9" x14ac:dyDescent="0.25">
      <c r="A227" t="s">
        <v>10</v>
      </c>
      <c r="B227">
        <v>37.93</v>
      </c>
      <c r="C227">
        <v>37.950000000000003</v>
      </c>
      <c r="D227" t="s">
        <v>36</v>
      </c>
      <c r="E227" s="2">
        <v>1730.0737999999999</v>
      </c>
      <c r="F227" s="2">
        <f t="shared" si="7"/>
        <v>0.2</v>
      </c>
      <c r="G227" s="2">
        <f t="shared" si="8"/>
        <v>1729.8737999999998</v>
      </c>
      <c r="H227" s="3">
        <f>Table1[[#This Row],[price_screen_bid]]*G227</f>
        <v>65614.113233999989</v>
      </c>
      <c r="I227" s="3">
        <f>Table1[[#This Row],[price_screen_ask]]*G227</f>
        <v>65648.710709999999</v>
      </c>
    </row>
    <row r="228" spans="1:9" x14ac:dyDescent="0.25">
      <c r="A228" t="s">
        <v>11</v>
      </c>
      <c r="B228">
        <v>57.13</v>
      </c>
      <c r="C228">
        <v>57.14</v>
      </c>
      <c r="D228" t="s">
        <v>36</v>
      </c>
      <c r="E228" s="2">
        <v>1148.8058000000001</v>
      </c>
      <c r="F228" s="2">
        <f t="shared" si="7"/>
        <v>-0.05</v>
      </c>
      <c r="G228" s="2">
        <f t="shared" si="8"/>
        <v>1148.8558</v>
      </c>
      <c r="H228" s="3">
        <f>Table1[[#This Row],[price_screen_bid]]*G228</f>
        <v>65634.131854000007</v>
      </c>
      <c r="I228" s="3">
        <f>Table1[[#This Row],[price_screen_ask]]*G228</f>
        <v>65645.620412000004</v>
      </c>
    </row>
    <row r="229" spans="1:9" x14ac:dyDescent="0.25">
      <c r="A229" t="s">
        <v>12</v>
      </c>
      <c r="B229">
        <v>50.92</v>
      </c>
      <c r="C229">
        <v>50.93</v>
      </c>
      <c r="D229" t="s">
        <v>36</v>
      </c>
      <c r="E229" s="2">
        <v>1288.7435</v>
      </c>
      <c r="F229" s="2">
        <f t="shared" si="7"/>
        <v>-0.15</v>
      </c>
      <c r="G229" s="2">
        <f t="shared" si="8"/>
        <v>1288.8935000000001</v>
      </c>
      <c r="H229" s="3">
        <f>Table1[[#This Row],[price_screen_bid]]*G229</f>
        <v>65630.457020000002</v>
      </c>
      <c r="I229" s="3">
        <f>Table1[[#This Row],[price_screen_ask]]*G229</f>
        <v>65643.345955000012</v>
      </c>
    </row>
    <row r="230" spans="1:9" x14ac:dyDescent="0.25">
      <c r="A230" t="s">
        <v>13</v>
      </c>
      <c r="B230">
        <v>18.559999999999999</v>
      </c>
      <c r="C230">
        <v>18.57</v>
      </c>
      <c r="D230" t="s">
        <v>36</v>
      </c>
      <c r="E230" s="2">
        <v>3535.8029000000001</v>
      </c>
      <c r="F230" s="2">
        <f t="shared" si="7"/>
        <v>0</v>
      </c>
      <c r="G230" s="2">
        <f t="shared" si="8"/>
        <v>3535.8029000000001</v>
      </c>
      <c r="H230" s="3">
        <f>Table1[[#This Row],[price_screen_bid]]*G230</f>
        <v>65624.501823999992</v>
      </c>
      <c r="I230" s="3">
        <f>Table1[[#This Row],[price_screen_ask]]*G230</f>
        <v>65659.859853000002</v>
      </c>
    </row>
    <row r="231" spans="1:9" x14ac:dyDescent="0.25">
      <c r="A231" t="s">
        <v>14</v>
      </c>
      <c r="B231">
        <v>37.19</v>
      </c>
      <c r="C231">
        <v>37.200000000000003</v>
      </c>
      <c r="D231" t="s">
        <v>36</v>
      </c>
      <c r="E231" s="2">
        <v>1764.9866999999999</v>
      </c>
      <c r="F231" s="2">
        <f t="shared" si="7"/>
        <v>0</v>
      </c>
      <c r="G231" s="2">
        <f t="shared" si="8"/>
        <v>1764.9866999999999</v>
      </c>
      <c r="H231" s="3">
        <f>Table1[[#This Row],[price_screen_bid]]*G231</f>
        <v>65639.855372999999</v>
      </c>
      <c r="I231" s="3">
        <f>Table1[[#This Row],[price_screen_ask]]*G231</f>
        <v>65657.505239999999</v>
      </c>
    </row>
    <row r="232" spans="1:9" x14ac:dyDescent="0.25">
      <c r="A232" t="s">
        <v>4</v>
      </c>
      <c r="B232">
        <v>21.74</v>
      </c>
      <c r="C232">
        <v>21.75</v>
      </c>
      <c r="D232" t="s">
        <v>37</v>
      </c>
      <c r="E232" s="2">
        <v>3014.8449999999998</v>
      </c>
      <c r="F232" s="2">
        <f t="shared" si="7"/>
        <v>0.1</v>
      </c>
      <c r="G232" s="2">
        <f t="shared" si="8"/>
        <v>3014.7449999999999</v>
      </c>
      <c r="H232" s="3">
        <f>Table1[[#This Row],[price_screen_bid]]*G232</f>
        <v>65540.556299999997</v>
      </c>
      <c r="I232" s="3">
        <f>Table1[[#This Row],[price_screen_ask]]*G232</f>
        <v>65570.703750000001</v>
      </c>
    </row>
    <row r="233" spans="1:9" x14ac:dyDescent="0.25">
      <c r="A233" t="s">
        <v>6</v>
      </c>
      <c r="B233">
        <v>35.6</v>
      </c>
      <c r="C233">
        <v>35.61</v>
      </c>
      <c r="D233" t="s">
        <v>37</v>
      </c>
      <c r="E233" s="2">
        <v>1842.0499</v>
      </c>
      <c r="F233" s="2">
        <f t="shared" si="7"/>
        <v>-0.1</v>
      </c>
      <c r="G233" s="2">
        <f t="shared" si="8"/>
        <v>1842.1498999999999</v>
      </c>
      <c r="H233" s="3">
        <f>Table1[[#This Row],[price_screen_bid]]*G233</f>
        <v>65580.536439999996</v>
      </c>
      <c r="I233" s="3">
        <f>Table1[[#This Row],[price_screen_ask]]*G233</f>
        <v>65598.957939</v>
      </c>
    </row>
    <row r="234" spans="1:9" x14ac:dyDescent="0.25">
      <c r="A234" t="s">
        <v>7</v>
      </c>
      <c r="B234">
        <v>18.489999999999998</v>
      </c>
      <c r="C234">
        <v>18.5</v>
      </c>
      <c r="D234" t="s">
        <v>37</v>
      </c>
      <c r="E234" s="2">
        <v>3546.4557</v>
      </c>
      <c r="F234" s="2">
        <f t="shared" si="7"/>
        <v>0</v>
      </c>
      <c r="G234" s="2">
        <f t="shared" si="8"/>
        <v>3546.4557</v>
      </c>
      <c r="H234" s="3">
        <f>Table1[[#This Row],[price_screen_bid]]*G234</f>
        <v>65573.965893000001</v>
      </c>
      <c r="I234" s="3">
        <f>Table1[[#This Row],[price_screen_ask]]*G234</f>
        <v>65609.43045</v>
      </c>
    </row>
    <row r="235" spans="1:9" x14ac:dyDescent="0.25">
      <c r="A235" t="s">
        <v>8</v>
      </c>
      <c r="B235">
        <v>29</v>
      </c>
      <c r="C235">
        <v>29.01</v>
      </c>
      <c r="D235" t="s">
        <v>37</v>
      </c>
      <c r="E235" s="2">
        <v>2261.2858000000001</v>
      </c>
      <c r="F235" s="2">
        <f t="shared" si="7"/>
        <v>0</v>
      </c>
      <c r="G235" s="2">
        <f t="shared" si="8"/>
        <v>2261.2858000000001</v>
      </c>
      <c r="H235" s="3">
        <f>Table1[[#This Row],[price_screen_bid]]*G235</f>
        <v>65577.28820000001</v>
      </c>
      <c r="I235" s="3">
        <f>Table1[[#This Row],[price_screen_ask]]*G235</f>
        <v>65599.901058000003</v>
      </c>
    </row>
    <row r="236" spans="1:9" x14ac:dyDescent="0.25">
      <c r="A236" t="s">
        <v>9</v>
      </c>
      <c r="B236">
        <v>69.31</v>
      </c>
      <c r="C236">
        <v>69.38</v>
      </c>
      <c r="D236" t="s">
        <v>37</v>
      </c>
      <c r="E236" s="2">
        <v>946.09739999999999</v>
      </c>
      <c r="F236" s="2">
        <f t="shared" si="7"/>
        <v>0</v>
      </c>
      <c r="G236" s="2">
        <f t="shared" si="8"/>
        <v>946.09739999999999</v>
      </c>
      <c r="H236" s="3">
        <f>Table1[[#This Row],[price_screen_bid]]*G236</f>
        <v>65574.010794000002</v>
      </c>
      <c r="I236" s="3">
        <f>Table1[[#This Row],[price_screen_ask]]*G236</f>
        <v>65640.237611999997</v>
      </c>
    </row>
    <row r="237" spans="1:9" x14ac:dyDescent="0.25">
      <c r="A237" t="s">
        <v>10</v>
      </c>
      <c r="B237">
        <v>37.89</v>
      </c>
      <c r="C237">
        <v>37.909999999999997</v>
      </c>
      <c r="D237" t="s">
        <v>37</v>
      </c>
      <c r="E237" s="2">
        <v>1730.0737999999999</v>
      </c>
      <c r="F237" s="2">
        <f t="shared" si="7"/>
        <v>0.2</v>
      </c>
      <c r="G237" s="2">
        <f t="shared" si="8"/>
        <v>1729.8737999999998</v>
      </c>
      <c r="H237" s="3">
        <f>Table1[[#This Row],[price_screen_bid]]*G237</f>
        <v>65544.918281999999</v>
      </c>
      <c r="I237" s="3">
        <f>Table1[[#This Row],[price_screen_ask]]*G237</f>
        <v>65579.515757999994</v>
      </c>
    </row>
    <row r="238" spans="1:9" x14ac:dyDescent="0.25">
      <c r="A238" t="s">
        <v>11</v>
      </c>
      <c r="B238">
        <v>57.08</v>
      </c>
      <c r="C238">
        <v>57.09</v>
      </c>
      <c r="D238" t="s">
        <v>37</v>
      </c>
      <c r="E238" s="2">
        <v>1148.8058000000001</v>
      </c>
      <c r="F238" s="2">
        <f t="shared" si="7"/>
        <v>-0.05</v>
      </c>
      <c r="G238" s="2">
        <f t="shared" si="8"/>
        <v>1148.8558</v>
      </c>
      <c r="H238" s="3">
        <f>Table1[[#This Row],[price_screen_bid]]*G238</f>
        <v>65576.689064000006</v>
      </c>
      <c r="I238" s="3">
        <f>Table1[[#This Row],[price_screen_ask]]*G238</f>
        <v>65588.177622000003</v>
      </c>
    </row>
    <row r="239" spans="1:9" x14ac:dyDescent="0.25">
      <c r="A239" t="s">
        <v>12</v>
      </c>
      <c r="B239">
        <v>50.87</v>
      </c>
      <c r="C239">
        <v>50.88</v>
      </c>
      <c r="D239" t="s">
        <v>37</v>
      </c>
      <c r="E239" s="2">
        <v>1288.7435</v>
      </c>
      <c r="F239" s="2">
        <f t="shared" si="7"/>
        <v>-0.15</v>
      </c>
      <c r="G239" s="2">
        <f t="shared" si="8"/>
        <v>1288.8935000000001</v>
      </c>
      <c r="H239" s="3">
        <f>Table1[[#This Row],[price_screen_bid]]*G239</f>
        <v>65566.01234500001</v>
      </c>
      <c r="I239" s="3">
        <f>Table1[[#This Row],[price_screen_ask]]*G239</f>
        <v>65578.901280000005</v>
      </c>
    </row>
    <row r="240" spans="1:9" x14ac:dyDescent="0.25">
      <c r="A240" t="s">
        <v>13</v>
      </c>
      <c r="B240">
        <v>18.54</v>
      </c>
      <c r="C240">
        <v>18.55</v>
      </c>
      <c r="D240" t="s">
        <v>37</v>
      </c>
      <c r="E240" s="2">
        <v>3535.8029000000001</v>
      </c>
      <c r="F240" s="2">
        <f t="shared" si="7"/>
        <v>0</v>
      </c>
      <c r="G240" s="2">
        <f t="shared" si="8"/>
        <v>3535.8029000000001</v>
      </c>
      <c r="H240" s="3">
        <f>Table1[[#This Row],[price_screen_bid]]*G240</f>
        <v>65553.785766000001</v>
      </c>
      <c r="I240" s="3">
        <f>Table1[[#This Row],[price_screen_ask]]*G240</f>
        <v>65589.143795000011</v>
      </c>
    </row>
    <row r="241" spans="1:9" x14ac:dyDescent="0.25">
      <c r="A241" t="s">
        <v>14</v>
      </c>
      <c r="B241">
        <v>37.15</v>
      </c>
      <c r="C241">
        <v>37.159999999999997</v>
      </c>
      <c r="D241" t="s">
        <v>37</v>
      </c>
      <c r="E241" s="2">
        <v>1764.9866999999999</v>
      </c>
      <c r="F241" s="2">
        <f t="shared" si="7"/>
        <v>0</v>
      </c>
      <c r="G241" s="2">
        <f t="shared" si="8"/>
        <v>1764.9866999999999</v>
      </c>
      <c r="H241" s="3">
        <f>Table1[[#This Row],[price_screen_bid]]*G241</f>
        <v>65569.255904999998</v>
      </c>
      <c r="I241" s="3">
        <f>Table1[[#This Row],[price_screen_ask]]*G241</f>
        <v>65586.905771999998</v>
      </c>
    </row>
    <row r="242" spans="1:9" x14ac:dyDescent="0.25">
      <c r="A242" t="s">
        <v>4</v>
      </c>
      <c r="B242">
        <v>21.73</v>
      </c>
      <c r="C242">
        <v>21.74</v>
      </c>
      <c r="D242" t="s">
        <v>38</v>
      </c>
      <c r="E242" s="2">
        <v>3014.8449999999998</v>
      </c>
      <c r="F242" s="2">
        <f t="shared" si="7"/>
        <v>0.1</v>
      </c>
      <c r="G242" s="2">
        <f t="shared" si="8"/>
        <v>3014.7449999999999</v>
      </c>
      <c r="H242" s="3">
        <f>Table1[[#This Row],[price_screen_bid]]*G242</f>
        <v>65510.40885</v>
      </c>
      <c r="I242" s="3">
        <f>Table1[[#This Row],[price_screen_ask]]*G242</f>
        <v>65540.556299999997</v>
      </c>
    </row>
    <row r="243" spans="1:9" x14ac:dyDescent="0.25">
      <c r="A243" t="s">
        <v>6</v>
      </c>
      <c r="B243">
        <v>35.57</v>
      </c>
      <c r="C243">
        <v>35.58</v>
      </c>
      <c r="D243" t="s">
        <v>38</v>
      </c>
      <c r="E243" s="2">
        <v>1842.0499</v>
      </c>
      <c r="F243" s="2">
        <f t="shared" si="7"/>
        <v>-0.1</v>
      </c>
      <c r="G243" s="2">
        <f t="shared" si="8"/>
        <v>1842.1498999999999</v>
      </c>
      <c r="H243" s="3">
        <f>Table1[[#This Row],[price_screen_bid]]*G243</f>
        <v>65525.271943</v>
      </c>
      <c r="I243" s="3">
        <f>Table1[[#This Row],[price_screen_ask]]*G243</f>
        <v>65543.693441999989</v>
      </c>
    </row>
    <row r="244" spans="1:9" x14ac:dyDescent="0.25">
      <c r="A244" t="s">
        <v>7</v>
      </c>
      <c r="B244">
        <v>18.48</v>
      </c>
      <c r="C244">
        <v>18.489999999999998</v>
      </c>
      <c r="D244" t="s">
        <v>38</v>
      </c>
      <c r="E244" s="2">
        <v>3546.4557</v>
      </c>
      <c r="F244" s="2">
        <f t="shared" si="7"/>
        <v>0</v>
      </c>
      <c r="G244" s="2">
        <f t="shared" si="8"/>
        <v>3546.4557</v>
      </c>
      <c r="H244" s="3">
        <f>Table1[[#This Row],[price_screen_bid]]*G244</f>
        <v>65538.501336000001</v>
      </c>
      <c r="I244" s="3">
        <f>Table1[[#This Row],[price_screen_ask]]*G244</f>
        <v>65573.965893000001</v>
      </c>
    </row>
    <row r="245" spans="1:9" x14ac:dyDescent="0.25">
      <c r="A245" t="s">
        <v>8</v>
      </c>
      <c r="B245">
        <v>28.98</v>
      </c>
      <c r="C245">
        <v>28.99</v>
      </c>
      <c r="D245" t="s">
        <v>38</v>
      </c>
      <c r="E245" s="2">
        <v>2261.2858000000001</v>
      </c>
      <c r="F245" s="2">
        <f t="shared" si="7"/>
        <v>0</v>
      </c>
      <c r="G245" s="2">
        <f t="shared" si="8"/>
        <v>2261.2858000000001</v>
      </c>
      <c r="H245" s="3">
        <f>Table1[[#This Row],[price_screen_bid]]*G245</f>
        <v>65532.062484000002</v>
      </c>
      <c r="I245" s="3">
        <f>Table1[[#This Row],[price_screen_ask]]*G245</f>
        <v>65554.675342000002</v>
      </c>
    </row>
    <row r="246" spans="1:9" x14ac:dyDescent="0.25">
      <c r="A246" t="s">
        <v>9</v>
      </c>
      <c r="B246">
        <v>69.25</v>
      </c>
      <c r="C246">
        <v>69.319999999999993</v>
      </c>
      <c r="D246" t="s">
        <v>38</v>
      </c>
      <c r="E246" s="2">
        <v>946.09739999999999</v>
      </c>
      <c r="F246" s="2">
        <f t="shared" si="7"/>
        <v>0</v>
      </c>
      <c r="G246" s="2">
        <f t="shared" si="8"/>
        <v>946.09739999999999</v>
      </c>
      <c r="H246" s="3">
        <f>Table1[[#This Row],[price_screen_bid]]*G246</f>
        <v>65517.24495</v>
      </c>
      <c r="I246" s="3">
        <f>Table1[[#This Row],[price_screen_ask]]*G246</f>
        <v>65583.471767999989</v>
      </c>
    </row>
    <row r="247" spans="1:9" x14ac:dyDescent="0.25">
      <c r="A247" t="s">
        <v>10</v>
      </c>
      <c r="B247">
        <v>37.85</v>
      </c>
      <c r="C247">
        <v>37.880000000000003</v>
      </c>
      <c r="D247" t="s">
        <v>38</v>
      </c>
      <c r="E247" s="2">
        <v>1730.0737999999999</v>
      </c>
      <c r="F247" s="2">
        <f t="shared" si="7"/>
        <v>0.2</v>
      </c>
      <c r="G247" s="2">
        <f t="shared" si="8"/>
        <v>1729.8737999999998</v>
      </c>
      <c r="H247" s="3">
        <f>Table1[[#This Row],[price_screen_bid]]*G247</f>
        <v>65475.723329999993</v>
      </c>
      <c r="I247" s="3">
        <f>Table1[[#This Row],[price_screen_ask]]*G247</f>
        <v>65527.619544000001</v>
      </c>
    </row>
    <row r="248" spans="1:9" x14ac:dyDescent="0.25">
      <c r="A248" t="s">
        <v>11</v>
      </c>
      <c r="B248">
        <v>57.04</v>
      </c>
      <c r="C248">
        <v>57.05</v>
      </c>
      <c r="D248" t="s">
        <v>38</v>
      </c>
      <c r="E248" s="2">
        <v>1148.8058000000001</v>
      </c>
      <c r="F248" s="2">
        <f t="shared" si="7"/>
        <v>-0.05</v>
      </c>
      <c r="G248" s="2">
        <f t="shared" si="8"/>
        <v>1148.8558</v>
      </c>
      <c r="H248" s="3">
        <f>Table1[[#This Row],[price_screen_bid]]*G248</f>
        <v>65530.734832000002</v>
      </c>
      <c r="I248" s="3">
        <f>Table1[[#This Row],[price_screen_ask]]*G248</f>
        <v>65542.223389999999</v>
      </c>
    </row>
    <row r="249" spans="1:9" x14ac:dyDescent="0.25">
      <c r="A249" t="s">
        <v>12</v>
      </c>
      <c r="B249">
        <v>50.83</v>
      </c>
      <c r="C249">
        <v>50.84</v>
      </c>
      <c r="D249" t="s">
        <v>38</v>
      </c>
      <c r="E249" s="2">
        <v>1288.7435</v>
      </c>
      <c r="F249" s="2">
        <f t="shared" si="7"/>
        <v>-0.15</v>
      </c>
      <c r="G249" s="2">
        <f t="shared" si="8"/>
        <v>1288.8935000000001</v>
      </c>
      <c r="H249" s="3">
        <f>Table1[[#This Row],[price_screen_bid]]*G249</f>
        <v>65514.456605000007</v>
      </c>
      <c r="I249" s="3">
        <f>Table1[[#This Row],[price_screen_ask]]*G249</f>
        <v>65527.345540000009</v>
      </c>
    </row>
    <row r="250" spans="1:9" x14ac:dyDescent="0.25">
      <c r="A250" t="s">
        <v>13</v>
      </c>
      <c r="B250">
        <v>18.53</v>
      </c>
      <c r="C250">
        <v>18.54</v>
      </c>
      <c r="D250" t="s">
        <v>38</v>
      </c>
      <c r="E250" s="2">
        <v>3535.8029000000001</v>
      </c>
      <c r="F250" s="2">
        <f t="shared" si="7"/>
        <v>0</v>
      </c>
      <c r="G250" s="2">
        <f t="shared" si="8"/>
        <v>3535.8029000000001</v>
      </c>
      <c r="H250" s="3">
        <f>Table1[[#This Row],[price_screen_bid]]*G250</f>
        <v>65518.427737000005</v>
      </c>
      <c r="I250" s="3">
        <f>Table1[[#This Row],[price_screen_ask]]*G250</f>
        <v>65553.785766000001</v>
      </c>
    </row>
    <row r="251" spans="1:9" x14ac:dyDescent="0.25">
      <c r="A251" t="s">
        <v>14</v>
      </c>
      <c r="B251">
        <v>37.119999999999997</v>
      </c>
      <c r="C251">
        <v>37.130000000000003</v>
      </c>
      <c r="D251" t="s">
        <v>38</v>
      </c>
      <c r="E251" s="2">
        <v>1764.9866999999999</v>
      </c>
      <c r="F251" s="2">
        <f t="shared" si="7"/>
        <v>0</v>
      </c>
      <c r="G251" s="2">
        <f t="shared" si="8"/>
        <v>1764.9866999999999</v>
      </c>
      <c r="H251" s="3">
        <f>Table1[[#This Row],[price_screen_bid]]*G251</f>
        <v>65516.306303999991</v>
      </c>
      <c r="I251" s="3">
        <f>Table1[[#This Row],[price_screen_ask]]*G251</f>
        <v>65533.956171000005</v>
      </c>
    </row>
  </sheetData>
  <sortState xmlns:xlrd2="http://schemas.microsoft.com/office/spreadsheetml/2017/richdata2" ref="A2:E13051">
    <sortCondition ref="E2:E13051"/>
  </sortState>
  <phoneticPr fontId="2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7895-2900-4509-87AF-58BBA1D51D7E}">
  <dimension ref="A1:O27"/>
  <sheetViews>
    <sheetView tabSelected="1" workbookViewId="0">
      <selection activeCell="L15" sqref="L15"/>
    </sheetView>
  </sheetViews>
  <sheetFormatPr defaultRowHeight="15" x14ac:dyDescent="0.25"/>
  <cols>
    <col min="1" max="1" width="19" bestFit="1" customWidth="1"/>
    <col min="2" max="2" width="14.28515625" bestFit="1" customWidth="1"/>
    <col min="3" max="3" width="14.140625" bestFit="1" customWidth="1"/>
    <col min="4" max="4" width="12.7109375" customWidth="1"/>
    <col min="5" max="5" width="9.28515625" style="6" bestFit="1" customWidth="1"/>
    <col min="6" max="6" width="9.5703125" style="6" bestFit="1" customWidth="1"/>
    <col min="8" max="11" width="10.85546875" customWidth="1"/>
    <col min="12" max="12" width="11.5703125" style="2" bestFit="1" customWidth="1"/>
    <col min="13" max="13" width="11.28515625" style="3" bestFit="1" customWidth="1"/>
    <col min="14" max="14" width="10.85546875" style="3" customWidth="1"/>
  </cols>
  <sheetData>
    <row r="1" spans="1:15" x14ac:dyDescent="0.25">
      <c r="A1" s="15" t="s">
        <v>39</v>
      </c>
      <c r="B1" t="s">
        <v>40</v>
      </c>
      <c r="C1" t="s">
        <v>41</v>
      </c>
      <c r="D1" s="1" t="s">
        <v>42</v>
      </c>
      <c r="E1" s="1" t="s">
        <v>43</v>
      </c>
      <c r="F1" s="1" t="s">
        <v>44</v>
      </c>
    </row>
    <row r="2" spans="1:15" x14ac:dyDescent="0.25">
      <c r="A2" s="4" t="s">
        <v>5</v>
      </c>
      <c r="B2" s="5">
        <v>66142.609649999999</v>
      </c>
      <c r="C2" s="5">
        <v>66133.075373999993</v>
      </c>
      <c r="D2" s="5">
        <f>B2-C2</f>
        <v>9.5342760000057751</v>
      </c>
      <c r="E2" s="6" t="str">
        <f>_xlfn.XLOOKUP(B2,Table1[unit bid],Table1[my_fi_name])</f>
        <v>BTC</v>
      </c>
      <c r="F2" s="6" t="str">
        <f>_xlfn.XLOOKUP(C2,Table1[unit ask],Table1[my_fi_name])</f>
        <v>EZBC</v>
      </c>
      <c r="I2" s="7" t="s">
        <v>45</v>
      </c>
      <c r="J2" s="7" t="s">
        <v>46</v>
      </c>
      <c r="K2" s="7" t="s">
        <v>42</v>
      </c>
      <c r="L2" s="8" t="s">
        <v>47</v>
      </c>
      <c r="M2" s="9" t="s">
        <v>48</v>
      </c>
      <c r="N2" s="7" t="s">
        <v>49</v>
      </c>
    </row>
    <row r="3" spans="1:15" x14ac:dyDescent="0.25">
      <c r="A3" s="4" t="s">
        <v>15</v>
      </c>
      <c r="B3" s="5">
        <v>66162.605522000013</v>
      </c>
      <c r="C3" s="5">
        <v>66154.872259000011</v>
      </c>
      <c r="D3" s="5">
        <f t="shared" ref="D3:D15" si="0">B3-C3</f>
        <v>7.733263000001898</v>
      </c>
      <c r="E3" s="6" t="str">
        <f>_xlfn.XLOOKUP(B3,Table1[unit bid],Table1[my_fi_name])</f>
        <v>FBTC</v>
      </c>
      <c r="F3" s="6" t="str">
        <f>_xlfn.XLOOKUP(C3,Table1[unit ask],Table1[my_fi_name])</f>
        <v>HODL</v>
      </c>
      <c r="G3" s="10"/>
      <c r="H3" s="10" t="s">
        <v>4</v>
      </c>
      <c r="I3">
        <f t="shared" ref="I3:I12" si="1">COUNTIF(E:E,H3)</f>
        <v>0</v>
      </c>
      <c r="J3">
        <f t="shared" ref="J3:J12" si="2">COUNTIF(F:F,H3)</f>
        <v>6</v>
      </c>
      <c r="K3">
        <f>I3-J3</f>
        <v>-6</v>
      </c>
      <c r="L3" s="11">
        <v>0.1</v>
      </c>
      <c r="M3" s="3">
        <f>'ETF_2026-06-16'!C2</f>
        <v>21.94</v>
      </c>
      <c r="N3" s="3">
        <f>L3*M3</f>
        <v>2.1940000000000004</v>
      </c>
      <c r="O3" s="12">
        <f t="shared" ref="O3:O12" si="3">N3/C3</f>
        <v>3.3164601866516623E-5</v>
      </c>
    </row>
    <row r="4" spans="1:15" x14ac:dyDescent="0.25">
      <c r="A4" s="4" t="s">
        <v>16</v>
      </c>
      <c r="B4" s="5">
        <v>65644.895006999999</v>
      </c>
      <c r="C4" s="5">
        <v>65630.998649999994</v>
      </c>
      <c r="D4" s="5">
        <f t="shared" si="0"/>
        <v>13.896357000005082</v>
      </c>
      <c r="E4" s="6" t="str">
        <f>_xlfn.XLOOKUP(B4,Table1[unit bid],Table1[my_fi_name])</f>
        <v>BRRR</v>
      </c>
      <c r="F4" s="6" t="str">
        <f>_xlfn.XLOOKUP(C4,Table1[unit ask],Table1[my_fi_name])</f>
        <v>ARKB</v>
      </c>
      <c r="G4" s="10"/>
      <c r="H4" s="10" t="s">
        <v>6</v>
      </c>
      <c r="I4">
        <f t="shared" si="1"/>
        <v>5</v>
      </c>
      <c r="J4">
        <f t="shared" si="2"/>
        <v>0</v>
      </c>
      <c r="K4">
        <f t="shared" ref="K4:K12" si="4">I4-J4</f>
        <v>5</v>
      </c>
      <c r="L4" s="11">
        <v>-0.1</v>
      </c>
      <c r="M4" s="3">
        <f>'ETF_2026-06-16'!C3</f>
        <v>35.909999999999997</v>
      </c>
      <c r="N4" s="3">
        <f>L4*M4</f>
        <v>-3.5909999999999997</v>
      </c>
      <c r="O4" s="12">
        <f t="shared" si="3"/>
        <v>-5.471499861140693E-5</v>
      </c>
    </row>
    <row r="5" spans="1:15" x14ac:dyDescent="0.25">
      <c r="A5" s="4" t="s">
        <v>17</v>
      </c>
      <c r="B5" s="5">
        <v>65758.191063999999</v>
      </c>
      <c r="C5" s="5">
        <v>65745.754574999999</v>
      </c>
      <c r="D5" s="5">
        <f t="shared" si="0"/>
        <v>12.43648899999971</v>
      </c>
      <c r="E5" s="6" t="str">
        <f>_xlfn.XLOOKUP(B5,Table1[unit bid],Table1[my_fi_name])</f>
        <v>BTC</v>
      </c>
      <c r="F5" s="6" t="str">
        <f>_xlfn.XLOOKUP(C5,Table1[unit ask],Table1[my_fi_name])</f>
        <v>IBIT</v>
      </c>
      <c r="G5" s="10"/>
      <c r="H5" s="10" t="s">
        <v>7</v>
      </c>
      <c r="I5">
        <f t="shared" si="1"/>
        <v>4</v>
      </c>
      <c r="J5">
        <f t="shared" si="2"/>
        <v>1</v>
      </c>
      <c r="K5">
        <f t="shared" si="4"/>
        <v>3</v>
      </c>
      <c r="L5" s="11">
        <v>0</v>
      </c>
      <c r="M5" s="3">
        <f>'ETF_2026-06-16'!C4</f>
        <v>18.66</v>
      </c>
      <c r="N5" s="3">
        <f t="shared" ref="N5:N12" si="5">L5*M5</f>
        <v>0</v>
      </c>
      <c r="O5" s="12">
        <f t="shared" si="3"/>
        <v>0</v>
      </c>
    </row>
    <row r="6" spans="1:15" x14ac:dyDescent="0.25">
      <c r="A6" s="4" t="s">
        <v>18</v>
      </c>
      <c r="B6" s="5">
        <v>65690.352490000005</v>
      </c>
      <c r="C6" s="5">
        <v>65682.012760000012</v>
      </c>
      <c r="D6" s="5">
        <f t="shared" si="0"/>
        <v>8.3397299999924144</v>
      </c>
      <c r="E6" s="6" t="str">
        <f>_xlfn.XLOOKUP(B6,Table1[unit bid],Table1[my_fi_name])</f>
        <v>BTC</v>
      </c>
      <c r="F6" s="6" t="str">
        <f>_xlfn.XLOOKUP(C6,Table1[unit ask],Table1[my_fi_name])</f>
        <v>GBTC</v>
      </c>
      <c r="G6" s="10"/>
      <c r="H6" s="10" t="s">
        <v>8</v>
      </c>
      <c r="I6">
        <f t="shared" si="1"/>
        <v>12</v>
      </c>
      <c r="J6">
        <f t="shared" si="2"/>
        <v>0</v>
      </c>
      <c r="K6">
        <f t="shared" si="4"/>
        <v>12</v>
      </c>
      <c r="L6" s="11">
        <v>0</v>
      </c>
      <c r="M6" s="3">
        <f>'ETF_2026-06-16'!C5</f>
        <v>29.26</v>
      </c>
      <c r="N6" s="3">
        <f t="shared" si="5"/>
        <v>0</v>
      </c>
      <c r="O6" s="12">
        <f t="shared" si="3"/>
        <v>0</v>
      </c>
    </row>
    <row r="7" spans="1:15" x14ac:dyDescent="0.25">
      <c r="A7" s="4" t="s">
        <v>19</v>
      </c>
      <c r="B7" s="5">
        <v>65916.481069999994</v>
      </c>
      <c r="C7" s="5">
        <v>65914.013590000002</v>
      </c>
      <c r="D7" s="5">
        <f t="shared" si="0"/>
        <v>2.4674799999920651</v>
      </c>
      <c r="E7" s="6" t="str">
        <f>_xlfn.XLOOKUP(B7,Table1[unit bid],Table1[my_fi_name])</f>
        <v>BTC</v>
      </c>
      <c r="F7" s="6" t="str">
        <f>_xlfn.XLOOKUP(C7,Table1[unit ask],Table1[my_fi_name])</f>
        <v>GBTC</v>
      </c>
      <c r="G7" s="10"/>
      <c r="H7" s="10" t="s">
        <v>9</v>
      </c>
      <c r="I7">
        <f t="shared" si="1"/>
        <v>1</v>
      </c>
      <c r="J7">
        <f t="shared" si="2"/>
        <v>0</v>
      </c>
      <c r="K7">
        <f t="shared" si="4"/>
        <v>1</v>
      </c>
      <c r="L7" s="11">
        <v>0</v>
      </c>
      <c r="M7" s="3">
        <f>'ETF_2026-06-16'!C6</f>
        <v>69.95</v>
      </c>
      <c r="N7" s="3">
        <f t="shared" si="5"/>
        <v>0</v>
      </c>
      <c r="O7" s="12">
        <f t="shared" si="3"/>
        <v>0</v>
      </c>
    </row>
    <row r="8" spans="1:15" x14ac:dyDescent="0.25">
      <c r="A8" s="4" t="s">
        <v>20</v>
      </c>
      <c r="B8" s="5">
        <v>65764.751430000004</v>
      </c>
      <c r="C8" s="5">
        <v>65759.346370000014</v>
      </c>
      <c r="D8" s="5">
        <f t="shared" si="0"/>
        <v>5.4050599999900442</v>
      </c>
      <c r="E8" s="6" t="str">
        <f>_xlfn.XLOOKUP(B8,Table1[unit bid],Table1[my_fi_name])</f>
        <v>BITB</v>
      </c>
      <c r="F8" s="6" t="str">
        <f>_xlfn.XLOOKUP(C8,Table1[unit ask],Table1[my_fi_name])</f>
        <v>GBTC</v>
      </c>
      <c r="G8" s="10"/>
      <c r="H8" s="10" t="s">
        <v>10</v>
      </c>
      <c r="I8">
        <f t="shared" si="1"/>
        <v>0</v>
      </c>
      <c r="J8">
        <f t="shared" si="2"/>
        <v>3</v>
      </c>
      <c r="K8">
        <f t="shared" si="4"/>
        <v>-3</v>
      </c>
      <c r="L8" s="11">
        <v>0.2</v>
      </c>
      <c r="M8" s="3">
        <f>'ETF_2026-06-16'!C7</f>
        <v>38.229999999999997</v>
      </c>
      <c r="N8" s="3">
        <f t="shared" si="5"/>
        <v>7.6459999999999999</v>
      </c>
      <c r="O8" s="12">
        <f t="shared" si="3"/>
        <v>1.1627244524267613E-4</v>
      </c>
    </row>
    <row r="9" spans="1:15" x14ac:dyDescent="0.25">
      <c r="A9" s="4" t="s">
        <v>21</v>
      </c>
      <c r="B9" s="5">
        <v>65875.391572000008</v>
      </c>
      <c r="C9" s="5">
        <v>65872.008027000003</v>
      </c>
      <c r="D9" s="5">
        <f t="shared" si="0"/>
        <v>3.3835450000042329</v>
      </c>
      <c r="E9" s="6" t="str">
        <f>_xlfn.XLOOKUP(B9,Table1[unit bid],Table1[my_fi_name])</f>
        <v>FBTC</v>
      </c>
      <c r="F9" s="6" t="str">
        <f>_xlfn.XLOOKUP(C9,Table1[unit ask],Table1[my_fi_name])</f>
        <v>HODL</v>
      </c>
      <c r="G9" s="10"/>
      <c r="H9" s="10" t="s">
        <v>11</v>
      </c>
      <c r="I9">
        <f t="shared" si="1"/>
        <v>3</v>
      </c>
      <c r="J9">
        <f t="shared" si="2"/>
        <v>0</v>
      </c>
      <c r="K9">
        <f t="shared" si="4"/>
        <v>3</v>
      </c>
      <c r="L9" s="11">
        <v>-0.05</v>
      </c>
      <c r="M9" s="3">
        <f>'ETF_2026-06-16'!C8</f>
        <v>57.58</v>
      </c>
      <c r="N9" s="3">
        <f t="shared" si="5"/>
        <v>-2.879</v>
      </c>
      <c r="O9" s="12">
        <f t="shared" si="3"/>
        <v>-4.3705969898776103E-5</v>
      </c>
    </row>
    <row r="10" spans="1:15" x14ac:dyDescent="0.25">
      <c r="A10" s="4" t="s">
        <v>22</v>
      </c>
      <c r="B10" s="5">
        <v>65691.065433999989</v>
      </c>
      <c r="C10" s="5">
        <v>65682.012760000012</v>
      </c>
      <c r="D10" s="5">
        <f t="shared" si="0"/>
        <v>9.0526739999768324</v>
      </c>
      <c r="E10" s="6" t="str">
        <f>_xlfn.XLOOKUP(B10,Table1[unit bid],Table1[my_fi_name])</f>
        <v>BITB</v>
      </c>
      <c r="F10" s="6" t="str">
        <f>_xlfn.XLOOKUP(C10,Table1[unit ask],Table1[my_fi_name])</f>
        <v>GBTC</v>
      </c>
      <c r="G10" s="10"/>
      <c r="H10" s="10" t="s">
        <v>12</v>
      </c>
      <c r="I10">
        <f t="shared" si="1"/>
        <v>0</v>
      </c>
      <c r="J10">
        <f t="shared" si="2"/>
        <v>9</v>
      </c>
      <c r="K10">
        <f t="shared" si="4"/>
        <v>-9</v>
      </c>
      <c r="L10" s="11">
        <v>-0.15</v>
      </c>
      <c r="M10" s="3">
        <f>'ETF_2026-06-16'!C9</f>
        <v>51.32</v>
      </c>
      <c r="N10" s="3">
        <f t="shared" si="5"/>
        <v>-7.6979999999999995</v>
      </c>
      <c r="O10" s="12">
        <f t="shared" si="3"/>
        <v>-1.1720103688247568E-4</v>
      </c>
    </row>
    <row r="11" spans="1:15" x14ac:dyDescent="0.25">
      <c r="A11" s="4" t="s">
        <v>23</v>
      </c>
      <c r="B11" s="5">
        <v>65690.352490000005</v>
      </c>
      <c r="C11" s="5">
        <v>65680.359563999998</v>
      </c>
      <c r="D11" s="5">
        <f t="shared" si="0"/>
        <v>9.9929260000062641</v>
      </c>
      <c r="E11" s="6" t="str">
        <f>_xlfn.XLOOKUP(B11,Table1[unit bid],Table1[my_fi_name])</f>
        <v>BTC</v>
      </c>
      <c r="F11" s="6" t="str">
        <f>_xlfn.XLOOKUP(C11,Table1[unit ask],Table1[my_fi_name])</f>
        <v>BRRR</v>
      </c>
      <c r="G11" s="10"/>
      <c r="H11" s="10" t="s">
        <v>13</v>
      </c>
      <c r="I11">
        <f t="shared" si="1"/>
        <v>0</v>
      </c>
      <c r="J11">
        <f t="shared" si="2"/>
        <v>2</v>
      </c>
      <c r="K11">
        <f t="shared" si="4"/>
        <v>-2</v>
      </c>
      <c r="L11" s="11">
        <v>0</v>
      </c>
      <c r="M11" s="3">
        <f>'ETF_2026-06-16'!C10</f>
        <v>18.71</v>
      </c>
      <c r="N11" s="3">
        <f t="shared" si="5"/>
        <v>0</v>
      </c>
      <c r="O11" s="12">
        <f t="shared" si="3"/>
        <v>0</v>
      </c>
    </row>
    <row r="12" spans="1:15" x14ac:dyDescent="0.25">
      <c r="A12" s="4" t="s">
        <v>24</v>
      </c>
      <c r="B12" s="5">
        <v>65764.751430000004</v>
      </c>
      <c r="C12" s="5">
        <v>65763.404441999999</v>
      </c>
      <c r="D12" s="5">
        <f t="shared" si="0"/>
        <v>1.3469880000047851</v>
      </c>
      <c r="E12" s="6" t="str">
        <f>_xlfn.XLOOKUP(B12,Table1[unit bid],Table1[my_fi_name])</f>
        <v>BITB</v>
      </c>
      <c r="F12" s="6" t="str">
        <f>_xlfn.XLOOKUP(C12,Table1[unit ask],Table1[my_fi_name])</f>
        <v>IBIT</v>
      </c>
      <c r="G12" s="10"/>
      <c r="H12" s="10" t="s">
        <v>14</v>
      </c>
      <c r="I12" s="13">
        <f t="shared" si="1"/>
        <v>0</v>
      </c>
      <c r="J12" s="13">
        <f t="shared" si="2"/>
        <v>4</v>
      </c>
      <c r="K12" s="13">
        <f t="shared" si="4"/>
        <v>-4</v>
      </c>
      <c r="L12" s="11">
        <v>0</v>
      </c>
      <c r="M12" s="3">
        <f>'ETF_2026-06-16'!C11</f>
        <v>37.479999999999997</v>
      </c>
      <c r="N12" s="3">
        <f t="shared" si="5"/>
        <v>0</v>
      </c>
      <c r="O12" s="12">
        <f t="shared" si="3"/>
        <v>0</v>
      </c>
    </row>
    <row r="13" spans="1:15" x14ac:dyDescent="0.25">
      <c r="A13" s="4" t="s">
        <v>25</v>
      </c>
      <c r="B13" s="5">
        <v>65715.925403999994</v>
      </c>
      <c r="C13" s="5">
        <v>65720.679565000013</v>
      </c>
      <c r="D13" s="5">
        <f t="shared" si="0"/>
        <v>-4.7541610000189394</v>
      </c>
      <c r="E13" s="6" t="str">
        <f>_xlfn.XLOOKUP(B13,Table1[unit bid],Table1[my_fi_name])</f>
        <v>BTCW</v>
      </c>
      <c r="F13" s="6" t="str">
        <f>_xlfn.XLOOKUP(C13,Table1[unit ask],Table1[my_fi_name])</f>
        <v>GBTC</v>
      </c>
      <c r="G13" s="10"/>
      <c r="H13" s="10"/>
      <c r="I13">
        <f>SUM(I3:I12)</f>
        <v>25</v>
      </c>
      <c r="J13">
        <f t="shared" ref="J13:K13" si="6">SUM(J3:J12)</f>
        <v>25</v>
      </c>
      <c r="K13">
        <f t="shared" si="6"/>
        <v>0</v>
      </c>
    </row>
    <row r="14" spans="1:15" x14ac:dyDescent="0.25">
      <c r="A14" s="4" t="s">
        <v>26</v>
      </c>
      <c r="B14" s="5">
        <v>65758.191063999999</v>
      </c>
      <c r="C14" s="5">
        <v>65745.754574999999</v>
      </c>
      <c r="D14" s="5">
        <f t="shared" si="0"/>
        <v>12.43648899999971</v>
      </c>
      <c r="E14" s="6" t="str">
        <f>_xlfn.XLOOKUP(B14,Table1[unit bid],Table1[my_fi_name])</f>
        <v>BTC</v>
      </c>
      <c r="F14" s="6" t="str">
        <f>_xlfn.XLOOKUP(C14,Table1[unit ask],Table1[my_fi_name])</f>
        <v>IBIT</v>
      </c>
    </row>
    <row r="15" spans="1:15" x14ac:dyDescent="0.25">
      <c r="A15" s="4" t="s">
        <v>27</v>
      </c>
      <c r="B15" s="5">
        <v>65712.965347999998</v>
      </c>
      <c r="C15" s="5">
        <v>65707.790630000003</v>
      </c>
      <c r="D15" s="5">
        <f t="shared" ref="D15:D26" si="7">B15-C15</f>
        <v>5.1747179999947548</v>
      </c>
      <c r="E15" s="6" t="str">
        <f>_xlfn.XLOOKUP(B15,Table1[unit bid],Table1[my_fi_name])</f>
        <v>BTC</v>
      </c>
      <c r="F15" s="6" t="str">
        <f>_xlfn.XLOOKUP(C15,Table1[unit ask],Table1[my_fi_name])</f>
        <v>GBTC</v>
      </c>
    </row>
    <row r="16" spans="1:15" x14ac:dyDescent="0.25">
      <c r="A16" s="4" t="s">
        <v>28</v>
      </c>
      <c r="B16" s="5">
        <v>65672.643935</v>
      </c>
      <c r="C16" s="5">
        <v>65661.146099999998</v>
      </c>
      <c r="D16" s="5">
        <f t="shared" si="7"/>
        <v>11.497835000001942</v>
      </c>
      <c r="E16" s="6" t="str">
        <f>_xlfn.XLOOKUP(B16,Table1[unit bid],Table1[my_fi_name])</f>
        <v>BITB</v>
      </c>
      <c r="F16" s="6" t="str">
        <f>_xlfn.XLOOKUP(C16,Table1[unit ask],Table1[my_fi_name])</f>
        <v>ARKB</v>
      </c>
    </row>
    <row r="17" spans="1:6" x14ac:dyDescent="0.25">
      <c r="A17" s="4" t="s">
        <v>29</v>
      </c>
      <c r="B17" s="5">
        <v>65928.611462999994</v>
      </c>
      <c r="C17" s="5">
        <v>65925.490517999991</v>
      </c>
      <c r="D17" s="5">
        <f t="shared" si="7"/>
        <v>3.1209450000023935</v>
      </c>
      <c r="E17" s="6" t="str">
        <f>_xlfn.XLOOKUP(B17,Table1[unit bid],Table1[my_fi_name])</f>
        <v>BRRR</v>
      </c>
      <c r="F17" s="6" t="str">
        <f>_xlfn.XLOOKUP(C17,Table1[unit ask],Table1[my_fi_name])</f>
        <v>EZBC</v>
      </c>
    </row>
    <row r="18" spans="1:6" x14ac:dyDescent="0.25">
      <c r="A18" s="4" t="s">
        <v>30</v>
      </c>
      <c r="B18" s="5">
        <v>66035.005134000006</v>
      </c>
      <c r="C18" s="5">
        <v>66029.282945999992</v>
      </c>
      <c r="D18" s="5">
        <f t="shared" si="7"/>
        <v>5.7221880000142846</v>
      </c>
      <c r="E18" s="6" t="str">
        <f>_xlfn.XLOOKUP(B18,Table1[unit bid],Table1[my_fi_name])</f>
        <v>BRRR</v>
      </c>
      <c r="F18" s="6" t="str">
        <f>_xlfn.XLOOKUP(C18,Table1[unit ask],Table1[my_fi_name])</f>
        <v>EZBC</v>
      </c>
    </row>
    <row r="19" spans="1:6" x14ac:dyDescent="0.25">
      <c r="A19" s="4" t="s">
        <v>31</v>
      </c>
      <c r="B19" s="5">
        <v>65944.322920000006</v>
      </c>
      <c r="C19" s="5">
        <v>65932.473150000005</v>
      </c>
      <c r="D19" s="5">
        <f t="shared" si="7"/>
        <v>11.849770000000717</v>
      </c>
      <c r="E19" s="6" t="str">
        <f>_xlfn.XLOOKUP(B19,Table1[unit bid],Table1[my_fi_name])</f>
        <v>FBTC</v>
      </c>
      <c r="F19" s="6" t="str">
        <f>_xlfn.XLOOKUP(C19,Table1[unit ask],Table1[my_fi_name])</f>
        <v>ARKB</v>
      </c>
    </row>
    <row r="20" spans="1:6" x14ac:dyDescent="0.25">
      <c r="A20" s="4" t="s">
        <v>32</v>
      </c>
      <c r="B20" s="5">
        <v>65848.642496</v>
      </c>
      <c r="C20" s="5">
        <v>65842.030799999993</v>
      </c>
      <c r="D20" s="5">
        <f t="shared" si="7"/>
        <v>6.611696000007214</v>
      </c>
      <c r="E20" s="6" t="str">
        <f>_xlfn.XLOOKUP(B20,Table1[unit bid],Table1[my_fi_name])</f>
        <v>BTC</v>
      </c>
      <c r="F20" s="6" t="str">
        <f>_xlfn.XLOOKUP(C20,Table1[unit ask],Table1[my_fi_name])</f>
        <v>ARKB</v>
      </c>
    </row>
    <row r="21" spans="1:6" x14ac:dyDescent="0.25">
      <c r="A21" s="4" t="s">
        <v>33</v>
      </c>
      <c r="B21" s="5">
        <v>65848.642496</v>
      </c>
      <c r="C21" s="5">
        <v>65834.003909999999</v>
      </c>
      <c r="D21" s="5">
        <f t="shared" si="7"/>
        <v>14.638586000000942</v>
      </c>
      <c r="E21" s="6" t="str">
        <f>_xlfn.XLOOKUP(B21,Table1[unit bid],Table1[my_fi_name])</f>
        <v>BTC</v>
      </c>
      <c r="F21" s="6" t="str">
        <f>_xlfn.XLOOKUP(C21,Table1[unit ask],Table1[my_fi_name])</f>
        <v>IBIT</v>
      </c>
    </row>
    <row r="22" spans="1:6" x14ac:dyDescent="0.25">
      <c r="A22" s="4" t="s">
        <v>34</v>
      </c>
      <c r="B22" s="5">
        <v>65645.126774000004</v>
      </c>
      <c r="C22" s="5">
        <v>65630.457020000002</v>
      </c>
      <c r="D22" s="5">
        <f t="shared" si="7"/>
        <v>14.669754000002285</v>
      </c>
      <c r="E22" s="6" t="str">
        <f>_xlfn.XLOOKUP(B22,Table1[unit bid],Table1[my_fi_name])</f>
        <v>BTC</v>
      </c>
      <c r="F22" s="6" t="str">
        <f>_xlfn.XLOOKUP(C22,Table1[unit ask],Table1[my_fi_name])</f>
        <v>GBTC</v>
      </c>
    </row>
    <row r="23" spans="1:6" x14ac:dyDescent="0.25">
      <c r="A23" s="4" t="s">
        <v>35</v>
      </c>
      <c r="B23" s="5">
        <v>65532.062484000002</v>
      </c>
      <c r="C23" s="5">
        <v>65510.40885</v>
      </c>
      <c r="D23" s="5">
        <f t="shared" si="7"/>
        <v>21.653634000002057</v>
      </c>
      <c r="E23" s="6" t="str">
        <f>_xlfn.XLOOKUP(B23,Table1[unit bid],Table1[my_fi_name])</f>
        <v>BTC</v>
      </c>
      <c r="F23" s="6" t="str">
        <f>_xlfn.XLOOKUP(C23,Table1[unit ask],Table1[my_fi_name])</f>
        <v>ARKB</v>
      </c>
    </row>
    <row r="24" spans="1:6" x14ac:dyDescent="0.25">
      <c r="A24" s="4" t="s">
        <v>36</v>
      </c>
      <c r="B24" s="5">
        <v>65645.126774000004</v>
      </c>
      <c r="C24" s="5">
        <v>65643.345955000012</v>
      </c>
      <c r="D24" s="5">
        <f t="shared" si="7"/>
        <v>1.7808189999923343</v>
      </c>
      <c r="E24" s="6" t="str">
        <f>_xlfn.XLOOKUP(B24,Table1[unit bid],Table1[my_fi_name])</f>
        <v>BTC</v>
      </c>
      <c r="F24" s="6" t="str">
        <f>_xlfn.XLOOKUP(C24,Table1[unit ask],Table1[my_fi_name])</f>
        <v>GBTC</v>
      </c>
    </row>
    <row r="25" spans="1:6" x14ac:dyDescent="0.25">
      <c r="A25" s="4" t="s">
        <v>37</v>
      </c>
      <c r="B25" s="5">
        <v>65580.536439999996</v>
      </c>
      <c r="C25" s="5">
        <v>65570.703750000001</v>
      </c>
      <c r="D25" s="5">
        <f t="shared" si="7"/>
        <v>9.8326899999956368</v>
      </c>
      <c r="E25" s="6" t="str">
        <f>_xlfn.XLOOKUP(B25,Table1[unit bid],Table1[my_fi_name])</f>
        <v>BITB</v>
      </c>
      <c r="F25" s="6" t="str">
        <f>_xlfn.XLOOKUP(C25,Table1[unit ask],Table1[my_fi_name])</f>
        <v>ARKB</v>
      </c>
    </row>
    <row r="26" spans="1:6" ht="17.25" x14ac:dyDescent="0.4">
      <c r="A26" s="4" t="s">
        <v>38</v>
      </c>
      <c r="B26" s="5">
        <v>65538.501336000001</v>
      </c>
      <c r="C26" s="5">
        <v>65527.345540000009</v>
      </c>
      <c r="D26" s="14">
        <f t="shared" si="7"/>
        <v>11.155795999991824</v>
      </c>
      <c r="E26" s="6" t="str">
        <f>_xlfn.XLOOKUP(B26,Table1[unit bid],Table1[my_fi_name])</f>
        <v>BRRR</v>
      </c>
      <c r="F26" s="6" t="str">
        <f>_xlfn.XLOOKUP(C26,Table1[unit ask],Table1[my_fi_name])</f>
        <v>GBTC</v>
      </c>
    </row>
    <row r="27" spans="1:6" x14ac:dyDescent="0.25">
      <c r="D27" s="5">
        <f>SUM(D2:D26)</f>
        <v>208.97954699996626</v>
      </c>
    </row>
  </sheetData>
  <conditionalFormatting sqref="K3:K12">
    <cfRule type="top10" dxfId="3" priority="1" bottom="1" rank="3"/>
    <cfRule type="top10" dxfId="2" priority="2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ETF_2026-06-16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2026-06-16T20:27:54Z</dcterms:created>
  <dcterms:modified xsi:type="dcterms:W3CDTF">2026-06-16T20:47:00Z</dcterms:modified>
</cp:coreProperties>
</file>